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ndhuy\AppData\Roaming\Microsoft\AddIns\"/>
    </mc:Choice>
  </mc:AlternateContent>
  <xr:revisionPtr revIDLastSave="0" documentId="13_ncr:1_{997685A8-A81B-4537-B882-0A687398404C}" xr6:coauthVersionLast="47" xr6:coauthVersionMax="47" xr10:uidLastSave="{00000000-0000-0000-0000-000000000000}"/>
  <bookViews>
    <workbookView xWindow="-8205" yWindow="-16320" windowWidth="29040" windowHeight="15720" tabRatio="887" xr2:uid="{00000000-000D-0000-FFFF-FFFF00000000}"/>
  </bookViews>
  <sheets>
    <sheet name="Lisez moi" sheetId="148" r:id="rId1"/>
    <sheet name="Descriptif" sheetId="30" r:id="rId2"/>
    <sheet name="SYNTHESE_SCL" sheetId="145" r:id="rId3"/>
    <sheet name="SYNTHESE_STEU" sheetId="138" r:id="rId4"/>
    <sheet name="Qualité" sheetId="51" r:id="rId5"/>
    <sheet name="Analytique" sheetId="137" r:id="rId6"/>
    <sheet name="BD Débitmètres" sheetId="147" r:id="rId7"/>
    <sheet name="PARAM" sheetId="5" state="hidden" r:id="rId8"/>
    <sheet name="SeuilsComparaison-EMT" sheetId="8" r:id="rId9"/>
    <sheet name="Recap_reseau" sheetId="146" state="hidden" r:id="rId10"/>
    <sheet name="Recap_equipements" sheetId="97" state="hidden" r:id="rId11"/>
    <sheet name="Equipements_SCL" sheetId="144" state="hidden" r:id="rId12"/>
    <sheet name="Equipements_STEU" sheetId="98" state="hidden" r:id="rId13"/>
    <sheet name="LimitequantificationSDE" sheetId="9" state="hidden" r:id="rId14"/>
    <sheet name="Critères" sheetId="47" state="hidden" r:id="rId15"/>
  </sheets>
  <definedNames>
    <definedName name="_xlnm._FilterDatabase" localSheetId="1" hidden="1">Descriptif!$E$33:$Q$33</definedName>
    <definedName name="Asservissement">PARAM!$A$44:$A$46</definedName>
    <definedName name="CODE_SANDRE_3">PARAM!$I$4:$J$33</definedName>
    <definedName name="CODE_SANDRE_SCL">PARAM!$F$4:$F$7</definedName>
    <definedName name="CODE_SANDRE_STEU">PARAM!$E$4:$E$19</definedName>
    <definedName name="conditions_meteo">PARAM!$F$44:$F$46</definedName>
    <definedName name="Conformité">PARAM!$B$44:$B$48</definedName>
    <definedName name="diam_debitmetre">'BD Débitmètres'!$B$11:$B$38</definedName>
    <definedName name="Eq_h_controle">PARAM!$C$30:$C$32</definedName>
    <definedName name="EQUIPEMENT_PREL">PARAM!$B$4:$B$6</definedName>
    <definedName name="EQUIPEMENT_Q">PARAM!$A$4:$A$15</definedName>
    <definedName name="Frequence">PARAM!$E$44:$E$51</definedName>
    <definedName name="LISTE_1">PARAM!$A$21:$A$23</definedName>
    <definedName name="LISTE_2">PARAM!$B$21:$B$24</definedName>
    <definedName name="LISTE_3">PARAM!$C$21:$C$25</definedName>
    <definedName name="LISTE_4">PARAM!$D$21:$D$25</definedName>
    <definedName name="LISTE_5">PARAM!$F$21:$F$25</definedName>
    <definedName name="LISTE_6">PARAM!$G$21</definedName>
    <definedName name="LISTE_7">PARAM!$H$21:$H$23</definedName>
    <definedName name="listeDebimetres">INDIRECT("Descriptif!"&amp;ADDRESS(Descriptif!$AD$2,COLUMN(Descriptif!$AF$1))):INDEX(INDIRECT("Descriptif!AF"&amp;Descriptif!$AD$2&amp;":AF101"),COUNTIF(INDIRECT("Descriptif!AF"&amp;Descriptif!$AD$2&amp;":AF101"),"?*"))</definedName>
    <definedName name="listePluviometres">INDIRECT("Descriptif!"&amp;ADDRESS(Descriptif!$AD$2,COLUMN(Descriptif!$AJ$1))):INDEX(INDIRECT("Descriptif!AJ"&amp;Descriptif!$AD$2&amp;":AJ101"),COUNTIF(INDIRECT("Descriptif!AJ"&amp;Descriptif!$AD$2&amp;":AJ101"),"?*"))</definedName>
    <definedName name="listePreleveurs">INDIRECT("Descriptif!"&amp;ADDRESS(Descriptif!$AD$2,COLUMN(Descriptif!$AD$1))):INDEX(INDIRECT("Descriptif!AD"&amp;Descriptif!$AD$2&amp;":AD101"),COUNTIF(INDIRECT("Descriptif!AD"&amp;Descriptif!$AD$2&amp;":AD101"),"?*"))</definedName>
    <definedName name="listeSondeTemp">INDIRECT("Descriptif!"&amp;ADDRESS(Descriptif!$AD$2,COLUMN(Descriptif!$AH$1))):INDEX(INDIRECT("Descriptif!AH"&amp;Descriptif!$AD$2&amp;":AH101"),COUNTIF(INDIRECT("Descriptif!AH"&amp;Descriptif!$AD$2&amp;":AH101"),"?*"))</definedName>
    <definedName name="Méthode">PARAM!$A$55:$A$57</definedName>
    <definedName name="Montage_sonde">PARAM!$G$44:$G$47</definedName>
    <definedName name="PLUVIO_SCL">Descriptif!$E$24:$E$24</definedName>
    <definedName name="Print_Area" localSheetId="13">LimitequantificationSDE!$A$1:$F$21</definedName>
    <definedName name="Print_Area" localSheetId="8">'SeuilsComparaison-EMT'!$A$1:$K$29</definedName>
    <definedName name="Q_en_charge">PARAM!$A$30:$A$34</definedName>
    <definedName name="Q_en_charge_boues">PARAM!$E$30</definedName>
    <definedName name="Q_Gravitaire">PARAM!$B$30:$B$38</definedName>
    <definedName name="Satisfaction">PARAM!$D$44:$D$46</definedName>
    <definedName name="STATUT_EQ">PARAM!$G$4:$G$6</definedName>
    <definedName name="Type_capteur">PARAM!$C$44:$C$48</definedName>
    <definedName name="Type_equipement">PARAM!$C$4:$C$7</definedName>
    <definedName name="Type_reseau">PARAM!$D$30:$D$32</definedName>
    <definedName name="TypeDeMesure">PARAM!$B$55:$B$56</definedName>
    <definedName name="_xlnm.Print_Area" localSheetId="5">Analytique!$A$1:$S$60</definedName>
    <definedName name="_xlnm.Print_Area" localSheetId="1">Descriptif!$A$1:$W$48</definedName>
    <definedName name="_xlnm.Print_Area" localSheetId="4">Qualité!$A$1:$S$35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5" i="47" l="1"/>
  <c r="H15" i="47"/>
  <c r="L15" i="47"/>
  <c r="P15" i="47"/>
  <c r="T15" i="47"/>
  <c r="X15" i="47"/>
  <c r="AB15" i="47"/>
  <c r="AF15" i="47"/>
  <c r="AJ15" i="47"/>
  <c r="AN15" i="47"/>
  <c r="AR15" i="47"/>
  <c r="AV15" i="47"/>
  <c r="AZ15" i="47"/>
  <c r="BD15" i="47"/>
  <c r="BH15" i="47"/>
  <c r="BL15" i="47"/>
  <c r="BP15" i="47"/>
  <c r="BT15" i="47"/>
  <c r="BX15" i="47"/>
  <c r="AI15" i="30" l="1"/>
  <c r="AI16" i="30"/>
  <c r="AI17" i="30"/>
  <c r="AI18" i="30"/>
  <c r="AI19" i="30"/>
  <c r="AI20" i="30"/>
  <c r="AI21" i="30"/>
  <c r="AI22" i="30"/>
  <c r="AI23" i="30"/>
  <c r="AI24" i="30"/>
  <c r="AI25" i="30"/>
  <c r="AI26" i="30"/>
  <c r="AI27" i="30"/>
  <c r="AI28" i="30"/>
  <c r="AI29" i="30"/>
  <c r="AI30" i="30"/>
  <c r="AI31" i="30"/>
  <c r="AI32" i="30"/>
  <c r="AI33" i="30"/>
  <c r="AI34" i="30"/>
  <c r="AI35" i="30"/>
  <c r="AI36" i="30"/>
  <c r="AI37" i="30"/>
  <c r="AI38" i="30"/>
  <c r="AI39" i="30"/>
  <c r="AI40" i="30"/>
  <c r="AI41" i="30"/>
  <c r="AI42" i="30"/>
  <c r="AI43" i="30"/>
  <c r="AG15" i="30"/>
  <c r="AG16" i="30"/>
  <c r="AG17" i="30"/>
  <c r="AG18" i="30"/>
  <c r="AG19" i="30"/>
  <c r="AG20" i="30"/>
  <c r="AG21" i="30"/>
  <c r="AG22" i="30"/>
  <c r="AG23" i="30"/>
  <c r="AG24" i="30"/>
  <c r="AG25" i="30"/>
  <c r="AG26" i="30"/>
  <c r="AG27" i="30"/>
  <c r="AG28" i="30"/>
  <c r="AG29" i="30"/>
  <c r="AG30" i="30"/>
  <c r="AG31" i="30"/>
  <c r="AG32" i="30"/>
  <c r="AG33" i="30"/>
  <c r="AG34" i="30"/>
  <c r="AG35" i="30"/>
  <c r="AG36" i="30"/>
  <c r="AG37" i="30"/>
  <c r="AG38" i="30"/>
  <c r="AG39" i="30"/>
  <c r="AG40" i="30"/>
  <c r="AG41" i="30"/>
  <c r="AG42" i="30"/>
  <c r="AG43" i="30"/>
  <c r="AE15" i="30"/>
  <c r="AE16" i="30"/>
  <c r="AE17" i="30"/>
  <c r="AE18" i="30"/>
  <c r="AE19" i="30"/>
  <c r="AE20" i="30"/>
  <c r="AE21" i="30"/>
  <c r="AE22" i="30"/>
  <c r="AE23" i="30"/>
  <c r="AE24" i="30"/>
  <c r="AE25" i="30"/>
  <c r="AE26" i="30"/>
  <c r="AE27" i="30"/>
  <c r="AE28" i="30"/>
  <c r="AE29" i="30"/>
  <c r="AE30" i="30"/>
  <c r="AE31" i="30"/>
  <c r="AE32" i="30"/>
  <c r="AE33" i="30"/>
  <c r="AE34" i="30"/>
  <c r="AE35" i="30"/>
  <c r="AE36" i="30"/>
  <c r="AE37" i="30"/>
  <c r="AE38" i="30"/>
  <c r="AE39" i="30"/>
  <c r="AE40" i="30"/>
  <c r="AE41" i="30"/>
  <c r="AE42" i="30"/>
  <c r="AE43" i="30"/>
  <c r="AC15" i="30"/>
  <c r="AC16" i="30"/>
  <c r="AC17" i="30"/>
  <c r="AC18" i="30"/>
  <c r="AC19" i="30"/>
  <c r="AC20" i="30"/>
  <c r="AC21" i="30"/>
  <c r="AC22" i="30"/>
  <c r="AC23" i="30"/>
  <c r="AC24" i="30"/>
  <c r="AC25" i="30"/>
  <c r="AC26" i="30"/>
  <c r="AC27" i="30"/>
  <c r="AC28" i="30"/>
  <c r="AC29" i="30"/>
  <c r="AC30" i="30"/>
  <c r="AC31" i="30"/>
  <c r="AC32" i="30"/>
  <c r="AC33" i="30"/>
  <c r="AC34" i="30"/>
  <c r="AC35" i="30"/>
  <c r="AC36" i="30"/>
  <c r="AC37" i="30"/>
  <c r="AC38" i="30"/>
  <c r="AC39" i="30"/>
  <c r="AC40" i="30"/>
  <c r="AC41" i="30"/>
  <c r="AC42" i="30"/>
  <c r="AC43" i="30"/>
  <c r="AB15" i="30"/>
  <c r="AB16" i="30"/>
  <c r="AB17" i="30"/>
  <c r="AB18" i="30"/>
  <c r="AB19" i="30"/>
  <c r="AB20" i="30"/>
  <c r="AB21" i="30"/>
  <c r="AB22" i="30"/>
  <c r="AB23" i="30"/>
  <c r="AB24" i="30"/>
  <c r="AB25" i="30"/>
  <c r="AB26" i="30"/>
  <c r="AB27" i="30"/>
  <c r="AB28" i="30"/>
  <c r="AB29" i="30"/>
  <c r="AB30" i="30"/>
  <c r="AB31" i="30"/>
  <c r="AB32" i="30"/>
  <c r="AB33" i="30"/>
  <c r="AB34" i="30"/>
  <c r="AB35" i="30"/>
  <c r="AB36" i="30"/>
  <c r="AB37" i="30"/>
  <c r="AB38" i="30"/>
  <c r="AB39" i="30"/>
  <c r="AB40" i="30"/>
  <c r="AB41" i="30"/>
  <c r="AB42" i="30"/>
  <c r="AB43" i="30"/>
  <c r="AI14" i="30"/>
  <c r="AG14" i="30"/>
  <c r="AE14" i="30"/>
  <c r="AC14" i="30"/>
  <c r="AJ16" i="30" a="1"/>
  <c r="AJ20" i="30" a="1"/>
  <c r="AH17" i="30" a="1"/>
  <c r="AF19" i="30" a="1"/>
  <c r="AD30" i="30" a="1"/>
  <c r="AD24" i="30" a="1"/>
  <c r="AH21" i="30" a="1"/>
  <c r="AD20" i="30" a="1"/>
  <c r="AH22" i="30" a="1"/>
  <c r="AH39" i="30" a="1"/>
  <c r="AD42" i="30" a="1"/>
  <c r="AF21" i="30" a="1"/>
  <c r="AH24" i="30" a="1"/>
  <c r="AF37" i="30" a="1"/>
  <c r="AF28" i="30" a="1"/>
  <c r="AF18" i="30" a="1"/>
  <c r="AH40" i="30" a="1"/>
  <c r="AH31" i="30" a="1"/>
  <c r="AF16" i="30" a="1"/>
  <c r="AJ31" i="30" a="1"/>
  <c r="AJ42" i="30" a="1"/>
  <c r="AD43" i="30" a="1"/>
  <c r="AD39" i="30" a="1"/>
  <c r="AF29" i="30" a="1"/>
  <c r="AJ24" i="30" a="1"/>
  <c r="AJ27" i="30" a="1"/>
  <c r="AJ35" i="30" a="1"/>
  <c r="AF30" i="30" a="1"/>
  <c r="AH37" i="30" a="1"/>
  <c r="AD38" i="30" a="1"/>
  <c r="AF42" i="30" a="1"/>
  <c r="AH23" i="30" a="1"/>
  <c r="AD16" i="30" a="1"/>
  <c r="AF32" i="30" a="1"/>
  <c r="AD25" i="30" a="1"/>
  <c r="AD17" i="30" a="1"/>
  <c r="AD19" i="30" a="1"/>
  <c r="AD35" i="30" a="1"/>
  <c r="AD31" i="30" a="1"/>
  <c r="AD21" i="30" a="1"/>
  <c r="AD26" i="30" a="1"/>
  <c r="AF17" i="30" a="1"/>
  <c r="AH41" i="30" a="1"/>
  <c r="AD22" i="30" a="1"/>
  <c r="AD18" i="30" a="1"/>
  <c r="AF35" i="30" a="1"/>
  <c r="AJ38" i="30" a="1"/>
  <c r="AH15" i="30" a="1"/>
  <c r="AH32" i="30" a="1"/>
  <c r="AF41" i="30" a="1"/>
  <c r="AD23" i="30" a="1"/>
  <c r="AH26" i="30" a="1"/>
  <c r="AH43" i="30" a="1"/>
  <c r="AF20" i="30" a="1"/>
  <c r="AD36" i="30" a="1"/>
  <c r="AF31" i="30" a="1"/>
  <c r="AH33" i="30" a="1"/>
  <c r="AH18" i="30" a="1"/>
  <c r="AH19" i="30" a="1"/>
  <c r="AD27" i="30" a="1"/>
  <c r="AH36" i="30" a="1"/>
  <c r="AH27" i="30" a="1"/>
  <c r="AF40" i="30" a="1"/>
  <c r="AF27" i="30" a="1"/>
  <c r="AH16" i="30" a="1"/>
  <c r="AH38" i="30" a="1"/>
  <c r="AD32" i="30" a="1"/>
  <c r="AD37" i="30" a="1"/>
  <c r="AF39" i="30" a="1"/>
  <c r="AH28" i="30" a="1"/>
  <c r="AH42" i="30" a="1"/>
  <c r="AD34" i="30" a="1"/>
  <c r="AJ21" i="30" a="1"/>
  <c r="AJ34" i="30" a="1"/>
  <c r="AJ17" i="30" a="1"/>
  <c r="AJ28" i="30" a="1"/>
  <c r="AJ39" i="30" a="1"/>
  <c r="AJ40" i="30" a="1"/>
  <c r="AH30" i="30" a="1"/>
  <c r="AH25" i="30" a="1"/>
  <c r="AF43" i="30" a="1"/>
  <c r="AD29" i="30" a="1"/>
  <c r="AH20" i="30" a="1"/>
  <c r="AF15" i="30" a="1"/>
  <c r="AF22" i="30" a="1"/>
  <c r="AD41" i="30" a="1"/>
  <c r="AH34" i="30" a="1"/>
  <c r="AF26" i="30" a="1"/>
  <c r="AF33" i="30" a="1"/>
  <c r="AD28" i="30" a="1"/>
  <c r="AH35" i="30" a="1"/>
  <c r="AF23" i="30" a="1"/>
  <c r="AF34" i="30" a="1"/>
  <c r="AF24" i="30" a="1"/>
  <c r="AF25" i="30" a="1"/>
  <c r="AF36" i="30" a="1"/>
  <c r="AD15" i="30" a="1"/>
  <c r="AF38" i="30" a="1"/>
  <c r="AH29" i="30" a="1"/>
  <c r="AJ43" i="30" a="1"/>
  <c r="AJ33" i="30" a="1"/>
  <c r="AD33" i="30" a="1"/>
  <c r="AD40" i="30" a="1"/>
  <c r="AJ32" i="30" a="1"/>
  <c r="AJ23" i="30" a="1"/>
  <c r="AJ36" i="30" a="1"/>
  <c r="AJ18" i="30" a="1"/>
  <c r="AJ29" i="30" a="1"/>
  <c r="AJ19" i="30" a="1"/>
  <c r="AJ30" i="30" a="1"/>
  <c r="AJ41" i="30" a="1"/>
  <c r="AJ15" i="30" a="1"/>
  <c r="AJ26" i="30" a="1"/>
  <c r="AJ37" i="30" a="1"/>
  <c r="AJ22" i="30" a="1"/>
  <c r="AJ25" i="30" a="1"/>
  <c r="AJ35" i="30" l="1"/>
  <c r="AJ20" i="30"/>
  <c r="AJ24" i="30"/>
  <c r="AJ33" i="30"/>
  <c r="AJ43" i="30"/>
  <c r="AJ42" i="30"/>
  <c r="AJ31" i="30"/>
  <c r="AJ41" i="30"/>
  <c r="AJ30" i="30"/>
  <c r="AJ19" i="30"/>
  <c r="AJ29" i="30"/>
  <c r="AJ18" i="30"/>
  <c r="AJ36" i="30"/>
  <c r="AJ23" i="30"/>
  <c r="AJ32" i="30"/>
  <c r="AJ40" i="30"/>
  <c r="AJ39" i="30"/>
  <c r="AJ28" i="30"/>
  <c r="AJ17" i="30"/>
  <c r="AJ34" i="30"/>
  <c r="AJ21" i="30"/>
  <c r="AJ38" i="30"/>
  <c r="AJ27" i="30"/>
  <c r="AJ16" i="30"/>
  <c r="AJ25" i="30"/>
  <c r="AJ22" i="30"/>
  <c r="AJ37" i="30"/>
  <c r="AJ26" i="30"/>
  <c r="AJ15" i="30"/>
  <c r="AH25" i="30"/>
  <c r="AH24" i="30"/>
  <c r="AH23" i="30"/>
  <c r="AH33" i="30"/>
  <c r="AH22" i="30"/>
  <c r="AH43" i="30"/>
  <c r="AH32" i="30"/>
  <c r="AH21" i="30"/>
  <c r="AH17" i="30"/>
  <c r="AH42" i="30"/>
  <c r="AH28" i="30"/>
  <c r="AH41" i="30"/>
  <c r="AH29" i="30"/>
  <c r="AH38" i="30"/>
  <c r="AH16" i="30"/>
  <c r="AH31" i="30"/>
  <c r="AH40" i="30"/>
  <c r="AH27" i="30"/>
  <c r="AH36" i="30"/>
  <c r="AH35" i="30"/>
  <c r="AH34" i="30"/>
  <c r="AH20" i="30"/>
  <c r="AH30" i="30"/>
  <c r="AH19" i="30"/>
  <c r="AH18" i="30"/>
  <c r="AH39" i="30"/>
  <c r="AH37" i="30"/>
  <c r="AH26" i="30"/>
  <c r="AH15" i="30"/>
  <c r="AF36" i="30"/>
  <c r="AF25" i="30"/>
  <c r="AF24" i="30"/>
  <c r="AF34" i="30"/>
  <c r="AF23" i="30"/>
  <c r="AF33" i="30"/>
  <c r="AF22" i="30"/>
  <c r="AF43" i="30"/>
  <c r="AF32" i="30"/>
  <c r="AF21" i="30"/>
  <c r="AF42" i="30"/>
  <c r="AF31" i="30"/>
  <c r="AF20" i="30"/>
  <c r="AF41" i="30"/>
  <c r="AF30" i="30"/>
  <c r="AF19" i="30"/>
  <c r="AF35" i="30"/>
  <c r="AF29" i="30"/>
  <c r="AF39" i="30"/>
  <c r="AF17" i="30"/>
  <c r="AF38" i="30"/>
  <c r="AF16" i="30"/>
  <c r="AF27" i="30"/>
  <c r="AF40" i="30"/>
  <c r="AF18" i="30"/>
  <c r="AF28" i="30"/>
  <c r="AF37" i="30"/>
  <c r="AF26" i="30"/>
  <c r="AF15" i="30"/>
  <c r="AD24" i="30"/>
  <c r="AD34" i="30"/>
  <c r="AD33" i="30"/>
  <c r="AD22" i="30"/>
  <c r="AD43" i="30"/>
  <c r="AD32" i="30"/>
  <c r="AD21" i="30"/>
  <c r="AD31" i="30"/>
  <c r="AD35" i="30"/>
  <c r="AD19" i="30"/>
  <c r="AD17" i="30"/>
  <c r="AD25" i="30"/>
  <c r="AD28" i="30"/>
  <c r="AD41" i="30"/>
  <c r="AD29" i="30"/>
  <c r="AD27" i="30"/>
  <c r="AD16" i="30"/>
  <c r="AD42" i="30"/>
  <c r="AD38" i="30"/>
  <c r="AD36" i="30"/>
  <c r="AD23" i="30"/>
  <c r="AD20" i="30"/>
  <c r="AD30" i="30"/>
  <c r="AD40" i="30"/>
  <c r="AD18" i="30"/>
  <c r="AD39" i="30"/>
  <c r="AD37" i="30"/>
  <c r="AD26" i="30"/>
  <c r="AD15" i="30"/>
  <c r="AI44" i="30" l="1"/>
  <c r="AI45" i="30"/>
  <c r="AI46" i="30"/>
  <c r="AI47" i="30"/>
  <c r="AI48" i="30"/>
  <c r="AI49" i="30"/>
  <c r="AI50" i="30"/>
  <c r="AI51" i="30"/>
  <c r="AI52" i="30"/>
  <c r="AI53" i="30"/>
  <c r="AI54" i="30"/>
  <c r="AI55" i="30"/>
  <c r="AI56" i="30"/>
  <c r="AI57" i="30"/>
  <c r="AI58" i="30"/>
  <c r="AI59" i="30"/>
  <c r="AI60" i="30"/>
  <c r="AI61" i="30"/>
  <c r="AI62" i="30"/>
  <c r="AI63" i="30"/>
  <c r="AI64" i="30"/>
  <c r="AI65" i="30"/>
  <c r="AI66" i="30"/>
  <c r="AI67" i="30"/>
  <c r="AI68" i="30"/>
  <c r="AI69" i="30"/>
  <c r="AI70" i="30"/>
  <c r="AI71" i="30"/>
  <c r="AI72" i="30"/>
  <c r="AI73" i="30"/>
  <c r="AI74" i="30"/>
  <c r="AI75" i="30"/>
  <c r="AI76" i="30"/>
  <c r="AI77" i="30"/>
  <c r="AI78" i="30"/>
  <c r="AI79" i="30"/>
  <c r="AI80" i="30"/>
  <c r="AI81" i="30"/>
  <c r="AI82" i="30"/>
  <c r="AI83" i="30"/>
  <c r="AI84" i="30"/>
  <c r="AI85" i="30"/>
  <c r="AI86" i="30"/>
  <c r="AI87" i="30"/>
  <c r="AI88" i="30"/>
  <c r="AI89" i="30"/>
  <c r="AI90" i="30"/>
  <c r="AI91" i="30"/>
  <c r="AG44" i="30"/>
  <c r="AG45" i="30"/>
  <c r="AG46" i="30"/>
  <c r="AG47" i="30"/>
  <c r="AG48" i="30"/>
  <c r="AG49" i="30"/>
  <c r="AG50" i="30"/>
  <c r="AG51" i="30"/>
  <c r="AG52" i="30"/>
  <c r="AG53" i="30"/>
  <c r="AG54" i="30"/>
  <c r="AG55" i="30"/>
  <c r="AG56" i="30"/>
  <c r="AG57" i="30"/>
  <c r="AG58" i="30"/>
  <c r="AG59" i="30"/>
  <c r="AG60" i="30"/>
  <c r="AG61" i="30"/>
  <c r="AG62" i="30"/>
  <c r="AG63" i="30"/>
  <c r="AG64" i="30"/>
  <c r="AG65" i="30"/>
  <c r="AG66" i="30"/>
  <c r="AG67" i="30"/>
  <c r="AG68" i="30"/>
  <c r="AG69" i="30"/>
  <c r="AG70" i="30"/>
  <c r="AG71" i="30"/>
  <c r="AG72" i="30"/>
  <c r="AG73" i="30"/>
  <c r="AG74" i="30"/>
  <c r="AG75" i="30"/>
  <c r="AG76" i="30"/>
  <c r="AG77" i="30"/>
  <c r="AG78" i="30"/>
  <c r="AG79" i="30"/>
  <c r="AG80" i="30"/>
  <c r="AG81" i="30"/>
  <c r="AG82" i="30"/>
  <c r="AG83" i="30"/>
  <c r="AG84" i="30"/>
  <c r="AG85" i="30"/>
  <c r="AG86" i="30"/>
  <c r="AG87" i="30"/>
  <c r="AG88" i="30"/>
  <c r="AG89" i="30"/>
  <c r="AG90" i="30"/>
  <c r="AG91" i="30"/>
  <c r="AE44" i="30"/>
  <c r="AE45" i="30"/>
  <c r="AE46" i="30"/>
  <c r="AE47" i="30"/>
  <c r="AE48" i="30"/>
  <c r="AE49" i="30"/>
  <c r="AE50" i="30"/>
  <c r="AE51" i="30"/>
  <c r="AE52" i="30"/>
  <c r="AE53" i="30"/>
  <c r="AE54" i="30"/>
  <c r="AE55" i="30"/>
  <c r="AE56" i="30"/>
  <c r="AE57" i="30"/>
  <c r="AE58" i="30"/>
  <c r="AE59" i="30"/>
  <c r="AE60" i="30"/>
  <c r="AE61" i="30"/>
  <c r="AE62" i="30"/>
  <c r="AE63" i="30"/>
  <c r="AE64" i="30"/>
  <c r="AE65" i="30"/>
  <c r="AE66" i="30"/>
  <c r="AE67" i="30"/>
  <c r="AE68" i="30"/>
  <c r="AE69" i="30"/>
  <c r="AE70" i="30"/>
  <c r="AE71" i="30"/>
  <c r="AE72" i="30"/>
  <c r="AE73" i="30"/>
  <c r="AE74" i="30"/>
  <c r="AE75" i="30"/>
  <c r="AE76" i="30"/>
  <c r="AE77" i="30"/>
  <c r="AE78" i="30"/>
  <c r="AE79" i="30"/>
  <c r="AE80" i="30"/>
  <c r="AE81" i="30"/>
  <c r="AE82" i="30"/>
  <c r="AE83" i="30"/>
  <c r="AE84" i="30"/>
  <c r="AE85" i="30"/>
  <c r="AE86" i="30"/>
  <c r="AE87" i="30"/>
  <c r="AE88" i="30"/>
  <c r="AE89" i="30"/>
  <c r="AE90" i="30"/>
  <c r="AE91" i="30"/>
  <c r="AC44" i="30"/>
  <c r="AC45" i="30"/>
  <c r="AC46" i="30"/>
  <c r="AC47" i="30"/>
  <c r="AC48" i="30"/>
  <c r="AC49" i="30"/>
  <c r="AC50" i="30"/>
  <c r="AC51" i="30"/>
  <c r="AC52" i="30"/>
  <c r="AC53" i="30"/>
  <c r="AC54" i="30"/>
  <c r="AC55" i="30"/>
  <c r="AC56" i="30"/>
  <c r="AC57" i="30"/>
  <c r="AC58" i="30"/>
  <c r="AC59" i="30"/>
  <c r="AC60" i="30"/>
  <c r="AC61" i="30"/>
  <c r="AC62" i="30"/>
  <c r="AC63" i="30"/>
  <c r="AC64" i="30"/>
  <c r="AC65" i="30"/>
  <c r="AC66" i="30"/>
  <c r="AC67" i="30"/>
  <c r="AC68" i="30"/>
  <c r="AC69" i="30"/>
  <c r="AC70" i="30"/>
  <c r="AC71" i="30"/>
  <c r="AC72" i="30"/>
  <c r="AC73" i="30"/>
  <c r="AC74" i="30"/>
  <c r="AC75" i="30"/>
  <c r="AC76" i="30"/>
  <c r="AC77" i="30"/>
  <c r="AC78" i="30"/>
  <c r="AC79" i="30"/>
  <c r="AC80" i="30"/>
  <c r="AC81" i="30"/>
  <c r="AC82" i="30"/>
  <c r="AC83" i="30"/>
  <c r="AC84" i="30"/>
  <c r="AC85" i="30"/>
  <c r="AC86" i="30"/>
  <c r="AC87" i="30"/>
  <c r="AC88" i="30"/>
  <c r="AC89" i="30"/>
  <c r="AC90" i="30"/>
  <c r="AC91" i="30"/>
  <c r="AD53" i="145" l="1"/>
  <c r="AE53" i="145"/>
  <c r="J53" i="145"/>
  <c r="K53" i="145"/>
  <c r="AD54" i="145"/>
  <c r="AE54" i="145"/>
  <c r="J54" i="145"/>
  <c r="K54" i="145"/>
  <c r="AD55" i="145"/>
  <c r="AE55" i="145"/>
  <c r="J55" i="145"/>
  <c r="K55" i="145"/>
  <c r="AD56" i="145"/>
  <c r="AE56" i="145"/>
  <c r="J56" i="145"/>
  <c r="K56" i="145"/>
  <c r="AD57" i="145"/>
  <c r="AE57" i="145"/>
  <c r="J57" i="145"/>
  <c r="K57" i="145"/>
  <c r="AD58" i="145"/>
  <c r="AE58" i="145"/>
  <c r="J58" i="145"/>
  <c r="K58" i="145"/>
  <c r="AD59" i="145"/>
  <c r="AE59" i="145"/>
  <c r="J59" i="145"/>
  <c r="K59" i="145"/>
  <c r="AD60" i="145"/>
  <c r="I60" i="145" s="1"/>
  <c r="AE60" i="145"/>
  <c r="J60" i="145"/>
  <c r="K60" i="145"/>
  <c r="AD61" i="145"/>
  <c r="AE61" i="145"/>
  <c r="J61" i="145"/>
  <c r="K61" i="145"/>
  <c r="AD62" i="145"/>
  <c r="AE62" i="145"/>
  <c r="J62" i="145"/>
  <c r="K62" i="145"/>
  <c r="AD63" i="145"/>
  <c r="AE63" i="145"/>
  <c r="J63" i="145"/>
  <c r="K63" i="145"/>
  <c r="AD64" i="145"/>
  <c r="AE64" i="145"/>
  <c r="J64" i="145"/>
  <c r="K64" i="145"/>
  <c r="AD65" i="145"/>
  <c r="AE65" i="145"/>
  <c r="J65" i="145"/>
  <c r="K65" i="145"/>
  <c r="AD66" i="145"/>
  <c r="AE66" i="145"/>
  <c r="J66" i="145"/>
  <c r="K66" i="145"/>
  <c r="AD67" i="145"/>
  <c r="AE67" i="145"/>
  <c r="J67" i="145"/>
  <c r="K67" i="145"/>
  <c r="AD68" i="145"/>
  <c r="AE68" i="145"/>
  <c r="I68" i="145" s="1"/>
  <c r="J68" i="145"/>
  <c r="K68" i="145"/>
  <c r="AD69" i="145"/>
  <c r="AE69" i="145"/>
  <c r="J69" i="145"/>
  <c r="K69" i="145"/>
  <c r="AD70" i="145"/>
  <c r="AE70" i="145"/>
  <c r="J70" i="145"/>
  <c r="K70" i="145"/>
  <c r="AD71" i="145"/>
  <c r="AE71" i="145"/>
  <c r="J71" i="145"/>
  <c r="K71" i="145"/>
  <c r="AD72" i="145"/>
  <c r="AE72" i="145"/>
  <c r="J72" i="145"/>
  <c r="K72" i="145"/>
  <c r="AD73" i="145"/>
  <c r="AE73" i="145"/>
  <c r="J73" i="145"/>
  <c r="K73" i="145"/>
  <c r="AD74" i="145"/>
  <c r="AE74" i="145"/>
  <c r="J74" i="145"/>
  <c r="K74" i="145"/>
  <c r="AD75" i="145"/>
  <c r="AE75" i="145"/>
  <c r="J75" i="145"/>
  <c r="K75" i="145"/>
  <c r="AD76" i="145"/>
  <c r="AE76" i="145"/>
  <c r="J76" i="145"/>
  <c r="K76" i="145"/>
  <c r="AD77" i="145"/>
  <c r="AE77" i="145"/>
  <c r="J77" i="145"/>
  <c r="K77" i="145"/>
  <c r="AD78" i="145"/>
  <c r="AE78" i="145"/>
  <c r="J78" i="145"/>
  <c r="K78" i="145"/>
  <c r="AD79" i="145"/>
  <c r="AE79" i="145"/>
  <c r="I79" i="145" s="1"/>
  <c r="J79" i="145"/>
  <c r="K79" i="145"/>
  <c r="AD80" i="145"/>
  <c r="AE80" i="145"/>
  <c r="J80" i="145"/>
  <c r="K80" i="145"/>
  <c r="AD81" i="145"/>
  <c r="AE81" i="145"/>
  <c r="J81" i="145"/>
  <c r="K81" i="145"/>
  <c r="AD82" i="145"/>
  <c r="I82" i="145" s="1"/>
  <c r="AE82" i="145"/>
  <c r="J82" i="145"/>
  <c r="K82" i="145"/>
  <c r="AD83" i="145"/>
  <c r="AE83" i="145"/>
  <c r="J83" i="145"/>
  <c r="K83" i="145"/>
  <c r="AD84" i="145"/>
  <c r="AE84" i="145"/>
  <c r="J84" i="145"/>
  <c r="K84" i="145"/>
  <c r="AD85" i="145"/>
  <c r="AE85" i="145"/>
  <c r="J85" i="145"/>
  <c r="K85" i="145"/>
  <c r="AD86" i="145"/>
  <c r="AE86" i="145"/>
  <c r="J86" i="145"/>
  <c r="K86" i="145"/>
  <c r="AD87" i="145"/>
  <c r="AE87" i="145"/>
  <c r="J87" i="145"/>
  <c r="K87" i="145"/>
  <c r="AD88" i="145"/>
  <c r="AE88" i="145"/>
  <c r="J88" i="145"/>
  <c r="K88" i="145"/>
  <c r="AD89" i="145"/>
  <c r="AE89" i="145"/>
  <c r="J89" i="145"/>
  <c r="K89" i="145"/>
  <c r="AD90" i="145"/>
  <c r="AE90" i="145"/>
  <c r="I90" i="145" s="1"/>
  <c r="J90" i="145"/>
  <c r="K90" i="145"/>
  <c r="AD91" i="145"/>
  <c r="AE91" i="145"/>
  <c r="J91" i="145"/>
  <c r="K91" i="145"/>
  <c r="AD92" i="145"/>
  <c r="AE92" i="145"/>
  <c r="J92" i="145"/>
  <c r="K92" i="145"/>
  <c r="H90" i="145" l="1"/>
  <c r="H79" i="145"/>
  <c r="H68" i="145"/>
  <c r="H82" i="145"/>
  <c r="H60" i="145"/>
  <c r="I58" i="145"/>
  <c r="H58" i="145" s="1"/>
  <c r="I74" i="145"/>
  <c r="H74" i="145" s="1"/>
  <c r="I63" i="145"/>
  <c r="H63" i="145" s="1"/>
  <c r="I73" i="145"/>
  <c r="H73" i="145" s="1"/>
  <c r="I69" i="145"/>
  <c r="H69" i="145" s="1"/>
  <c r="I91" i="145"/>
  <c r="H91" i="145" s="1"/>
  <c r="I80" i="145"/>
  <c r="H80" i="145" s="1"/>
  <c r="I85" i="145"/>
  <c r="H85" i="145" s="1"/>
  <c r="I57" i="145"/>
  <c r="H57" i="145" s="1"/>
  <c r="I84" i="145"/>
  <c r="H84" i="145" s="1"/>
  <c r="I62" i="145"/>
  <c r="H62" i="145" s="1"/>
  <c r="I89" i="145"/>
  <c r="H89" i="145" s="1"/>
  <c r="I78" i="145"/>
  <c r="H78" i="145" s="1"/>
  <c r="I67" i="145"/>
  <c r="H67" i="145" s="1"/>
  <c r="I56" i="145"/>
  <c r="H56" i="145" s="1"/>
  <c r="I83" i="145"/>
  <c r="H83" i="145" s="1"/>
  <c r="I72" i="145"/>
  <c r="H72" i="145" s="1"/>
  <c r="I61" i="145"/>
  <c r="H61" i="145" s="1"/>
  <c r="I88" i="145"/>
  <c r="H88" i="145" s="1"/>
  <c r="I77" i="145"/>
  <c r="H77" i="145" s="1"/>
  <c r="I66" i="145"/>
  <c r="H66" i="145" s="1"/>
  <c r="I55" i="145"/>
  <c r="H55" i="145" s="1"/>
  <c r="I71" i="145"/>
  <c r="H71" i="145" s="1"/>
  <c r="I87" i="145"/>
  <c r="H87" i="145" s="1"/>
  <c r="I76" i="145"/>
  <c r="H76" i="145" s="1"/>
  <c r="I65" i="145"/>
  <c r="H65" i="145" s="1"/>
  <c r="I54" i="145"/>
  <c r="H54" i="145" s="1"/>
  <c r="I92" i="145"/>
  <c r="H92" i="145" s="1"/>
  <c r="I81" i="145"/>
  <c r="H81" i="145" s="1"/>
  <c r="I70" i="145"/>
  <c r="H70" i="145" s="1"/>
  <c r="I59" i="145"/>
  <c r="H59" i="145" s="1"/>
  <c r="I86" i="145"/>
  <c r="H86" i="145" s="1"/>
  <c r="I75" i="145"/>
  <c r="H75" i="145" s="1"/>
  <c r="I64" i="145"/>
  <c r="H64" i="145" s="1"/>
  <c r="I53" i="145"/>
  <c r="H53" i="145" s="1"/>
  <c r="P14" i="147"/>
  <c r="P15" i="147"/>
  <c r="P16" i="147"/>
  <c r="P17" i="147"/>
  <c r="P18" i="147"/>
  <c r="P19" i="147"/>
  <c r="P20" i="147"/>
  <c r="P21" i="147"/>
  <c r="P22" i="147"/>
  <c r="P23" i="147"/>
  <c r="P24" i="147"/>
  <c r="P25" i="147"/>
  <c r="P26" i="147"/>
  <c r="P27" i="147"/>
  <c r="P28" i="147"/>
  <c r="P29" i="147"/>
  <c r="P30" i="147"/>
  <c r="P31" i="147"/>
  <c r="P32" i="147"/>
  <c r="P33" i="147"/>
  <c r="P34" i="147"/>
  <c r="P35" i="147"/>
  <c r="P36" i="147"/>
  <c r="P37" i="147"/>
  <c r="P38" i="147"/>
  <c r="O9" i="147"/>
  <c r="K9" i="147"/>
  <c r="G9" i="147"/>
  <c r="C9" i="147"/>
  <c r="R38" i="147"/>
  <c r="N38" i="147"/>
  <c r="L38" i="147"/>
  <c r="R37" i="147"/>
  <c r="N37" i="147"/>
  <c r="L37" i="147"/>
  <c r="R36" i="147"/>
  <c r="N36" i="147"/>
  <c r="L36" i="147"/>
  <c r="R35" i="147"/>
  <c r="N35" i="147"/>
  <c r="L35" i="147"/>
  <c r="R34" i="147"/>
  <c r="N34" i="147"/>
  <c r="L34" i="147"/>
  <c r="R33" i="147"/>
  <c r="N33" i="147"/>
  <c r="L33" i="147"/>
  <c r="R32" i="147"/>
  <c r="N32" i="147"/>
  <c r="L32" i="147"/>
  <c r="R31" i="147"/>
  <c r="N31" i="147"/>
  <c r="L31" i="147"/>
  <c r="R30" i="147"/>
  <c r="N30" i="147"/>
  <c r="L30" i="147"/>
  <c r="R29" i="147"/>
  <c r="N29" i="147"/>
  <c r="L29" i="147"/>
  <c r="R28" i="147"/>
  <c r="N28" i="147"/>
  <c r="L28" i="147"/>
  <c r="R27" i="147"/>
  <c r="N27" i="147"/>
  <c r="L27" i="147"/>
  <c r="R26" i="147"/>
  <c r="N26" i="147"/>
  <c r="L26" i="147"/>
  <c r="R25" i="147"/>
  <c r="N25" i="147"/>
  <c r="L25" i="147"/>
  <c r="R24" i="147"/>
  <c r="N24" i="147"/>
  <c r="L24" i="147"/>
  <c r="R23" i="147"/>
  <c r="N23" i="147"/>
  <c r="L23" i="147"/>
  <c r="R22" i="147"/>
  <c r="N22" i="147"/>
  <c r="L22" i="147"/>
  <c r="R21" i="147"/>
  <c r="N21" i="147"/>
  <c r="L21" i="147"/>
  <c r="R20" i="147"/>
  <c r="N20" i="147"/>
  <c r="L20" i="147"/>
  <c r="R19" i="147"/>
  <c r="N19" i="147"/>
  <c r="L19" i="147"/>
  <c r="R18" i="147"/>
  <c r="N18" i="147"/>
  <c r="L18" i="147"/>
  <c r="R17" i="147"/>
  <c r="N17" i="147"/>
  <c r="L17" i="147"/>
  <c r="R16" i="147"/>
  <c r="N16" i="147"/>
  <c r="L16" i="147"/>
  <c r="R15" i="147"/>
  <c r="N15" i="147"/>
  <c r="L15" i="147"/>
  <c r="R14" i="147"/>
  <c r="N14" i="147"/>
  <c r="L14" i="147"/>
  <c r="R13" i="147"/>
  <c r="P13" i="147"/>
  <c r="N13" i="147"/>
  <c r="L13" i="147"/>
  <c r="R12" i="147"/>
  <c r="P12" i="147"/>
  <c r="N12" i="147"/>
  <c r="L12" i="147"/>
  <c r="R11" i="147"/>
  <c r="P11" i="147"/>
  <c r="N11" i="147"/>
  <c r="L11" i="147"/>
  <c r="AI2" i="148" l="1"/>
  <c r="AH2" i="148"/>
  <c r="AF2" i="148"/>
  <c r="AD2" i="148"/>
  <c r="J38" i="147"/>
  <c r="J37" i="147"/>
  <c r="J36" i="147"/>
  <c r="J35" i="147"/>
  <c r="J34" i="147"/>
  <c r="J33" i="147"/>
  <c r="J32" i="147"/>
  <c r="J31" i="147"/>
  <c r="J30" i="147"/>
  <c r="J29" i="147"/>
  <c r="J28" i="147"/>
  <c r="J27" i="147"/>
  <c r="J26" i="147"/>
  <c r="J25" i="147"/>
  <c r="J24" i="147"/>
  <c r="J23" i="147"/>
  <c r="J22" i="147"/>
  <c r="J21" i="147"/>
  <c r="J20" i="147"/>
  <c r="J19" i="147"/>
  <c r="J18" i="147"/>
  <c r="J17" i="147"/>
  <c r="J16" i="147"/>
  <c r="J15" i="147"/>
  <c r="J14" i="147"/>
  <c r="J13" i="147"/>
  <c r="J12" i="147"/>
  <c r="J11" i="147"/>
  <c r="H38" i="147"/>
  <c r="H37" i="147"/>
  <c r="H36" i="147"/>
  <c r="H35" i="147"/>
  <c r="H34" i="147"/>
  <c r="H33" i="147"/>
  <c r="H32" i="147"/>
  <c r="H31" i="147"/>
  <c r="H30" i="147"/>
  <c r="H29" i="147"/>
  <c r="H28" i="147"/>
  <c r="H27" i="147"/>
  <c r="H26" i="147"/>
  <c r="H25" i="147"/>
  <c r="H24" i="147"/>
  <c r="H23" i="147"/>
  <c r="H22" i="147"/>
  <c r="H21" i="147"/>
  <c r="H20" i="147"/>
  <c r="H19" i="147"/>
  <c r="H18" i="147"/>
  <c r="H17" i="147"/>
  <c r="H16" i="147"/>
  <c r="H15" i="147"/>
  <c r="H14" i="147"/>
  <c r="H13" i="147"/>
  <c r="H12" i="147"/>
  <c r="H11" i="147"/>
  <c r="F38" i="147"/>
  <c r="F37" i="147"/>
  <c r="F36" i="147"/>
  <c r="F35" i="147"/>
  <c r="F34" i="147"/>
  <c r="F33" i="147"/>
  <c r="F32" i="147"/>
  <c r="F31" i="147"/>
  <c r="F30" i="147"/>
  <c r="F29" i="147"/>
  <c r="F28" i="147"/>
  <c r="F27" i="147"/>
  <c r="F26" i="147"/>
  <c r="F25" i="147"/>
  <c r="F24" i="147"/>
  <c r="F23" i="147"/>
  <c r="F22" i="147"/>
  <c r="F21" i="147"/>
  <c r="F20" i="147"/>
  <c r="F19" i="147"/>
  <c r="F18" i="147"/>
  <c r="F17" i="147"/>
  <c r="F16" i="147"/>
  <c r="F15" i="147"/>
  <c r="F14" i="147"/>
  <c r="F13" i="147"/>
  <c r="F12" i="147"/>
  <c r="F11" i="147"/>
  <c r="D24" i="147"/>
  <c r="D25" i="147"/>
  <c r="D26" i="147"/>
  <c r="D27" i="147"/>
  <c r="D28" i="147"/>
  <c r="D29" i="147"/>
  <c r="D30" i="147"/>
  <c r="D31" i="147"/>
  <c r="D32" i="147"/>
  <c r="D33" i="147"/>
  <c r="D34" i="147"/>
  <c r="D35" i="147"/>
  <c r="D36" i="147"/>
  <c r="D37" i="147"/>
  <c r="D38" i="147"/>
  <c r="D23" i="147"/>
  <c r="D22" i="147"/>
  <c r="D21" i="147"/>
  <c r="D20" i="147"/>
  <c r="D19" i="147"/>
  <c r="D18" i="147"/>
  <c r="D17" i="147"/>
  <c r="D16" i="147"/>
  <c r="D15" i="147"/>
  <c r="D14" i="147"/>
  <c r="D13" i="147"/>
  <c r="D12" i="147"/>
  <c r="D11" i="147"/>
  <c r="N13" i="145" l="1"/>
  <c r="N25" i="138"/>
  <c r="N24" i="138"/>
  <c r="M25" i="138"/>
  <c r="L25" i="138"/>
  <c r="L24" i="138"/>
  <c r="M13" i="145"/>
  <c r="L13" i="145"/>
  <c r="N12" i="145"/>
  <c r="L12" i="145"/>
  <c r="J50" i="145"/>
  <c r="J51" i="145"/>
  <c r="J52" i="145"/>
  <c r="J41" i="145"/>
  <c r="J42" i="145"/>
  <c r="J43" i="145"/>
  <c r="J44" i="145"/>
  <c r="J45" i="145"/>
  <c r="J46" i="145"/>
  <c r="J47" i="145"/>
  <c r="J48" i="145"/>
  <c r="J49" i="145"/>
  <c r="AD41" i="145"/>
  <c r="AD42" i="145"/>
  <c r="AD43" i="145"/>
  <c r="AD44" i="145"/>
  <c r="AD45" i="145"/>
  <c r="AD46" i="145"/>
  <c r="AD47" i="145"/>
  <c r="AD48" i="145"/>
  <c r="AD49" i="145"/>
  <c r="AD50" i="145"/>
  <c r="AD51" i="145"/>
  <c r="AD52" i="145"/>
  <c r="AE41" i="145"/>
  <c r="AE42" i="145"/>
  <c r="AE43" i="145"/>
  <c r="AE44" i="145"/>
  <c r="AE45" i="145"/>
  <c r="AE46" i="145"/>
  <c r="AE47" i="145"/>
  <c r="AE48" i="145"/>
  <c r="AE49" i="145"/>
  <c r="AE50" i="145"/>
  <c r="AE51" i="145"/>
  <c r="AE52" i="145"/>
  <c r="AD16" i="137" l="1"/>
  <c r="AD17" i="137"/>
  <c r="AD18" i="137"/>
  <c r="M35" i="137" l="1"/>
  <c r="AE16" i="137" l="1"/>
  <c r="AE17" i="137"/>
  <c r="AE18" i="137"/>
  <c r="Z16" i="137"/>
  <c r="Z17" i="137"/>
  <c r="Z18" i="137"/>
  <c r="D10" i="146" l="1"/>
  <c r="D9" i="146"/>
  <c r="D8" i="146"/>
  <c r="D7" i="146"/>
  <c r="D18" i="146" l="1"/>
  <c r="D27" i="146"/>
  <c r="D38" i="146"/>
  <c r="D39" i="146"/>
  <c r="D19" i="146"/>
  <c r="D28" i="146"/>
  <c r="D22" i="146"/>
  <c r="D32" i="146"/>
  <c r="D43" i="146"/>
  <c r="D41" i="146"/>
  <c r="D20" i="146"/>
  <c r="D30" i="146"/>
  <c r="D10" i="97" l="1"/>
  <c r="D9" i="97"/>
  <c r="D8" i="97"/>
  <c r="D7" i="97"/>
  <c r="N18" i="145"/>
  <c r="Y6" i="145"/>
  <c r="S6" i="145"/>
  <c r="M6" i="145"/>
  <c r="G6" i="145"/>
  <c r="Y5" i="145"/>
  <c r="S5" i="145"/>
  <c r="M5" i="145"/>
  <c r="G5" i="145"/>
  <c r="Y4" i="145"/>
  <c r="S4" i="145"/>
  <c r="M4" i="145"/>
  <c r="G4" i="145"/>
  <c r="Y3" i="145"/>
  <c r="S3" i="145"/>
  <c r="M3" i="145"/>
  <c r="G3" i="145"/>
  <c r="A9" i="144"/>
  <c r="A8" i="144"/>
  <c r="A7" i="144"/>
  <c r="A6" i="144"/>
  <c r="B5" i="146" l="1"/>
  <c r="B5" i="97"/>
  <c r="D53" i="97"/>
  <c r="D78" i="97"/>
  <c r="D147" i="97"/>
  <c r="D152" i="97"/>
  <c r="D26" i="97" l="1"/>
  <c r="D25" i="97"/>
  <c r="D30" i="97"/>
  <c r="D31" i="97"/>
  <c r="D34" i="97"/>
  <c r="D36" i="97"/>
  <c r="D40" i="97"/>
  <c r="D44" i="97"/>
  <c r="D46" i="97"/>
  <c r="D90" i="97"/>
  <c r="D21" i="97"/>
  <c r="D100" i="97"/>
  <c r="D50" i="97"/>
  <c r="D88" i="97"/>
  <c r="D108" i="97"/>
  <c r="D117" i="97"/>
  <c r="D129" i="97"/>
  <c r="D135" i="97"/>
  <c r="D141" i="97"/>
  <c r="D153" i="97"/>
  <c r="D159" i="97"/>
  <c r="D84" i="97"/>
  <c r="D86" i="97"/>
  <c r="D104" i="97"/>
  <c r="D133" i="97"/>
  <c r="D58" i="97"/>
  <c r="D155" i="97"/>
  <c r="D43" i="97"/>
  <c r="D70" i="97"/>
  <c r="D157" i="97"/>
  <c r="D139" i="97"/>
  <c r="D74" i="97"/>
  <c r="D23" i="97"/>
  <c r="D145" i="97"/>
  <c r="D151" i="97"/>
  <c r="D76" i="97"/>
  <c r="D161" i="97"/>
  <c r="D98" i="97"/>
  <c r="D28" i="97"/>
  <c r="D33" i="97"/>
  <c r="D163" i="97"/>
  <c r="D122" i="97"/>
  <c r="D134" i="97"/>
  <c r="D49" i="97"/>
  <c r="D158" i="97"/>
  <c r="D140" i="97"/>
  <c r="D75" i="97"/>
  <c r="D87" i="97"/>
  <c r="D116" i="97"/>
  <c r="D146" i="97"/>
  <c r="D128" i="97"/>
  <c r="D93" i="97"/>
  <c r="D105" i="97"/>
  <c r="D39" i="97"/>
  <c r="D24" i="97"/>
  <c r="D81" i="97"/>
  <c r="D29" i="97"/>
  <c r="D63" i="97"/>
  <c r="D99" i="97"/>
  <c r="D19" i="97"/>
  <c r="D54" i="97"/>
  <c r="D69" i="97"/>
  <c r="D137" i="97"/>
  <c r="D72" i="97"/>
  <c r="D143" i="97"/>
  <c r="D102" i="97"/>
  <c r="D56" i="97"/>
  <c r="D131" i="97"/>
  <c r="D125" i="97"/>
  <c r="D119" i="97"/>
  <c r="D51" i="97"/>
  <c r="D41" i="97"/>
  <c r="D66" i="97"/>
  <c r="D94" i="97"/>
  <c r="D123" i="97"/>
  <c r="D110" i="97"/>
  <c r="D121" i="97"/>
  <c r="D68" i="97"/>
  <c r="D80" i="97"/>
  <c r="D92" i="97"/>
  <c r="D48" i="97"/>
  <c r="D20" i="97"/>
  <c r="D55" i="97"/>
  <c r="D96" i="97"/>
  <c r="D38" i="97"/>
  <c r="D127" i="97"/>
  <c r="D106" i="97"/>
  <c r="D64" i="97"/>
  <c r="D45" i="97"/>
  <c r="D35" i="97"/>
  <c r="D82" i="97"/>
  <c r="D149" i="97"/>
  <c r="M39" i="137" l="1"/>
  <c r="M40" i="137"/>
  <c r="M41" i="137"/>
  <c r="M42" i="137"/>
  <c r="M43" i="137"/>
  <c r="M44" i="137"/>
  <c r="M45" i="137"/>
  <c r="M46" i="137"/>
  <c r="M47" i="137"/>
  <c r="M48" i="137"/>
  <c r="Y18" i="137" l="1"/>
  <c r="Y17" i="137"/>
  <c r="Y16" i="137"/>
  <c r="Q38" i="137" l="1"/>
  <c r="Q39" i="137"/>
  <c r="Q40" i="137"/>
  <c r="Q41" i="137"/>
  <c r="Q42" i="137"/>
  <c r="Q43" i="137"/>
  <c r="Q44" i="137"/>
  <c r="Q45" i="137"/>
  <c r="Q46" i="137"/>
  <c r="Q47" i="137"/>
  <c r="Q48" i="137"/>
  <c r="Q49" i="137"/>
  <c r="Q37" i="137"/>
  <c r="O39" i="137"/>
  <c r="O40" i="137"/>
  <c r="O41" i="137"/>
  <c r="O42" i="137"/>
  <c r="O43" i="137"/>
  <c r="O44" i="137"/>
  <c r="O45" i="137"/>
  <c r="O47" i="137" l="1"/>
  <c r="O48" i="137"/>
  <c r="P6" i="51" l="1"/>
  <c r="P5" i="51"/>
  <c r="P4" i="51"/>
  <c r="P3" i="51"/>
  <c r="P6" i="137"/>
  <c r="P5" i="137"/>
  <c r="P4" i="137"/>
  <c r="P3" i="137"/>
  <c r="J6" i="51"/>
  <c r="E6" i="51"/>
  <c r="J5" i="51"/>
  <c r="E5" i="51"/>
  <c r="J4" i="51"/>
  <c r="E4" i="51"/>
  <c r="J3" i="51"/>
  <c r="E3" i="51"/>
  <c r="J5" i="137" l="1"/>
  <c r="J6" i="137"/>
  <c r="J4" i="137"/>
  <c r="J3" i="137"/>
  <c r="E6" i="137" l="1"/>
  <c r="E5" i="137"/>
  <c r="E4" i="137"/>
  <c r="E3" i="137"/>
  <c r="M49" i="137" l="1"/>
  <c r="O49" i="137" s="1"/>
  <c r="F49" i="137"/>
  <c r="F48" i="137"/>
  <c r="F47" i="137"/>
  <c r="O46" i="137"/>
  <c r="F46" i="137"/>
  <c r="F45" i="137"/>
  <c r="F44" i="137"/>
  <c r="F43" i="137"/>
  <c r="F42" i="137"/>
  <c r="F41" i="137"/>
  <c r="F40" i="137"/>
  <c r="F39" i="137"/>
  <c r="M38" i="137"/>
  <c r="O38" i="137" s="1"/>
  <c r="F38" i="137"/>
  <c r="M37" i="137"/>
  <c r="O37" i="137" s="1"/>
  <c r="O35" i="137" s="1"/>
  <c r="F37" i="137"/>
  <c r="T35" i="137"/>
  <c r="AA15" i="137" l="1" a="1"/>
  <c r="AA15" i="137" s="1"/>
  <c r="AC9" i="137" a="1"/>
  <c r="AC9" i="137" s="1"/>
  <c r="AA4" i="137" a="1"/>
  <c r="AA4" i="137" s="1"/>
  <c r="X15" i="137" a="1"/>
  <c r="X15" i="137" s="1"/>
  <c r="AB9" i="137" a="1"/>
  <c r="AB9" i="137" s="1"/>
  <c r="X4" i="137" a="1"/>
  <c r="X4" i="137" s="1"/>
  <c r="AA9" i="137" a="1"/>
  <c r="AA9" i="137" s="1"/>
  <c r="AB14" i="137" a="1"/>
  <c r="AB14" i="137" s="1"/>
  <c r="AB8" i="137" a="1"/>
  <c r="AB8" i="137" s="1"/>
  <c r="AC13" i="137" a="1"/>
  <c r="AC13" i="137" s="1"/>
  <c r="AB13" i="137" a="1"/>
  <c r="AB13" i="137" s="1"/>
  <c r="X19" i="137" a="1"/>
  <c r="X19" i="137" s="1"/>
  <c r="AA6" i="137" a="1"/>
  <c r="AA6" i="137" s="1"/>
  <c r="AA20" i="137" a="1"/>
  <c r="AA20" i="137" s="1"/>
  <c r="AA13" i="137" a="1"/>
  <c r="AA13" i="137" s="1"/>
  <c r="AC7" i="137" a="1"/>
  <c r="AC7" i="137" s="1"/>
  <c r="X20" i="137" a="1"/>
  <c r="X20" i="137" s="1"/>
  <c r="X13" i="137" a="1"/>
  <c r="X13" i="137" s="1"/>
  <c r="AB7" i="137" a="1"/>
  <c r="AB7" i="137" s="1"/>
  <c r="AC19" i="137" a="1"/>
  <c r="AC19" i="137" s="1"/>
  <c r="AC12" i="137" a="1"/>
  <c r="AC12" i="137" s="1"/>
  <c r="AA7" i="137" a="1"/>
  <c r="AA7" i="137" s="1"/>
  <c r="AB19" i="137" a="1"/>
  <c r="AB19" i="137" s="1"/>
  <c r="AB12" i="137" a="1"/>
  <c r="AB12" i="137" s="1"/>
  <c r="X7" i="137" a="1"/>
  <c r="X7" i="137" s="1"/>
  <c r="AA19" i="137" a="1"/>
  <c r="AA19" i="137" s="1"/>
  <c r="AC6" i="137" a="1"/>
  <c r="AC6" i="137" s="1"/>
  <c r="AC11" i="137" a="1"/>
  <c r="AC11" i="137" s="1"/>
  <c r="AA11" i="137" a="1"/>
  <c r="AA11" i="137" s="1"/>
  <c r="AC5" i="137" a="1"/>
  <c r="AC5" i="137" s="1"/>
  <c r="AA5" i="137" a="1"/>
  <c r="AA5" i="137" s="1"/>
  <c r="X5" i="137" a="1"/>
  <c r="X5" i="137" s="1"/>
  <c r="AA10" i="137" a="1"/>
  <c r="AA10" i="137" s="1"/>
  <c r="AB15" i="137" a="1"/>
  <c r="AB15" i="137" s="1"/>
  <c r="AB4" i="137" a="1"/>
  <c r="AB4" i="137" s="1"/>
  <c r="X9" i="137" a="1"/>
  <c r="X9" i="137" s="1"/>
  <c r="AA14" i="137" a="1"/>
  <c r="AA14" i="137" s="1"/>
  <c r="X3" i="137" a="1"/>
  <c r="X3" i="137" s="1"/>
  <c r="AA8" i="137" a="1"/>
  <c r="AA8" i="137" s="1"/>
  <c r="X8" i="137" a="1"/>
  <c r="X8" i="137" s="1"/>
  <c r="X12" i="137" a="1"/>
  <c r="X12" i="137" s="1"/>
  <c r="AB11" i="137" a="1"/>
  <c r="AB11" i="137" s="1"/>
  <c r="X11" i="137" a="1"/>
  <c r="X11" i="137" s="1"/>
  <c r="AB5" i="137" a="1"/>
  <c r="AB5" i="137" s="1"/>
  <c r="AC10" i="137" a="1"/>
  <c r="AC10" i="137" s="1"/>
  <c r="AB10" i="137" a="1"/>
  <c r="AB10" i="137" s="1"/>
  <c r="AC15" i="137" a="1"/>
  <c r="AC15" i="137" s="1"/>
  <c r="AC4" i="137" a="1"/>
  <c r="AC4" i="137" s="1"/>
  <c r="X10" i="137" a="1"/>
  <c r="X10" i="137" s="1"/>
  <c r="AC14" i="137" a="1"/>
  <c r="AC14" i="137" s="1"/>
  <c r="AC8" i="137" a="1"/>
  <c r="AC8" i="137" s="1"/>
  <c r="X14" i="137" a="1"/>
  <c r="X14" i="137" s="1"/>
  <c r="AC20" i="137" a="1"/>
  <c r="AC20" i="137" s="1"/>
  <c r="AB20" i="137" a="1"/>
  <c r="AB20" i="137" s="1"/>
  <c r="AA12" i="137" a="1"/>
  <c r="AA12" i="137" s="1"/>
  <c r="AB6" i="137" a="1"/>
  <c r="AB6" i="137" s="1"/>
  <c r="X6" i="137" a="1"/>
  <c r="X6" i="137" s="1"/>
  <c r="U35" i="137"/>
  <c r="AA3" i="137" s="1" a="1"/>
  <c r="AA3" i="137" s="1"/>
  <c r="AD6" i="137" l="1"/>
  <c r="AD5" i="137"/>
  <c r="AD4" i="137"/>
  <c r="AD11" i="137"/>
  <c r="AD9" i="137"/>
  <c r="AD13" i="137"/>
  <c r="AD20" i="137"/>
  <c r="AD8" i="137"/>
  <c r="AD19" i="137"/>
  <c r="AD14" i="137"/>
  <c r="AD12" i="137"/>
  <c r="AD10" i="137"/>
  <c r="AD15" i="137"/>
  <c r="AD7" i="137"/>
  <c r="Z3" i="137"/>
  <c r="Z4" i="137"/>
  <c r="Z20" i="137"/>
  <c r="AE20" i="137"/>
  <c r="Z5" i="137"/>
  <c r="AE5" i="137"/>
  <c r="Z13" i="137"/>
  <c r="AE13" i="137"/>
  <c r="Z6" i="137"/>
  <c r="AE6" i="137"/>
  <c r="Z19" i="137"/>
  <c r="AE19" i="137"/>
  <c r="Z12" i="137"/>
  <c r="AE12" i="137"/>
  <c r="Z9" i="137"/>
  <c r="AE9" i="137"/>
  <c r="Z8" i="137"/>
  <c r="AE8" i="137"/>
  <c r="Z14" i="137"/>
  <c r="AE14" i="137"/>
  <c r="Z11" i="137"/>
  <c r="AE11" i="137"/>
  <c r="Z15" i="137"/>
  <c r="AE15" i="137"/>
  <c r="Z7" i="137"/>
  <c r="AE7" i="137"/>
  <c r="Z10" i="137"/>
  <c r="AE10" i="137"/>
  <c r="Y14" i="137"/>
  <c r="Y10" i="137"/>
  <c r="Y12" i="137"/>
  <c r="Y7" i="137"/>
  <c r="Y13" i="137"/>
  <c r="Y11" i="137"/>
  <c r="Y8" i="137"/>
  <c r="Y9" i="137"/>
  <c r="Y5" i="137"/>
  <c r="Y20" i="137"/>
  <c r="Y4" i="137"/>
  <c r="Y15" i="137"/>
  <c r="Y6" i="137"/>
  <c r="Y3" i="137"/>
  <c r="Y19" i="137"/>
  <c r="V35" i="137"/>
  <c r="AB3" i="137" s="1" a="1"/>
  <c r="AB3" i="137" s="1"/>
  <c r="Y3" i="138"/>
  <c r="N30" i="138" l="1"/>
  <c r="N12" i="137"/>
  <c r="K19" i="145" s="1"/>
  <c r="N13" i="137"/>
  <c r="K20" i="145" s="1"/>
  <c r="N14" i="137"/>
  <c r="K21" i="145" s="1"/>
  <c r="N11" i="137"/>
  <c r="K18" i="145" s="1"/>
  <c r="Y6" i="138" l="1"/>
  <c r="Y5" i="138"/>
  <c r="S5" i="138"/>
  <c r="S6" i="138"/>
  <c r="AI92" i="30" l="1"/>
  <c r="AJ92" i="30" a="1"/>
  <c r="AJ92" i="30" l="1"/>
  <c r="Y4" i="138" l="1"/>
  <c r="S4" i="138"/>
  <c r="S3" i="138"/>
  <c r="M4" i="138"/>
  <c r="M5" i="138"/>
  <c r="M6" i="138"/>
  <c r="M3" i="138"/>
  <c r="G6" i="138"/>
  <c r="G5" i="138"/>
  <c r="G4" i="138"/>
  <c r="G3" i="138"/>
  <c r="AI2" i="30" l="1"/>
  <c r="C2" i="144" s="1"/>
  <c r="AI3" i="30"/>
  <c r="C2" i="98" s="1"/>
  <c r="AH3" i="30"/>
  <c r="B2" i="98" s="1"/>
  <c r="AH2" i="30"/>
  <c r="B12" i="98" l="1"/>
  <c r="B2" i="144"/>
  <c r="B12" i="144" s="1"/>
  <c r="K33" i="138"/>
  <c r="K32" i="138"/>
  <c r="K31" i="138"/>
  <c r="K30" i="138"/>
  <c r="N15" i="137" l="1"/>
  <c r="AE4" i="137" l="1"/>
  <c r="Q35" i="137"/>
  <c r="A7" i="98"/>
  <c r="A8" i="98"/>
  <c r="A9" i="98"/>
  <c r="A6" i="98"/>
  <c r="AC3" i="137" l="1" a="1"/>
  <c r="AC3" i="137" s="1"/>
  <c r="AD3" i="137" s="1"/>
  <c r="AE3" i="137" s="1"/>
  <c r="W35" i="137"/>
  <c r="AF3" i="30"/>
  <c r="C1" i="98" s="1"/>
  <c r="AF2" i="30"/>
  <c r="C1" i="144" s="1"/>
  <c r="AD2" i="30"/>
  <c r="AB14" i="30" l="1"/>
  <c r="E13" i="146"/>
  <c r="B1" i="144"/>
  <c r="E14" i="97"/>
  <c r="AB89" i="30"/>
  <c r="AB91" i="30"/>
  <c r="AB87" i="30"/>
  <c r="AB88" i="30"/>
  <c r="AB90" i="30"/>
  <c r="AB50" i="30"/>
  <c r="AB72" i="30"/>
  <c r="AB51" i="30"/>
  <c r="AB73" i="30"/>
  <c r="AB52" i="30"/>
  <c r="AB74" i="30"/>
  <c r="AB53" i="30"/>
  <c r="AB75" i="30"/>
  <c r="AB44" i="30"/>
  <c r="AB56" i="30"/>
  <c r="AB81" i="30"/>
  <c r="AB67" i="30"/>
  <c r="AB54" i="30"/>
  <c r="AB76" i="30"/>
  <c r="AB78" i="30"/>
  <c r="AB59" i="30"/>
  <c r="AB69" i="30"/>
  <c r="AB55" i="30"/>
  <c r="AB77" i="30"/>
  <c r="AB58" i="30"/>
  <c r="AB80" i="30"/>
  <c r="AB47" i="30"/>
  <c r="AB45" i="30"/>
  <c r="AB57" i="30"/>
  <c r="AB79" i="30"/>
  <c r="AB46" i="30"/>
  <c r="AB60" i="30"/>
  <c r="AB82" i="30"/>
  <c r="AB61" i="30"/>
  <c r="AB83" i="30"/>
  <c r="AB62" i="30"/>
  <c r="AB84" i="30"/>
  <c r="AB63" i="30"/>
  <c r="AB85" i="30"/>
  <c r="AB64" i="30"/>
  <c r="AB86" i="30"/>
  <c r="AB65" i="30"/>
  <c r="AB66" i="30"/>
  <c r="AB68" i="30"/>
  <c r="AB48" i="30"/>
  <c r="AB70" i="30"/>
  <c r="AB49" i="30"/>
  <c r="AB71" i="30"/>
  <c r="AD3" i="30"/>
  <c r="AH14" i="30" a="1"/>
  <c r="F18" i="146" a="1"/>
  <c r="AD14" i="30" a="1"/>
  <c r="F50" i="97" a="1"/>
  <c r="F53" i="97" a="1"/>
  <c r="F51" i="97" a="1"/>
  <c r="F49" i="97" a="1"/>
  <c r="AF14" i="30" a="1"/>
  <c r="F22" i="146" a="1"/>
  <c r="F20" i="146" a="1"/>
  <c r="F19" i="146" a="1"/>
  <c r="AJ14" i="30" a="1"/>
  <c r="AJ14" i="30" l="1"/>
  <c r="AH14" i="30"/>
  <c r="AD14" i="30"/>
  <c r="AF14" i="30"/>
  <c r="F51" i="97"/>
  <c r="F53" i="97"/>
  <c r="F49" i="97"/>
  <c r="F50" i="97"/>
  <c r="F19" i="146"/>
  <c r="F20" i="146"/>
  <c r="F18" i="146"/>
  <c r="F22" i="146"/>
  <c r="B1" i="98"/>
  <c r="E13" i="97"/>
  <c r="B24" i="144"/>
  <c r="B46" i="144"/>
  <c r="B68" i="144"/>
  <c r="B25" i="144"/>
  <c r="B47" i="144"/>
  <c r="B69" i="144"/>
  <c r="B26" i="144"/>
  <c r="B48" i="144"/>
  <c r="B70" i="144"/>
  <c r="B27" i="144"/>
  <c r="B49" i="144"/>
  <c r="B71" i="144"/>
  <c r="B28" i="144"/>
  <c r="B50" i="144"/>
  <c r="B72" i="144"/>
  <c r="B29" i="144"/>
  <c r="B51" i="144"/>
  <c r="B16" i="144"/>
  <c r="B30" i="144"/>
  <c r="B52" i="144"/>
  <c r="B31" i="144"/>
  <c r="B53" i="144"/>
  <c r="B32" i="144"/>
  <c r="B54" i="144"/>
  <c r="B33" i="144"/>
  <c r="B55" i="144"/>
  <c r="B34" i="144"/>
  <c r="B56" i="144"/>
  <c r="B35" i="144"/>
  <c r="B57" i="144"/>
  <c r="B36" i="144"/>
  <c r="B58" i="144"/>
  <c r="B41" i="144"/>
  <c r="B59" i="144"/>
  <c r="B63" i="144"/>
  <c r="B20" i="144"/>
  <c r="B42" i="144"/>
  <c r="B43" i="144"/>
  <c r="B44" i="144"/>
  <c r="B45" i="144"/>
  <c r="B60" i="144"/>
  <c r="B61" i="144"/>
  <c r="B62" i="144"/>
  <c r="B64" i="144"/>
  <c r="B17" i="144"/>
  <c r="B65" i="144"/>
  <c r="B18" i="144"/>
  <c r="B66" i="144"/>
  <c r="B19" i="144"/>
  <c r="B67" i="144"/>
  <c r="B21" i="144"/>
  <c r="B22" i="144"/>
  <c r="B23" i="144"/>
  <c r="B37" i="144"/>
  <c r="B38" i="144"/>
  <c r="B39" i="144"/>
  <c r="B40" i="144"/>
  <c r="F14" i="97"/>
  <c r="F13" i="146"/>
  <c r="G157" i="97" l="1" a="1"/>
  <c r="G157" i="97" s="1"/>
  <c r="G104" i="97" a="1"/>
  <c r="G104" i="97" s="1"/>
  <c r="G41" i="146" a="1"/>
  <c r="G41" i="146" s="1"/>
  <c r="G30" i="146" a="1"/>
  <c r="G30" i="146" s="1"/>
  <c r="G43" i="146" a="1"/>
  <c r="G43" i="146" s="1"/>
  <c r="G32" i="146" a="1"/>
  <c r="G32" i="146" s="1"/>
  <c r="G102" i="97" a="1"/>
  <c r="G102" i="97" s="1"/>
  <c r="G155" i="97" a="1"/>
  <c r="G155" i="97" s="1"/>
  <c r="F13" i="97"/>
  <c r="B33" i="98"/>
  <c r="B34" i="98"/>
  <c r="B56" i="98"/>
  <c r="B35" i="98"/>
  <c r="B57" i="98"/>
  <c r="B36" i="98"/>
  <c r="B58" i="98"/>
  <c r="B37" i="98"/>
  <c r="B59" i="98"/>
  <c r="B38" i="98"/>
  <c r="B60" i="98"/>
  <c r="B17" i="98"/>
  <c r="B39" i="98"/>
  <c r="B61" i="98"/>
  <c r="B18" i="98"/>
  <c r="B40" i="98"/>
  <c r="B62" i="98"/>
  <c r="B19" i="98"/>
  <c r="B41" i="98"/>
  <c r="B63" i="98"/>
  <c r="B20" i="98"/>
  <c r="B42" i="98"/>
  <c r="B64" i="98"/>
  <c r="B21" i="98"/>
  <c r="B43" i="98"/>
  <c r="B65" i="98"/>
  <c r="B22" i="98"/>
  <c r="B44" i="98"/>
  <c r="B66" i="98"/>
  <c r="B31" i="98"/>
  <c r="B46" i="98"/>
  <c r="B51" i="98"/>
  <c r="B52" i="98"/>
  <c r="B67" i="98"/>
  <c r="B70" i="98"/>
  <c r="B26" i="98"/>
  <c r="B72" i="98"/>
  <c r="B28" i="98"/>
  <c r="B29" i="98"/>
  <c r="B30" i="98"/>
  <c r="B32" i="98"/>
  <c r="B45" i="98"/>
  <c r="B47" i="98"/>
  <c r="B48" i="98"/>
  <c r="B49" i="98"/>
  <c r="B50" i="98"/>
  <c r="B53" i="98"/>
  <c r="B54" i="98"/>
  <c r="B55" i="98"/>
  <c r="B23" i="98"/>
  <c r="B68" i="98"/>
  <c r="B24" i="98"/>
  <c r="B69" i="98"/>
  <c r="B25" i="98"/>
  <c r="B71" i="98"/>
  <c r="B27" i="98"/>
  <c r="B16" i="98"/>
  <c r="G13" i="146"/>
  <c r="G14" i="97"/>
  <c r="G99" i="97" a="1"/>
  <c r="G152" i="97" a="1"/>
  <c r="G27" i="146" a="1"/>
  <c r="G38" i="146" a="1"/>
  <c r="G28" i="146" a="1"/>
  <c r="G39" i="146" a="1"/>
  <c r="G100" i="97" a="1"/>
  <c r="G153" i="97" a="1"/>
  <c r="G31" i="144" a="1"/>
  <c r="G46" i="144" a="1"/>
  <c r="C42" i="144" a="1"/>
  <c r="D63" i="144" a="1"/>
  <c r="F59" i="144" a="1"/>
  <c r="D49" i="144" a="1"/>
  <c r="E67" i="144" a="1"/>
  <c r="F21" i="97" a="1"/>
  <c r="F63" i="144" a="1"/>
  <c r="G70" i="144" a="1"/>
  <c r="F21" i="144" a="1"/>
  <c r="F33" i="144" a="1"/>
  <c r="E50" i="144" a="1"/>
  <c r="E56" i="144" a="1"/>
  <c r="G28" i="144" a="1"/>
  <c r="D67" i="144" a="1"/>
  <c r="G16" i="144" a="1"/>
  <c r="C58" i="144" a="1"/>
  <c r="F35" i="97" a="1"/>
  <c r="C56" i="144" a="1"/>
  <c r="F27" i="144" a="1"/>
  <c r="F25" i="97" a="1"/>
  <c r="C33" i="144" a="1"/>
  <c r="E45" i="144" a="1"/>
  <c r="C65" i="144" a="1"/>
  <c r="E25" i="144" a="1"/>
  <c r="F36" i="97" a="1"/>
  <c r="G61" i="144" a="1"/>
  <c r="D40" i="144" a="1"/>
  <c r="F16" i="144" a="1"/>
  <c r="G42" i="144" a="1"/>
  <c r="C70" i="144" a="1"/>
  <c r="E68" i="144" a="1"/>
  <c r="C68" i="144" a="1"/>
  <c r="E28" i="144" a="1"/>
  <c r="C53" i="144" a="1"/>
  <c r="F37" i="144" a="1"/>
  <c r="G29" i="144" a="1"/>
  <c r="D66" i="144" a="1"/>
  <c r="C57" i="144" a="1"/>
  <c r="G19" i="146" a="1"/>
  <c r="D20" i="144" a="1"/>
  <c r="G49" i="97" a="1"/>
  <c r="D18" i="144" a="1"/>
  <c r="G22" i="146" a="1"/>
  <c r="E31" i="144" a="1"/>
  <c r="F45" i="97" a="1"/>
  <c r="G57" i="144" a="1"/>
  <c r="C32" i="144" a="1"/>
  <c r="D45" i="144" a="1"/>
  <c r="F57" i="144" a="1"/>
  <c r="G22" i="144" a="1"/>
  <c r="F69" i="144" a="1"/>
  <c r="G60" i="144" a="1"/>
  <c r="G24" i="144" a="1"/>
  <c r="C29" i="144" a="1"/>
  <c r="D70" i="144" a="1"/>
  <c r="C46" i="144" a="1"/>
  <c r="D23" i="144" a="1"/>
  <c r="G30" i="144" a="1"/>
  <c r="F42" i="144" a="1"/>
  <c r="F41" i="97" a="1"/>
  <c r="E22" i="144" a="1"/>
  <c r="C31" i="144" a="1"/>
  <c r="C21" i="144" a="1"/>
  <c r="F48" i="97" a="1"/>
  <c r="D30" i="144" a="1"/>
  <c r="F70" i="144" a="1"/>
  <c r="F39" i="144" a="1"/>
  <c r="F38" i="144" a="1"/>
  <c r="E20" i="144" a="1"/>
  <c r="G54" i="144" a="1"/>
  <c r="D29" i="144" a="1"/>
  <c r="D34" i="144" a="1"/>
  <c r="E21" i="144" a="1"/>
  <c r="G19" i="144" a="1"/>
  <c r="F38" i="97" a="1"/>
  <c r="E27" i="144" a="1"/>
  <c r="C60" i="144" a="1"/>
  <c r="C23" i="144" a="1"/>
  <c r="F31" i="144" a="1"/>
  <c r="C26" i="144" a="1"/>
  <c r="E26" i="144" a="1"/>
  <c r="D55" i="144" a="1"/>
  <c r="F43" i="144" a="1"/>
  <c r="C67" i="144" a="1"/>
  <c r="F46" i="144" a="1"/>
  <c r="E23" i="144" a="1"/>
  <c r="G17" i="144" a="1"/>
  <c r="F19" i="97" a="1"/>
  <c r="F31" i="97" a="1"/>
  <c r="C52" i="144" a="1"/>
  <c r="F64" i="144" a="1"/>
  <c r="E39" i="144" a="1"/>
  <c r="E55" i="144" a="1"/>
  <c r="F28" i="97" a="1"/>
  <c r="G41" i="144" a="1"/>
  <c r="D41" i="144" a="1"/>
  <c r="E37" i="144" a="1"/>
  <c r="E57" i="144" a="1"/>
  <c r="E24" i="144" a="1"/>
  <c r="E34" i="144" a="1"/>
  <c r="G25" i="144" a="1"/>
  <c r="F54" i="97" a="1"/>
  <c r="G36" i="144" a="1"/>
  <c r="D19" i="144" a="1"/>
  <c r="F24" i="97" a="1"/>
  <c r="C69" i="144" a="1"/>
  <c r="C66" i="144" a="1"/>
  <c r="F25" i="144" a="1"/>
  <c r="G59" i="144" a="1"/>
  <c r="F56" i="144" a="1"/>
  <c r="F66" i="144" a="1"/>
  <c r="D44" i="144" a="1"/>
  <c r="F55" i="97" a="1"/>
  <c r="F34" i="97" a="1"/>
  <c r="F34" i="144" a="1"/>
  <c r="E52" i="144" a="1"/>
  <c r="D53" i="144" a="1"/>
  <c r="F26" i="144" a="1"/>
  <c r="E65" i="144" a="1"/>
  <c r="G39" i="144" a="1"/>
  <c r="C59" i="144" a="1"/>
  <c r="E19" i="144" a="1"/>
  <c r="D17" i="144" a="1"/>
  <c r="G55" i="144" a="1"/>
  <c r="F30" i="144" a="1"/>
  <c r="F46" i="97" a="1"/>
  <c r="G21" i="144" a="1"/>
  <c r="D52" i="144" a="1"/>
  <c r="E46" i="144" a="1"/>
  <c r="F40" i="97" a="1"/>
  <c r="F50" i="144" a="1"/>
  <c r="F44" i="97" a="1"/>
  <c r="D59" i="144" a="1"/>
  <c r="E72" i="144" a="1"/>
  <c r="E35" i="144" a="1"/>
  <c r="D56" i="144" a="1"/>
  <c r="D48" i="144" a="1"/>
  <c r="F41" i="144" a="1"/>
  <c r="F49" i="144" a="1"/>
  <c r="C16" i="144" a="1"/>
  <c r="E17" i="144" a="1"/>
  <c r="C63" i="144" a="1"/>
  <c r="C18" i="144" a="1"/>
  <c r="G67" i="144" a="1"/>
  <c r="E18" i="144" a="1"/>
  <c r="F48" i="144" a="1"/>
  <c r="C64" i="144" a="1"/>
  <c r="G47" i="144" a="1"/>
  <c r="G51" i="144" a="1"/>
  <c r="F62" i="144" a="1"/>
  <c r="C50" i="144" a="1"/>
  <c r="D21" i="144" a="1"/>
  <c r="E70" i="144" a="1"/>
  <c r="F39" i="97" a="1"/>
  <c r="F36" i="144" a="1"/>
  <c r="C17" i="144" a="1"/>
  <c r="C37" i="144" a="1"/>
  <c r="D57" i="144" a="1"/>
  <c r="G49" i="144" a="1"/>
  <c r="D35" i="144" a="1"/>
  <c r="G20" i="146" a="1"/>
  <c r="C61" i="144" a="1"/>
  <c r="C35" i="144" a="1"/>
  <c r="E29" i="144" a="1"/>
  <c r="D37" i="144" a="1"/>
  <c r="E58" i="144" a="1"/>
  <c r="G44" i="144" a="1"/>
  <c r="E41" i="144" a="1"/>
  <c r="E44" i="144" a="1"/>
  <c r="F72" i="144" a="1"/>
  <c r="F28" i="144" a="1"/>
  <c r="F56" i="97" a="1"/>
  <c r="E71" i="144" a="1"/>
  <c r="D47" i="144" a="1"/>
  <c r="C49" i="144" a="1"/>
  <c r="D16" i="144" a="1"/>
  <c r="E42" i="144" a="1"/>
  <c r="C28" i="144" a="1"/>
  <c r="D39" i="144" a="1"/>
  <c r="E38" i="144" a="1"/>
  <c r="D38" i="144" a="1"/>
  <c r="C48" i="144" a="1"/>
  <c r="C34" i="144" a="1"/>
  <c r="E59" i="144" a="1"/>
  <c r="C24" i="144" a="1"/>
  <c r="E43" i="144" a="1"/>
  <c r="F47" i="144" a="1"/>
  <c r="G72" i="144" a="1"/>
  <c r="D26" i="144" a="1"/>
  <c r="C54" i="144" a="1"/>
  <c r="G53" i="97" a="1"/>
  <c r="D72" i="144" a="1"/>
  <c r="G26" i="144" a="1"/>
  <c r="F52" i="144" a="1"/>
  <c r="C44" i="144" a="1"/>
  <c r="F23" i="144" a="1"/>
  <c r="E54" i="144" a="1"/>
  <c r="G62" i="144" a="1"/>
  <c r="F20" i="97" a="1"/>
  <c r="G37" i="144" a="1"/>
  <c r="D62" i="144" a="1"/>
  <c r="D60" i="144" a="1"/>
  <c r="G40" i="144" a="1"/>
  <c r="G58" i="144" a="1"/>
  <c r="D68" i="144" a="1"/>
  <c r="C62" i="144" a="1"/>
  <c r="D61" i="144" a="1"/>
  <c r="E32" i="144" a="1"/>
  <c r="E40" i="144" a="1"/>
  <c r="F53" i="144" a="1"/>
  <c r="G32" i="144" a="1"/>
  <c r="D22" i="144" a="1"/>
  <c r="G27" i="144" a="1"/>
  <c r="C47" i="144" a="1"/>
  <c r="F24" i="144" a="1"/>
  <c r="D51" i="144" a="1"/>
  <c r="C72" i="144" a="1"/>
  <c r="F29" i="97" a="1"/>
  <c r="C25" i="144" a="1"/>
  <c r="G50" i="144" a="1"/>
  <c r="F51" i="144" a="1"/>
  <c r="F19" i="144" a="1"/>
  <c r="G18" i="146" a="1"/>
  <c r="G33" i="144" a="1"/>
  <c r="D64" i="144" a="1"/>
  <c r="F71" i="144" a="1"/>
  <c r="D32" i="144" a="1"/>
  <c r="F26" i="97" a="1"/>
  <c r="C30" i="144" a="1"/>
  <c r="F23" i="97" a="1"/>
  <c r="G53" i="144" a="1"/>
  <c r="D27" i="144" a="1"/>
  <c r="E30" i="144" a="1"/>
  <c r="E60" i="144" a="1"/>
  <c r="F40" i="144" a="1"/>
  <c r="C22" i="144" a="1"/>
  <c r="E16" i="144" a="1"/>
  <c r="D69" i="144" a="1"/>
  <c r="F55" i="144" a="1"/>
  <c r="C45" i="144" a="1"/>
  <c r="F30" i="97" a="1"/>
  <c r="D58" i="144" a="1"/>
  <c r="G63" i="144" a="1"/>
  <c r="F35" i="144" a="1"/>
  <c r="G51" i="97" a="1"/>
  <c r="C71" i="144" a="1"/>
  <c r="E36" i="144" a="1"/>
  <c r="G45" i="144" a="1"/>
  <c r="D28" i="144" a="1"/>
  <c r="E69" i="144" a="1"/>
  <c r="G52" i="144" a="1"/>
  <c r="G38" i="144" a="1"/>
  <c r="D42" i="144" a="1"/>
  <c r="C19" i="144" a="1"/>
  <c r="F33" i="97" a="1"/>
  <c r="F60" i="144" a="1"/>
  <c r="F68" i="144" a="1"/>
  <c r="E62" i="144" a="1"/>
  <c r="G68" i="144" a="1"/>
  <c r="D33" i="144" a="1"/>
  <c r="C51" i="144" a="1"/>
  <c r="G34" i="144" a="1"/>
  <c r="E66" i="144" a="1"/>
  <c r="C55" i="144" a="1"/>
  <c r="D24" i="144" a="1"/>
  <c r="D43" i="144" a="1"/>
  <c r="G71" i="144" a="1"/>
  <c r="F58" i="97" a="1"/>
  <c r="F65" i="144" a="1"/>
  <c r="D36" i="144" a="1"/>
  <c r="E64" i="144" a="1"/>
  <c r="E47" i="144" a="1"/>
  <c r="E33" i="144" a="1"/>
  <c r="E51" i="144" a="1"/>
  <c r="C20" i="144" a="1"/>
  <c r="G50" i="97" a="1"/>
  <c r="E48" i="144" a="1"/>
  <c r="F54" i="144" a="1"/>
  <c r="F18" i="144" a="1"/>
  <c r="F58" i="144" a="1"/>
  <c r="D54" i="144" a="1"/>
  <c r="D31" i="144" a="1"/>
  <c r="G69" i="144" a="1"/>
  <c r="D50" i="144" a="1"/>
  <c r="D46" i="144" a="1"/>
  <c r="F32" i="144" a="1"/>
  <c r="F45" i="144" a="1"/>
  <c r="F17" i="144" a="1"/>
  <c r="E53" i="144" a="1"/>
  <c r="C36" i="144" a="1"/>
  <c r="G48" i="144" a="1"/>
  <c r="D71" i="144" a="1"/>
  <c r="C40" i="144" a="1"/>
  <c r="F61" i="144" a="1"/>
  <c r="C43" i="144" a="1"/>
  <c r="G66" i="144" a="1"/>
  <c r="E63" i="144" a="1"/>
  <c r="C27" i="144" a="1"/>
  <c r="G43" i="144" a="1"/>
  <c r="F43" i="97" a="1"/>
  <c r="C38" i="144" a="1"/>
  <c r="G23" i="144" a="1"/>
  <c r="F22" i="144" a="1"/>
  <c r="F67" i="144" a="1"/>
  <c r="D65" i="144" a="1"/>
  <c r="C41" i="144" a="1"/>
  <c r="G64" i="144" a="1"/>
  <c r="G20" i="144" a="1"/>
  <c r="G65" i="144" a="1"/>
  <c r="F44" i="144" a="1"/>
  <c r="E61" i="144" a="1"/>
  <c r="F29" i="144" a="1"/>
  <c r="G56" i="144" a="1"/>
  <c r="G35" i="144" a="1"/>
  <c r="C39" i="144" a="1"/>
  <c r="F20" i="144" a="1"/>
  <c r="D25" i="144" a="1"/>
  <c r="E49" i="144" a="1"/>
  <c r="G18" i="144" a="1"/>
  <c r="AF76" i="30" a="1"/>
  <c r="H18" i="146" a="1"/>
  <c r="E47" i="98" a="1"/>
  <c r="E27" i="98" a="1"/>
  <c r="AJ83" i="30" a="1"/>
  <c r="AF54" i="30" a="1"/>
  <c r="AH73" i="30" a="1"/>
  <c r="AD72" i="30" a="1"/>
  <c r="E54" i="98" a="1"/>
  <c r="C64" i="98" a="1"/>
  <c r="G45" i="97" a="1"/>
  <c r="AJ76" i="30" a="1"/>
  <c r="D16" i="98" a="1"/>
  <c r="G50" i="98" a="1"/>
  <c r="G19" i="98" a="1"/>
  <c r="E34" i="98" a="1"/>
  <c r="AF81" i="30" a="1"/>
  <c r="E41" i="98" a="1"/>
  <c r="AH78" i="30" a="1"/>
  <c r="C72" i="98" a="1"/>
  <c r="AF66" i="30" a="1"/>
  <c r="C45" i="98" a="1"/>
  <c r="AD52" i="30" a="1"/>
  <c r="D43" i="98" a="1"/>
  <c r="G27" i="98" a="1"/>
  <c r="C48" i="98" a="1"/>
  <c r="D26" i="98" a="1"/>
  <c r="AJ51" i="30" a="1"/>
  <c r="AD71" i="30" a="1"/>
  <c r="AF48" i="30" a="1"/>
  <c r="D18" i="98" a="1"/>
  <c r="AH81" i="30" a="1"/>
  <c r="G33" i="97" a="1"/>
  <c r="C32" i="98" a="1"/>
  <c r="G18" i="98" a="1"/>
  <c r="F38" i="98" a="1"/>
  <c r="G64" i="98" a="1"/>
  <c r="AD91" i="30" a="1"/>
  <c r="F30" i="98" a="1"/>
  <c r="F53" i="98" a="1"/>
  <c r="AD89" i="30" a="1"/>
  <c r="AH48" i="30" a="1"/>
  <c r="AH85" i="30" a="1"/>
  <c r="E21" i="98" a="1"/>
  <c r="E22" i="98" a="1"/>
  <c r="AF64" i="30" a="1"/>
  <c r="G49" i="98" a="1"/>
  <c r="AH52" i="30" a="1"/>
  <c r="E55" i="98" a="1"/>
  <c r="C70" i="98" a="1"/>
  <c r="G55" i="98" a="1"/>
  <c r="E30" i="98" a="1"/>
  <c r="G48" i="98" a="1"/>
  <c r="F62" i="98" a="1"/>
  <c r="E49" i="98" a="1"/>
  <c r="AH59" i="30" a="1"/>
  <c r="G46" i="97" a="1"/>
  <c r="D34" i="98" a="1"/>
  <c r="AH91" i="30" a="1"/>
  <c r="G35" i="98" a="1"/>
  <c r="AD86" i="30" a="1"/>
  <c r="AH57" i="30" a="1"/>
  <c r="F47" i="98" a="1"/>
  <c r="C36" i="98" a="1"/>
  <c r="AJ61" i="30" a="1"/>
  <c r="F48" i="98" a="1"/>
  <c r="D17" i="98" a="1"/>
  <c r="AF73" i="30" a="1"/>
  <c r="AF46" i="30" a="1"/>
  <c r="AD90" i="30" a="1"/>
  <c r="E60" i="98" a="1"/>
  <c r="AH62" i="30" a="1"/>
  <c r="C41" i="98" a="1"/>
  <c r="E51" i="98" a="1"/>
  <c r="AD67" i="30" a="1"/>
  <c r="D45" i="98" a="1"/>
  <c r="AH86" i="30" a="1"/>
  <c r="F29" i="98" a="1"/>
  <c r="H49" i="97" a="1"/>
  <c r="C63" i="98" a="1"/>
  <c r="AF71" i="30" a="1"/>
  <c r="F32" i="98" a="1"/>
  <c r="AD60" i="30" a="1"/>
  <c r="C16" i="98" a="1"/>
  <c r="F51" i="98" a="1"/>
  <c r="AH76" i="30" a="1"/>
  <c r="AF58" i="30" a="1"/>
  <c r="AF44" i="30" a="1"/>
  <c r="C33" i="98" a="1"/>
  <c r="G44" i="97" a="1"/>
  <c r="D38" i="98" a="1"/>
  <c r="F37" i="98" a="1"/>
  <c r="D24" i="98" a="1"/>
  <c r="G39" i="98" a="1"/>
  <c r="F25" i="98" a="1"/>
  <c r="AF49" i="30" a="1"/>
  <c r="G68" i="98" a="1"/>
  <c r="E50" i="98" a="1"/>
  <c r="AF75" i="30" a="1"/>
  <c r="G29" i="98" a="1"/>
  <c r="AF90" i="30" a="1"/>
  <c r="E37" i="98" a="1"/>
  <c r="F19" i="98" a="1"/>
  <c r="G20" i="98" a="1"/>
  <c r="G34" i="97" a="1"/>
  <c r="G40" i="98" a="1"/>
  <c r="F39" i="98" a="1"/>
  <c r="C19" i="98" a="1"/>
  <c r="G23" i="97" a="1"/>
  <c r="G17" i="98" a="1"/>
  <c r="F18" i="98" a="1"/>
  <c r="C28" i="98" a="1"/>
  <c r="G19" i="97" a="1"/>
  <c r="AD82" i="30" a="1"/>
  <c r="G26" i="98" a="1"/>
  <c r="AH87" i="30" a="1"/>
  <c r="AH90" i="30" a="1"/>
  <c r="AJ85" i="30" a="1"/>
  <c r="AJ87" i="30" a="1"/>
  <c r="AJ91" i="30" a="1"/>
  <c r="E23" i="98" a="1"/>
  <c r="F40" i="98" a="1"/>
  <c r="E65" i="98" a="1"/>
  <c r="C65" i="98" a="1"/>
  <c r="C39" i="98" a="1"/>
  <c r="AH72" i="30" a="1"/>
  <c r="AJ84" i="30" a="1"/>
  <c r="E48" i="98" a="1"/>
  <c r="AF47" i="30" a="1"/>
  <c r="E59" i="98" a="1"/>
  <c r="G45" i="98" a="1"/>
  <c r="AF91" i="30" a="1"/>
  <c r="F36" i="98" a="1"/>
  <c r="D67" i="98" a="1"/>
  <c r="G54" i="97" a="1"/>
  <c r="AJ57" i="30" a="1"/>
  <c r="F68" i="98" a="1"/>
  <c r="C22" i="98" a="1"/>
  <c r="AF87" i="30" a="1"/>
  <c r="AH53" i="30" a="1"/>
  <c r="AD49" i="30" a="1"/>
  <c r="C58" i="98" a="1"/>
  <c r="C44" i="98" a="1"/>
  <c r="C46" i="98" a="1"/>
  <c r="G56" i="98" a="1"/>
  <c r="C31" i="98" a="1"/>
  <c r="AF63" i="30" a="1"/>
  <c r="E63" i="98" a="1"/>
  <c r="AH80" i="30" a="1"/>
  <c r="G30" i="97" a="1"/>
  <c r="AF68" i="30" a="1"/>
  <c r="E53" i="98" a="1"/>
  <c r="E57" i="98" a="1"/>
  <c r="AF60" i="30" a="1"/>
  <c r="D44" i="98" a="1"/>
  <c r="AH71" i="30" a="1"/>
  <c r="AH67" i="30" a="1"/>
  <c r="AD80" i="30" a="1"/>
  <c r="AJ75" i="30" a="1"/>
  <c r="D41" i="98" a="1"/>
  <c r="AF89" i="30" a="1"/>
  <c r="D32" i="98" a="1"/>
  <c r="AF57" i="30" a="1"/>
  <c r="G36" i="97" a="1"/>
  <c r="C34" i="98" a="1"/>
  <c r="AJ60" i="30" a="1"/>
  <c r="C27" i="98" a="1"/>
  <c r="AJ71" i="30" a="1"/>
  <c r="AJ65" i="30" a="1"/>
  <c r="E40" i="98" a="1"/>
  <c r="AJ80" i="30" a="1"/>
  <c r="AJ59" i="30" a="1"/>
  <c r="D20" i="98" a="1"/>
  <c r="E56" i="98" a="1"/>
  <c r="F41" i="98" a="1"/>
  <c r="F35" i="98" a="1"/>
  <c r="F17" i="98" a="1"/>
  <c r="E16" i="98" a="1"/>
  <c r="AD45" i="30" a="1"/>
  <c r="G58" i="98" a="1"/>
  <c r="AD57" i="30" a="1"/>
  <c r="G41" i="98" a="1"/>
  <c r="AF69" i="30" a="1"/>
  <c r="G47" i="98" a="1"/>
  <c r="F58" i="98" a="1"/>
  <c r="F44" i="98" a="1"/>
  <c r="E35" i="98" a="1"/>
  <c r="D55" i="98" a="1"/>
  <c r="D66" i="98" a="1"/>
  <c r="AH74" i="30" a="1"/>
  <c r="AD53" i="30" a="1"/>
  <c r="E64" i="98" a="1"/>
  <c r="G30" i="98" a="1"/>
  <c r="AH45" i="30" a="1"/>
  <c r="AD54" i="30" a="1"/>
  <c r="F52" i="98" a="1"/>
  <c r="AJ69" i="30" a="1"/>
  <c r="D37" i="98" a="1"/>
  <c r="AH47" i="30" a="1"/>
  <c r="H53" i="97" a="1"/>
  <c r="AF88" i="30" a="1"/>
  <c r="G37" i="98" a="1"/>
  <c r="D72" i="98" a="1"/>
  <c r="AJ90" i="30" a="1"/>
  <c r="AD47" i="30" a="1"/>
  <c r="E70" i="98" a="1"/>
  <c r="E72" i="98" a="1"/>
  <c r="E69" i="98" a="1"/>
  <c r="AJ50" i="30" a="1"/>
  <c r="F27" i="98" a="1"/>
  <c r="F56" i="98" a="1"/>
  <c r="D33" i="98" a="1"/>
  <c r="D52" i="98" a="1"/>
  <c r="AD51" i="30" a="1"/>
  <c r="AH84" i="30" a="1"/>
  <c r="AF86" i="30" a="1"/>
  <c r="F61" i="98" a="1"/>
  <c r="AH79" i="30" a="1"/>
  <c r="G31" i="98" a="1"/>
  <c r="D57" i="98" a="1"/>
  <c r="AD48" i="30" a="1"/>
  <c r="AH50" i="30" a="1"/>
  <c r="H20" i="146" a="1"/>
  <c r="G38" i="98" a="1"/>
  <c r="AF82" i="30" a="1"/>
  <c r="AD58" i="30" a="1"/>
  <c r="AJ77" i="30" a="1"/>
  <c r="F45" i="98" a="1"/>
  <c r="AF51" i="30" a="1"/>
  <c r="D64" i="98" a="1"/>
  <c r="AJ64" i="30" a="1"/>
  <c r="E43" i="98" a="1"/>
  <c r="AD74" i="30" a="1"/>
  <c r="AD79" i="30" a="1"/>
  <c r="F71" i="98" a="1"/>
  <c r="D35" i="98" a="1"/>
  <c r="E39" i="98" a="1"/>
  <c r="AF55" i="30" a="1"/>
  <c r="G42" i="98" a="1"/>
  <c r="F23" i="98" a="1"/>
  <c r="F64" i="98" a="1"/>
  <c r="G46" i="98" a="1"/>
  <c r="E52" i="98" a="1"/>
  <c r="C17" i="98" a="1"/>
  <c r="G28" i="98" a="1"/>
  <c r="F50" i="98" a="1"/>
  <c r="G56" i="97" a="1"/>
  <c r="D19" i="98" a="1"/>
  <c r="AF62" i="30" a="1"/>
  <c r="G31" i="97" a="1"/>
  <c r="AD68" i="30" a="1"/>
  <c r="AF52" i="30" a="1"/>
  <c r="E62" i="98" a="1"/>
  <c r="AJ89" i="30" a="1"/>
  <c r="E26" i="98" a="1"/>
  <c r="G63" i="98" a="1"/>
  <c r="AJ68" i="30" a="1"/>
  <c r="G41" i="97" a="1"/>
  <c r="G59" i="98" a="1"/>
  <c r="AH54" i="30" a="1"/>
  <c r="D27" i="98" a="1"/>
  <c r="AJ45" i="30" a="1"/>
  <c r="G35" i="97" a="1"/>
  <c r="AD76" i="30" a="1"/>
  <c r="AJ70" i="30" a="1"/>
  <c r="F72" i="98" a="1"/>
  <c r="AJ46" i="30" a="1"/>
  <c r="F21" i="98" a="1"/>
  <c r="C56" i="98" a="1"/>
  <c r="E66" i="98" a="1"/>
  <c r="F26" i="98" a="1"/>
  <c r="G26" i="97" a="1"/>
  <c r="AJ88" i="30" a="1"/>
  <c r="AD62" i="30" a="1"/>
  <c r="AD81" i="30" a="1"/>
  <c r="G20" i="97" a="1"/>
  <c r="AJ79" i="30" a="1"/>
  <c r="G58" i="97" a="1"/>
  <c r="AH55" i="30" a="1"/>
  <c r="G25" i="97" a="1"/>
  <c r="C20" i="98" a="1"/>
  <c r="G38" i="97" a="1"/>
  <c r="AD63" i="30" a="1"/>
  <c r="AJ62" i="30" a="1"/>
  <c r="AJ48" i="30" a="1"/>
  <c r="AD75" i="30" a="1"/>
  <c r="G48" i="97" a="1"/>
  <c r="D62" i="98" a="1"/>
  <c r="G21" i="98" a="1"/>
  <c r="E28" i="98" a="1"/>
  <c r="C30" i="98" a="1"/>
  <c r="D39" i="98" a="1"/>
  <c r="D65" i="98" a="1"/>
  <c r="AD64" i="30" a="1"/>
  <c r="AJ82" i="30" a="1"/>
  <c r="C55" i="98" a="1"/>
  <c r="AH61" i="30" a="1"/>
  <c r="F22" i="98" a="1"/>
  <c r="G69" i="98" a="1"/>
  <c r="G44" i="98" a="1"/>
  <c r="G29" i="97" a="1"/>
  <c r="AF79" i="30" a="1"/>
  <c r="E44" i="98" a="1"/>
  <c r="C25" i="98" a="1"/>
  <c r="AD56" i="30" a="1"/>
  <c r="D70" i="98" a="1"/>
  <c r="C59" i="98" a="1"/>
  <c r="G60" i="98" a="1"/>
  <c r="AF72" i="30" a="1"/>
  <c r="G39" i="97" a="1"/>
  <c r="F59" i="98" a="1"/>
  <c r="C62" i="98" a="1"/>
  <c r="F24" i="98" a="1"/>
  <c r="G24" i="97" a="1"/>
  <c r="D68" i="98" a="1"/>
  <c r="F46" i="98" a="1"/>
  <c r="AH77" i="30" a="1"/>
  <c r="H50" i="97" a="1"/>
  <c r="D48" i="98" a="1"/>
  <c r="F57" i="98" a="1"/>
  <c r="G34" i="98" a="1"/>
  <c r="AF56" i="30" a="1"/>
  <c r="C68" i="98" a="1"/>
  <c r="AJ44" i="30" a="1"/>
  <c r="AJ49" i="30" a="1"/>
  <c r="D40" i="98" a="1"/>
  <c r="G25" i="98" a="1"/>
  <c r="AH46" i="30" a="1"/>
  <c r="E25" i="98" a="1"/>
  <c r="AF80" i="30" a="1"/>
  <c r="G55" i="97" a="1"/>
  <c r="G33" i="98" a="1"/>
  <c r="C50" i="98" a="1"/>
  <c r="AJ67" i="30" a="1"/>
  <c r="D56" i="98" a="1"/>
  <c r="E32" i="98" a="1"/>
  <c r="G65" i="98" a="1"/>
  <c r="AH83" i="30" a="1"/>
  <c r="D61" i="98" a="1"/>
  <c r="H22" i="146" a="1"/>
  <c r="AF83" i="30" a="1"/>
  <c r="F28" i="98" a="1"/>
  <c r="C60" i="98" a="1"/>
  <c r="E29" i="98" a="1"/>
  <c r="C57" i="98" a="1"/>
  <c r="C61" i="98" a="1"/>
  <c r="F43" i="98" a="1"/>
  <c r="E38" i="98" a="1"/>
  <c r="AH64" i="30" a="1"/>
  <c r="G43" i="98" a="1"/>
  <c r="AD61" i="30" a="1"/>
  <c r="AH49" i="30" a="1"/>
  <c r="F66" i="98" a="1"/>
  <c r="AH70" i="30" a="1"/>
  <c r="AF77" i="30" a="1"/>
  <c r="F49" i="98" a="1"/>
  <c r="F42" i="98" a="1"/>
  <c r="AD78" i="30" a="1"/>
  <c r="AJ73" i="30" a="1"/>
  <c r="D71" i="98" a="1"/>
  <c r="AJ74" i="30" a="1"/>
  <c r="D31" i="98" a="1"/>
  <c r="AH68" i="30" a="1"/>
  <c r="E58" i="98" a="1"/>
  <c r="G32" i="98" a="1"/>
  <c r="AJ66" i="30" a="1"/>
  <c r="E33" i="98" a="1"/>
  <c r="F69" i="98" a="1"/>
  <c r="C24" i="98" a="1"/>
  <c r="E61" i="98" a="1"/>
  <c r="AF67" i="30" a="1"/>
  <c r="C52" i="98" a="1"/>
  <c r="E67" i="98" a="1"/>
  <c r="AF53" i="30" a="1"/>
  <c r="E46" i="98" a="1"/>
  <c r="C23" i="98" a="1"/>
  <c r="C43" i="98" a="1"/>
  <c r="G24" i="98" a="1"/>
  <c r="D53" i="98" a="1"/>
  <c r="D28" i="98" a="1"/>
  <c r="D51" i="98" a="1"/>
  <c r="AJ58" i="30" a="1"/>
  <c r="G53" i="98" a="1"/>
  <c r="AH75" i="30" a="1"/>
  <c r="F63" i="98" a="1"/>
  <c r="D30" i="98" a="1"/>
  <c r="AJ56" i="30" a="1"/>
  <c r="F34" i="98" a="1"/>
  <c r="G70" i="98" a="1"/>
  <c r="D29" i="98" a="1"/>
  <c r="E68" i="98" a="1"/>
  <c r="C66" i="98" a="1"/>
  <c r="G21" i="97" a="1"/>
  <c r="G51" i="98" a="1"/>
  <c r="H19" i="146" a="1"/>
  <c r="C35" i="98" a="1"/>
  <c r="C51" i="98" a="1"/>
  <c r="C53" i="98" a="1"/>
  <c r="E36" i="98" a="1"/>
  <c r="G28" i="97" a="1"/>
  <c r="AF59" i="30" a="1"/>
  <c r="AF70" i="30" a="1"/>
  <c r="AJ63" i="30" a="1"/>
  <c r="AH89" i="30" a="1"/>
  <c r="AH69" i="30" a="1"/>
  <c r="AF50" i="30" a="1"/>
  <c r="F65" i="98" a="1"/>
  <c r="E71" i="98" a="1"/>
  <c r="E17" i="98" a="1"/>
  <c r="AD84" i="30" a="1"/>
  <c r="G54" i="98" a="1"/>
  <c r="AD50" i="30" a="1"/>
  <c r="C42" i="98" a="1"/>
  <c r="E24" i="98" a="1"/>
  <c r="C21" i="98" a="1"/>
  <c r="G61" i="98" a="1"/>
  <c r="G36" i="98" a="1"/>
  <c r="C49" i="98" a="1"/>
  <c r="D59" i="98" a="1"/>
  <c r="D50" i="98" a="1"/>
  <c r="C54" i="98" a="1"/>
  <c r="AD46" i="30" a="1"/>
  <c r="D69" i="98" a="1"/>
  <c r="D47" i="98" a="1"/>
  <c r="F16" i="98" a="1"/>
  <c r="D58" i="98" a="1"/>
  <c r="AD69" i="30" a="1"/>
  <c r="AJ81" i="30" a="1"/>
  <c r="AH58" i="30" a="1"/>
  <c r="AJ47" i="30" a="1"/>
  <c r="AJ78" i="30" a="1"/>
  <c r="D22" i="98" a="1"/>
  <c r="F33" i="98" a="1"/>
  <c r="E42" i="98" a="1"/>
  <c r="D23" i="98" a="1"/>
  <c r="AD73" i="30" a="1"/>
  <c r="G43" i="97" a="1"/>
  <c r="E18" i="98" a="1"/>
  <c r="AD55" i="30" a="1"/>
  <c r="AH82" i="30" a="1"/>
  <c r="C71" i="98" a="1"/>
  <c r="G52" i="98" a="1"/>
  <c r="G23" i="98" a="1"/>
  <c r="E45" i="98" a="1"/>
  <c r="AH51" i="30" a="1"/>
  <c r="G67" i="98" a="1"/>
  <c r="AF65" i="30" a="1"/>
  <c r="F60" i="98" a="1"/>
  <c r="AH88" i="30" a="1"/>
  <c r="D25" i="98" a="1"/>
  <c r="F54" i="98" a="1"/>
  <c r="C29" i="98" a="1"/>
  <c r="E19" i="98" a="1"/>
  <c r="AH44" i="30" a="1"/>
  <c r="D46" i="98" a="1"/>
  <c r="AD44" i="30" a="1"/>
  <c r="D54" i="98" a="1"/>
  <c r="C26" i="98" a="1"/>
  <c r="D36" i="98" a="1"/>
  <c r="C18" i="98" a="1"/>
  <c r="G72" i="98" a="1"/>
  <c r="D60" i="98" a="1"/>
  <c r="AD66" i="30" a="1"/>
  <c r="G40" i="97" a="1"/>
  <c r="AD65" i="30" a="1"/>
  <c r="AD87" i="30" a="1"/>
  <c r="AH63" i="30" a="1"/>
  <c r="F70" i="98" a="1"/>
  <c r="AH65" i="30" a="1"/>
  <c r="C38" i="98" a="1"/>
  <c r="C47" i="98" a="1"/>
  <c r="D42" i="98" a="1"/>
  <c r="F67" i="98" a="1"/>
  <c r="AD88" i="30" a="1"/>
  <c r="D63" i="98" a="1"/>
  <c r="AD59" i="30" a="1"/>
  <c r="G66" i="98" a="1"/>
  <c r="AJ52" i="30" a="1"/>
  <c r="D21" i="98" a="1"/>
  <c r="AF78" i="30" a="1"/>
  <c r="F20" i="98" a="1"/>
  <c r="AJ54" i="30" a="1"/>
  <c r="AH60" i="30" a="1"/>
  <c r="AD77" i="30" a="1"/>
  <c r="F55" i="98" a="1"/>
  <c r="AJ72" i="30" a="1"/>
  <c r="G16" i="98" a="1"/>
  <c r="AJ55" i="30" a="1"/>
  <c r="AF84" i="30" a="1"/>
  <c r="D49" i="98" a="1"/>
  <c r="AF61" i="30" a="1"/>
  <c r="AJ53" i="30" a="1"/>
  <c r="G62" i="98" a="1"/>
  <c r="AJ86" i="30" a="1"/>
  <c r="AF74" i="30" a="1"/>
  <c r="E20" i="98" a="1"/>
  <c r="AD83" i="30" a="1"/>
  <c r="AD70" i="30" a="1"/>
  <c r="AD85" i="30" a="1"/>
  <c r="C40" i="98" a="1"/>
  <c r="C69" i="98" a="1"/>
  <c r="G57" i="98" a="1"/>
  <c r="AF45" i="30" a="1"/>
  <c r="G71" i="98" a="1"/>
  <c r="AH56" i="30" a="1"/>
  <c r="E31" i="98" a="1"/>
  <c r="G22" i="98" a="1"/>
  <c r="AH66" i="30" a="1"/>
  <c r="C67" i="98" a="1"/>
  <c r="H51" i="97" a="1"/>
  <c r="C37" i="98" a="1"/>
  <c r="F31" i="98" a="1"/>
  <c r="AF85" i="30" a="1"/>
  <c r="G18" i="144" l="1"/>
  <c r="E49" i="144"/>
  <c r="D25" i="144"/>
  <c r="F20" i="144"/>
  <c r="C39" i="144"/>
  <c r="G35" i="144"/>
  <c r="G56" i="144"/>
  <c r="F29" i="144"/>
  <c r="E61" i="144"/>
  <c r="F44" i="144"/>
  <c r="G65" i="144"/>
  <c r="G20" i="144"/>
  <c r="G64" i="144"/>
  <c r="C41" i="144"/>
  <c r="D65" i="144"/>
  <c r="F67" i="144"/>
  <c r="F22" i="144"/>
  <c r="G23" i="144"/>
  <c r="C38" i="144"/>
  <c r="F43" i="97"/>
  <c r="G145" i="97" s="1" a="1"/>
  <c r="G145" i="97" s="1"/>
  <c r="G43" i="144"/>
  <c r="C27" i="144"/>
  <c r="E63" i="144"/>
  <c r="G66" i="144"/>
  <c r="C43" i="144"/>
  <c r="F61" i="144"/>
  <c r="C40" i="144"/>
  <c r="D71" i="144"/>
  <c r="G48" i="144"/>
  <c r="C36" i="144"/>
  <c r="E53" i="144"/>
  <c r="F17" i="144"/>
  <c r="F45" i="144"/>
  <c r="F32" i="144"/>
  <c r="D46" i="144"/>
  <c r="D50" i="144"/>
  <c r="G69" i="144"/>
  <c r="D31" i="144"/>
  <c r="D54" i="144"/>
  <c r="F58" i="144"/>
  <c r="F18" i="144"/>
  <c r="F54" i="144"/>
  <c r="E48" i="144"/>
  <c r="G50" i="97"/>
  <c r="H153" i="97" s="1" a="1"/>
  <c r="H153" i="97" s="1"/>
  <c r="C20" i="144"/>
  <c r="E51" i="144"/>
  <c r="E33" i="144"/>
  <c r="E47" i="144"/>
  <c r="E64" i="144"/>
  <c r="D36" i="144"/>
  <c r="F65" i="144"/>
  <c r="F58" i="97"/>
  <c r="G163" i="97" s="1" a="1"/>
  <c r="G163" i="97" s="1"/>
  <c r="G71" i="144"/>
  <c r="D43" i="144"/>
  <c r="D24" i="144"/>
  <c r="C55" i="144"/>
  <c r="E66" i="144"/>
  <c r="G34" i="144"/>
  <c r="C51" i="144"/>
  <c r="D33" i="144"/>
  <c r="G68" i="144"/>
  <c r="E62" i="144"/>
  <c r="F68" i="144"/>
  <c r="F60" i="144"/>
  <c r="F33" i="97"/>
  <c r="G133" i="97" s="1" a="1"/>
  <c r="G133" i="97" s="1"/>
  <c r="C19" i="144"/>
  <c r="D42" i="144"/>
  <c r="G38" i="144"/>
  <c r="G52" i="144"/>
  <c r="E69" i="144"/>
  <c r="D28" i="144"/>
  <c r="G45" i="144"/>
  <c r="E36" i="144"/>
  <c r="C71" i="144"/>
  <c r="G51" i="97"/>
  <c r="H155" i="97" s="1" a="1"/>
  <c r="H155" i="97" s="1"/>
  <c r="F35" i="144"/>
  <c r="G63" i="144"/>
  <c r="D58" i="144"/>
  <c r="F30" i="97"/>
  <c r="G129" i="97" s="1" a="1"/>
  <c r="G129" i="97" s="1"/>
  <c r="C45" i="144"/>
  <c r="F55" i="144"/>
  <c r="D69" i="144"/>
  <c r="E16" i="144"/>
  <c r="C22" i="144"/>
  <c r="F40" i="144"/>
  <c r="E60" i="144"/>
  <c r="E30" i="144"/>
  <c r="D27" i="144"/>
  <c r="G53" i="144"/>
  <c r="F23" i="97"/>
  <c r="G121" i="97" s="1" a="1"/>
  <c r="G121" i="97" s="1"/>
  <c r="C30" i="144"/>
  <c r="F26" i="97"/>
  <c r="G125" i="97" s="1" a="1"/>
  <c r="G125" i="97" s="1"/>
  <c r="D32" i="144"/>
  <c r="F71" i="144"/>
  <c r="D64" i="144"/>
  <c r="G33" i="144"/>
  <c r="G18" i="146"/>
  <c r="H27" i="146" s="1" a="1"/>
  <c r="H27" i="146" s="1"/>
  <c r="F19" i="144"/>
  <c r="F51" i="144"/>
  <c r="G50" i="144"/>
  <c r="C25" i="144"/>
  <c r="F29" i="97"/>
  <c r="G128" i="97" s="1" a="1"/>
  <c r="G128" i="97" s="1"/>
  <c r="C72" i="144"/>
  <c r="D51" i="144"/>
  <c r="F24" i="144"/>
  <c r="C47" i="144"/>
  <c r="G27" i="144"/>
  <c r="D22" i="144"/>
  <c r="G32" i="144"/>
  <c r="F53" i="144"/>
  <c r="E40" i="144"/>
  <c r="E32" i="144"/>
  <c r="D61" i="144"/>
  <c r="C62" i="144"/>
  <c r="D68" i="144"/>
  <c r="G58" i="144"/>
  <c r="G40" i="144"/>
  <c r="D60" i="144"/>
  <c r="D62" i="144"/>
  <c r="G37" i="144"/>
  <c r="F20" i="97"/>
  <c r="G64" i="97" s="1" a="1"/>
  <c r="G62" i="144"/>
  <c r="E54" i="144"/>
  <c r="F23" i="144"/>
  <c r="C44" i="144"/>
  <c r="F52" i="144"/>
  <c r="G26" i="144"/>
  <c r="D72" i="144"/>
  <c r="G53" i="97"/>
  <c r="H104" i="97" s="1" a="1"/>
  <c r="H104" i="97" s="1"/>
  <c r="C54" i="144"/>
  <c r="D26" i="144"/>
  <c r="G72" i="144"/>
  <c r="F47" i="144"/>
  <c r="E43" i="144"/>
  <c r="C24" i="144"/>
  <c r="E59" i="144"/>
  <c r="C34" i="144"/>
  <c r="C48" i="144"/>
  <c r="D38" i="144"/>
  <c r="E38" i="144"/>
  <c r="D39" i="144"/>
  <c r="C28" i="144"/>
  <c r="E42" i="144"/>
  <c r="D16" i="144"/>
  <c r="C49" i="144"/>
  <c r="D47" i="144"/>
  <c r="E71" i="144"/>
  <c r="F56" i="97"/>
  <c r="G108" i="97" s="1" a="1"/>
  <c r="G108" i="97" s="1"/>
  <c r="F28" i="144"/>
  <c r="F72" i="144"/>
  <c r="E44" i="144"/>
  <c r="E41" i="144"/>
  <c r="G44" i="144"/>
  <c r="E58" i="144"/>
  <c r="D37" i="144"/>
  <c r="E29" i="144"/>
  <c r="C35" i="144"/>
  <c r="C61" i="144"/>
  <c r="G20" i="146"/>
  <c r="H41" i="146" s="1" a="1"/>
  <c r="H41" i="146" s="1"/>
  <c r="D35" i="144"/>
  <c r="G49" i="144"/>
  <c r="D57" i="144"/>
  <c r="C37" i="144"/>
  <c r="C17" i="144"/>
  <c r="F36" i="144"/>
  <c r="F39" i="97"/>
  <c r="G140" i="97" s="1" a="1"/>
  <c r="G140" i="97" s="1"/>
  <c r="E70" i="144"/>
  <c r="D21" i="144"/>
  <c r="C50" i="144"/>
  <c r="F62" i="144"/>
  <c r="G51" i="144"/>
  <c r="G47" i="144"/>
  <c r="C64" i="144"/>
  <c r="F48" i="144"/>
  <c r="E18" i="144"/>
  <c r="G67" i="144"/>
  <c r="C18" i="144"/>
  <c r="C63" i="144"/>
  <c r="E17" i="144"/>
  <c r="C16" i="144"/>
  <c r="F49" i="144"/>
  <c r="F41" i="144"/>
  <c r="D48" i="144"/>
  <c r="D56" i="144"/>
  <c r="E35" i="144"/>
  <c r="E72" i="144"/>
  <c r="D59" i="144"/>
  <c r="F44" i="97"/>
  <c r="G93" i="97" s="1" a="1"/>
  <c r="G93" i="97" s="1"/>
  <c r="F50" i="144"/>
  <c r="F40" i="97"/>
  <c r="G88" i="97" s="1" a="1"/>
  <c r="G88" i="97" s="1"/>
  <c r="E46" i="144"/>
  <c r="D52" i="144"/>
  <c r="G21" i="144"/>
  <c r="F46" i="97"/>
  <c r="G149" i="97" s="1" a="1"/>
  <c r="G149" i="97" s="1"/>
  <c r="F30" i="144"/>
  <c r="G55" i="144"/>
  <c r="D17" i="144"/>
  <c r="E19" i="144"/>
  <c r="C59" i="144"/>
  <c r="G39" i="144"/>
  <c r="E65" i="144"/>
  <c r="F26" i="144"/>
  <c r="D53" i="144"/>
  <c r="E52" i="144"/>
  <c r="F34" i="144"/>
  <c r="F34" i="97"/>
  <c r="G134" i="97" s="1" a="1"/>
  <c r="G134" i="97" s="1"/>
  <c r="F55" i="97"/>
  <c r="G106" i="97" s="1" a="1"/>
  <c r="G106" i="97" s="1"/>
  <c r="D44" i="144"/>
  <c r="F66" i="144"/>
  <c r="F56" i="144"/>
  <c r="G59" i="144"/>
  <c r="F25" i="144"/>
  <c r="C66" i="144"/>
  <c r="C69" i="144"/>
  <c r="F24" i="97"/>
  <c r="G69" i="97" s="1" a="1"/>
  <c r="G69" i="97" s="1"/>
  <c r="D19" i="144"/>
  <c r="G36" i="144"/>
  <c r="F54" i="97"/>
  <c r="G158" i="97" s="1" a="1"/>
  <c r="G158" i="97" s="1"/>
  <c r="G25" i="144"/>
  <c r="E34" i="144"/>
  <c r="E24" i="144"/>
  <c r="E57" i="144"/>
  <c r="E37" i="144"/>
  <c r="D41" i="144"/>
  <c r="G41" i="144"/>
  <c r="F28" i="97"/>
  <c r="G74" i="97" s="1" a="1"/>
  <c r="G74" i="97" s="1"/>
  <c r="E55" i="144"/>
  <c r="E39" i="144"/>
  <c r="F64" i="144"/>
  <c r="C52" i="144"/>
  <c r="F31" i="97"/>
  <c r="G131" i="97" s="1" a="1"/>
  <c r="G131" i="97" s="1"/>
  <c r="F19" i="97"/>
  <c r="G63" i="97" s="1" a="1"/>
  <c r="G63" i="97" s="1"/>
  <c r="G17" i="144"/>
  <c r="E23" i="144"/>
  <c r="F46" i="144"/>
  <c r="C67" i="144"/>
  <c r="F43" i="144"/>
  <c r="D55" i="144"/>
  <c r="E26" i="144"/>
  <c r="C26" i="144"/>
  <c r="F31" i="144"/>
  <c r="C23" i="144"/>
  <c r="C60" i="144"/>
  <c r="E27" i="144"/>
  <c r="F38" i="97"/>
  <c r="G139" i="97" s="1" a="1"/>
  <c r="G139" i="97" s="1"/>
  <c r="G19" i="144"/>
  <c r="E21" i="144"/>
  <c r="D34" i="144"/>
  <c r="D29" i="144"/>
  <c r="G54" i="144"/>
  <c r="E20" i="144"/>
  <c r="F38" i="144"/>
  <c r="F39" i="144"/>
  <c r="F70" i="144"/>
  <c r="D30" i="144"/>
  <c r="F48" i="97"/>
  <c r="G98" i="97" s="1" a="1"/>
  <c r="G98" i="97" s="1"/>
  <c r="C21" i="144"/>
  <c r="C31" i="144"/>
  <c r="E22" i="144"/>
  <c r="F41" i="97"/>
  <c r="G90" i="97" s="1" a="1"/>
  <c r="G90" i="97" s="1"/>
  <c r="F42" i="144"/>
  <c r="G30" i="144"/>
  <c r="D23" i="144"/>
  <c r="C46" i="144"/>
  <c r="D70" i="144"/>
  <c r="C29" i="144"/>
  <c r="G24" i="144"/>
  <c r="G60" i="144"/>
  <c r="F69" i="144"/>
  <c r="G22" i="144"/>
  <c r="F57" i="144"/>
  <c r="D45" i="144"/>
  <c r="C32" i="144"/>
  <c r="G57" i="144"/>
  <c r="F45" i="97"/>
  <c r="G147" i="97" s="1" a="1"/>
  <c r="G147" i="97" s="1"/>
  <c r="E31" i="144"/>
  <c r="G22" i="146"/>
  <c r="H32" i="146" s="1" a="1"/>
  <c r="H32" i="146" s="1"/>
  <c r="D18" i="144"/>
  <c r="G49" i="97"/>
  <c r="H152" i="97" s="1" a="1"/>
  <c r="H152" i="97" s="1"/>
  <c r="D20" i="144"/>
  <c r="G19" i="146"/>
  <c r="H39" i="146" s="1" a="1"/>
  <c r="H39" i="146" s="1"/>
  <c r="C57" i="144"/>
  <c r="D66" i="144"/>
  <c r="G29" i="144"/>
  <c r="F37" i="144"/>
  <c r="C53" i="144"/>
  <c r="E28" i="144"/>
  <c r="C68" i="144"/>
  <c r="E68" i="144"/>
  <c r="C70" i="144"/>
  <c r="G42" i="144"/>
  <c r="F16" i="144"/>
  <c r="D40" i="144"/>
  <c r="G61" i="144"/>
  <c r="F36" i="97"/>
  <c r="G84" i="97" s="1" a="1"/>
  <c r="G84" i="97" s="1"/>
  <c r="E25" i="144"/>
  <c r="C65" i="144"/>
  <c r="E45" i="144"/>
  <c r="C33" i="144"/>
  <c r="F25" i="97"/>
  <c r="G70" i="97" s="1" a="1"/>
  <c r="G70" i="97" s="1"/>
  <c r="F27" i="144"/>
  <c r="C56" i="144"/>
  <c r="F35" i="97"/>
  <c r="G135" i="97" s="1" a="1"/>
  <c r="G135" i="97" s="1"/>
  <c r="C58" i="144"/>
  <c r="G16" i="144"/>
  <c r="D67" i="144"/>
  <c r="G28" i="144"/>
  <c r="E56" i="144"/>
  <c r="E50" i="144"/>
  <c r="F33" i="144"/>
  <c r="F21" i="144"/>
  <c r="G70" i="144"/>
  <c r="F63" i="144"/>
  <c r="F21" i="97"/>
  <c r="G66" i="97" s="1" a="1"/>
  <c r="G66" i="97" s="1"/>
  <c r="E67" i="144"/>
  <c r="D49" i="144"/>
  <c r="F59" i="144"/>
  <c r="D63" i="144"/>
  <c r="C42" i="144"/>
  <c r="G46" i="144"/>
  <c r="G31" i="144"/>
  <c r="G153" i="97"/>
  <c r="G100" i="97"/>
  <c r="G39" i="146"/>
  <c r="G28" i="146"/>
  <c r="G152" i="97"/>
  <c r="G99" i="97"/>
  <c r="G38" i="146"/>
  <c r="G27" i="146"/>
  <c r="C70" i="98"/>
  <c r="D70" i="98"/>
  <c r="E70" i="98"/>
  <c r="F70" i="98"/>
  <c r="G70" i="98"/>
  <c r="D24" i="98"/>
  <c r="E24" i="98"/>
  <c r="C24" i="98"/>
  <c r="G24" i="98"/>
  <c r="F24" i="98"/>
  <c r="C58" i="98"/>
  <c r="D58" i="98"/>
  <c r="E58" i="98"/>
  <c r="F58" i="98"/>
  <c r="G58" i="98"/>
  <c r="C23" i="98"/>
  <c r="D23" i="98"/>
  <c r="E23" i="98"/>
  <c r="G23" i="98"/>
  <c r="F23" i="98"/>
  <c r="D44" i="98"/>
  <c r="E44" i="98"/>
  <c r="F44" i="98"/>
  <c r="C44" i="98"/>
  <c r="G44" i="98"/>
  <c r="C36" i="98"/>
  <c r="F36" i="98"/>
  <c r="G36" i="98"/>
  <c r="D36" i="98"/>
  <c r="E36" i="98"/>
  <c r="D55" i="98"/>
  <c r="C55" i="98"/>
  <c r="G55" i="98"/>
  <c r="E55" i="98"/>
  <c r="F55" i="98"/>
  <c r="C22" i="98"/>
  <c r="D22" i="98"/>
  <c r="E22" i="98"/>
  <c r="G22" i="98"/>
  <c r="F22" i="98"/>
  <c r="G57" i="98"/>
  <c r="C57" i="98"/>
  <c r="D57" i="98"/>
  <c r="E57" i="98"/>
  <c r="F57" i="98"/>
  <c r="E54" i="98"/>
  <c r="F54" i="98"/>
  <c r="G54" i="98"/>
  <c r="C54" i="98"/>
  <c r="D54" i="98"/>
  <c r="C65" i="98"/>
  <c r="F65" i="98"/>
  <c r="G65" i="98"/>
  <c r="E65" i="98"/>
  <c r="D65" i="98"/>
  <c r="D35" i="98"/>
  <c r="E35" i="98"/>
  <c r="G35" i="98"/>
  <c r="C35" i="98"/>
  <c r="F35" i="98"/>
  <c r="C53" i="98"/>
  <c r="D53" i="98"/>
  <c r="E53" i="98"/>
  <c r="G53" i="98"/>
  <c r="F53" i="98"/>
  <c r="D43" i="98"/>
  <c r="E43" i="98"/>
  <c r="F43" i="98"/>
  <c r="G43" i="98"/>
  <c r="C43" i="98"/>
  <c r="E56" i="98"/>
  <c r="C56" i="98"/>
  <c r="F56" i="98"/>
  <c r="G56" i="98"/>
  <c r="D56" i="98"/>
  <c r="F34" i="98"/>
  <c r="G34" i="98"/>
  <c r="C34" i="98"/>
  <c r="D34" i="98"/>
  <c r="E34" i="98"/>
  <c r="E33" i="98"/>
  <c r="F33" i="98"/>
  <c r="G33" i="98"/>
  <c r="C33" i="98"/>
  <c r="D33" i="98"/>
  <c r="C66" i="98"/>
  <c r="D66" i="98"/>
  <c r="G66" i="98"/>
  <c r="E66" i="98"/>
  <c r="F66" i="98"/>
  <c r="D26" i="98"/>
  <c r="E26" i="98"/>
  <c r="F26" i="98"/>
  <c r="G26" i="98"/>
  <c r="C26" i="98"/>
  <c r="C27" i="98"/>
  <c r="D27" i="98"/>
  <c r="F27" i="98"/>
  <c r="E27" i="98"/>
  <c r="G27" i="98"/>
  <c r="G25" i="98"/>
  <c r="D25" i="98"/>
  <c r="E25" i="98"/>
  <c r="F25" i="98"/>
  <c r="C25" i="98"/>
  <c r="D46" i="98"/>
  <c r="E46" i="98"/>
  <c r="F46" i="98"/>
  <c r="G46" i="98"/>
  <c r="C46" i="98"/>
  <c r="C50" i="98"/>
  <c r="D50" i="98"/>
  <c r="G50" i="98"/>
  <c r="F50" i="98"/>
  <c r="E50" i="98"/>
  <c r="F63" i="98"/>
  <c r="G63" i="98"/>
  <c r="C63" i="98"/>
  <c r="E63" i="98"/>
  <c r="D63" i="98"/>
  <c r="C32" i="98"/>
  <c r="D32" i="98"/>
  <c r="G32" i="98"/>
  <c r="F32" i="98"/>
  <c r="E32" i="98"/>
  <c r="C41" i="98"/>
  <c r="D41" i="98"/>
  <c r="E41" i="98"/>
  <c r="F41" i="98"/>
  <c r="G41" i="98"/>
  <c r="C16" i="98"/>
  <c r="D16" i="98"/>
  <c r="E16" i="98"/>
  <c r="F16" i="98"/>
  <c r="G16" i="98"/>
  <c r="C17" i="98"/>
  <c r="D17" i="98"/>
  <c r="E17" i="98"/>
  <c r="F17" i="98"/>
  <c r="G17" i="98"/>
  <c r="E38" i="98"/>
  <c r="F38" i="98"/>
  <c r="C38" i="98"/>
  <c r="D38" i="98"/>
  <c r="G38" i="98"/>
  <c r="D59" i="98"/>
  <c r="F59" i="98"/>
  <c r="G59" i="98"/>
  <c r="C59" i="98"/>
  <c r="E59" i="98"/>
  <c r="G42" i="98"/>
  <c r="D42" i="98"/>
  <c r="E42" i="98"/>
  <c r="F42" i="98"/>
  <c r="C42" i="98"/>
  <c r="F20" i="98"/>
  <c r="G20" i="98"/>
  <c r="C20" i="98"/>
  <c r="E20" i="98"/>
  <c r="D20" i="98"/>
  <c r="D30" i="98"/>
  <c r="G30" i="98"/>
  <c r="E30" i="98"/>
  <c r="F30" i="98"/>
  <c r="C30" i="98"/>
  <c r="C19" i="98"/>
  <c r="D19" i="98"/>
  <c r="G19" i="98"/>
  <c r="E19" i="98"/>
  <c r="F19" i="98"/>
  <c r="F52" i="98"/>
  <c r="G52" i="98"/>
  <c r="D52" i="98"/>
  <c r="E52" i="98"/>
  <c r="C52" i="98"/>
  <c r="E31" i="98"/>
  <c r="F31" i="98"/>
  <c r="G31" i="98"/>
  <c r="C31" i="98"/>
  <c r="D31" i="98"/>
  <c r="C64" i="98"/>
  <c r="D64" i="98"/>
  <c r="E64" i="98"/>
  <c r="F64" i="98"/>
  <c r="G64" i="98"/>
  <c r="G46" i="97"/>
  <c r="G34" i="97"/>
  <c r="G21" i="97"/>
  <c r="G38" i="97"/>
  <c r="G36" i="97"/>
  <c r="G56" i="97"/>
  <c r="G26" i="97"/>
  <c r="G25" i="97"/>
  <c r="G45" i="97"/>
  <c r="G55" i="97"/>
  <c r="G35" i="97"/>
  <c r="G54" i="97"/>
  <c r="G24" i="97"/>
  <c r="G44" i="97"/>
  <c r="G30" i="97"/>
  <c r="G48" i="97"/>
  <c r="G39" i="97"/>
  <c r="G23" i="97"/>
  <c r="G40" i="97"/>
  <c r="G31" i="97"/>
  <c r="G41" i="97"/>
  <c r="G33" i="97"/>
  <c r="G58" i="97"/>
  <c r="G28" i="97"/>
  <c r="G19" i="97"/>
  <c r="G20" i="97"/>
  <c r="G29" i="97"/>
  <c r="G43" i="97"/>
  <c r="C45" i="98"/>
  <c r="F45" i="98"/>
  <c r="G45" i="98"/>
  <c r="D45" i="98"/>
  <c r="E45" i="98"/>
  <c r="F29" i="98"/>
  <c r="C29" i="98"/>
  <c r="G29" i="98"/>
  <c r="E29" i="98"/>
  <c r="D29" i="98"/>
  <c r="C62" i="98"/>
  <c r="D62" i="98"/>
  <c r="E62" i="98"/>
  <c r="F62" i="98"/>
  <c r="G62" i="98"/>
  <c r="C39" i="98"/>
  <c r="E39" i="98"/>
  <c r="F39" i="98"/>
  <c r="G39" i="98"/>
  <c r="D39" i="98"/>
  <c r="E71" i="98"/>
  <c r="G71" i="98"/>
  <c r="C71" i="98"/>
  <c r="D71" i="98"/>
  <c r="F71" i="98"/>
  <c r="D51" i="98"/>
  <c r="E51" i="98"/>
  <c r="F51" i="98"/>
  <c r="G51" i="98"/>
  <c r="C51" i="98"/>
  <c r="D37" i="98"/>
  <c r="E37" i="98"/>
  <c r="G37" i="98"/>
  <c r="F37" i="98"/>
  <c r="C37" i="98"/>
  <c r="C21" i="98"/>
  <c r="D21" i="98"/>
  <c r="F21" i="98"/>
  <c r="G21" i="98"/>
  <c r="E21" i="98"/>
  <c r="D48" i="98"/>
  <c r="E48" i="98"/>
  <c r="G48" i="98"/>
  <c r="F48" i="98"/>
  <c r="C48" i="98"/>
  <c r="E47" i="98"/>
  <c r="F47" i="98"/>
  <c r="G47" i="98"/>
  <c r="C47" i="98"/>
  <c r="D47" i="98"/>
  <c r="G28" i="98"/>
  <c r="C28" i="98"/>
  <c r="D28" i="98"/>
  <c r="E28" i="98"/>
  <c r="F28" i="98"/>
  <c r="C40" i="98"/>
  <c r="F40" i="98"/>
  <c r="G40" i="98"/>
  <c r="E40" i="98"/>
  <c r="D40" i="98"/>
  <c r="C61" i="98"/>
  <c r="F61" i="98"/>
  <c r="G61" i="98"/>
  <c r="D61" i="98"/>
  <c r="E61" i="98"/>
  <c r="D67" i="98"/>
  <c r="E67" i="98"/>
  <c r="F67" i="98"/>
  <c r="C67" i="98"/>
  <c r="G67" i="98"/>
  <c r="C60" i="98"/>
  <c r="D60" i="98"/>
  <c r="F60" i="98"/>
  <c r="G60" i="98"/>
  <c r="E60" i="98"/>
  <c r="E69" i="98"/>
  <c r="F69" i="98"/>
  <c r="G69" i="98"/>
  <c r="D69" i="98"/>
  <c r="C69" i="98"/>
  <c r="D68" i="98"/>
  <c r="E68" i="98"/>
  <c r="F68" i="98"/>
  <c r="G68" i="98"/>
  <c r="C68" i="98"/>
  <c r="C49" i="98"/>
  <c r="D49" i="98"/>
  <c r="E49" i="98"/>
  <c r="F49" i="98"/>
  <c r="G49" i="98"/>
  <c r="D72" i="98"/>
  <c r="F72" i="98"/>
  <c r="G72" i="98"/>
  <c r="C72" i="98"/>
  <c r="E72" i="98"/>
  <c r="C18" i="98"/>
  <c r="E18" i="98"/>
  <c r="F18" i="98"/>
  <c r="G18" i="98"/>
  <c r="D18" i="98"/>
  <c r="H19" i="146"/>
  <c r="H18" i="146"/>
  <c r="H20" i="146"/>
  <c r="H22" i="146"/>
  <c r="H50" i="97"/>
  <c r="H53" i="97"/>
  <c r="H49" i="97"/>
  <c r="H51" i="97"/>
  <c r="AH84" i="30"/>
  <c r="AJ53" i="30"/>
  <c r="AD50" i="30"/>
  <c r="AJ63" i="30"/>
  <c r="AF46" i="30"/>
  <c r="AD74" i="30"/>
  <c r="AD54" i="30"/>
  <c r="AJ70" i="30"/>
  <c r="AF70" i="30"/>
  <c r="AF48" i="30"/>
  <c r="AJ79" i="30"/>
  <c r="AD86" i="30"/>
  <c r="AH52" i="30"/>
  <c r="AF50" i="30"/>
  <c r="AD85" i="30"/>
  <c r="AH78" i="30"/>
  <c r="AF52" i="30"/>
  <c r="AH69" i="30"/>
  <c r="AD75" i="30"/>
  <c r="AD79" i="30"/>
  <c r="AH81" i="30"/>
  <c r="AH74" i="30"/>
  <c r="AH64" i="30"/>
  <c r="AJ76" i="30"/>
  <c r="AH90" i="30"/>
  <c r="AH46" i="30"/>
  <c r="AH59" i="30"/>
  <c r="AD91" i="30"/>
  <c r="AF76" i="30"/>
  <c r="AF67" i="30"/>
  <c r="AD66" i="30"/>
  <c r="AH57" i="30"/>
  <c r="AF72" i="30"/>
  <c r="AD71" i="30"/>
  <c r="AJ49" i="30"/>
  <c r="AJ64" i="30"/>
  <c r="AJ60" i="30"/>
  <c r="AF75" i="30"/>
  <c r="AF91" i="30"/>
  <c r="AJ59" i="30"/>
  <c r="AF90" i="30"/>
  <c r="AJ51" i="30"/>
  <c r="AD64" i="30"/>
  <c r="AF63" i="30"/>
  <c r="AJ78" i="30"/>
  <c r="AD65" i="30"/>
  <c r="AF45" i="30"/>
  <c r="AD63" i="30"/>
  <c r="AH80" i="30"/>
  <c r="AD87" i="30"/>
  <c r="AJ82" i="30"/>
  <c r="AH68" i="30"/>
  <c r="AH83" i="30"/>
  <c r="AF79" i="30"/>
  <c r="AH75" i="30"/>
  <c r="AD80" i="30"/>
  <c r="AJ46" i="30"/>
  <c r="AF73" i="30"/>
  <c r="AD72" i="30"/>
  <c r="AF47" i="30"/>
  <c r="AF86" i="30"/>
  <c r="AJ72" i="30"/>
  <c r="AF59" i="30"/>
  <c r="AF84" i="30"/>
  <c r="AH73" i="30"/>
  <c r="AJ87" i="30"/>
  <c r="AH71" i="30"/>
  <c r="AD88" i="30"/>
  <c r="AJ54" i="30"/>
  <c r="AH49" i="30"/>
  <c r="AJ68" i="30"/>
  <c r="AJ74" i="30"/>
  <c r="AF56" i="30"/>
  <c r="AH82" i="30"/>
  <c r="AD55" i="30"/>
  <c r="AJ57" i="30"/>
  <c r="AF57" i="30"/>
  <c r="AH85" i="30"/>
  <c r="AF61" i="30"/>
  <c r="AH79" i="30"/>
  <c r="AJ65" i="30"/>
  <c r="AJ90" i="30"/>
  <c r="AJ52" i="30"/>
  <c r="AJ45" i="30"/>
  <c r="AF89" i="30"/>
  <c r="AF74" i="30"/>
  <c r="AF85" i="30"/>
  <c r="AD57" i="30"/>
  <c r="AH65" i="30"/>
  <c r="AJ86" i="30"/>
  <c r="AF82" i="30"/>
  <c r="AH86" i="30"/>
  <c r="AJ80" i="30"/>
  <c r="AD78" i="30"/>
  <c r="AH58" i="30"/>
  <c r="AH56" i="30"/>
  <c r="AD58" i="30"/>
  <c r="AD48" i="30"/>
  <c r="AF64" i="30"/>
  <c r="AH72" i="30"/>
  <c r="AH76" i="30"/>
  <c r="AH70" i="30"/>
  <c r="AF68" i="30"/>
  <c r="AJ62" i="30"/>
  <c r="AH61" i="30"/>
  <c r="AD84" i="30"/>
  <c r="AJ77" i="30"/>
  <c r="AJ66" i="30"/>
  <c r="AF66" i="30"/>
  <c r="AH87" i="30"/>
  <c r="AD61" i="30"/>
  <c r="AJ58" i="30"/>
  <c r="AD60" i="30"/>
  <c r="AF58" i="30"/>
  <c r="AF49" i="30"/>
  <c r="AJ73" i="30"/>
  <c r="AH51" i="30"/>
  <c r="AF51" i="30"/>
  <c r="AD46" i="30"/>
  <c r="AD70" i="30"/>
  <c r="AF44" i="30"/>
  <c r="AD69" i="30"/>
  <c r="AH66" i="30"/>
  <c r="AD73" i="30"/>
  <c r="AH50" i="30"/>
  <c r="AJ89" i="30"/>
  <c r="F52" i="97"/>
  <c r="G156" i="97" s="1"/>
  <c r="AD47" i="30"/>
  <c r="AH77" i="30"/>
  <c r="AF53" i="30"/>
  <c r="AD62" i="30"/>
  <c r="AJ71" i="30"/>
  <c r="AH67" i="30"/>
  <c r="AH62" i="30"/>
  <c r="AD89" i="30"/>
  <c r="AF54" i="30"/>
  <c r="AJ85" i="30"/>
  <c r="AD53" i="30"/>
  <c r="AD90" i="30"/>
  <c r="AH88" i="30"/>
  <c r="AJ55" i="30"/>
  <c r="AH47" i="30"/>
  <c r="AF71" i="30"/>
  <c r="AD51" i="30"/>
  <c r="AH60" i="30"/>
  <c r="AH45" i="30"/>
  <c r="AF88" i="30"/>
  <c r="AJ47" i="30"/>
  <c r="AF55" i="30"/>
  <c r="AD76" i="30"/>
  <c r="AD81" i="30"/>
  <c r="AH63" i="30"/>
  <c r="AD59" i="30"/>
  <c r="AD68" i="30"/>
  <c r="AJ50" i="30"/>
  <c r="AD49" i="30"/>
  <c r="AJ88" i="30"/>
  <c r="AJ67" i="30"/>
  <c r="AJ44" i="30"/>
  <c r="AH44" i="30"/>
  <c r="AJ75" i="30"/>
  <c r="AJ56" i="30"/>
  <c r="AF80" i="30"/>
  <c r="AF60" i="30"/>
  <c r="AJ84" i="30"/>
  <c r="AD83" i="30"/>
  <c r="AD56" i="30"/>
  <c r="AD82" i="30"/>
  <c r="AD45" i="30"/>
  <c r="AF81" i="30"/>
  <c r="AF87" i="30"/>
  <c r="AF69" i="30"/>
  <c r="AH54" i="30"/>
  <c r="AJ91" i="30"/>
  <c r="AH48" i="30"/>
  <c r="AD77" i="30"/>
  <c r="AF62" i="30"/>
  <c r="AF65" i="30"/>
  <c r="AH53" i="30"/>
  <c r="AH91" i="30"/>
  <c r="AH89" i="30"/>
  <c r="AH55" i="30"/>
  <c r="AF78" i="30"/>
  <c r="AD52" i="30"/>
  <c r="AD67" i="30"/>
  <c r="AF77" i="30"/>
  <c r="AJ83" i="30"/>
  <c r="AJ69" i="30"/>
  <c r="AD44" i="30"/>
  <c r="AJ81" i="30"/>
  <c r="AJ61" i="30"/>
  <c r="AJ48" i="30"/>
  <c r="AF83" i="30"/>
  <c r="G13" i="97"/>
  <c r="H14" i="97"/>
  <c r="H13" i="146"/>
  <c r="H55" i="97" a="1"/>
  <c r="H40" i="97" a="1"/>
  <c r="H21" i="97" a="1"/>
  <c r="H44" i="97" a="1"/>
  <c r="H20" i="97" a="1"/>
  <c r="I20" i="146" a="1"/>
  <c r="H48" i="97" a="1"/>
  <c r="H34" i="97" a="1"/>
  <c r="H24" i="97" a="1"/>
  <c r="H19" i="97" a="1"/>
  <c r="H43" i="97" a="1"/>
  <c r="H39" i="97" a="1"/>
  <c r="H56" i="97" a="1"/>
  <c r="H58" i="97" a="1"/>
  <c r="H28" i="97" a="1"/>
  <c r="H23" i="97" a="1"/>
  <c r="H46" i="97" a="1"/>
  <c r="H38" i="97" a="1"/>
  <c r="I51" i="97" a="1"/>
  <c r="H54" i="97" a="1"/>
  <c r="I19" i="146" a="1"/>
  <c r="I50" i="97" a="1"/>
  <c r="H45" i="97" a="1"/>
  <c r="H30" i="97" a="1"/>
  <c r="H41" i="97" a="1"/>
  <c r="H33" i="97" a="1"/>
  <c r="H35" i="97" a="1"/>
  <c r="I49" i="97" a="1"/>
  <c r="I22" i="146" a="1"/>
  <c r="H31" i="97" a="1"/>
  <c r="H36" i="97" a="1"/>
  <c r="H29" i="97" a="1"/>
  <c r="I53" i="97" a="1"/>
  <c r="H25" i="97" a="1"/>
  <c r="I18" i="146" a="1"/>
  <c r="H26" i="97" a="1"/>
  <c r="M31" i="144" l="1" a="1"/>
  <c r="M31" i="144" s="1"/>
  <c r="G122" i="145" s="1"/>
  <c r="I45" i="144" a="1"/>
  <c r="I45" i="144" s="1"/>
  <c r="F136" i="145" s="1"/>
  <c r="G127" i="97" a="1"/>
  <c r="G127" i="97" s="1"/>
  <c r="G119" i="97" a="1"/>
  <c r="G119" i="97" s="1"/>
  <c r="G81" i="97" a="1"/>
  <c r="G81" i="97" s="1"/>
  <c r="G76" i="97" a="1"/>
  <c r="G76" i="97" s="1"/>
  <c r="G86" i="97" a="1"/>
  <c r="G86" i="97" s="1"/>
  <c r="G68" i="97" a="1"/>
  <c r="G68" i="97" s="1"/>
  <c r="G94" i="97" a="1"/>
  <c r="G94" i="97" s="1"/>
  <c r="I59" i="144" a="1"/>
  <c r="I59" i="144" s="1"/>
  <c r="F150" i="145" s="1"/>
  <c r="G75" i="97" a="1"/>
  <c r="G75" i="97" s="1"/>
  <c r="G87" i="97" a="1"/>
  <c r="G87" i="97" s="1"/>
  <c r="G159" i="97" a="1"/>
  <c r="G159" i="97" s="1"/>
  <c r="M66" i="144" a="1"/>
  <c r="M66" i="144" s="1"/>
  <c r="G123" i="97" a="1"/>
  <c r="G123" i="97" s="1"/>
  <c r="G117" i="97" a="1"/>
  <c r="G117" i="97" s="1"/>
  <c r="H34" i="144" a="1"/>
  <c r="H34" i="144" s="1"/>
  <c r="AM34" i="144" s="1" a="1"/>
  <c r="AM34" i="144" s="1"/>
  <c r="M23" i="144" a="1"/>
  <c r="M23" i="144" s="1"/>
  <c r="G114" i="145" s="1"/>
  <c r="G80" i="97" a="1"/>
  <c r="G80" i="97" s="1"/>
  <c r="G78" i="97" a="1"/>
  <c r="G78" i="97" s="1"/>
  <c r="G143" i="97" a="1"/>
  <c r="G143" i="97" s="1"/>
  <c r="G146" i="97" a="1"/>
  <c r="G146" i="97" s="1"/>
  <c r="M67" i="144" a="1"/>
  <c r="M67" i="144" s="1"/>
  <c r="I54" i="144" a="1"/>
  <c r="I54" i="144" s="1"/>
  <c r="F145" i="145" s="1"/>
  <c r="I34" i="144" a="1"/>
  <c r="I34" i="144" s="1"/>
  <c r="F125" i="145" s="1"/>
  <c r="G116" i="97" a="1"/>
  <c r="G116" i="97" s="1"/>
  <c r="M18" i="144" a="1"/>
  <c r="M18" i="144" s="1"/>
  <c r="G109" i="145" s="1"/>
  <c r="G151" i="97" a="1"/>
  <c r="G151" i="97" s="1"/>
  <c r="H31" i="144" a="1"/>
  <c r="H31" i="144" s="1"/>
  <c r="AN31" i="144" s="1" a="1"/>
  <c r="AN31" i="144" s="1"/>
  <c r="H36" i="144" a="1"/>
  <c r="H36" i="144" s="1"/>
  <c r="AA36" i="144" s="1" a="1"/>
  <c r="AA36" i="144" s="1"/>
  <c r="Q127" i="145" s="1"/>
  <c r="H43" i="146" a="1"/>
  <c r="H43" i="146" s="1"/>
  <c r="I30" i="144" a="1"/>
  <c r="I30" i="144" s="1"/>
  <c r="F121" i="145" s="1"/>
  <c r="M34" i="144" a="1"/>
  <c r="M34" i="144" s="1"/>
  <c r="G125" i="145" s="1"/>
  <c r="H18" i="144" a="1"/>
  <c r="H18" i="144" s="1"/>
  <c r="AB18" i="144" s="1" a="1"/>
  <c r="AB18" i="144" s="1"/>
  <c r="H67" i="144" a="1"/>
  <c r="H67" i="144" s="1"/>
  <c r="AK67" i="144" s="1" a="1"/>
  <c r="AK67" i="144" s="1"/>
  <c r="I25" i="144" a="1"/>
  <c r="I25" i="144" s="1"/>
  <c r="F116" i="145" s="1"/>
  <c r="M63" i="144" a="1"/>
  <c r="M63" i="144" s="1"/>
  <c r="G154" i="145" s="1"/>
  <c r="H58" i="144" a="1"/>
  <c r="H58" i="144" s="1"/>
  <c r="L58" i="144" s="1"/>
  <c r="H41" i="144" a="1"/>
  <c r="H41" i="144" s="1"/>
  <c r="L41" i="144" s="1"/>
  <c r="I44" i="144" a="1"/>
  <c r="I44" i="144" s="1"/>
  <c r="F135" i="145" s="1"/>
  <c r="M47" i="144" a="1"/>
  <c r="M47" i="144" s="1"/>
  <c r="G138" i="145" s="1"/>
  <c r="I33" i="144" a="1"/>
  <c r="I33" i="144" s="1"/>
  <c r="F124" i="145" s="1"/>
  <c r="M41" i="144" a="1"/>
  <c r="M41" i="144" s="1"/>
  <c r="G132" i="145" s="1"/>
  <c r="I56" i="144" a="1"/>
  <c r="I56" i="144" s="1"/>
  <c r="F147" i="145" s="1"/>
  <c r="H29" i="144" a="1"/>
  <c r="H29" i="144" s="1"/>
  <c r="AL29" i="144" s="1" a="1"/>
  <c r="AL29" i="144" s="1"/>
  <c r="M24" i="144" a="1"/>
  <c r="M24" i="144" s="1"/>
  <c r="G115" i="145" s="1"/>
  <c r="H49" i="144" a="1"/>
  <c r="H49" i="144" s="1"/>
  <c r="Z49" i="144" s="1" a="1"/>
  <c r="Z49" i="144" s="1"/>
  <c r="P140" i="145" s="1"/>
  <c r="H48" i="144" a="1"/>
  <c r="H48" i="144" s="1"/>
  <c r="Y48" i="144" s="1" a="1"/>
  <c r="Y48" i="144" s="1"/>
  <c r="I31" i="144" a="1"/>
  <c r="I31" i="144" s="1"/>
  <c r="F122" i="145" s="1"/>
  <c r="I55" i="144" a="1"/>
  <c r="I55" i="144" s="1"/>
  <c r="F146" i="145" s="1"/>
  <c r="I71" i="144" a="1"/>
  <c r="I71" i="144" s="1"/>
  <c r="G82" i="97" a="1"/>
  <c r="G82" i="97" s="1"/>
  <c r="M58" i="144" a="1"/>
  <c r="M58" i="144" s="1"/>
  <c r="G149" i="145" s="1"/>
  <c r="M69" i="144" a="1"/>
  <c r="M69" i="144" s="1"/>
  <c r="H59" i="144" a="1"/>
  <c r="H59" i="144" s="1"/>
  <c r="AM59" i="144" s="1" a="1"/>
  <c r="AM59" i="144" s="1"/>
  <c r="H47" i="144" a="1"/>
  <c r="H47" i="144" s="1"/>
  <c r="AA47" i="144" s="1" a="1"/>
  <c r="AA47" i="144" s="1"/>
  <c r="Q138" i="145" s="1"/>
  <c r="H23" i="144" a="1"/>
  <c r="H23" i="144" s="1"/>
  <c r="D114" i="145" s="1"/>
  <c r="I35" i="144" a="1"/>
  <c r="I35" i="144" s="1"/>
  <c r="F126" i="145" s="1"/>
  <c r="I65" i="144" a="1"/>
  <c r="I65" i="144" s="1"/>
  <c r="F156" i="145" s="1"/>
  <c r="I17" i="144" a="1"/>
  <c r="I17" i="144" s="1"/>
  <c r="F108" i="145" s="1"/>
  <c r="M72" i="144" a="1"/>
  <c r="M72" i="144" s="1"/>
  <c r="M36" i="144" a="1"/>
  <c r="M36" i="144" s="1"/>
  <c r="G127" i="145" s="1"/>
  <c r="H61" i="144" a="1"/>
  <c r="H61" i="144" s="1"/>
  <c r="AA61" i="144" s="1" a="1"/>
  <c r="AA61" i="144" s="1"/>
  <c r="Q152" i="145" s="1"/>
  <c r="H24" i="144" a="1"/>
  <c r="H24" i="144" s="1"/>
  <c r="D115" i="145" s="1"/>
  <c r="H68" i="144" a="1"/>
  <c r="H68" i="144" s="1"/>
  <c r="AA68" i="144" s="1" a="1"/>
  <c r="AA68" i="144" s="1"/>
  <c r="I18" i="144" a="1"/>
  <c r="I18" i="144" s="1"/>
  <c r="F109" i="145" s="1"/>
  <c r="I27" i="144" a="1"/>
  <c r="I27" i="144" s="1"/>
  <c r="F118" i="145" s="1"/>
  <c r="I52" i="144" a="1"/>
  <c r="I52" i="144" s="1"/>
  <c r="F143" i="145" s="1"/>
  <c r="H100" i="97" a="1"/>
  <c r="H100" i="97" s="1"/>
  <c r="G92" i="97" a="1"/>
  <c r="G92" i="97" s="1"/>
  <c r="G105" i="97" a="1"/>
  <c r="G105" i="97" s="1"/>
  <c r="M56" i="144" a="1"/>
  <c r="M56" i="144" s="1"/>
  <c r="G147" i="145" s="1"/>
  <c r="M37" i="144" a="1"/>
  <c r="M37" i="144" s="1"/>
  <c r="G128" i="145" s="1"/>
  <c r="H27" i="144" a="1"/>
  <c r="H27" i="144" s="1"/>
  <c r="AN27" i="144" s="1" a="1"/>
  <c r="AN27" i="144" s="1"/>
  <c r="H65" i="144" a="1"/>
  <c r="H65" i="144" s="1"/>
  <c r="D156" i="145" s="1"/>
  <c r="H39" i="144" a="1"/>
  <c r="H39" i="144" s="1"/>
  <c r="AN39" i="144" s="1" a="1"/>
  <c r="AN39" i="144" s="1"/>
  <c r="I70" i="144" a="1"/>
  <c r="I70" i="144" s="1"/>
  <c r="I26" i="144" a="1"/>
  <c r="I26" i="144" s="1"/>
  <c r="F117" i="145" s="1"/>
  <c r="I41" i="144" a="1"/>
  <c r="I41" i="144" s="1"/>
  <c r="F132" i="145" s="1"/>
  <c r="M55" i="144" a="1"/>
  <c r="M55" i="144" s="1"/>
  <c r="G146" i="145" s="1"/>
  <c r="M26" i="144" a="1"/>
  <c r="M26" i="144" s="1"/>
  <c r="G117" i="145" s="1"/>
  <c r="H63" i="144" a="1"/>
  <c r="H63" i="144" s="1"/>
  <c r="L63" i="144" s="1"/>
  <c r="H54" i="144" a="1"/>
  <c r="H54" i="144" s="1"/>
  <c r="Y54" i="144" s="1" a="1"/>
  <c r="Y54" i="144" s="1"/>
  <c r="H55" i="144" a="1"/>
  <c r="H55" i="144" s="1"/>
  <c r="AL55" i="144" s="1" a="1"/>
  <c r="AL55" i="144" s="1"/>
  <c r="I43" i="144" a="1"/>
  <c r="I43" i="144" s="1"/>
  <c r="F134" i="145" s="1"/>
  <c r="I42" i="144" a="1"/>
  <c r="I42" i="144" s="1"/>
  <c r="F133" i="145" s="1"/>
  <c r="I38" i="144" a="1"/>
  <c r="I38" i="144" s="1"/>
  <c r="F129" i="145" s="1"/>
  <c r="H157" i="97" a="1"/>
  <c r="H157" i="97" s="1"/>
  <c r="G110" i="97" a="1"/>
  <c r="G110" i="97" s="1"/>
  <c r="G137" i="97" a="1"/>
  <c r="G137" i="97" s="1"/>
  <c r="G122" i="97" a="1"/>
  <c r="G122" i="97" s="1"/>
  <c r="M51" i="144" a="1"/>
  <c r="M51" i="144" s="1"/>
  <c r="G142" i="145" s="1"/>
  <c r="I66" i="144" a="1"/>
  <c r="I66" i="144" s="1"/>
  <c r="M49" i="144" a="1"/>
  <c r="M49" i="144" s="1"/>
  <c r="G140" i="145" s="1"/>
  <c r="H16" i="144" a="1"/>
  <c r="H16" i="144" s="1"/>
  <c r="D107" i="145" s="1"/>
  <c r="M59" i="144" a="1"/>
  <c r="M59" i="144" s="1"/>
  <c r="G150" i="145" s="1"/>
  <c r="I39" i="144" a="1"/>
  <c r="I39" i="144" s="1"/>
  <c r="F130" i="145" s="1"/>
  <c r="M62" i="144" a="1"/>
  <c r="M62" i="144" s="1"/>
  <c r="G153" i="145" s="1"/>
  <c r="H44" i="144" a="1"/>
  <c r="H44" i="144" s="1"/>
  <c r="AB44" i="144" s="1" a="1"/>
  <c r="AB44" i="144" s="1"/>
  <c r="R135" i="145" s="1"/>
  <c r="M44" i="144" a="1"/>
  <c r="M44" i="144" s="1"/>
  <c r="G135" i="145" s="1"/>
  <c r="I53" i="144" a="1"/>
  <c r="I53" i="144" s="1"/>
  <c r="F144" i="145" s="1"/>
  <c r="H30" i="144" a="1"/>
  <c r="H30" i="144" s="1"/>
  <c r="D121" i="145" s="1"/>
  <c r="I37" i="144" a="1"/>
  <c r="I37" i="144" s="1"/>
  <c r="F128" i="145" s="1"/>
  <c r="M38" i="144" a="1"/>
  <c r="M38" i="144" s="1"/>
  <c r="G129" i="145" s="1"/>
  <c r="H33" i="144" a="1"/>
  <c r="H33" i="144" s="1"/>
  <c r="AL33" i="144" s="1" a="1"/>
  <c r="AL33" i="144" s="1"/>
  <c r="H28" i="146" a="1"/>
  <c r="H28" i="146" s="1"/>
  <c r="M30" i="144" a="1"/>
  <c r="M30" i="144" s="1"/>
  <c r="G121" i="145" s="1"/>
  <c r="H35" i="144" a="1"/>
  <c r="H35" i="144" s="1"/>
  <c r="L35" i="144" s="1"/>
  <c r="H25" i="144" a="1"/>
  <c r="H25" i="144" s="1"/>
  <c r="AN25" i="144" s="1" a="1"/>
  <c r="AN25" i="144" s="1"/>
  <c r="H62" i="144" a="1"/>
  <c r="H62" i="144" s="1"/>
  <c r="Z62" i="144" s="1" a="1"/>
  <c r="Z62" i="144" s="1"/>
  <c r="P153" i="145" s="1"/>
  <c r="H57" i="144" a="1"/>
  <c r="H57" i="144" s="1"/>
  <c r="L57" i="144" s="1"/>
  <c r="I67" i="144" a="1"/>
  <c r="I67" i="144" s="1"/>
  <c r="H99" i="97" a="1"/>
  <c r="H99" i="97" s="1"/>
  <c r="M40" i="144" a="1"/>
  <c r="M40" i="144" s="1"/>
  <c r="G131" i="145" s="1"/>
  <c r="H21" i="144" a="1"/>
  <c r="H21" i="144" s="1"/>
  <c r="AL21" i="144" s="1" a="1"/>
  <c r="AL21" i="144" s="1"/>
  <c r="I21" i="144" a="1"/>
  <c r="I21" i="144" s="1"/>
  <c r="F112" i="145" s="1"/>
  <c r="M21" i="144" a="1"/>
  <c r="M21" i="144" s="1"/>
  <c r="G112" i="145" s="1"/>
  <c r="H56" i="144" a="1"/>
  <c r="H56" i="144" s="1"/>
  <c r="D147" i="145" s="1"/>
  <c r="I40" i="144" a="1"/>
  <c r="I40" i="144" s="1"/>
  <c r="F131" i="145" s="1"/>
  <c r="G96" i="97" a="1"/>
  <c r="G96" i="97" s="1"/>
  <c r="G161" i="97" a="1"/>
  <c r="G161" i="97" s="1"/>
  <c r="M45" i="144" a="1"/>
  <c r="M45" i="144" s="1"/>
  <c r="G136" i="145" s="1"/>
  <c r="H43" i="144" a="1"/>
  <c r="H43" i="144" s="1"/>
  <c r="AM43" i="144" s="1" a="1"/>
  <c r="AM43" i="144" s="1"/>
  <c r="H38" i="146" a="1"/>
  <c r="H38" i="146" s="1"/>
  <c r="M29" i="144" a="1"/>
  <c r="M29" i="144" s="1"/>
  <c r="G120" i="145" s="1"/>
  <c r="M68" i="144" a="1"/>
  <c r="M68" i="144" s="1"/>
  <c r="M46" i="144" a="1"/>
  <c r="M46" i="144" s="1"/>
  <c r="G137" i="145" s="1"/>
  <c r="H46" i="144" a="1"/>
  <c r="H46" i="144" s="1"/>
  <c r="AL46" i="144" s="1" a="1"/>
  <c r="AL46" i="144" s="1"/>
  <c r="H52" i="144" a="1"/>
  <c r="H52" i="144" s="1"/>
  <c r="AA52" i="144" s="1" a="1"/>
  <c r="AA52" i="144" s="1"/>
  <c r="Q143" i="145" s="1"/>
  <c r="H45" i="144" a="1"/>
  <c r="H45" i="144" s="1"/>
  <c r="AA45" i="144" s="1" a="1"/>
  <c r="AA45" i="144" s="1"/>
  <c r="Q136" i="145" s="1"/>
  <c r="I20" i="144" a="1"/>
  <c r="I20" i="144" s="1"/>
  <c r="F111" i="145" s="1"/>
  <c r="I28" i="144" a="1"/>
  <c r="I28" i="144" s="1"/>
  <c r="F119" i="145" s="1"/>
  <c r="G141" i="97" a="1"/>
  <c r="G141" i="97" s="1"/>
  <c r="I50" i="144" a="1"/>
  <c r="I50" i="144" s="1"/>
  <c r="F141" i="145" s="1"/>
  <c r="M16" i="144" a="1"/>
  <c r="M16" i="144" s="1"/>
  <c r="G107" i="145" s="1"/>
  <c r="I72" i="144" a="1"/>
  <c r="I72" i="144" s="1"/>
  <c r="M53" i="144" a="1"/>
  <c r="M53" i="144" s="1"/>
  <c r="G144" i="145" s="1"/>
  <c r="H72" i="144" a="1"/>
  <c r="H72" i="144" s="1"/>
  <c r="AN72" i="144" s="1" a="1"/>
  <c r="AN72" i="144" s="1"/>
  <c r="M35" i="144" a="1"/>
  <c r="M35" i="144" s="1"/>
  <c r="G126" i="145" s="1"/>
  <c r="I64" i="144" a="1"/>
  <c r="I64" i="144" s="1"/>
  <c r="F155" i="145" s="1"/>
  <c r="M19" i="144" a="1"/>
  <c r="M19" i="144" s="1"/>
  <c r="G110" i="145" s="1"/>
  <c r="I48" i="144" a="1"/>
  <c r="I48" i="144" s="1"/>
  <c r="F139" i="145" s="1"/>
  <c r="M43" i="144" a="1"/>
  <c r="M43" i="144" s="1"/>
  <c r="G134" i="145" s="1"/>
  <c r="M57" i="144" a="1"/>
  <c r="M57" i="144" s="1"/>
  <c r="G148" i="145" s="1"/>
  <c r="H69" i="144" a="1"/>
  <c r="H69" i="144" s="1"/>
  <c r="AM69" i="144" s="1" a="1"/>
  <c r="AM69" i="144" s="1"/>
  <c r="H28" i="144" a="1"/>
  <c r="H28" i="144" s="1"/>
  <c r="AK28" i="144" s="1" a="1"/>
  <c r="AK28" i="144" s="1"/>
  <c r="I68" i="144" a="1"/>
  <c r="I68" i="144" s="1"/>
  <c r="H38" i="144" a="1"/>
  <c r="H38" i="144" s="1"/>
  <c r="AM38" i="144" s="1" a="1"/>
  <c r="AM38" i="144" s="1"/>
  <c r="I61" i="144" a="1"/>
  <c r="I61" i="144" s="1"/>
  <c r="F152" i="145" s="1"/>
  <c r="M33" i="144" a="1"/>
  <c r="M33" i="144" s="1"/>
  <c r="G124" i="145" s="1"/>
  <c r="I32" i="144" a="1"/>
  <c r="I32" i="144" s="1"/>
  <c r="F123" i="145" s="1"/>
  <c r="M64" i="144" a="1"/>
  <c r="M64" i="144" s="1"/>
  <c r="G155" i="145" s="1"/>
  <c r="H70" i="144" a="1"/>
  <c r="H70" i="144" s="1"/>
  <c r="AK70" i="144" s="1" a="1"/>
  <c r="AK70" i="144" s="1"/>
  <c r="M39" i="144" a="1"/>
  <c r="M39" i="144" s="1"/>
  <c r="G130" i="145" s="1"/>
  <c r="H64" i="144" a="1"/>
  <c r="H64" i="144" s="1"/>
  <c r="L64" i="144" s="1"/>
  <c r="M70" i="144" a="1"/>
  <c r="M70" i="144" s="1"/>
  <c r="H22" i="144" a="1"/>
  <c r="H22" i="144" s="1"/>
  <c r="AL22" i="144" s="1" a="1"/>
  <c r="AL22" i="144" s="1"/>
  <c r="H60" i="144" a="1"/>
  <c r="H60" i="144" s="1"/>
  <c r="D151" i="145" s="1"/>
  <c r="I22" i="144" a="1"/>
  <c r="I22" i="144" s="1"/>
  <c r="F113" i="145" s="1"/>
  <c r="M65" i="144" a="1"/>
  <c r="M65" i="144" s="1"/>
  <c r="G156" i="145" s="1"/>
  <c r="M22" i="144" a="1"/>
  <c r="M22" i="144" s="1"/>
  <c r="G113" i="145" s="1"/>
  <c r="M28" i="144" a="1"/>
  <c r="M28" i="144" s="1"/>
  <c r="G119" i="145" s="1"/>
  <c r="H20" i="144" a="1"/>
  <c r="H20" i="144" s="1"/>
  <c r="AN20" i="144" s="1" a="1"/>
  <c r="AN20" i="144" s="1"/>
  <c r="H32" i="144" a="1"/>
  <c r="H32" i="144" s="1"/>
  <c r="D123" i="145" s="1"/>
  <c r="I60" i="144" a="1"/>
  <c r="I60" i="144" s="1"/>
  <c r="F151" i="145" s="1"/>
  <c r="I16" i="144" a="1"/>
  <c r="I16" i="144" s="1"/>
  <c r="F107" i="145" s="1"/>
  <c r="I19" i="144" a="1"/>
  <c r="I19" i="144" s="1"/>
  <c r="F110" i="145" s="1"/>
  <c r="H30" i="146" a="1"/>
  <c r="H30" i="146" s="1"/>
  <c r="G72" i="97" a="1"/>
  <c r="G72" i="97" s="1"/>
  <c r="H26" i="144" a="1"/>
  <c r="H26" i="144" s="1"/>
  <c r="AK26" i="144" s="1" a="1"/>
  <c r="AK26" i="144" s="1"/>
  <c r="I49" i="144" a="1"/>
  <c r="I49" i="144" s="1"/>
  <c r="F140" i="145" s="1"/>
  <c r="H51" i="144" a="1"/>
  <c r="H51" i="144" s="1"/>
  <c r="AK51" i="144" s="1" a="1"/>
  <c r="AK51" i="144" s="1"/>
  <c r="I46" i="144" a="1"/>
  <c r="I46" i="144" s="1"/>
  <c r="F137" i="145" s="1"/>
  <c r="H53" i="144" a="1"/>
  <c r="H53" i="144" s="1"/>
  <c r="Y53" i="144" s="1" a="1"/>
  <c r="Y53" i="144" s="1"/>
  <c r="I58" i="144" a="1"/>
  <c r="I58" i="144" s="1"/>
  <c r="F149" i="145" s="1"/>
  <c r="M60" i="144" a="1"/>
  <c r="M60" i="144" s="1"/>
  <c r="G151" i="145" s="1"/>
  <c r="H71" i="144" a="1"/>
  <c r="H71" i="144" s="1"/>
  <c r="AB71" i="144" s="1" a="1"/>
  <c r="AB71" i="144" s="1"/>
  <c r="I36" i="144" a="1"/>
  <c r="I36" i="144" s="1"/>
  <c r="F127" i="145" s="1"/>
  <c r="M61" i="144" a="1"/>
  <c r="M61" i="144" s="1"/>
  <c r="G152" i="145" s="1"/>
  <c r="M71" i="144" a="1"/>
  <c r="M71" i="144" s="1"/>
  <c r="H50" i="144" a="1"/>
  <c r="H50" i="144" s="1"/>
  <c r="AB50" i="144" s="1" a="1"/>
  <c r="AB50" i="144" s="1"/>
  <c r="R141" i="145" s="1"/>
  <c r="I62" i="144" a="1"/>
  <c r="I62" i="144" s="1"/>
  <c r="F153" i="145" s="1"/>
  <c r="M20" i="144" a="1"/>
  <c r="M20" i="144" s="1"/>
  <c r="G111" i="145" s="1"/>
  <c r="I57" i="144" a="1"/>
  <c r="I57" i="144" s="1"/>
  <c r="F148" i="145" s="1"/>
  <c r="M25" i="144" a="1"/>
  <c r="M25" i="144" s="1"/>
  <c r="G116" i="145" s="1"/>
  <c r="H66" i="144" a="1"/>
  <c r="H66" i="144" s="1"/>
  <c r="Y66" i="144" s="1" a="1"/>
  <c r="Y66" i="144" s="1"/>
  <c r="I23" i="144" a="1"/>
  <c r="I23" i="144" s="1"/>
  <c r="F114" i="145" s="1"/>
  <c r="M48" i="144" a="1"/>
  <c r="M48" i="144" s="1"/>
  <c r="G139" i="145" s="1"/>
  <c r="H19" i="144" a="1"/>
  <c r="H19" i="144" s="1"/>
  <c r="D110" i="145" s="1"/>
  <c r="I24" i="144" a="1"/>
  <c r="I24" i="144" s="1"/>
  <c r="F115" i="145" s="1"/>
  <c r="M52" i="144" a="1"/>
  <c r="M52" i="144" s="1"/>
  <c r="G143" i="145" s="1"/>
  <c r="H42" i="144" a="1"/>
  <c r="H42" i="144" s="1"/>
  <c r="AA42" i="144" s="1" a="1"/>
  <c r="AA42" i="144" s="1"/>
  <c r="Q133" i="145" s="1"/>
  <c r="I51" i="144" a="1"/>
  <c r="I51" i="144" s="1"/>
  <c r="F142" i="145" s="1"/>
  <c r="M42" i="144" a="1"/>
  <c r="M42" i="144" s="1"/>
  <c r="G133" i="145" s="1"/>
  <c r="H17" i="144" a="1"/>
  <c r="H17" i="144" s="1"/>
  <c r="AB17" i="144" s="1" a="1"/>
  <c r="AB17" i="144" s="1"/>
  <c r="I69" i="144" a="1"/>
  <c r="I69" i="144" s="1"/>
  <c r="H102" i="97" a="1"/>
  <c r="H102" i="97" s="1"/>
  <c r="M54" i="144" a="1"/>
  <c r="M54" i="144" s="1"/>
  <c r="G145" i="145" s="1"/>
  <c r="H40" i="144" a="1"/>
  <c r="H40" i="144" s="1"/>
  <c r="D131" i="145" s="1"/>
  <c r="I63" i="144" a="1"/>
  <c r="I63" i="144" s="1"/>
  <c r="F154" i="145" s="1"/>
  <c r="M32" i="144" a="1"/>
  <c r="M32" i="144" s="1"/>
  <c r="G123" i="145" s="1"/>
  <c r="M17" i="144" a="1"/>
  <c r="M17" i="144" s="1"/>
  <c r="G108" i="145" s="1"/>
  <c r="I47" i="144" a="1"/>
  <c r="I47" i="144" s="1"/>
  <c r="F138" i="145" s="1"/>
  <c r="M27" i="144" a="1"/>
  <c r="M27" i="144" s="1"/>
  <c r="G118" i="145" s="1"/>
  <c r="M50" i="144" a="1"/>
  <c r="M50" i="144" s="1"/>
  <c r="G141" i="145" s="1"/>
  <c r="H37" i="144" a="1"/>
  <c r="H37" i="144" s="1"/>
  <c r="AN37" i="144" s="1" a="1"/>
  <c r="AN37" i="144" s="1"/>
  <c r="I29" i="144" a="1"/>
  <c r="I29" i="144" s="1"/>
  <c r="F120" i="145" s="1"/>
  <c r="G64" i="97"/>
  <c r="H109" i="97" s="1"/>
  <c r="G101" i="97"/>
  <c r="H38" i="97"/>
  <c r="H25" i="97"/>
  <c r="H54" i="97"/>
  <c r="H46" i="97"/>
  <c r="H47" i="97" s="1"/>
  <c r="H45" i="97"/>
  <c r="H35" i="97"/>
  <c r="H55" i="97"/>
  <c r="H24" i="97"/>
  <c r="H44" i="97"/>
  <c r="H34" i="97"/>
  <c r="H33" i="97"/>
  <c r="H23" i="97"/>
  <c r="H30" i="97"/>
  <c r="H21" i="97"/>
  <c r="H48" i="97"/>
  <c r="H39" i="97"/>
  <c r="H56" i="97"/>
  <c r="H40" i="97"/>
  <c r="H31" i="97"/>
  <c r="H32" i="97" s="1"/>
  <c r="H26" i="97"/>
  <c r="H27" i="97" s="1"/>
  <c r="H58" i="97"/>
  <c r="H41" i="97"/>
  <c r="H19" i="97"/>
  <c r="H36" i="97"/>
  <c r="H37" i="97" s="1"/>
  <c r="H28" i="97"/>
  <c r="H20" i="97"/>
  <c r="H29" i="97"/>
  <c r="H43" i="97"/>
  <c r="H74" i="97" a="1"/>
  <c r="H74" i="97" s="1"/>
  <c r="H127" i="97" a="1"/>
  <c r="H127" i="97" s="1"/>
  <c r="H81" i="97" a="1"/>
  <c r="H81" i="97" s="1"/>
  <c r="H134" i="97" a="1"/>
  <c r="H134" i="97" s="1"/>
  <c r="H105" i="97" a="1"/>
  <c r="H105" i="97" s="1"/>
  <c r="H158" i="97" a="1"/>
  <c r="H158" i="97" s="1"/>
  <c r="H82" i="97" a="1"/>
  <c r="H82" i="97" s="1"/>
  <c r="H135" i="97" a="1"/>
  <c r="H135" i="97" s="1"/>
  <c r="H159" i="97" a="1"/>
  <c r="H159" i="97" s="1"/>
  <c r="H106" i="97" a="1"/>
  <c r="H106" i="97" s="1"/>
  <c r="H94" i="97" a="1"/>
  <c r="H94" i="97" s="1"/>
  <c r="H147" i="97" a="1"/>
  <c r="H147" i="97" s="1"/>
  <c r="H123" i="97" a="1"/>
  <c r="H123" i="97" s="1"/>
  <c r="H70" i="97" a="1"/>
  <c r="H70" i="97" s="1"/>
  <c r="H72" i="97" a="1"/>
  <c r="H72" i="97" s="1"/>
  <c r="H125" i="97" a="1"/>
  <c r="H125" i="97" s="1"/>
  <c r="H145" i="97" a="1"/>
  <c r="H145" i="97" s="1"/>
  <c r="H92" i="97" a="1"/>
  <c r="H92" i="97" s="1"/>
  <c r="H161" i="97" a="1"/>
  <c r="H161" i="97" s="1"/>
  <c r="H108" i="97" a="1"/>
  <c r="H108" i="97" s="1"/>
  <c r="H128" i="97" a="1"/>
  <c r="H128" i="97" s="1"/>
  <c r="H75" i="97" a="1"/>
  <c r="H75" i="97" s="1"/>
  <c r="H137" i="97" a="1"/>
  <c r="H137" i="97" s="1"/>
  <c r="H84" i="97" a="1"/>
  <c r="H84" i="97" s="1"/>
  <c r="H117" i="97" a="1"/>
  <c r="H117" i="97" s="1"/>
  <c r="H64" i="97" a="1"/>
  <c r="H64" i="97" s="1"/>
  <c r="I109" i="97" s="1"/>
  <c r="H139" i="97" a="1"/>
  <c r="H139" i="97" s="1"/>
  <c r="H86" i="97" a="1"/>
  <c r="H86" i="97" s="1"/>
  <c r="H116" i="97" a="1"/>
  <c r="H116" i="97" s="1"/>
  <c r="H63" i="97" a="1"/>
  <c r="H63" i="97" s="1"/>
  <c r="H119" i="97" a="1"/>
  <c r="H119" i="97" s="1"/>
  <c r="H66" i="97" a="1"/>
  <c r="H66" i="97" s="1"/>
  <c r="H110" i="97" a="1"/>
  <c r="H110" i="97" s="1"/>
  <c r="H163" i="97" a="1"/>
  <c r="H163" i="97" s="1"/>
  <c r="H96" i="97" a="1"/>
  <c r="H96" i="97" s="1"/>
  <c r="H149" i="97" a="1"/>
  <c r="H149" i="97" s="1"/>
  <c r="H122" i="97" a="1"/>
  <c r="H122" i="97" s="1"/>
  <c r="H69" i="97" a="1"/>
  <c r="H69" i="97" s="1"/>
  <c r="H143" i="97" a="1"/>
  <c r="H143" i="97" s="1"/>
  <c r="H90" i="97" a="1"/>
  <c r="H90" i="97" s="1"/>
  <c r="H78" i="97" a="1"/>
  <c r="H78" i="97" s="1"/>
  <c r="H131" i="97" a="1"/>
  <c r="H131" i="97" s="1"/>
  <c r="H141" i="97" a="1"/>
  <c r="H141" i="97" s="1"/>
  <c r="H88" i="97" a="1"/>
  <c r="H88" i="97" s="1"/>
  <c r="H68" i="97" a="1"/>
  <c r="H68" i="97" s="1"/>
  <c r="H121" i="97" a="1"/>
  <c r="H121" i="97" s="1"/>
  <c r="H140" i="97" a="1"/>
  <c r="H140" i="97" s="1"/>
  <c r="H87" i="97" a="1"/>
  <c r="H87" i="97" s="1"/>
  <c r="H98" i="97" a="1"/>
  <c r="H98" i="97" s="1"/>
  <c r="H151" i="97" a="1"/>
  <c r="H151" i="97" s="1"/>
  <c r="H129" i="97" a="1"/>
  <c r="H129" i="97" s="1"/>
  <c r="H76" i="97" a="1"/>
  <c r="H76" i="97" s="1"/>
  <c r="H80" i="97" a="1"/>
  <c r="H80" i="97" s="1"/>
  <c r="H133" i="97" a="1"/>
  <c r="H133" i="97" s="1"/>
  <c r="H93" i="97" a="1"/>
  <c r="H93" i="97" s="1"/>
  <c r="H146" i="97" a="1"/>
  <c r="H146" i="97" s="1"/>
  <c r="I53" i="97"/>
  <c r="I49" i="97"/>
  <c r="I50" i="97"/>
  <c r="I51" i="97"/>
  <c r="I52" i="97" s="1"/>
  <c r="I18" i="146"/>
  <c r="I19" i="146"/>
  <c r="I20" i="146"/>
  <c r="I21" i="146" s="1"/>
  <c r="I22" i="146"/>
  <c r="I155" i="97" a="1"/>
  <c r="I155" i="97" s="1"/>
  <c r="I102" i="97" a="1"/>
  <c r="I102" i="97" s="1"/>
  <c r="I99" i="97" a="1"/>
  <c r="I99" i="97" s="1"/>
  <c r="I152" i="97" a="1"/>
  <c r="I152" i="97" s="1"/>
  <c r="I157" i="97" a="1"/>
  <c r="I157" i="97" s="1"/>
  <c r="I104" i="97" a="1"/>
  <c r="I104" i="97" s="1"/>
  <c r="I100" i="97" a="1"/>
  <c r="I100" i="97" s="1"/>
  <c r="I153" i="97" a="1"/>
  <c r="I153" i="97" s="1"/>
  <c r="I43" i="146" a="1"/>
  <c r="I43" i="146" s="1"/>
  <c r="I32" i="146" a="1"/>
  <c r="I32" i="146" s="1"/>
  <c r="I41" i="146" a="1"/>
  <c r="I41" i="146" s="1"/>
  <c r="I30" i="146" a="1"/>
  <c r="I30" i="146" s="1"/>
  <c r="I38" i="146" a="1"/>
  <c r="I38" i="146" s="1"/>
  <c r="I27" i="146" a="1"/>
  <c r="I27" i="146" s="1"/>
  <c r="I39" i="146" a="1"/>
  <c r="I39" i="146" s="1"/>
  <c r="I28" i="146" a="1"/>
  <c r="I28" i="146" s="1"/>
  <c r="G103" i="97"/>
  <c r="G154" i="97"/>
  <c r="I51" i="98" a="1"/>
  <c r="I51" i="98" s="1"/>
  <c r="F93" i="138" s="1"/>
  <c r="I72" i="98" a="1"/>
  <c r="I72" i="98" s="1"/>
  <c r="I71" i="98" a="1"/>
  <c r="I71" i="98" s="1"/>
  <c r="I57" i="98" a="1"/>
  <c r="I57" i="98" s="1"/>
  <c r="F99" i="138" s="1"/>
  <c r="I67" i="98" a="1"/>
  <c r="I67" i="98" s="1"/>
  <c r="I53" i="98" a="1"/>
  <c r="I53" i="98" s="1"/>
  <c r="F95" i="138" s="1"/>
  <c r="I48" i="98" a="1"/>
  <c r="I48" i="98" s="1"/>
  <c r="F90" i="138" s="1"/>
  <c r="I68" i="98" a="1"/>
  <c r="I68" i="98" s="1"/>
  <c r="I55" i="98" a="1"/>
  <c r="I55" i="98" s="1"/>
  <c r="F97" i="138" s="1"/>
  <c r="I47" i="98" a="1"/>
  <c r="I47" i="98" s="1"/>
  <c r="F89" i="138" s="1"/>
  <c r="I61" i="98" a="1"/>
  <c r="I61" i="98" s="1"/>
  <c r="F103" i="138" s="1"/>
  <c r="I60" i="98" a="1"/>
  <c r="I60" i="98" s="1"/>
  <c r="F102" i="138" s="1"/>
  <c r="I66" i="98" a="1"/>
  <c r="I66" i="98" s="1"/>
  <c r="I64" i="98" a="1"/>
  <c r="I64" i="98" s="1"/>
  <c r="F106" i="138" s="1"/>
  <c r="I50" i="98" a="1"/>
  <c r="I50" i="98" s="1"/>
  <c r="F92" i="138" s="1"/>
  <c r="I69" i="98" a="1"/>
  <c r="I69" i="98" s="1"/>
  <c r="I52" i="98" a="1"/>
  <c r="I52" i="98" s="1"/>
  <c r="F94" i="138" s="1"/>
  <c r="I49" i="98" a="1"/>
  <c r="I49" i="98" s="1"/>
  <c r="F91" i="138" s="1"/>
  <c r="I63" i="98" a="1"/>
  <c r="I63" i="98" s="1"/>
  <c r="F105" i="138" s="1"/>
  <c r="I65" i="98" a="1"/>
  <c r="I65" i="98" s="1"/>
  <c r="F107" i="138" s="1"/>
  <c r="I58" i="98" a="1"/>
  <c r="I58" i="98" s="1"/>
  <c r="F100" i="138" s="1"/>
  <c r="I59" i="98" a="1"/>
  <c r="I59" i="98" s="1"/>
  <c r="F101" i="138" s="1"/>
  <c r="I62" i="98" a="1"/>
  <c r="I62" i="98" s="1"/>
  <c r="F104" i="138" s="1"/>
  <c r="I70" i="98" a="1"/>
  <c r="I70" i="98" s="1"/>
  <c r="I56" i="98" a="1"/>
  <c r="I56" i="98" s="1"/>
  <c r="F98" i="138" s="1"/>
  <c r="I54" i="98" a="1"/>
  <c r="I54" i="98" s="1"/>
  <c r="F96" i="138" s="1"/>
  <c r="M62" i="98" a="1"/>
  <c r="M62" i="98" s="1"/>
  <c r="G104" i="138" s="1"/>
  <c r="M50" i="98" a="1"/>
  <c r="M50" i="98" s="1"/>
  <c r="G92" i="138" s="1"/>
  <c r="M45" i="98" a="1"/>
  <c r="M45" i="98" s="1"/>
  <c r="G87" i="138" s="1"/>
  <c r="M54" i="98" a="1"/>
  <c r="M54" i="98" s="1"/>
  <c r="G96" i="138" s="1"/>
  <c r="M70" i="98" a="1"/>
  <c r="M70" i="98" s="1"/>
  <c r="M36" i="98" a="1"/>
  <c r="M36" i="98" s="1"/>
  <c r="G78" i="138" s="1"/>
  <c r="M65" i="98" a="1"/>
  <c r="M65" i="98" s="1"/>
  <c r="G107" i="138" s="1"/>
  <c r="M17" i="98" a="1"/>
  <c r="M17" i="98" s="1"/>
  <c r="G59" i="138" s="1"/>
  <c r="M56" i="98" a="1"/>
  <c r="M56" i="98" s="1"/>
  <c r="G98" i="138" s="1"/>
  <c r="M49" i="98" a="1"/>
  <c r="M49" i="98" s="1"/>
  <c r="G91" i="138" s="1"/>
  <c r="M30" i="98" a="1"/>
  <c r="M30" i="98" s="1"/>
  <c r="G72" i="138" s="1"/>
  <c r="M72" i="98" a="1"/>
  <c r="M72" i="98" s="1"/>
  <c r="M51" i="98" a="1"/>
  <c r="M51" i="98" s="1"/>
  <c r="G93" i="138" s="1"/>
  <c r="M66" i="98" a="1"/>
  <c r="M66" i="98" s="1"/>
  <c r="M63" i="98" a="1"/>
  <c r="M63" i="98" s="1"/>
  <c r="G105" i="138" s="1"/>
  <c r="M27" i="98" a="1"/>
  <c r="M27" i="98" s="1"/>
  <c r="G69" i="138" s="1"/>
  <c r="M40" i="98" a="1"/>
  <c r="M40" i="98" s="1"/>
  <c r="G82" i="138" s="1"/>
  <c r="M16" i="98" a="1"/>
  <c r="M16" i="98" s="1"/>
  <c r="G58" i="138" s="1"/>
  <c r="M69" i="98" a="1"/>
  <c r="M69" i="98" s="1"/>
  <c r="M38" i="98" a="1"/>
  <c r="M38" i="98" s="1"/>
  <c r="G80" i="138" s="1"/>
  <c r="M60" i="98" a="1"/>
  <c r="M60" i="98" s="1"/>
  <c r="G102" i="138" s="1"/>
  <c r="M18" i="98" a="1"/>
  <c r="M18" i="98" s="1"/>
  <c r="G60" i="138" s="1"/>
  <c r="M71" i="98" a="1"/>
  <c r="M71" i="98" s="1"/>
  <c r="M48" i="98" a="1"/>
  <c r="M48" i="98" s="1"/>
  <c r="G90" i="138" s="1"/>
  <c r="M46" i="98" a="1"/>
  <c r="M46" i="98" s="1"/>
  <c r="G88" i="138" s="1"/>
  <c r="M41" i="98" a="1"/>
  <c r="M41" i="98" s="1"/>
  <c r="G83" i="138" s="1"/>
  <c r="M28" i="98" a="1"/>
  <c r="M28" i="98" s="1"/>
  <c r="G70" i="138" s="1"/>
  <c r="M32" i="98" a="1"/>
  <c r="M32" i="98" s="1"/>
  <c r="G74" i="138" s="1"/>
  <c r="M58" i="98" a="1"/>
  <c r="M58" i="98" s="1"/>
  <c r="G100" i="138" s="1"/>
  <c r="M23" i="98" a="1"/>
  <c r="M23" i="98" s="1"/>
  <c r="G65" i="138" s="1"/>
  <c r="M20" i="98" a="1"/>
  <c r="M20" i="98" s="1"/>
  <c r="G62" i="138" s="1"/>
  <c r="M59" i="98" a="1"/>
  <c r="M59" i="98" s="1"/>
  <c r="G101" i="138" s="1"/>
  <c r="M22" i="98" a="1"/>
  <c r="M22" i="98" s="1"/>
  <c r="G64" i="138" s="1"/>
  <c r="M61" i="98" a="1"/>
  <c r="M61" i="98" s="1"/>
  <c r="G103" i="138" s="1"/>
  <c r="M33" i="98" a="1"/>
  <c r="M33" i="98" s="1"/>
  <c r="G75" i="138" s="1"/>
  <c r="M64" i="98" a="1"/>
  <c r="M64" i="98" s="1"/>
  <c r="G106" i="138" s="1"/>
  <c r="M31" i="98" a="1"/>
  <c r="M31" i="98" s="1"/>
  <c r="G73" i="138" s="1"/>
  <c r="M53" i="98" a="1"/>
  <c r="M53" i="98" s="1"/>
  <c r="G95" i="138" s="1"/>
  <c r="M57" i="98" a="1"/>
  <c r="M57" i="98" s="1"/>
  <c r="G99" i="138" s="1"/>
  <c r="M47" i="98" a="1"/>
  <c r="M47" i="98" s="1"/>
  <c r="G89" i="138" s="1"/>
  <c r="M25" i="98" a="1"/>
  <c r="M25" i="98" s="1"/>
  <c r="G67" i="138" s="1"/>
  <c r="M55" i="98" a="1"/>
  <c r="M55" i="98" s="1"/>
  <c r="G97" i="138" s="1"/>
  <c r="M43" i="98" a="1"/>
  <c r="M43" i="98" s="1"/>
  <c r="G85" i="138" s="1"/>
  <c r="M34" i="98" a="1"/>
  <c r="M34" i="98" s="1"/>
  <c r="G76" i="138" s="1"/>
  <c r="M29" i="98" a="1"/>
  <c r="M29" i="98" s="1"/>
  <c r="G71" i="138" s="1"/>
  <c r="M21" i="98" a="1"/>
  <c r="M21" i="98" s="1"/>
  <c r="G63" i="138" s="1"/>
  <c r="M67" i="98" a="1"/>
  <c r="M67" i="98" s="1"/>
  <c r="M35" i="98" a="1"/>
  <c r="M35" i="98" s="1"/>
  <c r="G77" i="138" s="1"/>
  <c r="M68" i="98" a="1"/>
  <c r="M68" i="98" s="1"/>
  <c r="M44" i="98" a="1"/>
  <c r="M44" i="98" s="1"/>
  <c r="G86" i="138" s="1"/>
  <c r="M39" i="98" a="1"/>
  <c r="M39" i="98" s="1"/>
  <c r="G81" i="138" s="1"/>
  <c r="M19" i="98" a="1"/>
  <c r="M19" i="98" s="1"/>
  <c r="G61" i="138" s="1"/>
  <c r="M37" i="98" a="1"/>
  <c r="M37" i="98" s="1"/>
  <c r="G79" i="138" s="1"/>
  <c r="M42" i="98" a="1"/>
  <c r="M42" i="98" s="1"/>
  <c r="G84" i="138" s="1"/>
  <c r="M52" i="98" a="1"/>
  <c r="M52" i="98" s="1"/>
  <c r="G94" i="138" s="1"/>
  <c r="M24" i="98" a="1"/>
  <c r="M24" i="98" s="1"/>
  <c r="G66" i="138" s="1"/>
  <c r="M26" i="98" a="1"/>
  <c r="M26" i="98" s="1"/>
  <c r="G68" i="138" s="1"/>
  <c r="F37" i="97"/>
  <c r="G85" i="97" s="1"/>
  <c r="F22" i="97"/>
  <c r="G67" i="97" s="1"/>
  <c r="F42" i="97"/>
  <c r="G42" i="97"/>
  <c r="H144" i="97" s="1"/>
  <c r="G32" i="97"/>
  <c r="H79" i="97" s="1"/>
  <c r="G22" i="97"/>
  <c r="H120" i="97" s="1"/>
  <c r="G57" i="97"/>
  <c r="H162" i="97" s="1"/>
  <c r="H52" i="97"/>
  <c r="I103" i="97" s="1"/>
  <c r="G47" i="97"/>
  <c r="H97" i="97" s="1"/>
  <c r="J67" i="98" a="1"/>
  <c r="J67" i="98" s="1"/>
  <c r="J60" i="98" a="1"/>
  <c r="J60" i="98" s="1"/>
  <c r="J57" i="98" a="1"/>
  <c r="J57" i="98" s="1"/>
  <c r="J52" i="98" a="1"/>
  <c r="J52" i="98" s="1"/>
  <c r="J72" i="98" a="1"/>
  <c r="J72" i="98" s="1"/>
  <c r="J71" i="98" a="1"/>
  <c r="J71" i="98" s="1"/>
  <c r="J62" i="98" a="1"/>
  <c r="J62" i="98" s="1"/>
  <c r="J58" i="98" a="1"/>
  <c r="J58" i="98" s="1"/>
  <c r="J65" i="98" a="1"/>
  <c r="J65" i="98" s="1"/>
  <c r="J66" i="98" a="1"/>
  <c r="J66" i="98" s="1"/>
  <c r="J53" i="98" a="1"/>
  <c r="J53" i="98" s="1"/>
  <c r="J51" i="98" a="1"/>
  <c r="J51" i="98" s="1"/>
  <c r="J49" i="98" a="1"/>
  <c r="J49" i="98" s="1"/>
  <c r="J56" i="98" a="1"/>
  <c r="J56" i="98" s="1"/>
  <c r="J64" i="98" a="1"/>
  <c r="J64" i="98" s="1"/>
  <c r="J55" i="98" a="1"/>
  <c r="J55" i="98" s="1"/>
  <c r="J63" i="98" a="1"/>
  <c r="J63" i="98" s="1"/>
  <c r="J69" i="98" a="1"/>
  <c r="J69" i="98" s="1"/>
  <c r="J47" i="98" a="1"/>
  <c r="J47" i="98" s="1"/>
  <c r="J54" i="98" a="1"/>
  <c r="J54" i="98" s="1"/>
  <c r="J48" i="98" a="1"/>
  <c r="J48" i="98" s="1"/>
  <c r="J59" i="98" a="1"/>
  <c r="J59" i="98" s="1"/>
  <c r="J68" i="98" a="1"/>
  <c r="J68" i="98" s="1"/>
  <c r="J61" i="98" a="1"/>
  <c r="J61" i="98" s="1"/>
  <c r="J70" i="98" a="1"/>
  <c r="J70" i="98" s="1"/>
  <c r="J50" i="98" a="1"/>
  <c r="J50" i="98" s="1"/>
  <c r="K68" i="98" a="1"/>
  <c r="K68" i="98" s="1"/>
  <c r="K69" i="98" a="1"/>
  <c r="K69" i="98" s="1"/>
  <c r="K67" i="98" a="1"/>
  <c r="K67" i="98" s="1"/>
  <c r="K58" i="98" a="1"/>
  <c r="K58" i="98" s="1"/>
  <c r="J100" i="138" s="1"/>
  <c r="K50" i="98" a="1"/>
  <c r="K50" i="98" s="1"/>
  <c r="J92" i="138" s="1"/>
  <c r="K56" i="98" a="1"/>
  <c r="K56" i="98" s="1"/>
  <c r="J98" i="138" s="1"/>
  <c r="K57" i="98" a="1"/>
  <c r="K57" i="98" s="1"/>
  <c r="J99" i="138" s="1"/>
  <c r="K60" i="98" a="1"/>
  <c r="K60" i="98" s="1"/>
  <c r="J102" i="138" s="1"/>
  <c r="K65" i="98" a="1"/>
  <c r="K65" i="98" s="1"/>
  <c r="J107" i="138" s="1"/>
  <c r="K53" i="98" a="1"/>
  <c r="K53" i="98" s="1"/>
  <c r="J95" i="138" s="1"/>
  <c r="K66" i="98" a="1"/>
  <c r="K66" i="98" s="1"/>
  <c r="K51" i="98" a="1"/>
  <c r="K51" i="98" s="1"/>
  <c r="J93" i="138" s="1"/>
  <c r="K62" i="98" a="1"/>
  <c r="K62" i="98" s="1"/>
  <c r="J104" i="138" s="1"/>
  <c r="K47" i="98" a="1"/>
  <c r="K47" i="98" s="1"/>
  <c r="J89" i="138" s="1"/>
  <c r="K59" i="98" a="1"/>
  <c r="K59" i="98" s="1"/>
  <c r="J101" i="138" s="1"/>
  <c r="K54" i="98" a="1"/>
  <c r="K54" i="98" s="1"/>
  <c r="J96" i="138" s="1"/>
  <c r="K48" i="98" a="1"/>
  <c r="K48" i="98" s="1"/>
  <c r="J90" i="138" s="1"/>
  <c r="K70" i="98" a="1"/>
  <c r="K70" i="98" s="1"/>
  <c r="K52" i="98" a="1"/>
  <c r="K52" i="98" s="1"/>
  <c r="J94" i="138" s="1"/>
  <c r="K71" i="98" a="1"/>
  <c r="K71" i="98" s="1"/>
  <c r="K63" i="98" a="1"/>
  <c r="K63" i="98" s="1"/>
  <c r="J105" i="138" s="1"/>
  <c r="K64" i="98" a="1"/>
  <c r="K64" i="98" s="1"/>
  <c r="J106" i="138" s="1"/>
  <c r="K49" i="98" a="1"/>
  <c r="K49" i="98" s="1"/>
  <c r="J91" i="138" s="1"/>
  <c r="K72" i="98" a="1"/>
  <c r="K72" i="98" s="1"/>
  <c r="K61" i="98" a="1"/>
  <c r="K61" i="98" s="1"/>
  <c r="J103" i="138" s="1"/>
  <c r="K55" i="98" a="1"/>
  <c r="K55" i="98" s="1"/>
  <c r="J97" i="138" s="1"/>
  <c r="F57" i="97"/>
  <c r="G162" i="97" s="1"/>
  <c r="K19" i="144" a="1"/>
  <c r="K19" i="144" s="1"/>
  <c r="J110" i="145" s="1"/>
  <c r="K45" i="144" a="1"/>
  <c r="K45" i="144" s="1"/>
  <c r="J136" i="145" s="1"/>
  <c r="K65" i="144" a="1"/>
  <c r="K65" i="144" s="1"/>
  <c r="J156" i="145" s="1"/>
  <c r="K58" i="144" a="1"/>
  <c r="K58" i="144" s="1"/>
  <c r="J149" i="145" s="1"/>
  <c r="K35" i="144" a="1"/>
  <c r="K35" i="144" s="1"/>
  <c r="J126" i="145" s="1"/>
  <c r="K44" i="144" a="1"/>
  <c r="K44" i="144" s="1"/>
  <c r="J135" i="145" s="1"/>
  <c r="K17" i="144" a="1"/>
  <c r="K17" i="144" s="1"/>
  <c r="J108" i="145" s="1"/>
  <c r="K16" i="144" a="1"/>
  <c r="K16" i="144" s="1"/>
  <c r="J107" i="145" s="1"/>
  <c r="K52" i="144" a="1"/>
  <c r="K52" i="144" s="1"/>
  <c r="J143" i="145" s="1"/>
  <c r="K46" i="144" a="1"/>
  <c r="K46" i="144" s="1"/>
  <c r="J137" i="145" s="1"/>
  <c r="K67" i="144" a="1"/>
  <c r="K67" i="144" s="1"/>
  <c r="K70" i="144" a="1"/>
  <c r="K70" i="144" s="1"/>
  <c r="K25" i="144" a="1"/>
  <c r="K25" i="144" s="1"/>
  <c r="J116" i="145" s="1"/>
  <c r="K20" i="144" a="1"/>
  <c r="K20" i="144" s="1"/>
  <c r="J111" i="145" s="1"/>
  <c r="K33" i="144" a="1"/>
  <c r="K33" i="144" s="1"/>
  <c r="J124" i="145" s="1"/>
  <c r="K22" i="144" a="1"/>
  <c r="K22" i="144" s="1"/>
  <c r="J113" i="145" s="1"/>
  <c r="K55" i="144" a="1"/>
  <c r="K55" i="144" s="1"/>
  <c r="J146" i="145" s="1"/>
  <c r="K63" i="144" a="1"/>
  <c r="K63" i="144" s="1"/>
  <c r="J154" i="145" s="1"/>
  <c r="K29" i="144" a="1"/>
  <c r="K29" i="144" s="1"/>
  <c r="J120" i="145" s="1"/>
  <c r="K59" i="144" a="1"/>
  <c r="K59" i="144" s="1"/>
  <c r="J150" i="145" s="1"/>
  <c r="K39" i="144" a="1"/>
  <c r="K39" i="144" s="1"/>
  <c r="J130" i="145" s="1"/>
  <c r="K56" i="144" a="1"/>
  <c r="K56" i="144" s="1"/>
  <c r="J147" i="145" s="1"/>
  <c r="K31" i="144" a="1"/>
  <c r="K31" i="144" s="1"/>
  <c r="J122" i="145" s="1"/>
  <c r="K54" i="144" a="1"/>
  <c r="K54" i="144" s="1"/>
  <c r="J145" i="145" s="1"/>
  <c r="K47" i="144" a="1"/>
  <c r="K47" i="144" s="1"/>
  <c r="J138" i="145" s="1"/>
  <c r="K18" i="144" a="1"/>
  <c r="K18" i="144" s="1"/>
  <c r="J109" i="145" s="1"/>
  <c r="K34" i="144" a="1"/>
  <c r="K34" i="144" s="1"/>
  <c r="J125" i="145" s="1"/>
  <c r="K37" i="144" a="1"/>
  <c r="K37" i="144" s="1"/>
  <c r="J128" i="145" s="1"/>
  <c r="K43" i="144" a="1"/>
  <c r="K43" i="144" s="1"/>
  <c r="J134" i="145" s="1"/>
  <c r="K48" i="144" a="1"/>
  <c r="K48" i="144" s="1"/>
  <c r="J139" i="145" s="1"/>
  <c r="K23" i="144" a="1"/>
  <c r="K23" i="144" s="1"/>
  <c r="J114" i="145" s="1"/>
  <c r="K41" i="144" a="1"/>
  <c r="K41" i="144" s="1"/>
  <c r="J132" i="145" s="1"/>
  <c r="K71" i="144" a="1"/>
  <c r="K71" i="144" s="1"/>
  <c r="K21" i="144" a="1"/>
  <c r="K21" i="144" s="1"/>
  <c r="J112" i="145" s="1"/>
  <c r="K26" i="144" a="1"/>
  <c r="K26" i="144" s="1"/>
  <c r="J117" i="145" s="1"/>
  <c r="K38" i="144" a="1"/>
  <c r="K38" i="144" s="1"/>
  <c r="J129" i="145" s="1"/>
  <c r="K69" i="144" a="1"/>
  <c r="K69" i="144" s="1"/>
  <c r="K57" i="144" a="1"/>
  <c r="K57" i="144" s="1"/>
  <c r="J148" i="145" s="1"/>
  <c r="K62" i="144" a="1"/>
  <c r="K62" i="144" s="1"/>
  <c r="J153" i="145" s="1"/>
  <c r="K30" i="144" a="1"/>
  <c r="K30" i="144" s="1"/>
  <c r="J121" i="145" s="1"/>
  <c r="K32" i="144" a="1"/>
  <c r="K32" i="144" s="1"/>
  <c r="J123" i="145" s="1"/>
  <c r="K68" i="144" a="1"/>
  <c r="K68" i="144" s="1"/>
  <c r="K24" i="144" a="1"/>
  <c r="K24" i="144" s="1"/>
  <c r="J115" i="145" s="1"/>
  <c r="K27" i="144" a="1"/>
  <c r="K27" i="144" s="1"/>
  <c r="J118" i="145" s="1"/>
  <c r="K51" i="144" a="1"/>
  <c r="K51" i="144" s="1"/>
  <c r="J142" i="145" s="1"/>
  <c r="K61" i="144" a="1"/>
  <c r="K61" i="144" s="1"/>
  <c r="J152" i="145" s="1"/>
  <c r="K60" i="144" a="1"/>
  <c r="K60" i="144" s="1"/>
  <c r="J151" i="145" s="1"/>
  <c r="K64" i="144" a="1"/>
  <c r="K64" i="144" s="1"/>
  <c r="J155" i="145" s="1"/>
  <c r="K49" i="144" a="1"/>
  <c r="K49" i="144" s="1"/>
  <c r="J140" i="145" s="1"/>
  <c r="K42" i="144" a="1"/>
  <c r="K42" i="144" s="1"/>
  <c r="J133" i="145" s="1"/>
  <c r="K36" i="144" a="1"/>
  <c r="K36" i="144" s="1"/>
  <c r="J127" i="145" s="1"/>
  <c r="K66" i="144" a="1"/>
  <c r="K66" i="144" s="1"/>
  <c r="K53" i="144" a="1"/>
  <c r="K53" i="144" s="1"/>
  <c r="J144" i="145" s="1"/>
  <c r="K28" i="144" a="1"/>
  <c r="K28" i="144" s="1"/>
  <c r="J119" i="145" s="1"/>
  <c r="K40" i="144" a="1"/>
  <c r="K40" i="144" s="1"/>
  <c r="J131" i="145" s="1"/>
  <c r="K50" i="144" a="1"/>
  <c r="K50" i="144" s="1"/>
  <c r="J141" i="145" s="1"/>
  <c r="K72" i="144" a="1"/>
  <c r="K72" i="144" s="1"/>
  <c r="F47" i="97"/>
  <c r="G97" i="97" s="1"/>
  <c r="F27" i="97"/>
  <c r="G27" i="97"/>
  <c r="H126" i="97" s="1"/>
  <c r="G37" i="97"/>
  <c r="J16" i="144" a="1"/>
  <c r="J16" i="144" s="1"/>
  <c r="J43" i="144" a="1"/>
  <c r="J43" i="144" s="1"/>
  <c r="J37" i="144" a="1"/>
  <c r="J37" i="144" s="1"/>
  <c r="J52" i="144" a="1"/>
  <c r="J52" i="144" s="1"/>
  <c r="J45" i="144" a="1"/>
  <c r="J45" i="144" s="1"/>
  <c r="J62" i="144" a="1"/>
  <c r="J62" i="144" s="1"/>
  <c r="J40" i="144" a="1"/>
  <c r="J40" i="144" s="1"/>
  <c r="J29" i="144" a="1"/>
  <c r="J29" i="144" s="1"/>
  <c r="J55" i="144" a="1"/>
  <c r="J55" i="144" s="1"/>
  <c r="J27" i="144" a="1"/>
  <c r="J27" i="144" s="1"/>
  <c r="J26" i="144" a="1"/>
  <c r="J26" i="144" s="1"/>
  <c r="J31" i="144" a="1"/>
  <c r="J31" i="144" s="1"/>
  <c r="J54" i="144" a="1"/>
  <c r="J54" i="144" s="1"/>
  <c r="J57" i="144" a="1"/>
  <c r="J57" i="144" s="1"/>
  <c r="J51" i="144" a="1"/>
  <c r="J51" i="144" s="1"/>
  <c r="J33" i="144" a="1"/>
  <c r="J33" i="144" s="1"/>
  <c r="J59" i="144" a="1"/>
  <c r="J59" i="144" s="1"/>
  <c r="J58" i="144" a="1"/>
  <c r="J58" i="144" s="1"/>
  <c r="J34" i="144" a="1"/>
  <c r="J34" i="144" s="1"/>
  <c r="J18" i="144" a="1"/>
  <c r="J18" i="144" s="1"/>
  <c r="J38" i="144" a="1"/>
  <c r="J38" i="144" s="1"/>
  <c r="J39" i="144" a="1"/>
  <c r="J39" i="144" s="1"/>
  <c r="J36" i="144" a="1"/>
  <c r="J36" i="144" s="1"/>
  <c r="J56" i="144" a="1"/>
  <c r="J56" i="144" s="1"/>
  <c r="J30" i="144" a="1"/>
  <c r="J30" i="144" s="1"/>
  <c r="J64" i="144" a="1"/>
  <c r="J64" i="144" s="1"/>
  <c r="J72" i="144" a="1"/>
  <c r="J72" i="144" s="1"/>
  <c r="J63" i="144" a="1"/>
  <c r="J63" i="144" s="1"/>
  <c r="J65" i="144" a="1"/>
  <c r="J65" i="144" s="1"/>
  <c r="J24" i="144" a="1"/>
  <c r="J24" i="144" s="1"/>
  <c r="J48" i="144" a="1"/>
  <c r="J48" i="144" s="1"/>
  <c r="J67" i="144" a="1"/>
  <c r="J67" i="144" s="1"/>
  <c r="J69" i="144" a="1"/>
  <c r="J69" i="144" s="1"/>
  <c r="J66" i="144" a="1"/>
  <c r="J66" i="144" s="1"/>
  <c r="J50" i="144" a="1"/>
  <c r="J50" i="144" s="1"/>
  <c r="J71" i="144" a="1"/>
  <c r="J71" i="144" s="1"/>
  <c r="J60" i="144" a="1"/>
  <c r="J60" i="144" s="1"/>
  <c r="J42" i="144" a="1"/>
  <c r="J42" i="144" s="1"/>
  <c r="J35" i="144" a="1"/>
  <c r="J35" i="144" s="1"/>
  <c r="J41" i="144" a="1"/>
  <c r="J41" i="144" s="1"/>
  <c r="J23" i="144" a="1"/>
  <c r="J23" i="144" s="1"/>
  <c r="J44" i="144" a="1"/>
  <c r="J44" i="144" s="1"/>
  <c r="J25" i="144" a="1"/>
  <c r="J25" i="144" s="1"/>
  <c r="J49" i="144" a="1"/>
  <c r="J49" i="144" s="1"/>
  <c r="J68" i="144" a="1"/>
  <c r="J68" i="144" s="1"/>
  <c r="J28" i="144" a="1"/>
  <c r="J28" i="144" s="1"/>
  <c r="J17" i="144" a="1"/>
  <c r="J17" i="144" s="1"/>
  <c r="J70" i="144" a="1"/>
  <c r="J70" i="144" s="1"/>
  <c r="J47" i="144" a="1"/>
  <c r="J47" i="144" s="1"/>
  <c r="J21" i="144" a="1"/>
  <c r="J21" i="144" s="1"/>
  <c r="J46" i="144" a="1"/>
  <c r="J46" i="144" s="1"/>
  <c r="J20" i="144" a="1"/>
  <c r="J20" i="144" s="1"/>
  <c r="J53" i="144" a="1"/>
  <c r="J53" i="144" s="1"/>
  <c r="J61" i="144" a="1"/>
  <c r="J61" i="144" s="1"/>
  <c r="J32" i="144" a="1"/>
  <c r="J32" i="144" s="1"/>
  <c r="J22" i="144" a="1"/>
  <c r="J22" i="144" s="1"/>
  <c r="J19" i="144" a="1"/>
  <c r="J19" i="144" s="1"/>
  <c r="G52" i="97"/>
  <c r="F32" i="97"/>
  <c r="G132" i="97" s="1"/>
  <c r="H66" i="98" a="1"/>
  <c r="H66" i="98" s="1"/>
  <c r="H68" i="98" a="1"/>
  <c r="H68" i="98" s="1"/>
  <c r="H50" i="98" a="1"/>
  <c r="H50" i="98" s="1"/>
  <c r="H56" i="98" a="1"/>
  <c r="H56" i="98" s="1"/>
  <c r="H49" i="98" a="1"/>
  <c r="H49" i="98" s="1"/>
  <c r="H58" i="98" a="1"/>
  <c r="H58" i="98" s="1"/>
  <c r="H57" i="98" a="1"/>
  <c r="H57" i="98" s="1"/>
  <c r="H63" i="98" a="1"/>
  <c r="H63" i="98" s="1"/>
  <c r="H65" i="98" a="1"/>
  <c r="H65" i="98" s="1"/>
  <c r="H55" i="98" a="1"/>
  <c r="H55" i="98" s="1"/>
  <c r="H67" i="98" a="1"/>
  <c r="H67" i="98" s="1"/>
  <c r="H54" i="98" a="1"/>
  <c r="H54" i="98" s="1"/>
  <c r="H52" i="98" a="1"/>
  <c r="H52" i="98" s="1"/>
  <c r="H62" i="98" a="1"/>
  <c r="H62" i="98" s="1"/>
  <c r="H60" i="98" a="1"/>
  <c r="H60" i="98" s="1"/>
  <c r="H47" i="98" a="1"/>
  <c r="H47" i="98" s="1"/>
  <c r="H59" i="98" a="1"/>
  <c r="H59" i="98" s="1"/>
  <c r="H69" i="98" a="1"/>
  <c r="H69" i="98" s="1"/>
  <c r="H51" i="98" a="1"/>
  <c r="H51" i="98" s="1"/>
  <c r="H70" i="98" a="1"/>
  <c r="H70" i="98" s="1"/>
  <c r="H64" i="98" a="1"/>
  <c r="H64" i="98" s="1"/>
  <c r="H71" i="98" a="1"/>
  <c r="H71" i="98" s="1"/>
  <c r="H53" i="98" a="1"/>
  <c r="H53" i="98" s="1"/>
  <c r="H48" i="98" a="1"/>
  <c r="H48" i="98" s="1"/>
  <c r="H61" i="98" a="1"/>
  <c r="H61" i="98" s="1"/>
  <c r="H72" i="98" a="1"/>
  <c r="H72" i="98" s="1"/>
  <c r="F21" i="146"/>
  <c r="G21" i="146"/>
  <c r="H21" i="146"/>
  <c r="I42" i="146" s="1"/>
  <c r="I14" i="97"/>
  <c r="I13" i="146"/>
  <c r="H13" i="97"/>
  <c r="J19" i="146" a="1"/>
  <c r="I31" i="97" a="1"/>
  <c r="I28" i="97" a="1"/>
  <c r="I34" i="97" a="1"/>
  <c r="J51" i="97" a="1"/>
  <c r="I29" i="97" a="1"/>
  <c r="I43" i="97" a="1"/>
  <c r="J49" i="97" a="1"/>
  <c r="I19" i="97" a="1"/>
  <c r="I41" i="97" a="1"/>
  <c r="I21" i="97" a="1"/>
  <c r="I56" i="97" a="1"/>
  <c r="I24" i="97" a="1"/>
  <c r="I48" i="97" a="1"/>
  <c r="I46" i="97" a="1"/>
  <c r="I58" i="97" a="1"/>
  <c r="I38" i="97" a="1"/>
  <c r="J20" i="146" a="1"/>
  <c r="J53" i="97" a="1"/>
  <c r="J22" i="146" a="1"/>
  <c r="J50" i="97" a="1"/>
  <c r="I55" i="97" a="1"/>
  <c r="J18" i="146" a="1"/>
  <c r="I40" i="97" a="1"/>
  <c r="I36" i="97" a="1"/>
  <c r="I20" i="97" a="1"/>
  <c r="I33" i="97" a="1"/>
  <c r="I25" i="97" a="1"/>
  <c r="I35" i="97" a="1"/>
  <c r="I26" i="97" a="1"/>
  <c r="I45" i="97" a="1"/>
  <c r="I39" i="97" a="1"/>
  <c r="I30" i="97" a="1"/>
  <c r="I23" i="97" a="1"/>
  <c r="I54" i="97" a="1"/>
  <c r="I44" i="97" a="1"/>
  <c r="AA41" i="144" l="1" a="1"/>
  <c r="AA41" i="144" s="1"/>
  <c r="Q132" i="145" s="1"/>
  <c r="Y41" i="144" a="1"/>
  <c r="Y41" i="144" s="1"/>
  <c r="Z41" i="144" a="1"/>
  <c r="Z41" i="144" s="1"/>
  <c r="P132" i="145" s="1"/>
  <c r="AB41" i="144" a="1"/>
  <c r="AB41" i="144" s="1"/>
  <c r="R132" i="145" s="1"/>
  <c r="D124" i="145"/>
  <c r="AN46" i="144" a="1"/>
  <c r="AN46" i="144" s="1"/>
  <c r="L24" i="144"/>
  <c r="AK52" i="144" a="1"/>
  <c r="AK52" i="144" s="1"/>
  <c r="AB24" i="144" a="1"/>
  <c r="AB24" i="144" s="1"/>
  <c r="R115" i="145" s="1"/>
  <c r="AN61" i="144" a="1"/>
  <c r="AN61" i="144" s="1"/>
  <c r="AN34" i="144" a="1"/>
  <c r="AN34" i="144" s="1"/>
  <c r="AL52" i="144" a="1"/>
  <c r="AL52" i="144" s="1"/>
  <c r="Y33" i="144" a="1"/>
  <c r="Y33" i="144" s="1"/>
  <c r="O124" i="145" s="1"/>
  <c r="AM61" i="144" a="1"/>
  <c r="AM61" i="144" s="1"/>
  <c r="D132" i="145"/>
  <c r="D135" i="145"/>
  <c r="D145" i="145"/>
  <c r="D137" i="145"/>
  <c r="AN24" i="144" a="1"/>
  <c r="AN24" i="144" s="1"/>
  <c r="L52" i="144"/>
  <c r="AA24" i="144" a="1"/>
  <c r="AA24" i="144" s="1"/>
  <c r="Q115" i="145" s="1"/>
  <c r="Y17" i="144" a="1"/>
  <c r="Y17" i="144" s="1"/>
  <c r="AN51" i="144" a="1"/>
  <c r="AN51" i="144" s="1"/>
  <c r="AN41" i="144" a="1"/>
  <c r="AN41" i="144" s="1"/>
  <c r="AK24" i="144" a="1"/>
  <c r="AK24" i="144" s="1"/>
  <c r="AK61" i="144" a="1"/>
  <c r="AK61" i="144" s="1"/>
  <c r="AL61" i="144" a="1"/>
  <c r="AL61" i="144" s="1"/>
  <c r="AK45" i="144" a="1"/>
  <c r="AK45" i="144" s="1"/>
  <c r="AL17" i="144" a="1"/>
  <c r="AL17" i="144" s="1"/>
  <c r="AN67" i="144" a="1"/>
  <c r="AN67" i="144" s="1"/>
  <c r="Z67" i="144" a="1"/>
  <c r="Z67" i="144" s="1"/>
  <c r="D152" i="145"/>
  <c r="Y52" i="144" a="1"/>
  <c r="Y52" i="144" s="1"/>
  <c r="O143" i="145" s="1"/>
  <c r="Z52" i="144" a="1"/>
  <c r="Z52" i="144" s="1"/>
  <c r="P143" i="145" s="1"/>
  <c r="AL41" i="144" a="1"/>
  <c r="AL41" i="144" s="1"/>
  <c r="L54" i="144"/>
  <c r="AM41" i="144" a="1"/>
  <c r="AM41" i="144" s="1"/>
  <c r="AK41" i="144" a="1"/>
  <c r="AK41" i="144" s="1"/>
  <c r="AM67" i="144" a="1"/>
  <c r="AM67" i="144" s="1"/>
  <c r="Y29" i="144" a="1"/>
  <c r="Y29" i="144" s="1"/>
  <c r="O120" i="145" s="1"/>
  <c r="AA55" i="144" a="1"/>
  <c r="AA55" i="144" s="1"/>
  <c r="Q146" i="145" s="1"/>
  <c r="AM54" i="144" a="1"/>
  <c r="AM54" i="144" s="1"/>
  <c r="AN33" i="144" a="1"/>
  <c r="AN33" i="144" s="1"/>
  <c r="AL34" i="144" a="1"/>
  <c r="AL34" i="144" s="1"/>
  <c r="Z55" i="144" a="1"/>
  <c r="Z55" i="144" s="1"/>
  <c r="P146" i="145" s="1"/>
  <c r="AK33" i="144" a="1"/>
  <c r="AK33" i="144" s="1"/>
  <c r="AM33" i="144" a="1"/>
  <c r="AM33" i="144" s="1"/>
  <c r="AB54" i="144" a="1"/>
  <c r="AB54" i="144" s="1"/>
  <c r="R145" i="145" s="1"/>
  <c r="Z33" i="144" a="1"/>
  <c r="Z33" i="144" s="1"/>
  <c r="P124" i="145" s="1"/>
  <c r="AK34" i="144" a="1"/>
  <c r="AK34" i="144" s="1"/>
  <c r="AN55" i="144" a="1"/>
  <c r="AN55" i="144" s="1"/>
  <c r="AM29" i="144" a="1"/>
  <c r="AM29" i="144" s="1"/>
  <c r="Y55" i="144" a="1"/>
  <c r="Y55" i="144" s="1"/>
  <c r="O146" i="145" s="1"/>
  <c r="Z70" i="144" a="1"/>
  <c r="Z70" i="144" s="1"/>
  <c r="L33" i="144"/>
  <c r="D125" i="145"/>
  <c r="L34" i="144"/>
  <c r="Y51" i="144" a="1"/>
  <c r="Y51" i="144" s="1"/>
  <c r="O142" i="145" s="1"/>
  <c r="AA33" i="144" a="1"/>
  <c r="AA33" i="144" s="1"/>
  <c r="Q124" i="145" s="1"/>
  <c r="AN57" i="144" a="1"/>
  <c r="AN57" i="144" s="1"/>
  <c r="Y57" i="144" a="1"/>
  <c r="Y57" i="144" s="1"/>
  <c r="O148" i="145" s="1"/>
  <c r="Z57" i="144" a="1"/>
  <c r="Z57" i="144" s="1"/>
  <c r="P148" i="145" s="1"/>
  <c r="AA57" i="144" a="1"/>
  <c r="AA57" i="144" s="1"/>
  <c r="Q148" i="145" s="1"/>
  <c r="D136" i="145"/>
  <c r="AN38" i="144" a="1"/>
  <c r="AN38" i="144" s="1"/>
  <c r="AN29" i="144" a="1"/>
  <c r="AN29" i="144" s="1"/>
  <c r="D143" i="145"/>
  <c r="AB29" i="144" a="1"/>
  <c r="AB29" i="144" s="1"/>
  <c r="R120" i="145" s="1"/>
  <c r="D126" i="145"/>
  <c r="AL24" i="144" a="1"/>
  <c r="AL24" i="144" s="1"/>
  <c r="D108" i="145"/>
  <c r="AM17" i="144" a="1"/>
  <c r="AM17" i="144" s="1"/>
  <c r="AL67" i="144" a="1"/>
  <c r="AL67" i="144" s="1"/>
  <c r="AM24" i="144" a="1"/>
  <c r="AM24" i="144" s="1"/>
  <c r="AB36" i="144" a="1"/>
  <c r="AB36" i="144" s="1"/>
  <c r="R127" i="145" s="1"/>
  <c r="AB55" i="144" a="1"/>
  <c r="AB55" i="144" s="1"/>
  <c r="R146" i="145" s="1"/>
  <c r="Z31" i="144" a="1"/>
  <c r="Z31" i="144" s="1"/>
  <c r="P122" i="145" s="1"/>
  <c r="Y60" i="144" a="1"/>
  <c r="Y60" i="144" s="1"/>
  <c r="O151" i="145" s="1"/>
  <c r="AK54" i="144" a="1"/>
  <c r="AK54" i="144" s="1"/>
  <c r="AB33" i="144" a="1"/>
  <c r="AB33" i="144" s="1"/>
  <c r="R124" i="145" s="1"/>
  <c r="AK46" i="144" a="1"/>
  <c r="AK46" i="144" s="1"/>
  <c r="AA60" i="144" a="1"/>
  <c r="AA60" i="144" s="1"/>
  <c r="Q151" i="145" s="1"/>
  <c r="AL54" i="144" a="1"/>
  <c r="AL54" i="144" s="1"/>
  <c r="AM46" i="144" a="1"/>
  <c r="AM46" i="144" s="1"/>
  <c r="Z46" i="144" a="1"/>
  <c r="Z46" i="144" s="1"/>
  <c r="P137" i="145" s="1"/>
  <c r="AK25" i="144" a="1"/>
  <c r="AK25" i="144" s="1"/>
  <c r="Z54" i="144" a="1"/>
  <c r="Z54" i="144" s="1"/>
  <c r="P145" i="145" s="1"/>
  <c r="Y34" i="144" a="1"/>
  <c r="Y34" i="144" s="1"/>
  <c r="O125" i="145" s="1"/>
  <c r="AL25" i="144" a="1"/>
  <c r="AL25" i="144" s="1"/>
  <c r="AK31" i="144" a="1"/>
  <c r="AK31" i="144" s="1"/>
  <c r="AA54" i="144" a="1"/>
  <c r="AA54" i="144" s="1"/>
  <c r="Q145" i="145" s="1"/>
  <c r="AB46" i="144" a="1"/>
  <c r="AB46" i="144" s="1"/>
  <c r="R137" i="145" s="1"/>
  <c r="D116" i="145"/>
  <c r="AN54" i="144" a="1"/>
  <c r="AN54" i="144" s="1"/>
  <c r="AM52" i="144" a="1"/>
  <c r="AM52" i="144" s="1"/>
  <c r="Z34" i="144" a="1"/>
  <c r="Z34" i="144" s="1"/>
  <c r="P125" i="145" s="1"/>
  <c r="AM25" i="144" a="1"/>
  <c r="AM25" i="144" s="1"/>
  <c r="AL68" i="144" a="1"/>
  <c r="AL68" i="144" s="1"/>
  <c r="D146" i="145"/>
  <c r="AA25" i="144" a="1"/>
  <c r="AA25" i="144" s="1"/>
  <c r="Q116" i="145" s="1"/>
  <c r="AM60" i="144" a="1"/>
  <c r="AM60" i="144" s="1"/>
  <c r="Y46" i="144" a="1"/>
  <c r="Y46" i="144" s="1"/>
  <c r="O137" i="145" s="1"/>
  <c r="AA51" i="144" a="1"/>
  <c r="AA51" i="144" s="1"/>
  <c r="Q142" i="145" s="1"/>
  <c r="AM70" i="144" a="1"/>
  <c r="AM70" i="144" s="1"/>
  <c r="AA34" i="144" a="1"/>
  <c r="AA34" i="144" s="1"/>
  <c r="Q125" i="145" s="1"/>
  <c r="L17" i="144"/>
  <c r="AL51" i="144" a="1"/>
  <c r="AL51" i="144" s="1"/>
  <c r="Y70" i="144" a="1"/>
  <c r="Y70" i="144" s="1"/>
  <c r="Y24" i="144" a="1"/>
  <c r="Y24" i="144" s="1"/>
  <c r="O115" i="145" s="1"/>
  <c r="AB34" i="144" a="1"/>
  <c r="AB34" i="144" s="1"/>
  <c r="R125" i="145" s="1"/>
  <c r="AK35" i="144" a="1"/>
  <c r="AK35" i="144" s="1"/>
  <c r="AM36" i="144" a="1"/>
  <c r="AM36" i="144" s="1"/>
  <c r="AB60" i="144" a="1"/>
  <c r="AB60" i="144" s="1"/>
  <c r="R151" i="145" s="1"/>
  <c r="L55" i="144"/>
  <c r="Z68" i="144" a="1"/>
  <c r="Z68" i="144" s="1"/>
  <c r="L25" i="144"/>
  <c r="AM51" i="144" a="1"/>
  <c r="AM51" i="144" s="1"/>
  <c r="AA70" i="144" a="1"/>
  <c r="AA70" i="144" s="1"/>
  <c r="Z24" i="144" a="1"/>
  <c r="Z24" i="144" s="1"/>
  <c r="P115" i="145" s="1"/>
  <c r="D141" i="145"/>
  <c r="Y64" i="144" a="1"/>
  <c r="Y64" i="144" s="1"/>
  <c r="O155" i="145" s="1"/>
  <c r="Y68" i="144" a="1"/>
  <c r="Y68" i="144" s="1"/>
  <c r="AK36" i="144" a="1"/>
  <c r="AK36" i="144" s="1"/>
  <c r="AK60" i="144" a="1"/>
  <c r="AK60" i="144" s="1"/>
  <c r="AM35" i="144" a="1"/>
  <c r="AM35" i="144" s="1"/>
  <c r="AL31" i="144" a="1"/>
  <c r="AL31" i="144" s="1"/>
  <c r="D112" i="145"/>
  <c r="AA50" i="144" a="1"/>
  <c r="AA50" i="144" s="1"/>
  <c r="Q141" i="145" s="1"/>
  <c r="AA64" i="144" a="1"/>
  <c r="AA64" i="144" s="1"/>
  <c r="Q155" i="145" s="1"/>
  <c r="AK68" i="144" a="1"/>
  <c r="AK68" i="144" s="1"/>
  <c r="AN36" i="144" a="1"/>
  <c r="AN36" i="144" s="1"/>
  <c r="L49" i="144"/>
  <c r="AL70" i="144" a="1"/>
  <c r="AL70" i="144" s="1"/>
  <c r="AN68" i="144" a="1"/>
  <c r="AN68" i="144" s="1"/>
  <c r="AL36" i="144" a="1"/>
  <c r="AL36" i="144" s="1"/>
  <c r="Z60" i="144" a="1"/>
  <c r="Z60" i="144" s="1"/>
  <c r="P151" i="145" s="1"/>
  <c r="AL35" i="144" a="1"/>
  <c r="AL35" i="144" s="1"/>
  <c r="AB31" i="144" a="1"/>
  <c r="AB31" i="144" s="1"/>
  <c r="R122" i="145" s="1"/>
  <c r="AA37" i="144" a="1"/>
  <c r="AA37" i="144" s="1"/>
  <c r="Q128" i="145" s="1"/>
  <c r="L72" i="144"/>
  <c r="Z72" i="144" a="1"/>
  <c r="Z72" i="144" s="1"/>
  <c r="AN52" i="144" a="1"/>
  <c r="AN52" i="144" s="1"/>
  <c r="L61" i="144"/>
  <c r="AM22" i="144" a="1"/>
  <c r="AM22" i="144" s="1"/>
  <c r="AB45" i="144" a="1"/>
  <c r="AB45" i="144" s="1"/>
  <c r="R136" i="145" s="1"/>
  <c r="Y35" i="144" a="1"/>
  <c r="Y35" i="144" s="1"/>
  <c r="O126" i="145" s="1"/>
  <c r="L36" i="144"/>
  <c r="Y31" i="144" a="1"/>
  <c r="Y31" i="144" s="1"/>
  <c r="O122" i="145" s="1"/>
  <c r="Y72" i="144" a="1"/>
  <c r="Y72" i="144" s="1"/>
  <c r="L21" i="144"/>
  <c r="AK72" i="144" a="1"/>
  <c r="AK72" i="144" s="1"/>
  <c r="AB25" i="144" a="1"/>
  <c r="AB25" i="144" s="1"/>
  <c r="R116" i="145" s="1"/>
  <c r="AL40" i="144" a="1"/>
  <c r="AL40" i="144" s="1"/>
  <c r="D140" i="145"/>
  <c r="Y21" i="144" a="1"/>
  <c r="Y21" i="144" s="1"/>
  <c r="O112" i="145" s="1"/>
  <c r="AL45" i="144" a="1"/>
  <c r="AL45" i="144" s="1"/>
  <c r="Z35" i="144" a="1"/>
  <c r="Z35" i="144" s="1"/>
  <c r="P126" i="145" s="1"/>
  <c r="AM72" i="144" a="1"/>
  <c r="AM72" i="144" s="1"/>
  <c r="AM40" i="144" a="1"/>
  <c r="AM40" i="144" s="1"/>
  <c r="Y36" i="144" a="1"/>
  <c r="Y36" i="144" s="1"/>
  <c r="O127" i="145" s="1"/>
  <c r="Z21" i="144" a="1"/>
  <c r="Z21" i="144" s="1"/>
  <c r="P112" i="145" s="1"/>
  <c r="AM45" i="144" a="1"/>
  <c r="AM45" i="144" s="1"/>
  <c r="AA35" i="144" a="1"/>
  <c r="AA35" i="144" s="1"/>
  <c r="Q126" i="145" s="1"/>
  <c r="D127" i="145"/>
  <c r="D122" i="145"/>
  <c r="L16" i="144"/>
  <c r="Z25" i="144" a="1"/>
  <c r="Z25" i="144" s="1"/>
  <c r="P116" i="145" s="1"/>
  <c r="Y40" i="144" a="1"/>
  <c r="Y40" i="144" s="1"/>
  <c r="O131" i="145" s="1"/>
  <c r="Z36" i="144" a="1"/>
  <c r="Z36" i="144" s="1"/>
  <c r="P127" i="145" s="1"/>
  <c r="AB21" i="144" a="1"/>
  <c r="AB21" i="144" s="1"/>
  <c r="R112" i="145" s="1"/>
  <c r="AN45" i="144" a="1"/>
  <c r="AN45" i="144" s="1"/>
  <c r="AB35" i="144" a="1"/>
  <c r="AB35" i="144" s="1"/>
  <c r="R126" i="145" s="1"/>
  <c r="AA31" i="144" a="1"/>
  <c r="AA31" i="144" s="1"/>
  <c r="Q122" i="145" s="1"/>
  <c r="L31" i="144"/>
  <c r="AB37" i="144" a="1"/>
  <c r="AB37" i="144" s="1"/>
  <c r="R128" i="145" s="1"/>
  <c r="AL37" i="144" a="1"/>
  <c r="AL37" i="144" s="1"/>
  <c r="AL72" i="144" a="1"/>
  <c r="AL72" i="144" s="1"/>
  <c r="L68" i="144"/>
  <c r="D139" i="145"/>
  <c r="L48" i="144"/>
  <c r="AK50" i="144" a="1"/>
  <c r="AK50" i="144" s="1"/>
  <c r="AB40" i="144" a="1"/>
  <c r="AB40" i="144" s="1"/>
  <c r="R131" i="145" s="1"/>
  <c r="AB68" i="144" a="1"/>
  <c r="AB68" i="144" s="1"/>
  <c r="AK21" i="144" a="1"/>
  <c r="AK21" i="144" s="1"/>
  <c r="Y45" i="144" a="1"/>
  <c r="Y45" i="144" s="1"/>
  <c r="O136" i="145" s="1"/>
  <c r="AN35" i="144" a="1"/>
  <c r="AN35" i="144" s="1"/>
  <c r="Y38" i="144" a="1"/>
  <c r="Y38" i="144" s="1"/>
  <c r="O129" i="145" s="1"/>
  <c r="Z42" i="144" a="1"/>
  <c r="Z42" i="144" s="1"/>
  <c r="P133" i="145" s="1"/>
  <c r="Y18" i="144" a="1"/>
  <c r="Y18" i="144" s="1"/>
  <c r="Z63" i="144" a="1"/>
  <c r="Z63" i="144" s="1"/>
  <c r="P154" i="145" s="1"/>
  <c r="Z18" i="144" a="1"/>
  <c r="Z18" i="144" s="1"/>
  <c r="AN42" i="144" a="1"/>
  <c r="AN42" i="144" s="1"/>
  <c r="D109" i="145"/>
  <c r="AK18" i="144" a="1"/>
  <c r="AK18" i="144" s="1"/>
  <c r="Y42" i="144" a="1"/>
  <c r="Y42" i="144" s="1"/>
  <c r="O133" i="145" s="1"/>
  <c r="D117" i="145"/>
  <c r="Y63" i="144" a="1"/>
  <c r="Y63" i="144" s="1"/>
  <c r="O154" i="145" s="1"/>
  <c r="AL18" i="144" a="1"/>
  <c r="AL18" i="144" s="1"/>
  <c r="AB42" i="144" a="1"/>
  <c r="AB42" i="144" s="1"/>
  <c r="R133" i="145" s="1"/>
  <c r="L26" i="144"/>
  <c r="AN63" i="144" a="1"/>
  <c r="AN63" i="144" s="1"/>
  <c r="AM37" i="144" a="1"/>
  <c r="AM37" i="144" s="1"/>
  <c r="AM18" i="144" a="1"/>
  <c r="AM18" i="144" s="1"/>
  <c r="AK42" i="144" a="1"/>
  <c r="AK42" i="144" s="1"/>
  <c r="AA58" i="144" a="1"/>
  <c r="AA58" i="144" s="1"/>
  <c r="Q149" i="145" s="1"/>
  <c r="D120" i="145"/>
  <c r="L22" i="144"/>
  <c r="AL63" i="144" a="1"/>
  <c r="AL63" i="144" s="1"/>
  <c r="Y37" i="144" a="1"/>
  <c r="Y37" i="144" s="1"/>
  <c r="O128" i="145" s="1"/>
  <c r="AM31" i="144" a="1"/>
  <c r="AM31" i="144" s="1"/>
  <c r="AN18" i="144" a="1"/>
  <c r="AN18" i="144" s="1"/>
  <c r="AL66" i="144" a="1"/>
  <c r="AL66" i="144" s="1"/>
  <c r="AB58" i="144" a="1"/>
  <c r="AB58" i="144" s="1"/>
  <c r="R149" i="145" s="1"/>
  <c r="L46" i="144"/>
  <c r="AM55" i="144" a="1"/>
  <c r="AM55" i="144" s="1"/>
  <c r="AB63" i="144" a="1"/>
  <c r="AB63" i="144" s="1"/>
  <c r="R154" i="145" s="1"/>
  <c r="AB52" i="144" a="1"/>
  <c r="AB52" i="144" s="1"/>
  <c r="R143" i="145" s="1"/>
  <c r="AN70" i="144" a="1"/>
  <c r="AN70" i="144" s="1"/>
  <c r="AA18" i="144" a="1"/>
  <c r="AA18" i="144" s="1"/>
  <c r="L66" i="144"/>
  <c r="AK58" i="144" a="1"/>
  <c r="AK58" i="144" s="1"/>
  <c r="Y25" i="144" a="1"/>
  <c r="Y25" i="144" s="1"/>
  <c r="O116" i="145" s="1"/>
  <c r="D133" i="145"/>
  <c r="AA63" i="144" a="1"/>
  <c r="AA63" i="144" s="1"/>
  <c r="Q154" i="145" s="1"/>
  <c r="AM42" i="144" a="1"/>
  <c r="AM42" i="144" s="1"/>
  <c r="L18" i="144"/>
  <c r="AM63" i="144" a="1"/>
  <c r="AM63" i="144" s="1"/>
  <c r="L47" i="144"/>
  <c r="D154" i="145"/>
  <c r="AK63" i="144" a="1"/>
  <c r="AK63" i="144" s="1"/>
  <c r="AL58" i="144" a="1"/>
  <c r="AL58" i="144" s="1"/>
  <c r="Z48" i="144" a="1"/>
  <c r="Z48" i="144" s="1"/>
  <c r="P139" i="145" s="1"/>
  <c r="D138" i="145"/>
  <c r="AB48" i="144" a="1"/>
  <c r="AB48" i="144" s="1"/>
  <c r="R139" i="145" s="1"/>
  <c r="AK48" i="144" a="1"/>
  <c r="AK48" i="144" s="1"/>
  <c r="Z39" i="144" a="1"/>
  <c r="Z39" i="144" s="1"/>
  <c r="P130" i="145" s="1"/>
  <c r="Y22" i="144" a="1"/>
  <c r="Y22" i="144" s="1"/>
  <c r="O113" i="145" s="1"/>
  <c r="AM58" i="144" a="1"/>
  <c r="AM58" i="144" s="1"/>
  <c r="L67" i="144"/>
  <c r="L42" i="144"/>
  <c r="AL48" i="144" a="1"/>
  <c r="AL48" i="144" s="1"/>
  <c r="AB57" i="144" a="1"/>
  <c r="AB57" i="144" s="1"/>
  <c r="R148" i="145" s="1"/>
  <c r="AA39" i="144" a="1"/>
  <c r="AA39" i="144" s="1"/>
  <c r="Q130" i="145" s="1"/>
  <c r="Z58" i="144" a="1"/>
  <c r="Z58" i="144" s="1"/>
  <c r="P149" i="145" s="1"/>
  <c r="AK55" i="144" a="1"/>
  <c r="AK55" i="144" s="1"/>
  <c r="AA48" i="144" a="1"/>
  <c r="AA48" i="144" s="1"/>
  <c r="Q139" i="145" s="1"/>
  <c r="AN26" i="144" a="1"/>
  <c r="AN26" i="144" s="1"/>
  <c r="AA62" i="144" a="1"/>
  <c r="AA62" i="144" s="1"/>
  <c r="Q153" i="145" s="1"/>
  <c r="AB39" i="144" a="1"/>
  <c r="AB39" i="144" s="1"/>
  <c r="R130" i="145" s="1"/>
  <c r="AL20" i="144" a="1"/>
  <c r="AL20" i="144" s="1"/>
  <c r="AK56" i="144" a="1"/>
  <c r="AK56" i="144" s="1"/>
  <c r="L60" i="144"/>
  <c r="D153" i="145"/>
  <c r="AB51" i="144" a="1"/>
  <c r="AB51" i="144" s="1"/>
  <c r="R142" i="145" s="1"/>
  <c r="Z26" i="144" a="1"/>
  <c r="Z26" i="144" s="1"/>
  <c r="P117" i="145" s="1"/>
  <c r="AA38" i="144" a="1"/>
  <c r="AA38" i="144" s="1"/>
  <c r="Q129" i="145" s="1"/>
  <c r="AK39" i="144" a="1"/>
  <c r="AK39" i="144" s="1"/>
  <c r="AK49" i="144" a="1"/>
  <c r="AK49" i="144" s="1"/>
  <c r="AM20" i="144" a="1"/>
  <c r="AM20" i="144" s="1"/>
  <c r="AL56" i="144" a="1"/>
  <c r="AL56" i="144" s="1"/>
  <c r="Z38" i="144" a="1"/>
  <c r="Z38" i="144" s="1"/>
  <c r="P129" i="145" s="1"/>
  <c r="D129" i="145"/>
  <c r="AL42" i="144" a="1"/>
  <c r="AL42" i="144" s="1"/>
  <c r="Y26" i="144" a="1"/>
  <c r="Y26" i="144" s="1"/>
  <c r="O117" i="145" s="1"/>
  <c r="L59" i="144"/>
  <c r="AB26" i="144" a="1"/>
  <c r="AB26" i="144" s="1"/>
  <c r="R117" i="145" s="1"/>
  <c r="AN58" i="144" a="1"/>
  <c r="AN58" i="144" s="1"/>
  <c r="G38" i="145" a="1"/>
  <c r="G38" i="145" s="1"/>
  <c r="J38" i="145" s="1"/>
  <c r="Y39" i="144" a="1"/>
  <c r="Y39" i="144" s="1"/>
  <c r="O130" i="145" s="1"/>
  <c r="AN22" i="144" a="1"/>
  <c r="AN22" i="144" s="1"/>
  <c r="Y58" i="144" a="1"/>
  <c r="Y58" i="144" s="1"/>
  <c r="O149" i="145" s="1"/>
  <c r="AL26" i="144" a="1"/>
  <c r="AL26" i="144" s="1"/>
  <c r="AM26" i="144" a="1"/>
  <c r="AM26" i="144" s="1"/>
  <c r="AB22" i="144" a="1"/>
  <c r="AB22" i="144" s="1"/>
  <c r="R113" i="145" s="1"/>
  <c r="D142" i="145"/>
  <c r="L38" i="144"/>
  <c r="Z51" i="144" a="1"/>
  <c r="Z51" i="144" s="1"/>
  <c r="P142" i="145" s="1"/>
  <c r="AA26" i="144" a="1"/>
  <c r="AA26" i="144" s="1"/>
  <c r="Q117" i="145" s="1"/>
  <c r="AN43" i="144" a="1"/>
  <c r="AN43" i="144" s="1"/>
  <c r="AB38" i="144" a="1"/>
  <c r="AB38" i="144" s="1"/>
  <c r="R129" i="145" s="1"/>
  <c r="AA65" i="144" a="1"/>
  <c r="AA65" i="144" s="1"/>
  <c r="Q156" i="145" s="1"/>
  <c r="AL49" i="144" a="1"/>
  <c r="AL49" i="144" s="1"/>
  <c r="AA46" i="144" a="1"/>
  <c r="AA46" i="144" s="1"/>
  <c r="Q137" i="145" s="1"/>
  <c r="AN56" i="144" a="1"/>
  <c r="AN56" i="144" s="1"/>
  <c r="D149" i="145"/>
  <c r="AK38" i="144" a="1"/>
  <c r="AK38" i="144" s="1"/>
  <c r="AB67" i="144" a="1"/>
  <c r="AB67" i="144" s="1"/>
  <c r="AA67" i="144" a="1"/>
  <c r="AA67" i="144" s="1"/>
  <c r="AL28" i="144" a="1"/>
  <c r="AL28" i="144" s="1"/>
  <c r="Y67" i="144" a="1"/>
  <c r="Y67" i="144" s="1"/>
  <c r="AK43" i="144" a="1"/>
  <c r="AK43" i="144" s="1"/>
  <c r="AL38" i="144" a="1"/>
  <c r="AL38" i="144" s="1"/>
  <c r="AA49" i="144" a="1"/>
  <c r="AA49" i="144" s="1"/>
  <c r="Q140" i="145" s="1"/>
  <c r="AM71" i="144" a="1"/>
  <c r="AM71" i="144" s="1"/>
  <c r="L51" i="144"/>
  <c r="L71" i="144"/>
  <c r="AK40" i="144" a="1"/>
  <c r="AK40" i="144" s="1"/>
  <c r="AM68" i="144" a="1"/>
  <c r="AM68" i="144" s="1"/>
  <c r="AB49" i="144" a="1"/>
  <c r="AB49" i="144" s="1"/>
  <c r="R140" i="145" s="1"/>
  <c r="Y71" i="144" a="1"/>
  <c r="Y71" i="144" s="1"/>
  <c r="AN69" i="144" a="1"/>
  <c r="AN69" i="144" s="1"/>
  <c r="AL53" i="144" a="1"/>
  <c r="AL53" i="144" s="1"/>
  <c r="AK37" i="144" a="1"/>
  <c r="AK37" i="144" s="1"/>
  <c r="AN40" i="144" a="1"/>
  <c r="AN40" i="144" s="1"/>
  <c r="AK57" i="144" a="1"/>
  <c r="AK57" i="144" s="1"/>
  <c r="AM65" i="144" a="1"/>
  <c r="AM65" i="144" s="1"/>
  <c r="AN23" i="144" a="1"/>
  <c r="AN23" i="144" s="1"/>
  <c r="AM44" i="144" a="1"/>
  <c r="AM44" i="144" s="1"/>
  <c r="AL32" i="144" a="1"/>
  <c r="AL32" i="144" s="1"/>
  <c r="AB56" i="144" a="1"/>
  <c r="AB56" i="144" s="1"/>
  <c r="R147" i="145" s="1"/>
  <c r="AM19" i="144" a="1"/>
  <c r="AM19" i="144" s="1"/>
  <c r="AB72" i="144" a="1"/>
  <c r="AB72" i="144" s="1"/>
  <c r="AL60" i="144" a="1"/>
  <c r="AL60" i="144" s="1"/>
  <c r="L28" i="144"/>
  <c r="AB30" i="144" a="1"/>
  <c r="AB30" i="144" s="1"/>
  <c r="R121" i="145" s="1"/>
  <c r="AL43" i="144" a="1"/>
  <c r="AL43" i="144" s="1"/>
  <c r="AK23" i="144" a="1"/>
  <c r="AK23" i="144" s="1"/>
  <c r="AL23" i="144" a="1"/>
  <c r="AL23" i="144" s="1"/>
  <c r="AA30" i="144" a="1"/>
  <c r="AA30" i="144" s="1"/>
  <c r="Q121" i="145" s="1"/>
  <c r="AA23" i="144" a="1"/>
  <c r="AA23" i="144" s="1"/>
  <c r="Q114" i="145" s="1"/>
  <c r="AM30" i="144" a="1"/>
  <c r="AM30" i="144" s="1"/>
  <c r="Z44" i="144" a="1"/>
  <c r="Z44" i="144" s="1"/>
  <c r="P135" i="145" s="1"/>
  <c r="AB65" i="144" a="1"/>
  <c r="AB65" i="144" s="1"/>
  <c r="R156" i="145" s="1"/>
  <c r="Y69" i="144" a="1"/>
  <c r="Y69" i="144" s="1"/>
  <c r="AN30" i="144" a="1"/>
  <c r="AN30" i="144" s="1"/>
  <c r="AB53" i="144" a="1"/>
  <c r="AB53" i="144" s="1"/>
  <c r="R144" i="145" s="1"/>
  <c r="AK65" i="144" a="1"/>
  <c r="AK65" i="144" s="1"/>
  <c r="Y23" i="144" a="1"/>
  <c r="Y23" i="144" s="1"/>
  <c r="O114" i="145" s="1"/>
  <c r="AK44" i="144" a="1"/>
  <c r="AK44" i="144" s="1"/>
  <c r="Y56" i="144" a="1"/>
  <c r="Y56" i="144" s="1"/>
  <c r="O147" i="145" s="1"/>
  <c r="Y19" i="144" a="1"/>
  <c r="Y19" i="144" s="1"/>
  <c r="AB69" i="144" a="1"/>
  <c r="AB69" i="144" s="1"/>
  <c r="Z30" i="144" a="1"/>
  <c r="Z30" i="144" s="1"/>
  <c r="P121" i="145" s="1"/>
  <c r="AK53" i="144" a="1"/>
  <c r="AK53" i="144" s="1"/>
  <c r="Z37" i="144" a="1"/>
  <c r="Z37" i="144" s="1"/>
  <c r="P128" i="145" s="1"/>
  <c r="AL65" i="144" a="1"/>
  <c r="AL65" i="144" s="1"/>
  <c r="Z23" i="144" a="1"/>
  <c r="Z23" i="144" s="1"/>
  <c r="P114" i="145" s="1"/>
  <c r="AL44" i="144" a="1"/>
  <c r="AL44" i="144" s="1"/>
  <c r="AK32" i="144" a="1"/>
  <c r="AK32" i="144" s="1"/>
  <c r="AA56" i="144" a="1"/>
  <c r="AA56" i="144" s="1"/>
  <c r="Q147" i="145" s="1"/>
  <c r="AL19" i="144" a="1"/>
  <c r="AL19" i="144" s="1"/>
  <c r="L44" i="144"/>
  <c r="D128" i="145"/>
  <c r="AK69" i="144" a="1"/>
  <c r="AK69" i="144" s="1"/>
  <c r="AM53" i="144" a="1"/>
  <c r="AM53" i="144" s="1"/>
  <c r="Z40" i="144" a="1"/>
  <c r="Z40" i="144" s="1"/>
  <c r="P131" i="145" s="1"/>
  <c r="AL57" i="144" a="1"/>
  <c r="AL57" i="144" s="1"/>
  <c r="Y65" i="144" a="1"/>
  <c r="Y65" i="144" s="1"/>
  <c r="O156" i="145" s="1"/>
  <c r="AM47" i="144" a="1"/>
  <c r="AM47" i="144" s="1"/>
  <c r="Y44" i="144" a="1"/>
  <c r="Y44" i="144" s="1"/>
  <c r="O135" i="145" s="1"/>
  <c r="AM32" i="144" a="1"/>
  <c r="AM32" i="144" s="1"/>
  <c r="AM56" i="144" a="1"/>
  <c r="AM56" i="144" s="1"/>
  <c r="AK19" i="144" a="1"/>
  <c r="AK19" i="144" s="1"/>
  <c r="AK71" i="144" a="1"/>
  <c r="AK71" i="144" s="1"/>
  <c r="AA72" i="144" a="1"/>
  <c r="AA72" i="144" s="1"/>
  <c r="L37" i="144"/>
  <c r="AL69" i="144" a="1"/>
  <c r="AL69" i="144" s="1"/>
  <c r="Y59" i="144" a="1"/>
  <c r="Y59" i="144" s="1"/>
  <c r="O150" i="145" s="1"/>
  <c r="AN53" i="144" a="1"/>
  <c r="AN53" i="144" s="1"/>
  <c r="AA40" i="144" a="1"/>
  <c r="AA40" i="144" s="1"/>
  <c r="Q131" i="145" s="1"/>
  <c r="AM57" i="144" a="1"/>
  <c r="AM57" i="144" s="1"/>
  <c r="Z65" i="144" a="1"/>
  <c r="Z65" i="144" s="1"/>
  <c r="P156" i="145" s="1"/>
  <c r="AK47" i="144" a="1"/>
  <c r="AK47" i="144" s="1"/>
  <c r="AN44" i="144" a="1"/>
  <c r="AN44" i="144" s="1"/>
  <c r="AN32" i="144" a="1"/>
  <c r="AN32" i="144" s="1"/>
  <c r="Z56" i="144" a="1"/>
  <c r="Z56" i="144" s="1"/>
  <c r="P147" i="145" s="1"/>
  <c r="Z19" i="144" a="1"/>
  <c r="Z19" i="144" s="1"/>
  <c r="AL71" i="144" a="1"/>
  <c r="AL71" i="144" s="1"/>
  <c r="AN60" i="144" a="1"/>
  <c r="AN60" i="144" s="1"/>
  <c r="AK30" i="144" a="1"/>
  <c r="AK30" i="144" s="1"/>
  <c r="AM28" i="144" a="1"/>
  <c r="AM28" i="144" s="1"/>
  <c r="AN28" i="144" a="1"/>
  <c r="AN28" i="144" s="1"/>
  <c r="AL30" i="144" a="1"/>
  <c r="AL30" i="144" s="1"/>
  <c r="AB43" i="144" a="1"/>
  <c r="AB43" i="144" s="1"/>
  <c r="R134" i="145" s="1"/>
  <c r="D119" i="145"/>
  <c r="L30" i="144"/>
  <c r="D150" i="145"/>
  <c r="Z53" i="144" a="1"/>
  <c r="Z53" i="144" s="1"/>
  <c r="P144" i="145" s="1"/>
  <c r="AB23" i="144" a="1"/>
  <c r="AB23" i="144" s="1"/>
  <c r="R114" i="145" s="1"/>
  <c r="L23" i="144"/>
  <c r="Y30" i="144" a="1"/>
  <c r="Y30" i="144" s="1"/>
  <c r="O121" i="145" s="1"/>
  <c r="AA53" i="144" a="1"/>
  <c r="AA53" i="144" s="1"/>
  <c r="Q144" i="145" s="1"/>
  <c r="AM23" i="144" a="1"/>
  <c r="AM23" i="144" s="1"/>
  <c r="AA44" i="144" a="1"/>
  <c r="AA44" i="144" s="1"/>
  <c r="Q135" i="145" s="1"/>
  <c r="AN19" i="144" a="1"/>
  <c r="AN19" i="144" s="1"/>
  <c r="AA69" i="144" a="1"/>
  <c r="AA69" i="144" s="1"/>
  <c r="Z59" i="144" a="1"/>
  <c r="Z59" i="144" s="1"/>
  <c r="P150" i="145" s="1"/>
  <c r="AL47" i="144" a="1"/>
  <c r="AL47" i="144" s="1"/>
  <c r="Y32" i="144" a="1"/>
  <c r="Y32" i="144" s="1"/>
  <c r="O123" i="145" s="1"/>
  <c r="AB19" i="144" a="1"/>
  <c r="AB19" i="144" s="1"/>
  <c r="L65" i="144"/>
  <c r="AA59" i="144" a="1"/>
  <c r="AA59" i="144" s="1"/>
  <c r="Q150" i="145" s="1"/>
  <c r="D144" i="145"/>
  <c r="AN47" i="144" a="1"/>
  <c r="AN47" i="144" s="1"/>
  <c r="Z32" i="144" a="1"/>
  <c r="Z32" i="144" s="1"/>
  <c r="P123" i="145" s="1"/>
  <c r="AA19" i="144" a="1"/>
  <c r="AA19" i="144" s="1"/>
  <c r="L39" i="144"/>
  <c r="L69" i="144"/>
  <c r="AB59" i="144" a="1"/>
  <c r="AB59" i="144" s="1"/>
  <c r="R150" i="145" s="1"/>
  <c r="Z64" i="144" a="1"/>
  <c r="Z64" i="144" s="1"/>
  <c r="P155" i="145" s="1"/>
  <c r="AA27" i="144" a="1"/>
  <c r="AA27" i="144" s="1"/>
  <c r="Q118" i="145" s="1"/>
  <c r="Y47" i="144" a="1"/>
  <c r="Y47" i="144" s="1"/>
  <c r="O138" i="145" s="1"/>
  <c r="AA32" i="144" a="1"/>
  <c r="AA32" i="144" s="1"/>
  <c r="Q123" i="145" s="1"/>
  <c r="L19" i="144"/>
  <c r="AL59" i="144" a="1"/>
  <c r="AL59" i="144" s="1"/>
  <c r="AM64" i="144" a="1"/>
  <c r="AM64" i="144" s="1"/>
  <c r="AB27" i="144" a="1"/>
  <c r="AB27" i="144" s="1"/>
  <c r="R118" i="145" s="1"/>
  <c r="AB47" i="144" a="1"/>
  <c r="AB47" i="144" s="1"/>
  <c r="R138" i="145" s="1"/>
  <c r="AB32" i="144" a="1"/>
  <c r="AB32" i="144" s="1"/>
  <c r="R123" i="145" s="1"/>
  <c r="AK66" i="144" a="1"/>
  <c r="AK66" i="144" s="1"/>
  <c r="AA71" i="144" a="1"/>
  <c r="AA71" i="144" s="1"/>
  <c r="AL50" i="144" a="1"/>
  <c r="AL50" i="144" s="1"/>
  <c r="Z47" i="144" a="1"/>
  <c r="Z47" i="144" s="1"/>
  <c r="P138" i="145" s="1"/>
  <c r="AM66" i="144" a="1"/>
  <c r="AM66" i="144" s="1"/>
  <c r="L43" i="144"/>
  <c r="AN59" i="144" a="1"/>
  <c r="AN59" i="144" s="1"/>
  <c r="AK64" i="144" a="1"/>
  <c r="AK64" i="144" s="1"/>
  <c r="AM62" i="144" a="1"/>
  <c r="AM62" i="144" s="1"/>
  <c r="AK27" i="144" a="1"/>
  <c r="AK27" i="144" s="1"/>
  <c r="Z20" i="144" a="1"/>
  <c r="Z20" i="144" s="1"/>
  <c r="P111" i="145" s="1"/>
  <c r="AM21" i="144" a="1"/>
  <c r="AM21" i="144" s="1"/>
  <c r="AN66" i="144" a="1"/>
  <c r="AN66" i="144" s="1"/>
  <c r="AN71" i="144" a="1"/>
  <c r="AN71" i="144" s="1"/>
  <c r="AN17" i="144" a="1"/>
  <c r="AN17" i="144" s="1"/>
  <c r="Y28" i="144" a="1"/>
  <c r="Y28" i="144" s="1"/>
  <c r="O119" i="145" s="1"/>
  <c r="D111" i="145"/>
  <c r="L50" i="144"/>
  <c r="D148" i="145"/>
  <c r="AN50" i="144" a="1"/>
  <c r="AN50" i="144" s="1"/>
  <c r="AK59" i="144" a="1"/>
  <c r="AK59" i="144" s="1"/>
  <c r="Y43" i="144" a="1"/>
  <c r="Y43" i="144" s="1"/>
  <c r="O134" i="145" s="1"/>
  <c r="AL64" i="144" a="1"/>
  <c r="AL64" i="144" s="1"/>
  <c r="AN62" i="144" a="1"/>
  <c r="AN62" i="144" s="1"/>
  <c r="AL27" i="144" a="1"/>
  <c r="AL27" i="144" s="1"/>
  <c r="Y61" i="144" a="1"/>
  <c r="Y61" i="144" s="1"/>
  <c r="O152" i="145" s="1"/>
  <c r="AM49" i="144" a="1"/>
  <c r="AM49" i="144" s="1"/>
  <c r="AA20" i="144" a="1"/>
  <c r="AA20" i="144" s="1"/>
  <c r="Q111" i="145" s="1"/>
  <c r="AK22" i="144" a="1"/>
  <c r="AK22" i="144" s="1"/>
  <c r="AN21" i="144" a="1"/>
  <c r="AN21" i="144" s="1"/>
  <c r="Z66" i="144" a="1"/>
  <c r="Z66" i="144" s="1"/>
  <c r="Z29" i="144" a="1"/>
  <c r="Z29" i="144" s="1"/>
  <c r="P120" i="145" s="1"/>
  <c r="Z17" i="144" a="1"/>
  <c r="Z17" i="144" s="1"/>
  <c r="Z28" i="144" a="1"/>
  <c r="Z28" i="144" s="1"/>
  <c r="P119" i="145" s="1"/>
  <c r="L53" i="144"/>
  <c r="L32" i="144"/>
  <c r="AN65" i="144" a="1"/>
  <c r="AN65" i="144" s="1"/>
  <c r="Z69" i="144" a="1"/>
  <c r="Z69" i="144" s="1"/>
  <c r="Y27" i="144" a="1"/>
  <c r="Y27" i="144" s="1"/>
  <c r="O118" i="145" s="1"/>
  <c r="Z71" i="144" a="1"/>
  <c r="Z71" i="144" s="1"/>
  <c r="L27" i="144"/>
  <c r="D155" i="145"/>
  <c r="AK62" i="144" a="1"/>
  <c r="AK62" i="144" s="1"/>
  <c r="D118" i="145"/>
  <c r="D134" i="145"/>
  <c r="AN64" i="144" a="1"/>
  <c r="AN64" i="144" s="1"/>
  <c r="AL62" i="144" a="1"/>
  <c r="AL62" i="144" s="1"/>
  <c r="Y50" i="144" a="1"/>
  <c r="Y50" i="144" s="1"/>
  <c r="O141" i="145" s="1"/>
  <c r="AM48" i="144" a="1"/>
  <c r="AM48" i="144" s="1"/>
  <c r="Z43" i="144" a="1"/>
  <c r="Z43" i="144" s="1"/>
  <c r="P134" i="145" s="1"/>
  <c r="AB64" i="144" a="1"/>
  <c r="AB64" i="144" s="1"/>
  <c r="R155" i="145" s="1"/>
  <c r="Y62" i="144" a="1"/>
  <c r="Y62" i="144" s="1"/>
  <c r="O153" i="145" s="1"/>
  <c r="AL39" i="144" a="1"/>
  <c r="AL39" i="144" s="1"/>
  <c r="AM27" i="144" a="1"/>
  <c r="AM27" i="144" s="1"/>
  <c r="Z61" i="144" a="1"/>
  <c r="Z61" i="144" s="1"/>
  <c r="P152" i="145" s="1"/>
  <c r="AN49" i="144" a="1"/>
  <c r="AN49" i="144" s="1"/>
  <c r="AB20" i="144" a="1"/>
  <c r="AB20" i="144" s="1"/>
  <c r="R111" i="145" s="1"/>
  <c r="Z22" i="144" a="1"/>
  <c r="Z22" i="144" s="1"/>
  <c r="P113" i="145" s="1"/>
  <c r="AA21" i="144" a="1"/>
  <c r="AA21" i="144" s="1"/>
  <c r="Q112" i="145" s="1"/>
  <c r="AA66" i="144" a="1"/>
  <c r="AA66" i="144" s="1"/>
  <c r="AA29" i="144" a="1"/>
  <c r="AA29" i="144" s="1"/>
  <c r="Q120" i="145" s="1"/>
  <c r="AA17" i="144" a="1"/>
  <c r="AA17" i="144" s="1"/>
  <c r="AA28" i="144" a="1"/>
  <c r="AA28" i="144" s="1"/>
  <c r="Q119" i="145" s="1"/>
  <c r="L45" i="144"/>
  <c r="L62" i="144"/>
  <c r="L40" i="144"/>
  <c r="L56" i="144"/>
  <c r="Z50" i="144" a="1"/>
  <c r="Z50" i="144" s="1"/>
  <c r="P141" i="145" s="1"/>
  <c r="AN48" i="144" a="1"/>
  <c r="AN48" i="144" s="1"/>
  <c r="AA43" i="144" a="1"/>
  <c r="AA43" i="144" s="1"/>
  <c r="Q134" i="145" s="1"/>
  <c r="AB70" i="144" a="1"/>
  <c r="AB70" i="144" s="1"/>
  <c r="AB62" i="144" a="1"/>
  <c r="AB62" i="144" s="1"/>
  <c r="R153" i="145" s="1"/>
  <c r="AM39" i="144" a="1"/>
  <c r="AM39" i="144" s="1"/>
  <c r="Z27" i="144" a="1"/>
  <c r="Z27" i="144" s="1"/>
  <c r="P118" i="145" s="1"/>
  <c r="AB61" i="144" a="1"/>
  <c r="AB61" i="144" s="1"/>
  <c r="R152" i="145" s="1"/>
  <c r="Y49" i="144" a="1"/>
  <c r="Y49" i="144" s="1"/>
  <c r="O140" i="145" s="1"/>
  <c r="AK20" i="144" a="1"/>
  <c r="AK20" i="144" s="1"/>
  <c r="AA22" i="144" a="1"/>
  <c r="AA22" i="144" s="1"/>
  <c r="Q113" i="145" s="1"/>
  <c r="AB66" i="144" a="1"/>
  <c r="AB66" i="144" s="1"/>
  <c r="AK29" i="144" a="1"/>
  <c r="AK29" i="144" s="1"/>
  <c r="Z45" i="144" a="1"/>
  <c r="Z45" i="144" s="1"/>
  <c r="P136" i="145" s="1"/>
  <c r="AK17" i="144" a="1"/>
  <c r="AK17" i="144" s="1"/>
  <c r="AB28" i="144" a="1"/>
  <c r="AB28" i="144" s="1"/>
  <c r="R119" i="145" s="1"/>
  <c r="Y20" i="144" a="1"/>
  <c r="Y20" i="144" s="1"/>
  <c r="O111" i="145" s="1"/>
  <c r="L29" i="144"/>
  <c r="L20" i="144"/>
  <c r="L70" i="144"/>
  <c r="AM50" i="144" a="1"/>
  <c r="AM50" i="144" s="1"/>
  <c r="D130" i="145"/>
  <c r="D113" i="145"/>
  <c r="I54" i="97"/>
  <c r="I41" i="97"/>
  <c r="I42" i="97" s="1"/>
  <c r="I29" i="97"/>
  <c r="I58" i="97"/>
  <c r="I35" i="97"/>
  <c r="I55" i="97"/>
  <c r="I25" i="97"/>
  <c r="I44" i="97"/>
  <c r="I24" i="97"/>
  <c r="I34" i="97"/>
  <c r="I33" i="97"/>
  <c r="I23" i="97"/>
  <c r="I43" i="97"/>
  <c r="I48" i="97"/>
  <c r="I39" i="97"/>
  <c r="I56" i="97"/>
  <c r="I57" i="97" s="1"/>
  <c r="J162" i="97" s="1"/>
  <c r="I40" i="97"/>
  <c r="I31" i="97"/>
  <c r="I32" i="97" s="1"/>
  <c r="I26" i="97"/>
  <c r="I27" i="97" s="1"/>
  <c r="I19" i="97"/>
  <c r="I36" i="97"/>
  <c r="I28" i="97"/>
  <c r="I45" i="97"/>
  <c r="I20" i="97"/>
  <c r="I46" i="97"/>
  <c r="I47" i="97" s="1"/>
  <c r="I38" i="97"/>
  <c r="I30" i="97"/>
  <c r="I21" i="97"/>
  <c r="I22" i="97" s="1"/>
  <c r="I161" i="97" a="1"/>
  <c r="I161" i="97" s="1"/>
  <c r="I108" i="97" a="1"/>
  <c r="I108" i="97" s="1"/>
  <c r="I129" i="97" a="1"/>
  <c r="I129" i="97" s="1"/>
  <c r="I76" i="97" a="1"/>
  <c r="I76" i="97" s="1"/>
  <c r="I68" i="97" a="1"/>
  <c r="I68" i="97" s="1"/>
  <c r="I121" i="97" a="1"/>
  <c r="I121" i="97" s="1"/>
  <c r="I80" i="97" a="1"/>
  <c r="I80" i="97" s="1"/>
  <c r="I133" i="97" a="1"/>
  <c r="I133" i="97" s="1"/>
  <c r="I134" i="97" a="1"/>
  <c r="I134" i="97" s="1"/>
  <c r="I81" i="97" a="1"/>
  <c r="I81" i="97" s="1"/>
  <c r="I93" i="97" a="1"/>
  <c r="I93" i="97" s="1"/>
  <c r="I146" i="97" a="1"/>
  <c r="I146" i="97" s="1"/>
  <c r="I143" i="97" a="1"/>
  <c r="I143" i="97" s="1"/>
  <c r="I90" i="97" a="1"/>
  <c r="I90" i="97" s="1"/>
  <c r="I163" i="97" a="1"/>
  <c r="I163" i="97" s="1"/>
  <c r="I110" i="97" a="1"/>
  <c r="I110" i="97" s="1"/>
  <c r="I87" i="97" a="1"/>
  <c r="I87" i="97" s="1"/>
  <c r="I140" i="97" a="1"/>
  <c r="I140" i="97" s="1"/>
  <c r="I69" i="97" a="1"/>
  <c r="I69" i="97" s="1"/>
  <c r="I122" i="97" a="1"/>
  <c r="I122" i="97" s="1"/>
  <c r="I72" i="97" a="1"/>
  <c r="I72" i="97" s="1"/>
  <c r="I125" i="97" a="1"/>
  <c r="I125" i="97" s="1"/>
  <c r="I119" i="97" a="1"/>
  <c r="I119" i="97" s="1"/>
  <c r="I66" i="97" a="1"/>
  <c r="I66" i="97" s="1"/>
  <c r="I159" i="97" a="1"/>
  <c r="I159" i="97" s="1"/>
  <c r="I106" i="97" a="1"/>
  <c r="I106" i="97" s="1"/>
  <c r="I92" i="97" a="1"/>
  <c r="I92" i="97" s="1"/>
  <c r="I145" i="97" a="1"/>
  <c r="I145" i="97" s="1"/>
  <c r="I82" i="97" a="1"/>
  <c r="I82" i="97" s="1"/>
  <c r="I135" i="97" a="1"/>
  <c r="I135" i="97" s="1"/>
  <c r="I128" i="97" a="1"/>
  <c r="I128" i="97" s="1"/>
  <c r="I75" i="97" a="1"/>
  <c r="I75" i="97" s="1"/>
  <c r="I94" i="97" a="1"/>
  <c r="I94" i="97" s="1"/>
  <c r="I147" i="97" a="1"/>
  <c r="I147" i="97" s="1"/>
  <c r="I78" i="97" a="1"/>
  <c r="I78" i="97" s="1"/>
  <c r="I131" i="97" a="1"/>
  <c r="I131" i="97" s="1"/>
  <c r="I151" i="97" a="1"/>
  <c r="I151" i="97" s="1"/>
  <c r="I98" i="97" a="1"/>
  <c r="I98" i="97" s="1"/>
  <c r="I64" i="97" a="1"/>
  <c r="I64" i="97" s="1"/>
  <c r="J109" i="97" s="1"/>
  <c r="I117" i="97" a="1"/>
  <c r="I117" i="97" s="1"/>
  <c r="I96" i="97" a="1"/>
  <c r="I96" i="97" s="1"/>
  <c r="I149" i="97" a="1"/>
  <c r="I149" i="97" s="1"/>
  <c r="H22" i="97"/>
  <c r="I67" i="97" s="1"/>
  <c r="H57" i="97"/>
  <c r="I162" i="97" s="1"/>
  <c r="I74" i="97" a="1"/>
  <c r="I74" i="97" s="1"/>
  <c r="I127" i="97" a="1"/>
  <c r="I127" i="97" s="1"/>
  <c r="I158" i="97" a="1"/>
  <c r="I158" i="97" s="1"/>
  <c r="I105" i="97" a="1"/>
  <c r="I105" i="97" s="1"/>
  <c r="H42" i="97"/>
  <c r="I91" i="97" s="1"/>
  <c r="I141" i="97" a="1"/>
  <c r="I141" i="97" s="1"/>
  <c r="I88" i="97" a="1"/>
  <c r="I88" i="97" s="1"/>
  <c r="I84" i="97" a="1"/>
  <c r="I84" i="97" s="1"/>
  <c r="I137" i="97" a="1"/>
  <c r="I137" i="97" s="1"/>
  <c r="I70" i="97" a="1"/>
  <c r="I70" i="97" s="1"/>
  <c r="I123" i="97" a="1"/>
  <c r="I123" i="97" s="1"/>
  <c r="I116" i="97" a="1"/>
  <c r="I116" i="97" s="1"/>
  <c r="I63" i="97" a="1"/>
  <c r="I63" i="97" s="1"/>
  <c r="I86" i="97" a="1"/>
  <c r="I86" i="97" s="1"/>
  <c r="I139" i="97" a="1"/>
  <c r="I139" i="97" s="1"/>
  <c r="J53" i="97"/>
  <c r="J51" i="97"/>
  <c r="J52" i="97" s="1"/>
  <c r="J49" i="97"/>
  <c r="J50" i="97"/>
  <c r="J18" i="146"/>
  <c r="J22" i="146"/>
  <c r="J19" i="146"/>
  <c r="J20" i="146"/>
  <c r="J21" i="146" s="1"/>
  <c r="J43" i="146" a="1"/>
  <c r="J43" i="146" s="1"/>
  <c r="J32" i="146" a="1"/>
  <c r="J32" i="146" s="1"/>
  <c r="J41" i="146" a="1"/>
  <c r="J41" i="146" s="1"/>
  <c r="J30" i="146" a="1"/>
  <c r="J30" i="146" s="1"/>
  <c r="J28" i="146" a="1"/>
  <c r="J28" i="146" s="1"/>
  <c r="J39" i="146" a="1"/>
  <c r="J39" i="146" s="1"/>
  <c r="J38" i="146" a="1"/>
  <c r="J38" i="146" s="1"/>
  <c r="J27" i="146" a="1"/>
  <c r="J27" i="146" s="1"/>
  <c r="J155" i="97" a="1"/>
  <c r="J155" i="97" s="1"/>
  <c r="J102" i="97" a="1"/>
  <c r="J102" i="97" s="1"/>
  <c r="J153" i="97" a="1"/>
  <c r="J153" i="97" s="1"/>
  <c r="J100" i="97" a="1"/>
  <c r="J100" i="97" s="1"/>
  <c r="J152" i="97" a="1"/>
  <c r="J152" i="97" s="1"/>
  <c r="J99" i="97" a="1"/>
  <c r="J99" i="97" s="1"/>
  <c r="J104" i="97" a="1"/>
  <c r="J104" i="97" s="1"/>
  <c r="J157" i="97" a="1"/>
  <c r="J157" i="97" s="1"/>
  <c r="Q41" i="144"/>
  <c r="W41" i="144" s="1"/>
  <c r="T41" i="144" a="1"/>
  <c r="T41" i="144" s="1"/>
  <c r="V41" i="144" a="1"/>
  <c r="V41" i="144" s="1"/>
  <c r="R41" i="144" a="1"/>
  <c r="R41" i="144" s="1"/>
  <c r="AE41" i="144" a="1"/>
  <c r="AE41" i="144" s="1"/>
  <c r="U132" i="145" s="1"/>
  <c r="AD41" i="144" a="1"/>
  <c r="AD41" i="144" s="1"/>
  <c r="T132" i="145" s="1"/>
  <c r="AT41" i="144" a="1"/>
  <c r="AT41" i="144" s="1"/>
  <c r="AC41" i="144" a="1"/>
  <c r="AC41" i="144" s="1"/>
  <c r="S132" i="145" s="1"/>
  <c r="AS41" i="144" a="1"/>
  <c r="AS41" i="144" s="1"/>
  <c r="AR41" i="144" a="1"/>
  <c r="AR41" i="144" s="1"/>
  <c r="P41" i="144" a="1"/>
  <c r="P41" i="144" s="1"/>
  <c r="N132" i="145" s="1"/>
  <c r="AQ41" i="144" a="1"/>
  <c r="AQ41" i="144" s="1"/>
  <c r="AP41" i="144" a="1"/>
  <c r="AP41" i="144" s="1"/>
  <c r="AO41" i="144" a="1"/>
  <c r="AO41" i="144" s="1"/>
  <c r="AH41" i="144" a="1"/>
  <c r="AH41" i="144" s="1"/>
  <c r="X132" i="145" s="1"/>
  <c r="AG41" i="144" a="1"/>
  <c r="AG41" i="144" s="1"/>
  <c r="W132" i="145" s="1"/>
  <c r="AF41" i="144" a="1"/>
  <c r="AF41" i="144" s="1"/>
  <c r="V132" i="145" s="1"/>
  <c r="L48" i="98"/>
  <c r="Z48" i="98" a="1"/>
  <c r="Z48" i="98" s="1"/>
  <c r="P90" i="138" s="1"/>
  <c r="AB48" i="98" a="1"/>
  <c r="AB48" i="98" s="1"/>
  <c r="R90" i="138" s="1"/>
  <c r="AM48" i="98" a="1"/>
  <c r="AM48" i="98" s="1"/>
  <c r="Y48" i="98" a="1"/>
  <c r="Y48" i="98" s="1"/>
  <c r="O90" i="138" s="1"/>
  <c r="AN48" i="98" a="1"/>
  <c r="AN48" i="98" s="1"/>
  <c r="AL48" i="98" a="1"/>
  <c r="AL48" i="98" s="1"/>
  <c r="AK48" i="98" a="1"/>
  <c r="AK48" i="98" s="1"/>
  <c r="AA48" i="98" a="1"/>
  <c r="AA48" i="98" s="1"/>
  <c r="Q90" i="138" s="1"/>
  <c r="D95" i="138"/>
  <c r="AN53" i="98" a="1"/>
  <c r="AN53" i="98" s="1"/>
  <c r="AM53" i="98" a="1"/>
  <c r="AM53" i="98" s="1"/>
  <c r="Z53" i="98" a="1"/>
  <c r="Z53" i="98" s="1"/>
  <c r="P95" i="138" s="1"/>
  <c r="Y53" i="98" a="1"/>
  <c r="Y53" i="98" s="1"/>
  <c r="O95" i="138" s="1"/>
  <c r="AL53" i="98" a="1"/>
  <c r="AL53" i="98" s="1"/>
  <c r="AK53" i="98" a="1"/>
  <c r="AK53" i="98" s="1"/>
  <c r="AB53" i="98" a="1"/>
  <c r="AB53" i="98" s="1"/>
  <c r="R95" i="138" s="1"/>
  <c r="AA53" i="98" a="1"/>
  <c r="AA53" i="98" s="1"/>
  <c r="Q95" i="138" s="1"/>
  <c r="N19" i="144"/>
  <c r="X19" i="144" s="1"/>
  <c r="AO19" i="144" a="1"/>
  <c r="AO19" i="144" s="1"/>
  <c r="AQ19" i="144" a="1"/>
  <c r="AQ19" i="144" s="1"/>
  <c r="AP19" i="144" a="1"/>
  <c r="AP19" i="144" s="1"/>
  <c r="AH19" i="144" a="1"/>
  <c r="AH19" i="144" s="1"/>
  <c r="X110" i="145" s="1"/>
  <c r="AG19" i="144" a="1"/>
  <c r="AG19" i="144" s="1"/>
  <c r="W110" i="145" s="1"/>
  <c r="AF19" i="144" a="1"/>
  <c r="AF19" i="144" s="1"/>
  <c r="V110" i="145" s="1"/>
  <c r="AE19" i="144" a="1"/>
  <c r="AE19" i="144" s="1"/>
  <c r="U110" i="145" s="1"/>
  <c r="AD19" i="144" a="1"/>
  <c r="AD19" i="144" s="1"/>
  <c r="T110" i="145" s="1"/>
  <c r="AC19" i="144" a="1"/>
  <c r="AC19" i="144" s="1"/>
  <c r="V19" i="144" a="1"/>
  <c r="V19" i="144" s="1"/>
  <c r="T19" i="144" a="1"/>
  <c r="T19" i="144" s="1"/>
  <c r="R19" i="144" a="1"/>
  <c r="R19" i="144" s="1"/>
  <c r="AT19" i="144" a="1"/>
  <c r="AT19" i="144" s="1"/>
  <c r="P19" i="144" a="1"/>
  <c r="P19" i="144" s="1"/>
  <c r="N110" i="145" s="1"/>
  <c r="AS19" i="144" a="1"/>
  <c r="AS19" i="144" s="1"/>
  <c r="AR19" i="144" a="1"/>
  <c r="AR19" i="144" s="1"/>
  <c r="AB62" i="98" a="1"/>
  <c r="AB62" i="98" s="1"/>
  <c r="R104" i="138" s="1"/>
  <c r="Z62" i="98" a="1"/>
  <c r="Z62" i="98" s="1"/>
  <c r="P104" i="138" s="1"/>
  <c r="Y62" i="98" a="1"/>
  <c r="Y62" i="98" s="1"/>
  <c r="O104" i="138" s="1"/>
  <c r="AA62" i="98" a="1"/>
  <c r="AA62" i="98" s="1"/>
  <c r="Q104" i="138" s="1"/>
  <c r="AN62" i="98" a="1"/>
  <c r="AN62" i="98" s="1"/>
  <c r="AM62" i="98" a="1"/>
  <c r="AM62" i="98" s="1"/>
  <c r="AL62" i="98" a="1"/>
  <c r="AL62" i="98" s="1"/>
  <c r="AK62" i="98" a="1"/>
  <c r="AK62" i="98" s="1"/>
  <c r="L54" i="98"/>
  <c r="AL54" i="98" a="1"/>
  <c r="AL54" i="98" s="1"/>
  <c r="AK54" i="98" a="1"/>
  <c r="AK54" i="98" s="1"/>
  <c r="Z54" i="98" a="1"/>
  <c r="Z54" i="98" s="1"/>
  <c r="P96" i="138" s="1"/>
  <c r="Y54" i="98" a="1"/>
  <c r="Y54" i="98" s="1"/>
  <c r="O96" i="138" s="1"/>
  <c r="AB54" i="98" a="1"/>
  <c r="AB54" i="98" s="1"/>
  <c r="R96" i="138" s="1"/>
  <c r="AA54" i="98" a="1"/>
  <c r="AA54" i="98" s="1"/>
  <c r="Q96" i="138" s="1"/>
  <c r="AN54" i="98" a="1"/>
  <c r="AN54" i="98" s="1"/>
  <c r="AM54" i="98" a="1"/>
  <c r="AM54" i="98" s="1"/>
  <c r="AQ70" i="144" a="1"/>
  <c r="AQ70" i="144" s="1"/>
  <c r="AD70" i="144" a="1"/>
  <c r="AD70" i="144" s="1"/>
  <c r="AT70" i="144" a="1"/>
  <c r="AT70" i="144" s="1"/>
  <c r="P70" i="144" a="1"/>
  <c r="P70" i="144" s="1"/>
  <c r="AH70" i="144" a="1"/>
  <c r="AH70" i="144" s="1"/>
  <c r="AG70" i="144" a="1"/>
  <c r="AG70" i="144" s="1"/>
  <c r="AS70" i="144" a="1"/>
  <c r="AS70" i="144" s="1"/>
  <c r="AR70" i="144" a="1"/>
  <c r="AR70" i="144" s="1"/>
  <c r="AP70" i="144" a="1"/>
  <c r="AP70" i="144" s="1"/>
  <c r="V70" i="144" a="1"/>
  <c r="V70" i="144" s="1"/>
  <c r="AO70" i="144" a="1"/>
  <c r="AO70" i="144" s="1"/>
  <c r="T70" i="144" a="1"/>
  <c r="T70" i="144" s="1"/>
  <c r="AF70" i="144" a="1"/>
  <c r="AF70" i="144" s="1"/>
  <c r="AE70" i="144" a="1"/>
  <c r="AE70" i="144" s="1"/>
  <c r="AC70" i="144" a="1"/>
  <c r="AC70" i="144" s="1"/>
  <c r="R70" i="144" a="1"/>
  <c r="R70" i="144" s="1"/>
  <c r="AP65" i="98" a="1"/>
  <c r="AP65" i="98" s="1"/>
  <c r="AR65" i="98" a="1"/>
  <c r="AR65" i="98" s="1"/>
  <c r="AD65" i="98" a="1"/>
  <c r="AD65" i="98" s="1"/>
  <c r="T107" i="138" s="1"/>
  <c r="AF65" i="98" a="1"/>
  <c r="AF65" i="98" s="1"/>
  <c r="V107" i="138" s="1"/>
  <c r="AH65" i="98" a="1"/>
  <c r="AH65" i="98" s="1"/>
  <c r="X107" i="138" s="1"/>
  <c r="P65" i="98" a="1"/>
  <c r="P65" i="98" s="1"/>
  <c r="N107" i="138" s="1"/>
  <c r="AQ65" i="98" a="1"/>
  <c r="AQ65" i="98" s="1"/>
  <c r="AE65" i="98" a="1"/>
  <c r="AE65" i="98" s="1"/>
  <c r="U107" i="138" s="1"/>
  <c r="AC65" i="98" a="1"/>
  <c r="AC65" i="98" s="1"/>
  <c r="S107" i="138" s="1"/>
  <c r="AT65" i="98" a="1"/>
  <c r="AT65" i="98" s="1"/>
  <c r="V65" i="98" a="1"/>
  <c r="V65" i="98" s="1"/>
  <c r="AS65" i="98" a="1"/>
  <c r="AS65" i="98" s="1"/>
  <c r="T65" i="98" a="1"/>
  <c r="T65" i="98" s="1"/>
  <c r="R65" i="98" a="1"/>
  <c r="R65" i="98" s="1"/>
  <c r="AO65" i="98" a="1"/>
  <c r="AO65" i="98" s="1"/>
  <c r="AG65" i="98" a="1"/>
  <c r="AG65" i="98" s="1"/>
  <c r="W107" i="138" s="1"/>
  <c r="Y55" i="98" a="1"/>
  <c r="Y55" i="98" s="1"/>
  <c r="O97" i="138" s="1"/>
  <c r="AN55" i="98" a="1"/>
  <c r="AN55" i="98" s="1"/>
  <c r="AK55" i="98" a="1"/>
  <c r="AK55" i="98" s="1"/>
  <c r="AM55" i="98" a="1"/>
  <c r="AM55" i="98" s="1"/>
  <c r="AL55" i="98" a="1"/>
  <c r="AL55" i="98" s="1"/>
  <c r="AB55" i="98" a="1"/>
  <c r="AB55" i="98" s="1"/>
  <c r="R97" i="138" s="1"/>
  <c r="AA55" i="98" a="1"/>
  <c r="AA55" i="98" s="1"/>
  <c r="Q97" i="138" s="1"/>
  <c r="Z55" i="98" a="1"/>
  <c r="Z55" i="98" s="1"/>
  <c r="P97" i="138" s="1"/>
  <c r="N17" i="144"/>
  <c r="X17" i="144" s="1"/>
  <c r="AO17" i="144" a="1"/>
  <c r="AO17" i="144" s="1"/>
  <c r="R17" i="144" a="1"/>
  <c r="R17" i="144" s="1"/>
  <c r="AH17" i="144" a="1"/>
  <c r="AH17" i="144" s="1"/>
  <c r="P17" i="144" a="1"/>
  <c r="P17" i="144" s="1"/>
  <c r="AE17" i="144" a="1"/>
  <c r="AE17" i="144" s="1"/>
  <c r="AD17" i="144" a="1"/>
  <c r="AD17" i="144" s="1"/>
  <c r="AT17" i="144" a="1"/>
  <c r="AT17" i="144" s="1"/>
  <c r="AC17" i="144" a="1"/>
  <c r="AC17" i="144" s="1"/>
  <c r="AS17" i="144" a="1"/>
  <c r="AS17" i="144" s="1"/>
  <c r="AR17" i="144" a="1"/>
  <c r="AR17" i="144" s="1"/>
  <c r="AQ17" i="144" a="1"/>
  <c r="AQ17" i="144" s="1"/>
  <c r="AP17" i="144" a="1"/>
  <c r="AP17" i="144" s="1"/>
  <c r="AG17" i="144" a="1"/>
  <c r="AG17" i="144" s="1"/>
  <c r="AF17" i="144" a="1"/>
  <c r="AF17" i="144" s="1"/>
  <c r="V17" i="144" a="1"/>
  <c r="V17" i="144" s="1"/>
  <c r="T17" i="144" a="1"/>
  <c r="T17" i="144" s="1"/>
  <c r="AE30" i="144" a="1"/>
  <c r="AE30" i="144" s="1"/>
  <c r="U121" i="145" s="1"/>
  <c r="AR30" i="144" a="1"/>
  <c r="AR30" i="144" s="1"/>
  <c r="AQ30" i="144" a="1"/>
  <c r="AQ30" i="144" s="1"/>
  <c r="V30" i="144" a="1"/>
  <c r="V30" i="144" s="1"/>
  <c r="AP30" i="144" a="1"/>
  <c r="AP30" i="144" s="1"/>
  <c r="T30" i="144" a="1"/>
  <c r="T30" i="144" s="1"/>
  <c r="AO30" i="144" a="1"/>
  <c r="AO30" i="144" s="1"/>
  <c r="R30" i="144" a="1"/>
  <c r="R30" i="144" s="1"/>
  <c r="P30" i="144" a="1"/>
  <c r="P30" i="144" s="1"/>
  <c r="N121" i="145" s="1"/>
  <c r="AF30" i="144" a="1"/>
  <c r="AF30" i="144" s="1"/>
  <c r="V121" i="145" s="1"/>
  <c r="AD30" i="144" a="1"/>
  <c r="AD30" i="144" s="1"/>
  <c r="T121" i="145" s="1"/>
  <c r="AC30" i="144" a="1"/>
  <c r="AC30" i="144" s="1"/>
  <c r="S121" i="145" s="1"/>
  <c r="AT30" i="144" a="1"/>
  <c r="AT30" i="144" s="1"/>
  <c r="AS30" i="144" a="1"/>
  <c r="AS30" i="144" s="1"/>
  <c r="AH30" i="144" a="1"/>
  <c r="AH30" i="144" s="1"/>
  <c r="X121" i="145" s="1"/>
  <c r="AG30" i="144" a="1"/>
  <c r="AG30" i="144" s="1"/>
  <c r="W121" i="145" s="1"/>
  <c r="V37" i="144" a="1"/>
  <c r="V37" i="144" s="1"/>
  <c r="AQ37" i="144" a="1"/>
  <c r="AQ37" i="144" s="1"/>
  <c r="T37" i="144" a="1"/>
  <c r="T37" i="144" s="1"/>
  <c r="AP37" i="144" a="1"/>
  <c r="AP37" i="144" s="1"/>
  <c r="R37" i="144" a="1"/>
  <c r="R37" i="144" s="1"/>
  <c r="AO37" i="144" a="1"/>
  <c r="AO37" i="144" s="1"/>
  <c r="P37" i="144" a="1"/>
  <c r="P37" i="144" s="1"/>
  <c r="N128" i="145" s="1"/>
  <c r="AH37" i="144" a="1"/>
  <c r="AH37" i="144" s="1"/>
  <c r="X128" i="145" s="1"/>
  <c r="AR37" i="144" a="1"/>
  <c r="AR37" i="144" s="1"/>
  <c r="AG37" i="144" a="1"/>
  <c r="AG37" i="144" s="1"/>
  <c r="W128" i="145" s="1"/>
  <c r="AF37" i="144" a="1"/>
  <c r="AF37" i="144" s="1"/>
  <c r="V128" i="145" s="1"/>
  <c r="AE37" i="144" a="1"/>
  <c r="AE37" i="144" s="1"/>
  <c r="U128" i="145" s="1"/>
  <c r="AD37" i="144" a="1"/>
  <c r="AD37" i="144" s="1"/>
  <c r="T128" i="145" s="1"/>
  <c r="AC37" i="144" a="1"/>
  <c r="AC37" i="144" s="1"/>
  <c r="S128" i="145" s="1"/>
  <c r="AT37" i="144" a="1"/>
  <c r="AT37" i="144" s="1"/>
  <c r="AS37" i="144" a="1"/>
  <c r="AS37" i="144" s="1"/>
  <c r="V58" i="98" a="1"/>
  <c r="V58" i="98" s="1"/>
  <c r="AQ58" i="98" a="1"/>
  <c r="AQ58" i="98" s="1"/>
  <c r="AP58" i="98" a="1"/>
  <c r="AP58" i="98" s="1"/>
  <c r="AO58" i="98" a="1"/>
  <c r="AO58" i="98" s="1"/>
  <c r="AH58" i="98" a="1"/>
  <c r="AH58" i="98" s="1"/>
  <c r="X100" i="138" s="1"/>
  <c r="AG58" i="98" a="1"/>
  <c r="AG58" i="98" s="1"/>
  <c r="W100" i="138" s="1"/>
  <c r="AF58" i="98" a="1"/>
  <c r="AF58" i="98" s="1"/>
  <c r="V100" i="138" s="1"/>
  <c r="R58" i="98" a="1"/>
  <c r="R58" i="98" s="1"/>
  <c r="P58" i="98" a="1"/>
  <c r="P58" i="98" s="1"/>
  <c r="N100" i="138" s="1"/>
  <c r="AT58" i="98" a="1"/>
  <c r="AT58" i="98" s="1"/>
  <c r="AS58" i="98" a="1"/>
  <c r="AS58" i="98" s="1"/>
  <c r="AR58" i="98" a="1"/>
  <c r="AR58" i="98" s="1"/>
  <c r="AE58" i="98" a="1"/>
  <c r="AE58" i="98" s="1"/>
  <c r="U100" i="138" s="1"/>
  <c r="AD58" i="98" a="1"/>
  <c r="AD58" i="98" s="1"/>
  <c r="T100" i="138" s="1"/>
  <c r="AC58" i="98" a="1"/>
  <c r="AC58" i="98" s="1"/>
  <c r="S100" i="138" s="1"/>
  <c r="T58" i="98" a="1"/>
  <c r="T58" i="98" s="1"/>
  <c r="L61" i="98"/>
  <c r="AM61" i="98" a="1"/>
  <c r="AM61" i="98" s="1"/>
  <c r="Y61" i="98" a="1"/>
  <c r="Y61" i="98" s="1"/>
  <c r="O103" i="138" s="1"/>
  <c r="Z61" i="98" a="1"/>
  <c r="Z61" i="98" s="1"/>
  <c r="P103" i="138" s="1"/>
  <c r="AN61" i="98" a="1"/>
  <c r="AN61" i="98" s="1"/>
  <c r="AL61" i="98" a="1"/>
  <c r="AL61" i="98" s="1"/>
  <c r="AK61" i="98" a="1"/>
  <c r="AK61" i="98" s="1"/>
  <c r="AA61" i="98" a="1"/>
  <c r="AA61" i="98" s="1"/>
  <c r="Q103" i="138" s="1"/>
  <c r="AB61" i="98" a="1"/>
  <c r="AB61" i="98" s="1"/>
  <c r="R103" i="138" s="1"/>
  <c r="V58" i="144" a="1"/>
  <c r="V58" i="144" s="1"/>
  <c r="T58" i="144" a="1"/>
  <c r="T58" i="144" s="1"/>
  <c r="AH58" i="144" a="1"/>
  <c r="AH58" i="144" s="1"/>
  <c r="X149" i="145" s="1"/>
  <c r="AG58" i="144" a="1"/>
  <c r="AG58" i="144" s="1"/>
  <c r="W149" i="145" s="1"/>
  <c r="AF58" i="144" a="1"/>
  <c r="AF58" i="144" s="1"/>
  <c r="V149" i="145" s="1"/>
  <c r="AE58" i="144" a="1"/>
  <c r="AE58" i="144" s="1"/>
  <c r="U149" i="145" s="1"/>
  <c r="AD58" i="144" a="1"/>
  <c r="AD58" i="144" s="1"/>
  <c r="T149" i="145" s="1"/>
  <c r="AC58" i="144" a="1"/>
  <c r="AC58" i="144" s="1"/>
  <c r="S149" i="145" s="1"/>
  <c r="R58" i="144" a="1"/>
  <c r="R58" i="144" s="1"/>
  <c r="AT58" i="144" a="1"/>
  <c r="AT58" i="144" s="1"/>
  <c r="P58" i="144" a="1"/>
  <c r="P58" i="144" s="1"/>
  <c r="N149" i="145" s="1"/>
  <c r="AS58" i="144" a="1"/>
  <c r="AS58" i="144" s="1"/>
  <c r="AR58" i="144" a="1"/>
  <c r="AR58" i="144" s="1"/>
  <c r="AQ58" i="144" a="1"/>
  <c r="AQ58" i="144" s="1"/>
  <c r="AP58" i="144" a="1"/>
  <c r="AP58" i="144" s="1"/>
  <c r="AO58" i="144" a="1"/>
  <c r="AO58" i="144" s="1"/>
  <c r="R68" i="98" a="1"/>
  <c r="R68" i="98" s="1"/>
  <c r="AG68" i="98" a="1"/>
  <c r="AG68" i="98" s="1"/>
  <c r="AP68" i="98" a="1"/>
  <c r="AP68" i="98" s="1"/>
  <c r="AR68" i="98" a="1"/>
  <c r="AR68" i="98" s="1"/>
  <c r="AQ68" i="98" a="1"/>
  <c r="AQ68" i="98" s="1"/>
  <c r="AF68" i="98" a="1"/>
  <c r="AF68" i="98" s="1"/>
  <c r="AE68" i="98" a="1"/>
  <c r="AE68" i="98" s="1"/>
  <c r="AD68" i="98" a="1"/>
  <c r="AD68" i="98" s="1"/>
  <c r="AC68" i="98" a="1"/>
  <c r="AC68" i="98" s="1"/>
  <c r="AH68" i="98" a="1"/>
  <c r="AH68" i="98" s="1"/>
  <c r="V68" i="98" a="1"/>
  <c r="V68" i="98" s="1"/>
  <c r="T68" i="98" a="1"/>
  <c r="T68" i="98" s="1"/>
  <c r="P68" i="98" a="1"/>
  <c r="P68" i="98" s="1"/>
  <c r="AT68" i="98" a="1"/>
  <c r="AT68" i="98" s="1"/>
  <c r="AS68" i="98" a="1"/>
  <c r="AS68" i="98" s="1"/>
  <c r="AO68" i="98" a="1"/>
  <c r="AO68" i="98" s="1"/>
  <c r="V35" i="144" a="1"/>
  <c r="V35" i="144" s="1"/>
  <c r="AG35" i="144" a="1"/>
  <c r="AG35" i="144" s="1"/>
  <c r="W126" i="145" s="1"/>
  <c r="AF35" i="144" a="1"/>
  <c r="AF35" i="144" s="1"/>
  <c r="V126" i="145" s="1"/>
  <c r="AT35" i="144" a="1"/>
  <c r="AT35" i="144" s="1"/>
  <c r="AE35" i="144" a="1"/>
  <c r="AE35" i="144" s="1"/>
  <c r="U126" i="145" s="1"/>
  <c r="P35" i="144" a="1"/>
  <c r="P35" i="144" s="1"/>
  <c r="N126" i="145" s="1"/>
  <c r="AH35" i="144" a="1"/>
  <c r="AH35" i="144" s="1"/>
  <c r="X126" i="145" s="1"/>
  <c r="AD35" i="144" a="1"/>
  <c r="AD35" i="144" s="1"/>
  <c r="T126" i="145" s="1"/>
  <c r="AS35" i="144" a="1"/>
  <c r="AS35" i="144" s="1"/>
  <c r="AR35" i="144" a="1"/>
  <c r="AR35" i="144" s="1"/>
  <c r="R35" i="144" a="1"/>
  <c r="R35" i="144" s="1"/>
  <c r="AQ35" i="144" a="1"/>
  <c r="AQ35" i="144" s="1"/>
  <c r="AP35" i="144" a="1"/>
  <c r="AP35" i="144" s="1"/>
  <c r="AO35" i="144" a="1"/>
  <c r="AO35" i="144" s="1"/>
  <c r="AC35" i="144" a="1"/>
  <c r="AC35" i="144" s="1"/>
  <c r="S126" i="145" s="1"/>
  <c r="T35" i="144" a="1"/>
  <c r="T35" i="144" s="1"/>
  <c r="U42" i="144"/>
  <c r="AC42" i="144" a="1"/>
  <c r="AC42" i="144" s="1"/>
  <c r="S133" i="145" s="1"/>
  <c r="AP42" i="144" a="1"/>
  <c r="AP42" i="144" s="1"/>
  <c r="AG42" i="144" a="1"/>
  <c r="AG42" i="144" s="1"/>
  <c r="W133" i="145" s="1"/>
  <c r="AF42" i="144" a="1"/>
  <c r="AF42" i="144" s="1"/>
  <c r="V133" i="145" s="1"/>
  <c r="AT42" i="144" a="1"/>
  <c r="AT42" i="144" s="1"/>
  <c r="AH42" i="144" a="1"/>
  <c r="AH42" i="144" s="1"/>
  <c r="X133" i="145" s="1"/>
  <c r="AE42" i="144" a="1"/>
  <c r="AE42" i="144" s="1"/>
  <c r="U133" i="145" s="1"/>
  <c r="AD42" i="144" a="1"/>
  <c r="AD42" i="144" s="1"/>
  <c r="T133" i="145" s="1"/>
  <c r="V42" i="144" a="1"/>
  <c r="V42" i="144" s="1"/>
  <c r="T42" i="144" a="1"/>
  <c r="T42" i="144" s="1"/>
  <c r="AS42" i="144" a="1"/>
  <c r="AS42" i="144" s="1"/>
  <c r="R42" i="144" a="1"/>
  <c r="R42" i="144" s="1"/>
  <c r="AR42" i="144" a="1"/>
  <c r="AR42" i="144" s="1"/>
  <c r="P42" i="144" a="1"/>
  <c r="P42" i="144" s="1"/>
  <c r="N133" i="145" s="1"/>
  <c r="AQ42" i="144" a="1"/>
  <c r="AQ42" i="144" s="1"/>
  <c r="AO42" i="144" a="1"/>
  <c r="AO42" i="144" s="1"/>
  <c r="AH60" i="144" a="1"/>
  <c r="AH60" i="144" s="1"/>
  <c r="X151" i="145" s="1"/>
  <c r="T60" i="144" a="1"/>
  <c r="T60" i="144" s="1"/>
  <c r="AO60" i="144" a="1"/>
  <c r="AO60" i="144" s="1"/>
  <c r="AF60" i="144" a="1"/>
  <c r="AF60" i="144" s="1"/>
  <c r="V151" i="145" s="1"/>
  <c r="AT60" i="144" a="1"/>
  <c r="AT60" i="144" s="1"/>
  <c r="AE60" i="144" a="1"/>
  <c r="AE60" i="144" s="1"/>
  <c r="U151" i="145" s="1"/>
  <c r="AQ60" i="144" a="1"/>
  <c r="AQ60" i="144" s="1"/>
  <c r="AP60" i="144" a="1"/>
  <c r="AP60" i="144" s="1"/>
  <c r="V60" i="144" a="1"/>
  <c r="V60" i="144" s="1"/>
  <c r="R60" i="144" a="1"/>
  <c r="R60" i="144" s="1"/>
  <c r="P60" i="144" a="1"/>
  <c r="P60" i="144" s="1"/>
  <c r="N151" i="145" s="1"/>
  <c r="AC60" i="144" a="1"/>
  <c r="AC60" i="144" s="1"/>
  <c r="S151" i="145" s="1"/>
  <c r="AS60" i="144" a="1"/>
  <c r="AS60" i="144" s="1"/>
  <c r="AR60" i="144" a="1"/>
  <c r="AR60" i="144" s="1"/>
  <c r="AG60" i="144" a="1"/>
  <c r="AG60" i="144" s="1"/>
  <c r="W151" i="145" s="1"/>
  <c r="AD60" i="144" a="1"/>
  <c r="AD60" i="144" s="1"/>
  <c r="T151" i="145" s="1"/>
  <c r="N54" i="98"/>
  <c r="X54" i="98" s="1"/>
  <c r="AH54" i="98" a="1"/>
  <c r="AH54" i="98" s="1"/>
  <c r="X96" i="138" s="1"/>
  <c r="R54" i="98" a="1"/>
  <c r="R54" i="98" s="1"/>
  <c r="P54" i="98" a="1"/>
  <c r="P54" i="98" s="1"/>
  <c r="N96" i="138" s="1"/>
  <c r="AP54" i="98" a="1"/>
  <c r="AP54" i="98" s="1"/>
  <c r="AO54" i="98" a="1"/>
  <c r="AO54" i="98" s="1"/>
  <c r="V54" i="98" a="1"/>
  <c r="V54" i="98" s="1"/>
  <c r="AC54" i="98" a="1"/>
  <c r="AC54" i="98" s="1"/>
  <c r="S96" i="138" s="1"/>
  <c r="AT54" i="98" a="1"/>
  <c r="AT54" i="98" s="1"/>
  <c r="AS54" i="98" a="1"/>
  <c r="AS54" i="98" s="1"/>
  <c r="AR54" i="98" a="1"/>
  <c r="AR54" i="98" s="1"/>
  <c r="T54" i="98" a="1"/>
  <c r="T54" i="98" s="1"/>
  <c r="AQ54" i="98" a="1"/>
  <c r="AQ54" i="98" s="1"/>
  <c r="AG54" i="98" a="1"/>
  <c r="AG54" i="98" s="1"/>
  <c r="W96" i="138" s="1"/>
  <c r="AF54" i="98" a="1"/>
  <c r="AF54" i="98" s="1"/>
  <c r="V96" i="138" s="1"/>
  <c r="AE54" i="98" a="1"/>
  <c r="AE54" i="98" s="1"/>
  <c r="U96" i="138" s="1"/>
  <c r="AD54" i="98" a="1"/>
  <c r="AD54" i="98" s="1"/>
  <c r="T96" i="138" s="1"/>
  <c r="AH71" i="144" a="1"/>
  <c r="AH71" i="144" s="1"/>
  <c r="T71" i="144" a="1"/>
  <c r="T71" i="144" s="1"/>
  <c r="AG71" i="144" a="1"/>
  <c r="AG71" i="144" s="1"/>
  <c r="P71" i="144" a="1"/>
  <c r="P71" i="144" s="1"/>
  <c r="AT71" i="144" a="1"/>
  <c r="AT71" i="144" s="1"/>
  <c r="AE71" i="144" a="1"/>
  <c r="AE71" i="144" s="1"/>
  <c r="AS71" i="144" a="1"/>
  <c r="AS71" i="144" s="1"/>
  <c r="AD71" i="144" a="1"/>
  <c r="AD71" i="144" s="1"/>
  <c r="AC71" i="144" a="1"/>
  <c r="AC71" i="144" s="1"/>
  <c r="AR71" i="144" a="1"/>
  <c r="AR71" i="144" s="1"/>
  <c r="AQ71" i="144" a="1"/>
  <c r="AQ71" i="144" s="1"/>
  <c r="AO71" i="144" a="1"/>
  <c r="AO71" i="144" s="1"/>
  <c r="AF71" i="144" a="1"/>
  <c r="AF71" i="144" s="1"/>
  <c r="V71" i="144" a="1"/>
  <c r="V71" i="144" s="1"/>
  <c r="R71" i="144" a="1"/>
  <c r="R71" i="144" s="1"/>
  <c r="AP71" i="144" a="1"/>
  <c r="AP71" i="144" s="1"/>
  <c r="AF57" i="144" a="1"/>
  <c r="AF57" i="144" s="1"/>
  <c r="V148" i="145" s="1"/>
  <c r="AS57" i="144" a="1"/>
  <c r="AS57" i="144" s="1"/>
  <c r="AE57" i="144" a="1"/>
  <c r="AE57" i="144" s="1"/>
  <c r="U148" i="145" s="1"/>
  <c r="AQ57" i="144" a="1"/>
  <c r="AQ57" i="144" s="1"/>
  <c r="AP57" i="144" a="1"/>
  <c r="AP57" i="144" s="1"/>
  <c r="AH57" i="144" a="1"/>
  <c r="AH57" i="144" s="1"/>
  <c r="X148" i="145" s="1"/>
  <c r="AG57" i="144" a="1"/>
  <c r="AG57" i="144" s="1"/>
  <c r="W148" i="145" s="1"/>
  <c r="AD57" i="144" a="1"/>
  <c r="AD57" i="144" s="1"/>
  <c r="T148" i="145" s="1"/>
  <c r="AC57" i="144" a="1"/>
  <c r="AC57" i="144" s="1"/>
  <c r="S148" i="145" s="1"/>
  <c r="V57" i="144" a="1"/>
  <c r="V57" i="144" s="1"/>
  <c r="T57" i="144" a="1"/>
  <c r="T57" i="144" s="1"/>
  <c r="R57" i="144" a="1"/>
  <c r="R57" i="144" s="1"/>
  <c r="AT57" i="144" a="1"/>
  <c r="AT57" i="144" s="1"/>
  <c r="AR57" i="144" a="1"/>
  <c r="AR57" i="144" s="1"/>
  <c r="P57" i="144" a="1"/>
  <c r="P57" i="144" s="1"/>
  <c r="N148" i="145" s="1"/>
  <c r="AO57" i="144" a="1"/>
  <c r="AO57" i="144" s="1"/>
  <c r="AF47" i="98" a="1"/>
  <c r="AF47" i="98" s="1"/>
  <c r="V89" i="138" s="1"/>
  <c r="AG47" i="98" a="1"/>
  <c r="AG47" i="98" s="1"/>
  <c r="W89" i="138" s="1"/>
  <c r="P47" i="98" a="1"/>
  <c r="P47" i="98" s="1"/>
  <c r="N89" i="138" s="1"/>
  <c r="T47" i="98" a="1"/>
  <c r="T47" i="98" s="1"/>
  <c r="AO47" i="98" a="1"/>
  <c r="AO47" i="98" s="1"/>
  <c r="V47" i="98" a="1"/>
  <c r="V47" i="98" s="1"/>
  <c r="AH47" i="98" a="1"/>
  <c r="AH47" i="98" s="1"/>
  <c r="X89" i="138" s="1"/>
  <c r="AE47" i="98" a="1"/>
  <c r="AE47" i="98" s="1"/>
  <c r="U89" i="138" s="1"/>
  <c r="AD47" i="98" a="1"/>
  <c r="AD47" i="98" s="1"/>
  <c r="T89" i="138" s="1"/>
  <c r="AQ47" i="98" a="1"/>
  <c r="AQ47" i="98" s="1"/>
  <c r="AP47" i="98" a="1"/>
  <c r="AP47" i="98" s="1"/>
  <c r="AC47" i="98" a="1"/>
  <c r="AC47" i="98" s="1"/>
  <c r="S89" i="138" s="1"/>
  <c r="R47" i="98" a="1"/>
  <c r="R47" i="98" s="1"/>
  <c r="AT47" i="98" a="1"/>
  <c r="AT47" i="98" s="1"/>
  <c r="AS47" i="98" a="1"/>
  <c r="AS47" i="98" s="1"/>
  <c r="AR47" i="98" a="1"/>
  <c r="AR47" i="98" s="1"/>
  <c r="U50" i="144"/>
  <c r="AO50" i="144" a="1"/>
  <c r="AO50" i="144" s="1"/>
  <c r="AR50" i="144" a="1"/>
  <c r="AR50" i="144" s="1"/>
  <c r="AC50" i="144" a="1"/>
  <c r="AC50" i="144" s="1"/>
  <c r="S141" i="145" s="1"/>
  <c r="AQ50" i="144" a="1"/>
  <c r="AQ50" i="144" s="1"/>
  <c r="AH50" i="144" a="1"/>
  <c r="AH50" i="144" s="1"/>
  <c r="X141" i="145" s="1"/>
  <c r="AG50" i="144" a="1"/>
  <c r="AG50" i="144" s="1"/>
  <c r="W141" i="145" s="1"/>
  <c r="AF50" i="144" a="1"/>
  <c r="AF50" i="144" s="1"/>
  <c r="V141" i="145" s="1"/>
  <c r="AE50" i="144" a="1"/>
  <c r="AE50" i="144" s="1"/>
  <c r="U141" i="145" s="1"/>
  <c r="V50" i="144" a="1"/>
  <c r="V50" i="144" s="1"/>
  <c r="T50" i="144" a="1"/>
  <c r="T50" i="144" s="1"/>
  <c r="R50" i="144" a="1"/>
  <c r="R50" i="144" s="1"/>
  <c r="AT50" i="144" a="1"/>
  <c r="AT50" i="144" s="1"/>
  <c r="P50" i="144" a="1"/>
  <c r="P50" i="144" s="1"/>
  <c r="N141" i="145" s="1"/>
  <c r="AS50" i="144" a="1"/>
  <c r="AS50" i="144" s="1"/>
  <c r="AP50" i="144" a="1"/>
  <c r="AP50" i="144" s="1"/>
  <c r="AD50" i="144" a="1"/>
  <c r="AD50" i="144" s="1"/>
  <c r="T141" i="145" s="1"/>
  <c r="AT22" i="144" a="1"/>
  <c r="AT22" i="144" s="1"/>
  <c r="P22" i="144" a="1"/>
  <c r="P22" i="144" s="1"/>
  <c r="N113" i="145" s="1"/>
  <c r="AF22" i="144" a="1"/>
  <c r="AF22" i="144" s="1"/>
  <c r="V113" i="145" s="1"/>
  <c r="AR22" i="144" a="1"/>
  <c r="AR22" i="144" s="1"/>
  <c r="AC22" i="144" a="1"/>
  <c r="AC22" i="144" s="1"/>
  <c r="S113" i="145" s="1"/>
  <c r="AQ22" i="144" a="1"/>
  <c r="AQ22" i="144" s="1"/>
  <c r="AP22" i="144" a="1"/>
  <c r="AP22" i="144" s="1"/>
  <c r="AO22" i="144" a="1"/>
  <c r="AO22" i="144" s="1"/>
  <c r="V22" i="144" a="1"/>
  <c r="V22" i="144" s="1"/>
  <c r="T22" i="144" a="1"/>
  <c r="T22" i="144" s="1"/>
  <c r="R22" i="144" a="1"/>
  <c r="R22" i="144" s="1"/>
  <c r="AD22" i="144" a="1"/>
  <c r="AD22" i="144" s="1"/>
  <c r="T113" i="145" s="1"/>
  <c r="AS22" i="144" a="1"/>
  <c r="AS22" i="144" s="1"/>
  <c r="AH22" i="144" a="1"/>
  <c r="AH22" i="144" s="1"/>
  <c r="X113" i="145" s="1"/>
  <c r="AG22" i="144" a="1"/>
  <c r="AG22" i="144" s="1"/>
  <c r="W113" i="145" s="1"/>
  <c r="AE22" i="144" a="1"/>
  <c r="AE22" i="144" s="1"/>
  <c r="U113" i="145" s="1"/>
  <c r="Q31" i="144"/>
  <c r="W31" i="144" s="1"/>
  <c r="R31" i="144" a="1"/>
  <c r="R31" i="144" s="1"/>
  <c r="AH31" i="144" a="1"/>
  <c r="AH31" i="144" s="1"/>
  <c r="X122" i="145" s="1"/>
  <c r="P31" i="144" a="1"/>
  <c r="P31" i="144" s="1"/>
  <c r="N122" i="145" s="1"/>
  <c r="AG31" i="144" a="1"/>
  <c r="AG31" i="144" s="1"/>
  <c r="W122" i="145" s="1"/>
  <c r="AS31" i="144" a="1"/>
  <c r="AS31" i="144" s="1"/>
  <c r="AR31" i="144" a="1"/>
  <c r="AR31" i="144" s="1"/>
  <c r="AQ31" i="144" a="1"/>
  <c r="AQ31" i="144" s="1"/>
  <c r="AP31" i="144" a="1"/>
  <c r="AP31" i="144" s="1"/>
  <c r="V31" i="144" a="1"/>
  <c r="V31" i="144" s="1"/>
  <c r="AO31" i="144" a="1"/>
  <c r="AO31" i="144" s="1"/>
  <c r="T31" i="144" a="1"/>
  <c r="T31" i="144" s="1"/>
  <c r="AE31" i="144" a="1"/>
  <c r="AE31" i="144" s="1"/>
  <c r="U122" i="145" s="1"/>
  <c r="AD31" i="144" a="1"/>
  <c r="AD31" i="144" s="1"/>
  <c r="T122" i="145" s="1"/>
  <c r="AC31" i="144" a="1"/>
  <c r="AC31" i="144" s="1"/>
  <c r="S122" i="145" s="1"/>
  <c r="AT31" i="144" a="1"/>
  <c r="AT31" i="144" s="1"/>
  <c r="AF31" i="144" a="1"/>
  <c r="AF31" i="144" s="1"/>
  <c r="V122" i="145" s="1"/>
  <c r="AE32" i="144" a="1"/>
  <c r="AE32" i="144" s="1"/>
  <c r="U123" i="145" s="1"/>
  <c r="AR32" i="144" a="1"/>
  <c r="AR32" i="144" s="1"/>
  <c r="AD32" i="144" a="1"/>
  <c r="AD32" i="144" s="1"/>
  <c r="T123" i="145" s="1"/>
  <c r="AF32" i="144" a="1"/>
  <c r="AF32" i="144" s="1"/>
  <c r="V123" i="145" s="1"/>
  <c r="AT32" i="144" a="1"/>
  <c r="AT32" i="144" s="1"/>
  <c r="AS32" i="144" a="1"/>
  <c r="AS32" i="144" s="1"/>
  <c r="AC32" i="144" a="1"/>
  <c r="AC32" i="144" s="1"/>
  <c r="S123" i="145" s="1"/>
  <c r="AQ32" i="144" a="1"/>
  <c r="AQ32" i="144" s="1"/>
  <c r="AP32" i="144" a="1"/>
  <c r="AP32" i="144" s="1"/>
  <c r="AO32" i="144" a="1"/>
  <c r="AO32" i="144" s="1"/>
  <c r="V32" i="144" a="1"/>
  <c r="V32" i="144" s="1"/>
  <c r="T32" i="144" a="1"/>
  <c r="T32" i="144" s="1"/>
  <c r="R32" i="144" a="1"/>
  <c r="R32" i="144" s="1"/>
  <c r="P32" i="144" a="1"/>
  <c r="P32" i="144" s="1"/>
  <c r="N123" i="145" s="1"/>
  <c r="AH32" i="144" a="1"/>
  <c r="AH32" i="144" s="1"/>
  <c r="X123" i="145" s="1"/>
  <c r="AG32" i="144" a="1"/>
  <c r="AG32" i="144" s="1"/>
  <c r="W123" i="145" s="1"/>
  <c r="AF26" i="144" a="1"/>
  <c r="AF26" i="144" s="1"/>
  <c r="V117" i="145" s="1"/>
  <c r="AS26" i="144" a="1"/>
  <c r="AS26" i="144" s="1"/>
  <c r="AP26" i="144" a="1"/>
  <c r="AP26" i="144" s="1"/>
  <c r="AO26" i="144" a="1"/>
  <c r="AO26" i="144" s="1"/>
  <c r="AH26" i="144" a="1"/>
  <c r="AH26" i="144" s="1"/>
  <c r="X117" i="145" s="1"/>
  <c r="AG26" i="144" a="1"/>
  <c r="AG26" i="144" s="1"/>
  <c r="W117" i="145" s="1"/>
  <c r="AE26" i="144" a="1"/>
  <c r="AE26" i="144" s="1"/>
  <c r="U117" i="145" s="1"/>
  <c r="AD26" i="144" a="1"/>
  <c r="AD26" i="144" s="1"/>
  <c r="T117" i="145" s="1"/>
  <c r="AC26" i="144" a="1"/>
  <c r="AC26" i="144" s="1"/>
  <c r="S117" i="145" s="1"/>
  <c r="P26" i="144" a="1"/>
  <c r="P26" i="144" s="1"/>
  <c r="N117" i="145" s="1"/>
  <c r="AR26" i="144" a="1"/>
  <c r="AR26" i="144" s="1"/>
  <c r="AQ26" i="144" a="1"/>
  <c r="AQ26" i="144" s="1"/>
  <c r="V26" i="144" a="1"/>
  <c r="V26" i="144" s="1"/>
  <c r="T26" i="144" a="1"/>
  <c r="T26" i="144" s="1"/>
  <c r="R26" i="144" a="1"/>
  <c r="R26" i="144" s="1"/>
  <c r="AT26" i="144" a="1"/>
  <c r="AT26" i="144" s="1"/>
  <c r="AP61" i="144" a="1"/>
  <c r="AP61" i="144" s="1"/>
  <c r="AH61" i="144" a="1"/>
  <c r="AH61" i="144" s="1"/>
  <c r="X152" i="145" s="1"/>
  <c r="R61" i="144" a="1"/>
  <c r="R61" i="144" s="1"/>
  <c r="AS61" i="144" a="1"/>
  <c r="AS61" i="144" s="1"/>
  <c r="AD61" i="144" a="1"/>
  <c r="AD61" i="144" s="1"/>
  <c r="T152" i="145" s="1"/>
  <c r="AR61" i="144" a="1"/>
  <c r="AR61" i="144" s="1"/>
  <c r="AC61" i="144" a="1"/>
  <c r="AC61" i="144" s="1"/>
  <c r="S152" i="145" s="1"/>
  <c r="AT61" i="144" a="1"/>
  <c r="AT61" i="144" s="1"/>
  <c r="AQ61" i="144" a="1"/>
  <c r="AQ61" i="144" s="1"/>
  <c r="V61" i="144" a="1"/>
  <c r="V61" i="144" s="1"/>
  <c r="AO61" i="144" a="1"/>
  <c r="AO61" i="144" s="1"/>
  <c r="T61" i="144" a="1"/>
  <c r="T61" i="144" s="1"/>
  <c r="AE61" i="144" a="1"/>
  <c r="AE61" i="144" s="1"/>
  <c r="U152" i="145" s="1"/>
  <c r="P61" i="144" a="1"/>
  <c r="P61" i="144" s="1"/>
  <c r="N152" i="145" s="1"/>
  <c r="AG61" i="144" a="1"/>
  <c r="AG61" i="144" s="1"/>
  <c r="W152" i="145" s="1"/>
  <c r="AF61" i="144" a="1"/>
  <c r="AF61" i="144" s="1"/>
  <c r="V152" i="145" s="1"/>
  <c r="V27" i="144" a="1"/>
  <c r="V27" i="144" s="1"/>
  <c r="T27" i="144" a="1"/>
  <c r="T27" i="144" s="1"/>
  <c r="AH27" i="144" a="1"/>
  <c r="AH27" i="144" s="1"/>
  <c r="X118" i="145" s="1"/>
  <c r="AG27" i="144" a="1"/>
  <c r="AG27" i="144" s="1"/>
  <c r="W118" i="145" s="1"/>
  <c r="AF27" i="144" a="1"/>
  <c r="AF27" i="144" s="1"/>
  <c r="V118" i="145" s="1"/>
  <c r="AE27" i="144" a="1"/>
  <c r="AE27" i="144" s="1"/>
  <c r="U118" i="145" s="1"/>
  <c r="AD27" i="144" a="1"/>
  <c r="AD27" i="144" s="1"/>
  <c r="T118" i="145" s="1"/>
  <c r="AQ27" i="144" a="1"/>
  <c r="AQ27" i="144" s="1"/>
  <c r="AP27" i="144" a="1"/>
  <c r="AP27" i="144" s="1"/>
  <c r="AO27" i="144" a="1"/>
  <c r="AO27" i="144" s="1"/>
  <c r="AC27" i="144" a="1"/>
  <c r="AC27" i="144" s="1"/>
  <c r="S118" i="145" s="1"/>
  <c r="R27" i="144" a="1"/>
  <c r="R27" i="144" s="1"/>
  <c r="AT27" i="144" a="1"/>
  <c r="AT27" i="144" s="1"/>
  <c r="P27" i="144" a="1"/>
  <c r="P27" i="144" s="1"/>
  <c r="N118" i="145" s="1"/>
  <c r="AS27" i="144" a="1"/>
  <c r="AS27" i="144" s="1"/>
  <c r="AR27" i="144" a="1"/>
  <c r="AR27" i="144" s="1"/>
  <c r="T64" i="98" a="1"/>
  <c r="T64" i="98" s="1"/>
  <c r="V64" i="98" a="1"/>
  <c r="V64" i="98" s="1"/>
  <c r="AQ64" i="98" a="1"/>
  <c r="AQ64" i="98" s="1"/>
  <c r="AP64" i="98" a="1"/>
  <c r="AP64" i="98" s="1"/>
  <c r="R64" i="98" a="1"/>
  <c r="R64" i="98" s="1"/>
  <c r="AR64" i="98" a="1"/>
  <c r="AR64" i="98" s="1"/>
  <c r="P64" i="98" a="1"/>
  <c r="P64" i="98" s="1"/>
  <c r="N106" i="138" s="1"/>
  <c r="AO64" i="98" a="1"/>
  <c r="AO64" i="98" s="1"/>
  <c r="AH64" i="98" a="1"/>
  <c r="AH64" i="98" s="1"/>
  <c r="X106" i="138" s="1"/>
  <c r="AC64" i="98" a="1"/>
  <c r="AC64" i="98" s="1"/>
  <c r="S106" i="138" s="1"/>
  <c r="AT64" i="98" a="1"/>
  <c r="AT64" i="98" s="1"/>
  <c r="AS64" i="98" a="1"/>
  <c r="AS64" i="98" s="1"/>
  <c r="AG64" i="98" a="1"/>
  <c r="AG64" i="98" s="1"/>
  <c r="W106" i="138" s="1"/>
  <c r="AF64" i="98" a="1"/>
  <c r="AF64" i="98" s="1"/>
  <c r="V106" i="138" s="1"/>
  <c r="AE64" i="98" a="1"/>
  <c r="AE64" i="98" s="1"/>
  <c r="U106" i="138" s="1"/>
  <c r="AD64" i="98" a="1"/>
  <c r="AD64" i="98" s="1"/>
  <c r="T106" i="138" s="1"/>
  <c r="AT53" i="144" a="1"/>
  <c r="AT53" i="144" s="1"/>
  <c r="P53" i="144" a="1"/>
  <c r="P53" i="144" s="1"/>
  <c r="N144" i="145" s="1"/>
  <c r="AF53" i="144" a="1"/>
  <c r="AF53" i="144" s="1"/>
  <c r="V144" i="145" s="1"/>
  <c r="AS53" i="144" a="1"/>
  <c r="AS53" i="144" s="1"/>
  <c r="AD53" i="144" a="1"/>
  <c r="AD53" i="144" s="1"/>
  <c r="T144" i="145" s="1"/>
  <c r="AR53" i="144" a="1"/>
  <c r="AR53" i="144" s="1"/>
  <c r="AC53" i="144" a="1"/>
  <c r="AC53" i="144" s="1"/>
  <c r="S144" i="145" s="1"/>
  <c r="AP53" i="144" a="1"/>
  <c r="AP53" i="144" s="1"/>
  <c r="AO53" i="144" a="1"/>
  <c r="AO53" i="144" s="1"/>
  <c r="V53" i="144" a="1"/>
  <c r="V53" i="144" s="1"/>
  <c r="T53" i="144" a="1"/>
  <c r="T53" i="144" s="1"/>
  <c r="R53" i="144" a="1"/>
  <c r="R53" i="144" s="1"/>
  <c r="AQ53" i="144" a="1"/>
  <c r="AQ53" i="144" s="1"/>
  <c r="AH53" i="144" a="1"/>
  <c r="AH53" i="144" s="1"/>
  <c r="X144" i="145" s="1"/>
  <c r="AG53" i="144" a="1"/>
  <c r="AG53" i="144" s="1"/>
  <c r="W144" i="145" s="1"/>
  <c r="AE53" i="144" a="1"/>
  <c r="AE53" i="144" s="1"/>
  <c r="U144" i="145" s="1"/>
  <c r="AF55" i="144" a="1"/>
  <c r="AF55" i="144" s="1"/>
  <c r="V146" i="145" s="1"/>
  <c r="AS55" i="144" a="1"/>
  <c r="AS55" i="144" s="1"/>
  <c r="V55" i="144" a="1"/>
  <c r="V55" i="144" s="1"/>
  <c r="T55" i="144" a="1"/>
  <c r="T55" i="144" s="1"/>
  <c r="R55" i="144" a="1"/>
  <c r="R55" i="144" s="1"/>
  <c r="AC55" i="144" a="1"/>
  <c r="AC55" i="144" s="1"/>
  <c r="S146" i="145" s="1"/>
  <c r="AT55" i="144" a="1"/>
  <c r="AT55" i="144" s="1"/>
  <c r="AR55" i="144" a="1"/>
  <c r="AR55" i="144" s="1"/>
  <c r="AQ55" i="144" a="1"/>
  <c r="AQ55" i="144" s="1"/>
  <c r="AP55" i="144" a="1"/>
  <c r="AP55" i="144" s="1"/>
  <c r="AO55" i="144" a="1"/>
  <c r="AO55" i="144" s="1"/>
  <c r="AH55" i="144" a="1"/>
  <c r="AH55" i="144" s="1"/>
  <c r="X146" i="145" s="1"/>
  <c r="AG55" i="144" a="1"/>
  <c r="AG55" i="144" s="1"/>
  <c r="W146" i="145" s="1"/>
  <c r="AE55" i="144" a="1"/>
  <c r="AE55" i="144" s="1"/>
  <c r="U146" i="145" s="1"/>
  <c r="AD55" i="144" a="1"/>
  <c r="AD55" i="144" s="1"/>
  <c r="T146" i="145" s="1"/>
  <c r="P55" i="144" a="1"/>
  <c r="P55" i="144" s="1"/>
  <c r="N146" i="145" s="1"/>
  <c r="N56" i="98"/>
  <c r="X56" i="98" s="1"/>
  <c r="AP56" i="98" a="1"/>
  <c r="AP56" i="98" s="1"/>
  <c r="AS56" i="98" a="1"/>
  <c r="AS56" i="98" s="1"/>
  <c r="AD56" i="98" a="1"/>
  <c r="AD56" i="98" s="1"/>
  <c r="T98" i="138" s="1"/>
  <c r="AO56" i="98" a="1"/>
  <c r="AO56" i="98" s="1"/>
  <c r="V56" i="98" a="1"/>
  <c r="V56" i="98" s="1"/>
  <c r="T56" i="98" a="1"/>
  <c r="T56" i="98" s="1"/>
  <c r="AR56" i="98" a="1"/>
  <c r="AR56" i="98" s="1"/>
  <c r="R56" i="98" a="1"/>
  <c r="R56" i="98" s="1"/>
  <c r="AQ56" i="98" a="1"/>
  <c r="AQ56" i="98" s="1"/>
  <c r="P56" i="98" a="1"/>
  <c r="P56" i="98" s="1"/>
  <c r="N98" i="138" s="1"/>
  <c r="AT56" i="98" a="1"/>
  <c r="AT56" i="98" s="1"/>
  <c r="AH56" i="98" a="1"/>
  <c r="AH56" i="98" s="1"/>
  <c r="X98" i="138" s="1"/>
  <c r="AG56" i="98" a="1"/>
  <c r="AG56" i="98" s="1"/>
  <c r="W98" i="138" s="1"/>
  <c r="AF56" i="98" a="1"/>
  <c r="AF56" i="98" s="1"/>
  <c r="V98" i="138" s="1"/>
  <c r="AE56" i="98" a="1"/>
  <c r="AE56" i="98" s="1"/>
  <c r="U98" i="138" s="1"/>
  <c r="AC56" i="98" a="1"/>
  <c r="AC56" i="98" s="1"/>
  <c r="S98" i="138" s="1"/>
  <c r="AG20" i="144" a="1"/>
  <c r="AG20" i="144" s="1"/>
  <c r="W111" i="145" s="1"/>
  <c r="AT20" i="144" a="1"/>
  <c r="AT20" i="144" s="1"/>
  <c r="P20" i="144" a="1"/>
  <c r="P20" i="144" s="1"/>
  <c r="N111" i="145" s="1"/>
  <c r="V20" i="144" a="1"/>
  <c r="V20" i="144" s="1"/>
  <c r="T20" i="144" a="1"/>
  <c r="T20" i="144" s="1"/>
  <c r="AH20" i="144" a="1"/>
  <c r="AH20" i="144" s="1"/>
  <c r="X111" i="145" s="1"/>
  <c r="AF20" i="144" a="1"/>
  <c r="AF20" i="144" s="1"/>
  <c r="V111" i="145" s="1"/>
  <c r="AE20" i="144" a="1"/>
  <c r="AE20" i="144" s="1"/>
  <c r="U111" i="145" s="1"/>
  <c r="AO20" i="144" a="1"/>
  <c r="AO20" i="144" s="1"/>
  <c r="AD20" i="144" a="1"/>
  <c r="AD20" i="144" s="1"/>
  <c r="T111" i="145" s="1"/>
  <c r="AC20" i="144" a="1"/>
  <c r="AC20" i="144" s="1"/>
  <c r="S111" i="145" s="1"/>
  <c r="R20" i="144" a="1"/>
  <c r="R20" i="144" s="1"/>
  <c r="AS20" i="144" a="1"/>
  <c r="AS20" i="144" s="1"/>
  <c r="AR20" i="144" a="1"/>
  <c r="AR20" i="144" s="1"/>
  <c r="AQ20" i="144" a="1"/>
  <c r="AQ20" i="144" s="1"/>
  <c r="AP20" i="144" a="1"/>
  <c r="AP20" i="144" s="1"/>
  <c r="AD29" i="144" a="1"/>
  <c r="AD29" i="144" s="1"/>
  <c r="T120" i="145" s="1"/>
  <c r="AR29" i="144" a="1"/>
  <c r="AR29" i="144" s="1"/>
  <c r="AC29" i="144" a="1"/>
  <c r="AC29" i="144" s="1"/>
  <c r="S120" i="145" s="1"/>
  <c r="AQ29" i="144" a="1"/>
  <c r="AQ29" i="144" s="1"/>
  <c r="AO29" i="144" a="1"/>
  <c r="AO29" i="144" s="1"/>
  <c r="T29" i="144" a="1"/>
  <c r="T29" i="144" s="1"/>
  <c r="R29" i="144" a="1"/>
  <c r="R29" i="144" s="1"/>
  <c r="P29" i="144" a="1"/>
  <c r="P29" i="144" s="1"/>
  <c r="N120" i="145" s="1"/>
  <c r="AH29" i="144" a="1"/>
  <c r="AH29" i="144" s="1"/>
  <c r="X120" i="145" s="1"/>
  <c r="AG29" i="144" a="1"/>
  <c r="AG29" i="144" s="1"/>
  <c r="W120" i="145" s="1"/>
  <c r="AF29" i="144" a="1"/>
  <c r="AF29" i="144" s="1"/>
  <c r="V120" i="145" s="1"/>
  <c r="AE29" i="144" a="1"/>
  <c r="AE29" i="144" s="1"/>
  <c r="U120" i="145" s="1"/>
  <c r="V29" i="144" a="1"/>
  <c r="V29" i="144" s="1"/>
  <c r="AT29" i="144" a="1"/>
  <c r="AT29" i="144" s="1"/>
  <c r="AS29" i="144" a="1"/>
  <c r="AS29" i="144" s="1"/>
  <c r="AP29" i="144" a="1"/>
  <c r="AP29" i="144" s="1"/>
  <c r="AS49" i="98" a="1"/>
  <c r="AS49" i="98" s="1"/>
  <c r="T49" i="98" a="1"/>
  <c r="T49" i="98" s="1"/>
  <c r="AH49" i="98" a="1"/>
  <c r="AH49" i="98" s="1"/>
  <c r="X91" i="138" s="1"/>
  <c r="P49" i="98" a="1"/>
  <c r="P49" i="98" s="1"/>
  <c r="N91" i="138" s="1"/>
  <c r="AO49" i="98" a="1"/>
  <c r="AO49" i="98" s="1"/>
  <c r="V49" i="98" a="1"/>
  <c r="V49" i="98" s="1"/>
  <c r="AE49" i="98" a="1"/>
  <c r="AE49" i="98" s="1"/>
  <c r="U91" i="138" s="1"/>
  <c r="AD49" i="98" a="1"/>
  <c r="AD49" i="98" s="1"/>
  <c r="T91" i="138" s="1"/>
  <c r="AC49" i="98" a="1"/>
  <c r="AC49" i="98" s="1"/>
  <c r="S91" i="138" s="1"/>
  <c r="AT49" i="98" a="1"/>
  <c r="AT49" i="98" s="1"/>
  <c r="AQ49" i="98" a="1"/>
  <c r="AQ49" i="98" s="1"/>
  <c r="AP49" i="98" a="1"/>
  <c r="AP49" i="98" s="1"/>
  <c r="AG49" i="98" a="1"/>
  <c r="AG49" i="98" s="1"/>
  <c r="W91" i="138" s="1"/>
  <c r="AF49" i="98" a="1"/>
  <c r="AF49" i="98" s="1"/>
  <c r="V91" i="138" s="1"/>
  <c r="R49" i="98" a="1"/>
  <c r="R49" i="98" s="1"/>
  <c r="AR49" i="98" a="1"/>
  <c r="AR49" i="98" s="1"/>
  <c r="N46" i="144"/>
  <c r="AJ46" i="144" s="1"/>
  <c r="AO46" i="144" a="1"/>
  <c r="AO46" i="144" s="1"/>
  <c r="AT46" i="144" a="1"/>
  <c r="AT46" i="144" s="1"/>
  <c r="AE46" i="144" a="1"/>
  <c r="AE46" i="144" s="1"/>
  <c r="U137" i="145" s="1"/>
  <c r="AS46" i="144" a="1"/>
  <c r="AS46" i="144" s="1"/>
  <c r="AD46" i="144" a="1"/>
  <c r="AD46" i="144" s="1"/>
  <c r="T137" i="145" s="1"/>
  <c r="AR46" i="144" a="1"/>
  <c r="AR46" i="144" s="1"/>
  <c r="AQ46" i="144" a="1"/>
  <c r="AQ46" i="144" s="1"/>
  <c r="AP46" i="144" a="1"/>
  <c r="AP46" i="144" s="1"/>
  <c r="V46" i="144" a="1"/>
  <c r="V46" i="144" s="1"/>
  <c r="T46" i="144" a="1"/>
  <c r="T46" i="144" s="1"/>
  <c r="R46" i="144" a="1"/>
  <c r="R46" i="144" s="1"/>
  <c r="AH46" i="144" a="1"/>
  <c r="AH46" i="144" s="1"/>
  <c r="X137" i="145" s="1"/>
  <c r="AG46" i="144" a="1"/>
  <c r="AG46" i="144" s="1"/>
  <c r="W137" i="145" s="1"/>
  <c r="AF46" i="144" a="1"/>
  <c r="AF46" i="144" s="1"/>
  <c r="V137" i="145" s="1"/>
  <c r="AC46" i="144" a="1"/>
  <c r="AC46" i="144" s="1"/>
  <c r="S137" i="145" s="1"/>
  <c r="P46" i="144" a="1"/>
  <c r="P46" i="144" s="1"/>
  <c r="N137" i="145" s="1"/>
  <c r="N65" i="144"/>
  <c r="X65" i="144" s="1"/>
  <c r="AS65" i="144" a="1"/>
  <c r="AS65" i="144" s="1"/>
  <c r="AF65" i="144" a="1"/>
  <c r="AF65" i="144" s="1"/>
  <c r="V156" i="145" s="1"/>
  <c r="P65" i="144" a="1"/>
  <c r="P65" i="144" s="1"/>
  <c r="N156" i="145" s="1"/>
  <c r="AO65" i="144" a="1"/>
  <c r="AO65" i="144" s="1"/>
  <c r="AG65" i="144" a="1"/>
  <c r="AG65" i="144" s="1"/>
  <c r="W156" i="145" s="1"/>
  <c r="AR65" i="144" a="1"/>
  <c r="AR65" i="144" s="1"/>
  <c r="AQ65" i="144" a="1"/>
  <c r="AQ65" i="144" s="1"/>
  <c r="V65" i="144" a="1"/>
  <c r="V65" i="144" s="1"/>
  <c r="AP65" i="144" a="1"/>
  <c r="AP65" i="144" s="1"/>
  <c r="T65" i="144" a="1"/>
  <c r="T65" i="144" s="1"/>
  <c r="R65" i="144" a="1"/>
  <c r="R65" i="144" s="1"/>
  <c r="AT65" i="144" a="1"/>
  <c r="AT65" i="144" s="1"/>
  <c r="AH65" i="144" a="1"/>
  <c r="AH65" i="144" s="1"/>
  <c r="X156" i="145" s="1"/>
  <c r="AE65" i="144" a="1"/>
  <c r="AE65" i="144" s="1"/>
  <c r="U156" i="145" s="1"/>
  <c r="AD65" i="144" a="1"/>
  <c r="AD65" i="144" s="1"/>
  <c r="T156" i="145" s="1"/>
  <c r="AC65" i="144" a="1"/>
  <c r="AC65" i="144" s="1"/>
  <c r="S156" i="145" s="1"/>
  <c r="Y52" i="98" a="1"/>
  <c r="Y52" i="98" s="1"/>
  <c r="O94" i="138" s="1"/>
  <c r="AA52" i="98" a="1"/>
  <c r="AA52" i="98" s="1"/>
  <c r="Q94" i="138" s="1"/>
  <c r="AN52" i="98" a="1"/>
  <c r="AN52" i="98" s="1"/>
  <c r="AB52" i="98" a="1"/>
  <c r="AB52" i="98" s="1"/>
  <c r="R94" i="138" s="1"/>
  <c r="AM52" i="98" a="1"/>
  <c r="AM52" i="98" s="1"/>
  <c r="AL52" i="98" a="1"/>
  <c r="AL52" i="98" s="1"/>
  <c r="AK52" i="98" a="1"/>
  <c r="AK52" i="98" s="1"/>
  <c r="Z52" i="98" a="1"/>
  <c r="Z52" i="98" s="1"/>
  <c r="P94" i="138" s="1"/>
  <c r="V63" i="144" a="1"/>
  <c r="V63" i="144" s="1"/>
  <c r="T63" i="144" a="1"/>
  <c r="T63" i="144" s="1"/>
  <c r="AH63" i="144" a="1"/>
  <c r="AH63" i="144" s="1"/>
  <c r="X154" i="145" s="1"/>
  <c r="AG63" i="144" a="1"/>
  <c r="AG63" i="144" s="1"/>
  <c r="W154" i="145" s="1"/>
  <c r="AF63" i="144" a="1"/>
  <c r="AF63" i="144" s="1"/>
  <c r="V154" i="145" s="1"/>
  <c r="AE63" i="144" a="1"/>
  <c r="AE63" i="144" s="1"/>
  <c r="U154" i="145" s="1"/>
  <c r="AD63" i="144" a="1"/>
  <c r="AD63" i="144" s="1"/>
  <c r="T154" i="145" s="1"/>
  <c r="R63" i="144" a="1"/>
  <c r="R63" i="144" s="1"/>
  <c r="P63" i="144" a="1"/>
  <c r="P63" i="144" s="1"/>
  <c r="N154" i="145" s="1"/>
  <c r="AT63" i="144" a="1"/>
  <c r="AT63" i="144" s="1"/>
  <c r="AS63" i="144" a="1"/>
  <c r="AS63" i="144" s="1"/>
  <c r="AR63" i="144" a="1"/>
  <c r="AR63" i="144" s="1"/>
  <c r="AQ63" i="144" a="1"/>
  <c r="AQ63" i="144" s="1"/>
  <c r="AP63" i="144" a="1"/>
  <c r="AP63" i="144" s="1"/>
  <c r="AO63" i="144" a="1"/>
  <c r="AO63" i="144" s="1"/>
  <c r="AC63" i="144" a="1"/>
  <c r="AC63" i="144" s="1"/>
  <c r="S154" i="145" s="1"/>
  <c r="AR53" i="98" a="1"/>
  <c r="AR53" i="98" s="1"/>
  <c r="V53" i="98" a="1"/>
  <c r="V53" i="98" s="1"/>
  <c r="AP53" i="98" a="1"/>
  <c r="AP53" i="98" s="1"/>
  <c r="AO53" i="98" a="1"/>
  <c r="AO53" i="98" s="1"/>
  <c r="T53" i="98" a="1"/>
  <c r="T53" i="98" s="1"/>
  <c r="P53" i="98" a="1"/>
  <c r="P53" i="98" s="1"/>
  <c r="N95" i="138" s="1"/>
  <c r="AQ53" i="98" a="1"/>
  <c r="AQ53" i="98" s="1"/>
  <c r="AH53" i="98" a="1"/>
  <c r="AH53" i="98" s="1"/>
  <c r="X95" i="138" s="1"/>
  <c r="AT53" i="98" a="1"/>
  <c r="AT53" i="98" s="1"/>
  <c r="AS53" i="98" a="1"/>
  <c r="AS53" i="98" s="1"/>
  <c r="AG53" i="98" a="1"/>
  <c r="AG53" i="98" s="1"/>
  <c r="W95" i="138" s="1"/>
  <c r="AF53" i="98" a="1"/>
  <c r="AF53" i="98" s="1"/>
  <c r="V95" i="138" s="1"/>
  <c r="AE53" i="98" a="1"/>
  <c r="AE53" i="98" s="1"/>
  <c r="U95" i="138" s="1"/>
  <c r="AD53" i="98" a="1"/>
  <c r="AD53" i="98" s="1"/>
  <c r="T95" i="138" s="1"/>
  <c r="AC53" i="98" a="1"/>
  <c r="AC53" i="98" s="1"/>
  <c r="S95" i="138" s="1"/>
  <c r="R53" i="98" a="1"/>
  <c r="R53" i="98" s="1"/>
  <c r="R47" i="144" a="1"/>
  <c r="R47" i="144" s="1"/>
  <c r="AG47" i="144" a="1"/>
  <c r="AG47" i="144" s="1"/>
  <c r="W138" i="145" s="1"/>
  <c r="AP47" i="144" a="1"/>
  <c r="AP47" i="144" s="1"/>
  <c r="AO47" i="144" a="1"/>
  <c r="AO47" i="144" s="1"/>
  <c r="AT47" i="144" a="1"/>
  <c r="AT47" i="144" s="1"/>
  <c r="AC47" i="144" a="1"/>
  <c r="AC47" i="144" s="1"/>
  <c r="S138" i="145" s="1"/>
  <c r="AS47" i="144" a="1"/>
  <c r="AS47" i="144" s="1"/>
  <c r="AR47" i="144" a="1"/>
  <c r="AR47" i="144" s="1"/>
  <c r="AQ47" i="144" a="1"/>
  <c r="AQ47" i="144" s="1"/>
  <c r="V47" i="144" a="1"/>
  <c r="V47" i="144" s="1"/>
  <c r="T47" i="144" a="1"/>
  <c r="T47" i="144" s="1"/>
  <c r="AH47" i="144" a="1"/>
  <c r="AH47" i="144" s="1"/>
  <c r="X138" i="145" s="1"/>
  <c r="AF47" i="144" a="1"/>
  <c r="AF47" i="144" s="1"/>
  <c r="V138" i="145" s="1"/>
  <c r="AE47" i="144" a="1"/>
  <c r="AE47" i="144" s="1"/>
  <c r="U138" i="145" s="1"/>
  <c r="AD47" i="144" a="1"/>
  <c r="AD47" i="144" s="1"/>
  <c r="T138" i="145" s="1"/>
  <c r="P47" i="144" a="1"/>
  <c r="P47" i="144" s="1"/>
  <c r="N138" i="145" s="1"/>
  <c r="AH45" i="144" a="1"/>
  <c r="AH45" i="144" s="1"/>
  <c r="X136" i="145" s="1"/>
  <c r="R45" i="144" a="1"/>
  <c r="R45" i="144" s="1"/>
  <c r="P45" i="144" a="1"/>
  <c r="P45" i="144" s="1"/>
  <c r="N136" i="145" s="1"/>
  <c r="AG45" i="144" a="1"/>
  <c r="AG45" i="144" s="1"/>
  <c r="W136" i="145" s="1"/>
  <c r="AP45" i="144" a="1"/>
  <c r="AP45" i="144" s="1"/>
  <c r="AO45" i="144" a="1"/>
  <c r="AO45" i="144" s="1"/>
  <c r="V45" i="144" a="1"/>
  <c r="V45" i="144" s="1"/>
  <c r="T45" i="144" a="1"/>
  <c r="T45" i="144" s="1"/>
  <c r="AS45" i="144" a="1"/>
  <c r="AS45" i="144" s="1"/>
  <c r="AR45" i="144" a="1"/>
  <c r="AR45" i="144" s="1"/>
  <c r="AQ45" i="144" a="1"/>
  <c r="AQ45" i="144" s="1"/>
  <c r="AF45" i="144" a="1"/>
  <c r="AF45" i="144" s="1"/>
  <c r="V136" i="145" s="1"/>
  <c r="AE45" i="144" a="1"/>
  <c r="AE45" i="144" s="1"/>
  <c r="U136" i="145" s="1"/>
  <c r="AD45" i="144" a="1"/>
  <c r="AD45" i="144" s="1"/>
  <c r="T136" i="145" s="1"/>
  <c r="AC45" i="144" a="1"/>
  <c r="AC45" i="144" s="1"/>
  <c r="S136" i="145" s="1"/>
  <c r="AT45" i="144" a="1"/>
  <c r="AT45" i="144" s="1"/>
  <c r="AO64" i="144" a="1"/>
  <c r="AO64" i="144" s="1"/>
  <c r="R64" i="144" a="1"/>
  <c r="R64" i="144" s="1"/>
  <c r="AS64" i="144" a="1"/>
  <c r="AS64" i="144" s="1"/>
  <c r="AE64" i="144" a="1"/>
  <c r="AE64" i="144" s="1"/>
  <c r="U155" i="145" s="1"/>
  <c r="T64" i="144" a="1"/>
  <c r="T64" i="144" s="1"/>
  <c r="P64" i="144" a="1"/>
  <c r="P64" i="144" s="1"/>
  <c r="N155" i="145" s="1"/>
  <c r="V64" i="144" a="1"/>
  <c r="V64" i="144" s="1"/>
  <c r="AH64" i="144" a="1"/>
  <c r="AH64" i="144" s="1"/>
  <c r="X155" i="145" s="1"/>
  <c r="AG64" i="144" a="1"/>
  <c r="AG64" i="144" s="1"/>
  <c r="W155" i="145" s="1"/>
  <c r="AT64" i="144" a="1"/>
  <c r="AT64" i="144" s="1"/>
  <c r="AR64" i="144" a="1"/>
  <c r="AR64" i="144" s="1"/>
  <c r="AQ64" i="144" a="1"/>
  <c r="AQ64" i="144" s="1"/>
  <c r="AP64" i="144" a="1"/>
  <c r="AP64" i="144" s="1"/>
  <c r="AF64" i="144" a="1"/>
  <c r="AF64" i="144" s="1"/>
  <c r="V155" i="145" s="1"/>
  <c r="AD64" i="144" a="1"/>
  <c r="AD64" i="144" s="1"/>
  <c r="T155" i="145" s="1"/>
  <c r="AC64" i="144" a="1"/>
  <c r="AC64" i="144" s="1"/>
  <c r="S155" i="145" s="1"/>
  <c r="D107" i="138"/>
  <c r="AA65" i="98" a="1"/>
  <c r="AA65" i="98" s="1"/>
  <c r="Q107" i="138" s="1"/>
  <c r="Z65" i="98" a="1"/>
  <c r="Z65" i="98" s="1"/>
  <c r="P107" i="138" s="1"/>
  <c r="Y65" i="98" a="1"/>
  <c r="Y65" i="98" s="1"/>
  <c r="O107" i="138" s="1"/>
  <c r="AB65" i="98" a="1"/>
  <c r="AB65" i="98" s="1"/>
  <c r="R107" i="138" s="1"/>
  <c r="AN65" i="98" a="1"/>
  <c r="AN65" i="98" s="1"/>
  <c r="AM65" i="98" a="1"/>
  <c r="AM65" i="98" s="1"/>
  <c r="AL65" i="98" a="1"/>
  <c r="AL65" i="98" s="1"/>
  <c r="AK65" i="98" a="1"/>
  <c r="AK65" i="98" s="1"/>
  <c r="AF56" i="144" a="1"/>
  <c r="AF56" i="144" s="1"/>
  <c r="V147" i="145" s="1"/>
  <c r="AT56" i="144" a="1"/>
  <c r="AT56" i="144" s="1"/>
  <c r="AE56" i="144" a="1"/>
  <c r="AE56" i="144" s="1"/>
  <c r="U147" i="145" s="1"/>
  <c r="AD56" i="144" a="1"/>
  <c r="AD56" i="144" s="1"/>
  <c r="T147" i="145" s="1"/>
  <c r="AC56" i="144" a="1"/>
  <c r="AC56" i="144" s="1"/>
  <c r="S147" i="145" s="1"/>
  <c r="AS56" i="144" a="1"/>
  <c r="AS56" i="144" s="1"/>
  <c r="AR56" i="144" a="1"/>
  <c r="AR56" i="144" s="1"/>
  <c r="AQ56" i="144" a="1"/>
  <c r="AQ56" i="144" s="1"/>
  <c r="AO56" i="144" a="1"/>
  <c r="AO56" i="144" s="1"/>
  <c r="AH56" i="144" a="1"/>
  <c r="AH56" i="144" s="1"/>
  <c r="X147" i="145" s="1"/>
  <c r="AG56" i="144" a="1"/>
  <c r="AG56" i="144" s="1"/>
  <c r="W147" i="145" s="1"/>
  <c r="V56" i="144" a="1"/>
  <c r="V56" i="144" s="1"/>
  <c r="T56" i="144" a="1"/>
  <c r="T56" i="144" s="1"/>
  <c r="R56" i="144" a="1"/>
  <c r="R56" i="144" s="1"/>
  <c r="P56" i="144" a="1"/>
  <c r="P56" i="144" s="1"/>
  <c r="N147" i="145" s="1"/>
  <c r="AP56" i="144" a="1"/>
  <c r="AP56" i="144" s="1"/>
  <c r="AA63" i="98" a="1"/>
  <c r="AA63" i="98" s="1"/>
  <c r="Q105" i="138" s="1"/>
  <c r="Z63" i="98" a="1"/>
  <c r="Z63" i="98" s="1"/>
  <c r="P105" i="138" s="1"/>
  <c r="AN63" i="98" a="1"/>
  <c r="AN63" i="98" s="1"/>
  <c r="Y63" i="98" a="1"/>
  <c r="Y63" i="98" s="1"/>
  <c r="O105" i="138" s="1"/>
  <c r="AM63" i="98" a="1"/>
  <c r="AM63" i="98" s="1"/>
  <c r="AL63" i="98" a="1"/>
  <c r="AL63" i="98" s="1"/>
  <c r="AK63" i="98" a="1"/>
  <c r="AK63" i="98" s="1"/>
  <c r="AB63" i="98" a="1"/>
  <c r="AB63" i="98" s="1"/>
  <c r="R105" i="138" s="1"/>
  <c r="AD36" i="144" a="1"/>
  <c r="AD36" i="144" s="1"/>
  <c r="T127" i="145" s="1"/>
  <c r="AQ36" i="144" a="1"/>
  <c r="AQ36" i="144" s="1"/>
  <c r="AC36" i="144" a="1"/>
  <c r="AC36" i="144" s="1"/>
  <c r="S127" i="145" s="1"/>
  <c r="AR36" i="144" a="1"/>
  <c r="AR36" i="144" s="1"/>
  <c r="AP36" i="144" a="1"/>
  <c r="AP36" i="144" s="1"/>
  <c r="R36" i="144" a="1"/>
  <c r="R36" i="144" s="1"/>
  <c r="P36" i="144" a="1"/>
  <c r="P36" i="144" s="1"/>
  <c r="N127" i="145" s="1"/>
  <c r="AH36" i="144" a="1"/>
  <c r="AH36" i="144" s="1"/>
  <c r="X127" i="145" s="1"/>
  <c r="AG36" i="144" a="1"/>
  <c r="AG36" i="144" s="1"/>
  <c r="W127" i="145" s="1"/>
  <c r="AT36" i="144" a="1"/>
  <c r="AT36" i="144" s="1"/>
  <c r="AS36" i="144" a="1"/>
  <c r="AS36" i="144" s="1"/>
  <c r="AO36" i="144" a="1"/>
  <c r="AO36" i="144" s="1"/>
  <c r="AF36" i="144" a="1"/>
  <c r="AF36" i="144" s="1"/>
  <c r="V127" i="145" s="1"/>
  <c r="AE36" i="144" a="1"/>
  <c r="AE36" i="144" s="1"/>
  <c r="U127" i="145" s="1"/>
  <c r="V36" i="144" a="1"/>
  <c r="V36" i="144" s="1"/>
  <c r="T36" i="144" a="1"/>
  <c r="T36" i="144" s="1"/>
  <c r="AO71" i="98" a="1"/>
  <c r="AO71" i="98" s="1"/>
  <c r="R71" i="98" a="1"/>
  <c r="R71" i="98" s="1"/>
  <c r="AF71" i="98" a="1"/>
  <c r="AF71" i="98" s="1"/>
  <c r="AR71" i="98" a="1"/>
  <c r="AR71" i="98" s="1"/>
  <c r="AQ71" i="98" a="1"/>
  <c r="AQ71" i="98" s="1"/>
  <c r="AH71" i="98" a="1"/>
  <c r="AH71" i="98" s="1"/>
  <c r="AG71" i="98" a="1"/>
  <c r="AG71" i="98" s="1"/>
  <c r="AE71" i="98" a="1"/>
  <c r="AE71" i="98" s="1"/>
  <c r="AD71" i="98" a="1"/>
  <c r="AD71" i="98" s="1"/>
  <c r="AC71" i="98" a="1"/>
  <c r="AC71" i="98" s="1"/>
  <c r="V71" i="98" a="1"/>
  <c r="V71" i="98" s="1"/>
  <c r="T71" i="98" a="1"/>
  <c r="T71" i="98" s="1"/>
  <c r="P71" i="98" a="1"/>
  <c r="P71" i="98" s="1"/>
  <c r="AT71" i="98" a="1"/>
  <c r="AT71" i="98" s="1"/>
  <c r="AS71" i="98" a="1"/>
  <c r="AS71" i="98" s="1"/>
  <c r="AP71" i="98" a="1"/>
  <c r="AP71" i="98" s="1"/>
  <c r="R49" i="144" a="1"/>
  <c r="R49" i="144" s="1"/>
  <c r="AG49" i="144" a="1"/>
  <c r="AG49" i="144" s="1"/>
  <c r="W140" i="145" s="1"/>
  <c r="P49" i="144" a="1"/>
  <c r="P49" i="144" s="1"/>
  <c r="N140" i="145" s="1"/>
  <c r="AF49" i="144" a="1"/>
  <c r="AF49" i="144" s="1"/>
  <c r="V140" i="145" s="1"/>
  <c r="AT49" i="144" a="1"/>
  <c r="AT49" i="144" s="1"/>
  <c r="AE49" i="144" a="1"/>
  <c r="AE49" i="144" s="1"/>
  <c r="U140" i="145" s="1"/>
  <c r="AS49" i="144" a="1"/>
  <c r="AS49" i="144" s="1"/>
  <c r="AH49" i="144" a="1"/>
  <c r="AH49" i="144" s="1"/>
  <c r="X140" i="145" s="1"/>
  <c r="AD49" i="144" a="1"/>
  <c r="AD49" i="144" s="1"/>
  <c r="T140" i="145" s="1"/>
  <c r="AC49" i="144" a="1"/>
  <c r="AC49" i="144" s="1"/>
  <c r="S140" i="145" s="1"/>
  <c r="AR49" i="144" a="1"/>
  <c r="AR49" i="144" s="1"/>
  <c r="V49" i="144" a="1"/>
  <c r="V49" i="144" s="1"/>
  <c r="T49" i="144" a="1"/>
  <c r="T49" i="144" s="1"/>
  <c r="AQ49" i="144" a="1"/>
  <c r="AQ49" i="144" s="1"/>
  <c r="AP49" i="144" a="1"/>
  <c r="AP49" i="144" s="1"/>
  <c r="AO49" i="144" a="1"/>
  <c r="AO49" i="144" s="1"/>
  <c r="AT25" i="144" a="1"/>
  <c r="AT25" i="144" s="1"/>
  <c r="AE25" i="144" a="1"/>
  <c r="AE25" i="144" s="1"/>
  <c r="U116" i="145" s="1"/>
  <c r="AS25" i="144" a="1"/>
  <c r="AS25" i="144" s="1"/>
  <c r="AD25" i="144" a="1"/>
  <c r="AD25" i="144" s="1"/>
  <c r="T116" i="145" s="1"/>
  <c r="AF25" i="144" a="1"/>
  <c r="AF25" i="144" s="1"/>
  <c r="V116" i="145" s="1"/>
  <c r="AC25" i="144" a="1"/>
  <c r="AC25" i="144" s="1"/>
  <c r="S116" i="145" s="1"/>
  <c r="AR25" i="144" a="1"/>
  <c r="AR25" i="144" s="1"/>
  <c r="AQ25" i="144" a="1"/>
  <c r="AQ25" i="144" s="1"/>
  <c r="P25" i="144" a="1"/>
  <c r="P25" i="144" s="1"/>
  <c r="N116" i="145" s="1"/>
  <c r="AP25" i="144" a="1"/>
  <c r="AP25" i="144" s="1"/>
  <c r="AO25" i="144" a="1"/>
  <c r="AO25" i="144" s="1"/>
  <c r="AH25" i="144" a="1"/>
  <c r="AH25" i="144" s="1"/>
  <c r="X116" i="145" s="1"/>
  <c r="AG25" i="144" a="1"/>
  <c r="AG25" i="144" s="1"/>
  <c r="W116" i="145" s="1"/>
  <c r="V25" i="144" a="1"/>
  <c r="V25" i="144" s="1"/>
  <c r="T25" i="144" a="1"/>
  <c r="T25" i="144" s="1"/>
  <c r="R25" i="144" a="1"/>
  <c r="R25" i="144" s="1"/>
  <c r="AR52" i="98" a="1"/>
  <c r="AR52" i="98" s="1"/>
  <c r="AP52" i="98" a="1"/>
  <c r="AP52" i="98" s="1"/>
  <c r="AO52" i="98" a="1"/>
  <c r="AO52" i="98" s="1"/>
  <c r="V52" i="98" a="1"/>
  <c r="V52" i="98" s="1"/>
  <c r="T52" i="98" a="1"/>
  <c r="T52" i="98" s="1"/>
  <c r="AG52" i="98" a="1"/>
  <c r="AG52" i="98" s="1"/>
  <c r="W94" i="138" s="1"/>
  <c r="AF52" i="98" a="1"/>
  <c r="AF52" i="98" s="1"/>
  <c r="V94" i="138" s="1"/>
  <c r="AE52" i="98" a="1"/>
  <c r="AE52" i="98" s="1"/>
  <c r="U94" i="138" s="1"/>
  <c r="AD52" i="98" a="1"/>
  <c r="AD52" i="98" s="1"/>
  <c r="T94" i="138" s="1"/>
  <c r="AC52" i="98" a="1"/>
  <c r="AC52" i="98" s="1"/>
  <c r="S94" i="138" s="1"/>
  <c r="AS52" i="98" a="1"/>
  <c r="AS52" i="98" s="1"/>
  <c r="AQ52" i="98" a="1"/>
  <c r="AQ52" i="98" s="1"/>
  <c r="AH52" i="98" a="1"/>
  <c r="AH52" i="98" s="1"/>
  <c r="X94" i="138" s="1"/>
  <c r="R52" i="98" a="1"/>
  <c r="R52" i="98" s="1"/>
  <c r="P52" i="98" a="1"/>
  <c r="P52" i="98" s="1"/>
  <c r="N94" i="138" s="1"/>
  <c r="AT52" i="98" a="1"/>
  <c r="AT52" i="98" s="1"/>
  <c r="AK49" i="98" a="1"/>
  <c r="AK49" i="98" s="1"/>
  <c r="AB49" i="98" a="1"/>
  <c r="AB49" i="98" s="1"/>
  <c r="R91" i="138" s="1"/>
  <c r="Y49" i="98" a="1"/>
  <c r="Y49" i="98" s="1"/>
  <c r="O91" i="138" s="1"/>
  <c r="AN49" i="98" a="1"/>
  <c r="AN49" i="98" s="1"/>
  <c r="AA49" i="98" a="1"/>
  <c r="AA49" i="98" s="1"/>
  <c r="Q91" i="138" s="1"/>
  <c r="Z49" i="98" a="1"/>
  <c r="Z49" i="98" s="1"/>
  <c r="P91" i="138" s="1"/>
  <c r="AM49" i="98" a="1"/>
  <c r="AM49" i="98" s="1"/>
  <c r="AL49" i="98" a="1"/>
  <c r="AL49" i="98" s="1"/>
  <c r="AP44" i="144" a="1"/>
  <c r="AP44" i="144" s="1"/>
  <c r="V44" i="144" a="1"/>
  <c r="V44" i="144" s="1"/>
  <c r="AO44" i="144" a="1"/>
  <c r="AO44" i="144" s="1"/>
  <c r="R44" i="144" a="1"/>
  <c r="R44" i="144" s="1"/>
  <c r="P44" i="144" a="1"/>
  <c r="P44" i="144" s="1"/>
  <c r="N135" i="145" s="1"/>
  <c r="AH44" i="144" a="1"/>
  <c r="AH44" i="144" s="1"/>
  <c r="X135" i="145" s="1"/>
  <c r="AG44" i="144" a="1"/>
  <c r="AG44" i="144" s="1"/>
  <c r="W135" i="145" s="1"/>
  <c r="AT44" i="144" a="1"/>
  <c r="AT44" i="144" s="1"/>
  <c r="AS44" i="144" a="1"/>
  <c r="AS44" i="144" s="1"/>
  <c r="AR44" i="144" a="1"/>
  <c r="AR44" i="144" s="1"/>
  <c r="AQ44" i="144" a="1"/>
  <c r="AQ44" i="144" s="1"/>
  <c r="AF44" i="144" a="1"/>
  <c r="AF44" i="144" s="1"/>
  <c r="V135" i="145" s="1"/>
  <c r="AE44" i="144" a="1"/>
  <c r="AE44" i="144" s="1"/>
  <c r="U135" i="145" s="1"/>
  <c r="AD44" i="144" a="1"/>
  <c r="AD44" i="144" s="1"/>
  <c r="T135" i="145" s="1"/>
  <c r="AC44" i="144" a="1"/>
  <c r="AC44" i="144" s="1"/>
  <c r="S135" i="145" s="1"/>
  <c r="T44" i="144" a="1"/>
  <c r="T44" i="144" s="1"/>
  <c r="R18" i="144" a="1"/>
  <c r="R18" i="144" s="1"/>
  <c r="AG18" i="144" a="1"/>
  <c r="AG18" i="144" s="1"/>
  <c r="AT18" i="144" a="1"/>
  <c r="AT18" i="144" s="1"/>
  <c r="AE18" i="144" a="1"/>
  <c r="AE18" i="144" s="1"/>
  <c r="AS18" i="144" a="1"/>
  <c r="AS18" i="144" s="1"/>
  <c r="AD18" i="144" a="1"/>
  <c r="AD18" i="144" s="1"/>
  <c r="AH18" i="144" a="1"/>
  <c r="AH18" i="144" s="1"/>
  <c r="AF18" i="144" a="1"/>
  <c r="AF18" i="144" s="1"/>
  <c r="AC18" i="144" a="1"/>
  <c r="AC18" i="144" s="1"/>
  <c r="AR18" i="144" a="1"/>
  <c r="AR18" i="144" s="1"/>
  <c r="AO18" i="144" a="1"/>
  <c r="AO18" i="144" s="1"/>
  <c r="V18" i="144" a="1"/>
  <c r="V18" i="144" s="1"/>
  <c r="T18" i="144" a="1"/>
  <c r="T18" i="144" s="1"/>
  <c r="P18" i="144" a="1"/>
  <c r="P18" i="144" s="1"/>
  <c r="N109" i="145" s="1"/>
  <c r="AQ18" i="144" a="1"/>
  <c r="AQ18" i="144" s="1"/>
  <c r="AP18" i="144" a="1"/>
  <c r="AP18" i="144" s="1"/>
  <c r="O70" i="98"/>
  <c r="AI70" i="98" s="1"/>
  <c r="AG70" i="98" a="1"/>
  <c r="AG70" i="98" s="1"/>
  <c r="R70" i="98" a="1"/>
  <c r="R70" i="98" s="1"/>
  <c r="P70" i="98" a="1"/>
  <c r="P70" i="98" s="1"/>
  <c r="AR70" i="98" a="1"/>
  <c r="AR70" i="98" s="1"/>
  <c r="AQ70" i="98" a="1"/>
  <c r="AQ70" i="98" s="1"/>
  <c r="AC70" i="98" a="1"/>
  <c r="AC70" i="98" s="1"/>
  <c r="AT70" i="98" a="1"/>
  <c r="AT70" i="98" s="1"/>
  <c r="AS70" i="98" a="1"/>
  <c r="AS70" i="98" s="1"/>
  <c r="V70" i="98" a="1"/>
  <c r="V70" i="98" s="1"/>
  <c r="AP70" i="98" a="1"/>
  <c r="AP70" i="98" s="1"/>
  <c r="T70" i="98" a="1"/>
  <c r="T70" i="98" s="1"/>
  <c r="AO70" i="98" a="1"/>
  <c r="AO70" i="98" s="1"/>
  <c r="AH70" i="98" a="1"/>
  <c r="AH70" i="98" s="1"/>
  <c r="AF70" i="98" a="1"/>
  <c r="AF70" i="98" s="1"/>
  <c r="AE70" i="98" a="1"/>
  <c r="AE70" i="98" s="1"/>
  <c r="AD70" i="98" a="1"/>
  <c r="AD70" i="98" s="1"/>
  <c r="H99" i="138"/>
  <c r="AD57" i="98" a="1"/>
  <c r="AD57" i="98" s="1"/>
  <c r="T99" i="138" s="1"/>
  <c r="AQ57" i="98" a="1"/>
  <c r="AQ57" i="98" s="1"/>
  <c r="AP57" i="98" a="1"/>
  <c r="AP57" i="98" s="1"/>
  <c r="AO57" i="98" a="1"/>
  <c r="AO57" i="98" s="1"/>
  <c r="V57" i="98" a="1"/>
  <c r="V57" i="98" s="1"/>
  <c r="AE57" i="98" a="1"/>
  <c r="AE57" i="98" s="1"/>
  <c r="U99" i="138" s="1"/>
  <c r="AC57" i="98" a="1"/>
  <c r="AC57" i="98" s="1"/>
  <c r="S99" i="138" s="1"/>
  <c r="AT57" i="98" a="1"/>
  <c r="AT57" i="98" s="1"/>
  <c r="T57" i="98" a="1"/>
  <c r="T57" i="98" s="1"/>
  <c r="AS57" i="98" a="1"/>
  <c r="AS57" i="98" s="1"/>
  <c r="AR57" i="98" a="1"/>
  <c r="AR57" i="98" s="1"/>
  <c r="AH57" i="98" a="1"/>
  <c r="AH57" i="98" s="1"/>
  <c r="X99" i="138" s="1"/>
  <c r="AG57" i="98" a="1"/>
  <c r="AG57" i="98" s="1"/>
  <c r="W99" i="138" s="1"/>
  <c r="AF57" i="98" a="1"/>
  <c r="AF57" i="98" s="1"/>
  <c r="V99" i="138" s="1"/>
  <c r="R57" i="98" a="1"/>
  <c r="R57" i="98" s="1"/>
  <c r="P57" i="98" a="1"/>
  <c r="P57" i="98" s="1"/>
  <c r="N99" i="138" s="1"/>
  <c r="AM50" i="98" a="1"/>
  <c r="AM50" i="98" s="1"/>
  <c r="Y50" i="98" a="1"/>
  <c r="Y50" i="98" s="1"/>
  <c r="O92" i="138" s="1"/>
  <c r="AN50" i="98" a="1"/>
  <c r="AN50" i="98" s="1"/>
  <c r="AL50" i="98" a="1"/>
  <c r="AL50" i="98" s="1"/>
  <c r="AK50" i="98" a="1"/>
  <c r="AK50" i="98" s="1"/>
  <c r="AB50" i="98" a="1"/>
  <c r="AB50" i="98" s="1"/>
  <c r="R92" i="138" s="1"/>
  <c r="AA50" i="98" a="1"/>
  <c r="AA50" i="98" s="1"/>
  <c r="Q92" i="138" s="1"/>
  <c r="Z50" i="98" a="1"/>
  <c r="Z50" i="98" s="1"/>
  <c r="P92" i="138" s="1"/>
  <c r="O67" i="98"/>
  <c r="AI67" i="98" s="1"/>
  <c r="AT67" i="98" a="1"/>
  <c r="AT67" i="98" s="1"/>
  <c r="AF67" i="98" a="1"/>
  <c r="AF67" i="98" s="1"/>
  <c r="AR67" i="98" a="1"/>
  <c r="AR67" i="98" s="1"/>
  <c r="AC67" i="98" a="1"/>
  <c r="AC67" i="98" s="1"/>
  <c r="AQ67" i="98" a="1"/>
  <c r="AQ67" i="98" s="1"/>
  <c r="AP67" i="98" a="1"/>
  <c r="AP67" i="98" s="1"/>
  <c r="V67" i="98" a="1"/>
  <c r="V67" i="98" s="1"/>
  <c r="AS67" i="98" a="1"/>
  <c r="AS67" i="98" s="1"/>
  <c r="T67" i="98" a="1"/>
  <c r="T67" i="98" s="1"/>
  <c r="AO67" i="98" a="1"/>
  <c r="AO67" i="98" s="1"/>
  <c r="R67" i="98" a="1"/>
  <c r="R67" i="98" s="1"/>
  <c r="P67" i="98" a="1"/>
  <c r="P67" i="98" s="1"/>
  <c r="AE67" i="98" a="1"/>
  <c r="AE67" i="98" s="1"/>
  <c r="AD67" i="98" a="1"/>
  <c r="AD67" i="98" s="1"/>
  <c r="AH67" i="98" a="1"/>
  <c r="AH67" i="98" s="1"/>
  <c r="AG67" i="98" a="1"/>
  <c r="AG67" i="98" s="1"/>
  <c r="AA68" i="98" a="1"/>
  <c r="AA68" i="98" s="1"/>
  <c r="Z68" i="98" a="1"/>
  <c r="Z68" i="98" s="1"/>
  <c r="AB68" i="98" a="1"/>
  <c r="AB68" i="98" s="1"/>
  <c r="Y68" i="98" a="1"/>
  <c r="Y68" i="98" s="1"/>
  <c r="AK68" i="98" a="1"/>
  <c r="AK68" i="98" s="1"/>
  <c r="AN68" i="98" a="1"/>
  <c r="AN68" i="98" s="1"/>
  <c r="AM68" i="98" a="1"/>
  <c r="AM68" i="98" s="1"/>
  <c r="AL68" i="98" a="1"/>
  <c r="AL68" i="98" s="1"/>
  <c r="AQ59" i="144" a="1"/>
  <c r="AQ59" i="144" s="1"/>
  <c r="AD59" i="144" a="1"/>
  <c r="AD59" i="144" s="1"/>
  <c r="T150" i="145" s="1"/>
  <c r="AP59" i="144" a="1"/>
  <c r="AP59" i="144" s="1"/>
  <c r="AT59" i="144" a="1"/>
  <c r="AT59" i="144" s="1"/>
  <c r="AF59" i="144" a="1"/>
  <c r="AF59" i="144" s="1"/>
  <c r="V150" i="145" s="1"/>
  <c r="R59" i="144" a="1"/>
  <c r="R59" i="144" s="1"/>
  <c r="AH59" i="144" a="1"/>
  <c r="AH59" i="144" s="1"/>
  <c r="X150" i="145" s="1"/>
  <c r="P59" i="144" a="1"/>
  <c r="P59" i="144" s="1"/>
  <c r="N150" i="145" s="1"/>
  <c r="T59" i="144" a="1"/>
  <c r="T59" i="144" s="1"/>
  <c r="AG59" i="144" a="1"/>
  <c r="AG59" i="144" s="1"/>
  <c r="W150" i="145" s="1"/>
  <c r="AE59" i="144" a="1"/>
  <c r="AE59" i="144" s="1"/>
  <c r="U150" i="145" s="1"/>
  <c r="AC59" i="144" a="1"/>
  <c r="AC59" i="144" s="1"/>
  <c r="S150" i="145" s="1"/>
  <c r="V59" i="144" a="1"/>
  <c r="V59" i="144" s="1"/>
  <c r="AS59" i="144" a="1"/>
  <c r="AS59" i="144" s="1"/>
  <c r="AR59" i="144" a="1"/>
  <c r="AR59" i="144" s="1"/>
  <c r="AO59" i="144" a="1"/>
  <c r="AO59" i="144" s="1"/>
  <c r="H101" i="138"/>
  <c r="AQ59" i="98" a="1"/>
  <c r="AQ59" i="98" s="1"/>
  <c r="T59" i="98" a="1"/>
  <c r="T59" i="98" s="1"/>
  <c r="R59" i="98" a="1"/>
  <c r="R59" i="98" s="1"/>
  <c r="AP59" i="98" a="1"/>
  <c r="AP59" i="98" s="1"/>
  <c r="AO59" i="98" a="1"/>
  <c r="AO59" i="98" s="1"/>
  <c r="AT59" i="98" a="1"/>
  <c r="AT59" i="98" s="1"/>
  <c r="AS59" i="98" a="1"/>
  <c r="AS59" i="98" s="1"/>
  <c r="V59" i="98" a="1"/>
  <c r="V59" i="98" s="1"/>
  <c r="AR59" i="98" a="1"/>
  <c r="AR59" i="98" s="1"/>
  <c r="P59" i="98" a="1"/>
  <c r="P59" i="98" s="1"/>
  <c r="N101" i="138" s="1"/>
  <c r="AH59" i="98" a="1"/>
  <c r="AH59" i="98" s="1"/>
  <c r="X101" i="138" s="1"/>
  <c r="AG59" i="98" a="1"/>
  <c r="AG59" i="98" s="1"/>
  <c r="W101" i="138" s="1"/>
  <c r="AF59" i="98" a="1"/>
  <c r="AF59" i="98" s="1"/>
  <c r="V101" i="138" s="1"/>
  <c r="AE59" i="98" a="1"/>
  <c r="AE59" i="98" s="1"/>
  <c r="U101" i="138" s="1"/>
  <c r="AD59" i="98" a="1"/>
  <c r="AD59" i="98" s="1"/>
  <c r="T101" i="138" s="1"/>
  <c r="AC59" i="98" a="1"/>
  <c r="AC59" i="98" s="1"/>
  <c r="S101" i="138" s="1"/>
  <c r="AM66" i="98" a="1"/>
  <c r="AM66" i="98" s="1"/>
  <c r="Y66" i="98" a="1"/>
  <c r="Y66" i="98" s="1"/>
  <c r="AB66" i="98" a="1"/>
  <c r="AB66" i="98" s="1"/>
  <c r="AA66" i="98" a="1"/>
  <c r="AA66" i="98" s="1"/>
  <c r="Z66" i="98" a="1"/>
  <c r="Z66" i="98" s="1"/>
  <c r="AL66" i="98" a="1"/>
  <c r="AL66" i="98" s="1"/>
  <c r="AK66" i="98" a="1"/>
  <c r="AK66" i="98" s="1"/>
  <c r="AN66" i="98" a="1"/>
  <c r="AN66" i="98" s="1"/>
  <c r="AP33" i="144" a="1"/>
  <c r="AP33" i="144" s="1"/>
  <c r="AO33" i="144" a="1"/>
  <c r="AO33" i="144" s="1"/>
  <c r="AF33" i="144" a="1"/>
  <c r="AF33" i="144" s="1"/>
  <c r="V124" i="145" s="1"/>
  <c r="AE33" i="144" a="1"/>
  <c r="AE33" i="144" s="1"/>
  <c r="U124" i="145" s="1"/>
  <c r="AD33" i="144" a="1"/>
  <c r="AD33" i="144" s="1"/>
  <c r="T124" i="145" s="1"/>
  <c r="AT33" i="144" a="1"/>
  <c r="AT33" i="144" s="1"/>
  <c r="AC33" i="144" a="1"/>
  <c r="AC33" i="144" s="1"/>
  <c r="S124" i="145" s="1"/>
  <c r="AS33" i="144" a="1"/>
  <c r="AS33" i="144" s="1"/>
  <c r="R33" i="144" a="1"/>
  <c r="R33" i="144" s="1"/>
  <c r="P33" i="144" a="1"/>
  <c r="P33" i="144" s="1"/>
  <c r="N124" i="145" s="1"/>
  <c r="AR33" i="144" a="1"/>
  <c r="AR33" i="144" s="1"/>
  <c r="AQ33" i="144" a="1"/>
  <c r="AQ33" i="144" s="1"/>
  <c r="AH33" i="144" a="1"/>
  <c r="AH33" i="144" s="1"/>
  <c r="X124" i="145" s="1"/>
  <c r="AG33" i="144" a="1"/>
  <c r="AG33" i="144" s="1"/>
  <c r="W124" i="145" s="1"/>
  <c r="V33" i="144" a="1"/>
  <c r="V33" i="144" s="1"/>
  <c r="T33" i="144" a="1"/>
  <c r="T33" i="144" s="1"/>
  <c r="S48" i="98"/>
  <c r="AP48" i="98" a="1"/>
  <c r="AP48" i="98" s="1"/>
  <c r="AT48" i="98" a="1"/>
  <c r="AT48" i="98" s="1"/>
  <c r="V48" i="98" a="1"/>
  <c r="V48" i="98" s="1"/>
  <c r="T48" i="98" a="1"/>
  <c r="T48" i="98" s="1"/>
  <c r="AO48" i="98" a="1"/>
  <c r="AO48" i="98" s="1"/>
  <c r="R48" i="98" a="1"/>
  <c r="R48" i="98" s="1"/>
  <c r="AS48" i="98" a="1"/>
  <c r="AS48" i="98" s="1"/>
  <c r="AR48" i="98" a="1"/>
  <c r="AR48" i="98" s="1"/>
  <c r="P48" i="98" a="1"/>
  <c r="P48" i="98" s="1"/>
  <c r="N90" i="138" s="1"/>
  <c r="AQ48" i="98" a="1"/>
  <c r="AQ48" i="98" s="1"/>
  <c r="AH48" i="98" a="1"/>
  <c r="AH48" i="98" s="1"/>
  <c r="X90" i="138" s="1"/>
  <c r="AG48" i="98" a="1"/>
  <c r="AG48" i="98" s="1"/>
  <c r="W90" i="138" s="1"/>
  <c r="AF48" i="98" a="1"/>
  <c r="AF48" i="98" s="1"/>
  <c r="V90" i="138" s="1"/>
  <c r="AE48" i="98" a="1"/>
  <c r="AE48" i="98" s="1"/>
  <c r="U90" i="138" s="1"/>
  <c r="AD48" i="98" a="1"/>
  <c r="AD48" i="98" s="1"/>
  <c r="T90" i="138" s="1"/>
  <c r="AC48" i="98" a="1"/>
  <c r="AC48" i="98" s="1"/>
  <c r="S90" i="138" s="1"/>
  <c r="AA71" i="98" a="1"/>
  <c r="AA71" i="98" s="1"/>
  <c r="AB71" i="98" a="1"/>
  <c r="AB71" i="98" s="1"/>
  <c r="Z71" i="98" a="1"/>
  <c r="Z71" i="98" s="1"/>
  <c r="AK71" i="98" a="1"/>
  <c r="AK71" i="98" s="1"/>
  <c r="AM71" i="98" a="1"/>
  <c r="AM71" i="98" s="1"/>
  <c r="AL71" i="98" a="1"/>
  <c r="AL71" i="98" s="1"/>
  <c r="Y71" i="98" a="1"/>
  <c r="Y71" i="98" s="1"/>
  <c r="AN71" i="98" a="1"/>
  <c r="AN71" i="98" s="1"/>
  <c r="O51" i="144"/>
  <c r="AI51" i="144" s="1"/>
  <c r="AG51" i="144" a="1"/>
  <c r="AG51" i="144" s="1"/>
  <c r="W142" i="145" s="1"/>
  <c r="AT51" i="144" a="1"/>
  <c r="AT51" i="144" s="1"/>
  <c r="P51" i="144" a="1"/>
  <c r="P51" i="144" s="1"/>
  <c r="N142" i="145" s="1"/>
  <c r="V51" i="144" a="1"/>
  <c r="V51" i="144" s="1"/>
  <c r="AH51" i="144" a="1"/>
  <c r="AH51" i="144" s="1"/>
  <c r="X142" i="145" s="1"/>
  <c r="AF51" i="144" a="1"/>
  <c r="AF51" i="144" s="1"/>
  <c r="V142" i="145" s="1"/>
  <c r="AE51" i="144" a="1"/>
  <c r="AE51" i="144" s="1"/>
  <c r="U142" i="145" s="1"/>
  <c r="T51" i="144" a="1"/>
  <c r="T51" i="144" s="1"/>
  <c r="R51" i="144" a="1"/>
  <c r="R51" i="144" s="1"/>
  <c r="AS51" i="144" a="1"/>
  <c r="AS51" i="144" s="1"/>
  <c r="AR51" i="144" a="1"/>
  <c r="AR51" i="144" s="1"/>
  <c r="AQ51" i="144" a="1"/>
  <c r="AQ51" i="144" s="1"/>
  <c r="AP51" i="144" a="1"/>
  <c r="AP51" i="144" s="1"/>
  <c r="AO51" i="144" a="1"/>
  <c r="AO51" i="144" s="1"/>
  <c r="AD51" i="144" a="1"/>
  <c r="AD51" i="144" s="1"/>
  <c r="T142" i="145" s="1"/>
  <c r="AC51" i="144" a="1"/>
  <c r="AC51" i="144" s="1"/>
  <c r="S142" i="145" s="1"/>
  <c r="AK64" i="98" a="1"/>
  <c r="AK64" i="98" s="1"/>
  <c r="AL64" i="98" a="1"/>
  <c r="AL64" i="98" s="1"/>
  <c r="AM64" i="98" a="1"/>
  <c r="AM64" i="98" s="1"/>
  <c r="AA64" i="98" a="1"/>
  <c r="AA64" i="98" s="1"/>
  <c r="Q106" i="138" s="1"/>
  <c r="Z64" i="98" a="1"/>
  <c r="Z64" i="98" s="1"/>
  <c r="P106" i="138" s="1"/>
  <c r="AN64" i="98" a="1"/>
  <c r="AN64" i="98" s="1"/>
  <c r="AB64" i="98" a="1"/>
  <c r="AB64" i="98" s="1"/>
  <c r="R106" i="138" s="1"/>
  <c r="Y64" i="98" a="1"/>
  <c r="Y64" i="98" s="1"/>
  <c r="O106" i="138" s="1"/>
  <c r="Z70" i="98" a="1"/>
  <c r="Z70" i="98" s="1"/>
  <c r="AK70" i="98" a="1"/>
  <c r="AK70" i="98" s="1"/>
  <c r="AB70" i="98" a="1"/>
  <c r="AB70" i="98" s="1"/>
  <c r="AA70" i="98" a="1"/>
  <c r="AA70" i="98" s="1"/>
  <c r="Y70" i="98" a="1"/>
  <c r="Y70" i="98" s="1"/>
  <c r="AN70" i="98" a="1"/>
  <c r="AN70" i="98" s="1"/>
  <c r="AM70" i="98" a="1"/>
  <c r="AM70" i="98" s="1"/>
  <c r="AL70" i="98" a="1"/>
  <c r="AL70" i="98" s="1"/>
  <c r="AP54" i="144" a="1"/>
  <c r="AP54" i="144" s="1"/>
  <c r="AO54" i="144" a="1"/>
  <c r="AO54" i="144" s="1"/>
  <c r="AS54" i="144" a="1"/>
  <c r="AS54" i="144" s="1"/>
  <c r="AR54" i="144" a="1"/>
  <c r="AR54" i="144" s="1"/>
  <c r="V54" i="144" a="1"/>
  <c r="V54" i="144" s="1"/>
  <c r="AQ54" i="144" a="1"/>
  <c r="AQ54" i="144" s="1"/>
  <c r="T54" i="144" a="1"/>
  <c r="T54" i="144" s="1"/>
  <c r="R54" i="144" a="1"/>
  <c r="R54" i="144" s="1"/>
  <c r="AT54" i="144" a="1"/>
  <c r="AT54" i="144" s="1"/>
  <c r="AH54" i="144" a="1"/>
  <c r="AH54" i="144" s="1"/>
  <c r="X145" i="145" s="1"/>
  <c r="AG54" i="144" a="1"/>
  <c r="AG54" i="144" s="1"/>
  <c r="W145" i="145" s="1"/>
  <c r="AF54" i="144" a="1"/>
  <c r="AF54" i="144" s="1"/>
  <c r="V145" i="145" s="1"/>
  <c r="AE54" i="144" a="1"/>
  <c r="AE54" i="144" s="1"/>
  <c r="U145" i="145" s="1"/>
  <c r="AD54" i="144" a="1"/>
  <c r="AD54" i="144" s="1"/>
  <c r="T145" i="145" s="1"/>
  <c r="AC54" i="144" a="1"/>
  <c r="AC54" i="144" s="1"/>
  <c r="S145" i="145" s="1"/>
  <c r="P54" i="144" a="1"/>
  <c r="P54" i="144" s="1"/>
  <c r="N145" i="145" s="1"/>
  <c r="N69" i="98"/>
  <c r="AJ69" i="98" s="1"/>
  <c r="AO69" i="98" a="1"/>
  <c r="AO69" i="98" s="1"/>
  <c r="V69" i="98" a="1"/>
  <c r="V69" i="98" s="1"/>
  <c r="AS69" i="98" a="1"/>
  <c r="AS69" i="98" s="1"/>
  <c r="AR69" i="98" a="1"/>
  <c r="AR69" i="98" s="1"/>
  <c r="AQ69" i="98" a="1"/>
  <c r="AQ69" i="98" s="1"/>
  <c r="P69" i="98" a="1"/>
  <c r="P69" i="98" s="1"/>
  <c r="AH69" i="98" a="1"/>
  <c r="AH69" i="98" s="1"/>
  <c r="AG69" i="98" a="1"/>
  <c r="AG69" i="98" s="1"/>
  <c r="AF69" i="98" a="1"/>
  <c r="AF69" i="98" s="1"/>
  <c r="AE69" i="98" a="1"/>
  <c r="AE69" i="98" s="1"/>
  <c r="AD69" i="98" a="1"/>
  <c r="AD69" i="98" s="1"/>
  <c r="AC69" i="98" a="1"/>
  <c r="AC69" i="98" s="1"/>
  <c r="T69" i="98" a="1"/>
  <c r="T69" i="98" s="1"/>
  <c r="R69" i="98" a="1"/>
  <c r="R69" i="98" s="1"/>
  <c r="AT69" i="98" a="1"/>
  <c r="AT69" i="98" s="1"/>
  <c r="AP69" i="98" a="1"/>
  <c r="AP69" i="98" s="1"/>
  <c r="Y51" i="98" a="1"/>
  <c r="Y51" i="98" s="1"/>
  <c r="O93" i="138" s="1"/>
  <c r="AN51" i="98" a="1"/>
  <c r="AN51" i="98" s="1"/>
  <c r="AA51" i="98" a="1"/>
  <c r="AA51" i="98" s="1"/>
  <c r="Q93" i="138" s="1"/>
  <c r="Z51" i="98" a="1"/>
  <c r="Z51" i="98" s="1"/>
  <c r="P93" i="138" s="1"/>
  <c r="AM51" i="98" a="1"/>
  <c r="AM51" i="98" s="1"/>
  <c r="AL51" i="98" a="1"/>
  <c r="AL51" i="98" s="1"/>
  <c r="AK51" i="98" a="1"/>
  <c r="AK51" i="98" s="1"/>
  <c r="AB51" i="98" a="1"/>
  <c r="AB51" i="98" s="1"/>
  <c r="R93" i="138" s="1"/>
  <c r="S66" i="144"/>
  <c r="AG66" i="144" a="1"/>
  <c r="AG66" i="144" s="1"/>
  <c r="AH66" i="144" a="1"/>
  <c r="AH66" i="144" s="1"/>
  <c r="R66" i="144" a="1"/>
  <c r="R66" i="144" s="1"/>
  <c r="P66" i="144" a="1"/>
  <c r="P66" i="144" s="1"/>
  <c r="AS66" i="144" a="1"/>
  <c r="AS66" i="144" s="1"/>
  <c r="AD66" i="144" a="1"/>
  <c r="AD66" i="144" s="1"/>
  <c r="AR66" i="144" a="1"/>
  <c r="AR66" i="144" s="1"/>
  <c r="AC66" i="144" a="1"/>
  <c r="AC66" i="144" s="1"/>
  <c r="AT66" i="144" a="1"/>
  <c r="AT66" i="144" s="1"/>
  <c r="AQ66" i="144" a="1"/>
  <c r="AQ66" i="144" s="1"/>
  <c r="AP66" i="144" a="1"/>
  <c r="AP66" i="144" s="1"/>
  <c r="V66" i="144" a="1"/>
  <c r="V66" i="144" s="1"/>
  <c r="AO66" i="144" a="1"/>
  <c r="AO66" i="144" s="1"/>
  <c r="AF66" i="144" a="1"/>
  <c r="AF66" i="144" s="1"/>
  <c r="AE66" i="144" a="1"/>
  <c r="AE66" i="144" s="1"/>
  <c r="T66" i="144" a="1"/>
  <c r="T66" i="144" s="1"/>
  <c r="AC63" i="98" a="1"/>
  <c r="AC63" i="98" s="1"/>
  <c r="S105" i="138" s="1"/>
  <c r="AO63" i="98" a="1"/>
  <c r="AO63" i="98" s="1"/>
  <c r="AP63" i="98" a="1"/>
  <c r="AP63" i="98" s="1"/>
  <c r="AR63" i="98" a="1"/>
  <c r="AR63" i="98" s="1"/>
  <c r="AQ63" i="98" a="1"/>
  <c r="AQ63" i="98" s="1"/>
  <c r="V63" i="98" a="1"/>
  <c r="V63" i="98" s="1"/>
  <c r="AH63" i="98" a="1"/>
  <c r="AH63" i="98" s="1"/>
  <c r="X105" i="138" s="1"/>
  <c r="AG63" i="98" a="1"/>
  <c r="AG63" i="98" s="1"/>
  <c r="W105" i="138" s="1"/>
  <c r="AF63" i="98" a="1"/>
  <c r="AF63" i="98" s="1"/>
  <c r="V105" i="138" s="1"/>
  <c r="AE63" i="98" a="1"/>
  <c r="AE63" i="98" s="1"/>
  <c r="U105" i="138" s="1"/>
  <c r="T63" i="98" a="1"/>
  <c r="T63" i="98" s="1"/>
  <c r="R63" i="98" a="1"/>
  <c r="R63" i="98" s="1"/>
  <c r="P63" i="98" a="1"/>
  <c r="P63" i="98" s="1"/>
  <c r="N105" i="138" s="1"/>
  <c r="AT63" i="98" a="1"/>
  <c r="AT63" i="98" s="1"/>
  <c r="AS63" i="98" a="1"/>
  <c r="AS63" i="98" s="1"/>
  <c r="AD63" i="98" a="1"/>
  <c r="AD63" i="98" s="1"/>
  <c r="T105" i="138" s="1"/>
  <c r="AM69" i="98" a="1"/>
  <c r="AM69" i="98" s="1"/>
  <c r="AB69" i="98" a="1"/>
  <c r="AB69" i="98" s="1"/>
  <c r="AA69" i="98" a="1"/>
  <c r="AA69" i="98" s="1"/>
  <c r="Z69" i="98" a="1"/>
  <c r="Z69" i="98" s="1"/>
  <c r="AN69" i="98" a="1"/>
  <c r="AN69" i="98" s="1"/>
  <c r="AL69" i="98" a="1"/>
  <c r="AL69" i="98" s="1"/>
  <c r="AK69" i="98" a="1"/>
  <c r="AK69" i="98" s="1"/>
  <c r="Y69" i="98" a="1"/>
  <c r="Y69" i="98" s="1"/>
  <c r="AS69" i="144" a="1"/>
  <c r="AS69" i="144" s="1"/>
  <c r="AE69" i="144" a="1"/>
  <c r="AE69" i="144" s="1"/>
  <c r="T69" i="144" a="1"/>
  <c r="T69" i="144" s="1"/>
  <c r="R69" i="144" a="1"/>
  <c r="R69" i="144" s="1"/>
  <c r="AP69" i="144" a="1"/>
  <c r="AP69" i="144" s="1"/>
  <c r="V69" i="144" a="1"/>
  <c r="V69" i="144" s="1"/>
  <c r="AO69" i="144" a="1"/>
  <c r="AO69" i="144" s="1"/>
  <c r="P69" i="144" a="1"/>
  <c r="P69" i="144" s="1"/>
  <c r="AH69" i="144" a="1"/>
  <c r="AH69" i="144" s="1"/>
  <c r="AT69" i="144" a="1"/>
  <c r="AT69" i="144" s="1"/>
  <c r="AR69" i="144" a="1"/>
  <c r="AR69" i="144" s="1"/>
  <c r="AQ69" i="144" a="1"/>
  <c r="AQ69" i="144" s="1"/>
  <c r="AG69" i="144" a="1"/>
  <c r="AG69" i="144" s="1"/>
  <c r="AF69" i="144" a="1"/>
  <c r="AF69" i="144" s="1"/>
  <c r="AD69" i="144" a="1"/>
  <c r="AD69" i="144" s="1"/>
  <c r="AC69" i="144" a="1"/>
  <c r="AC69" i="144" s="1"/>
  <c r="U55" i="98"/>
  <c r="AR55" i="98" a="1"/>
  <c r="AR55" i="98" s="1"/>
  <c r="AD55" i="98" a="1"/>
  <c r="AD55" i="98" s="1"/>
  <c r="T97" i="138" s="1"/>
  <c r="AT55" i="98" a="1"/>
  <c r="AT55" i="98" s="1"/>
  <c r="AG55" i="98" a="1"/>
  <c r="AG55" i="98" s="1"/>
  <c r="W97" i="138" s="1"/>
  <c r="AO55" i="98" a="1"/>
  <c r="AO55" i="98" s="1"/>
  <c r="V55" i="98" a="1"/>
  <c r="V55" i="98" s="1"/>
  <c r="AH55" i="98" a="1"/>
  <c r="AH55" i="98" s="1"/>
  <c r="X97" i="138" s="1"/>
  <c r="AF55" i="98" a="1"/>
  <c r="AF55" i="98" s="1"/>
  <c r="V97" i="138" s="1"/>
  <c r="AE55" i="98" a="1"/>
  <c r="AE55" i="98" s="1"/>
  <c r="U97" i="138" s="1"/>
  <c r="AC55" i="98" a="1"/>
  <c r="AC55" i="98" s="1"/>
  <c r="S97" i="138" s="1"/>
  <c r="P55" i="98" a="1"/>
  <c r="P55" i="98" s="1"/>
  <c r="N97" i="138" s="1"/>
  <c r="AS55" i="98" a="1"/>
  <c r="AS55" i="98" s="1"/>
  <c r="AQ55" i="98" a="1"/>
  <c r="AQ55" i="98" s="1"/>
  <c r="AP55" i="98" a="1"/>
  <c r="AP55" i="98" s="1"/>
  <c r="T55" i="98" a="1"/>
  <c r="T55" i="98" s="1"/>
  <c r="R55" i="98" a="1"/>
  <c r="R55" i="98" s="1"/>
  <c r="AK59" i="98" a="1"/>
  <c r="AK59" i="98" s="1"/>
  <c r="AL59" i="98" a="1"/>
  <c r="AL59" i="98" s="1"/>
  <c r="Z59" i="98" a="1"/>
  <c r="Z59" i="98" s="1"/>
  <c r="P101" i="138" s="1"/>
  <c r="Y59" i="98" a="1"/>
  <c r="Y59" i="98" s="1"/>
  <c r="O101" i="138" s="1"/>
  <c r="AA59" i="98" a="1"/>
  <c r="AA59" i="98" s="1"/>
  <c r="Q101" i="138" s="1"/>
  <c r="AN59" i="98" a="1"/>
  <c r="AN59" i="98" s="1"/>
  <c r="AM59" i="98" a="1"/>
  <c r="AM59" i="98" s="1"/>
  <c r="AB59" i="98" a="1"/>
  <c r="AB59" i="98" s="1"/>
  <c r="R101" i="138" s="1"/>
  <c r="AP67" i="144" a="1"/>
  <c r="AP67" i="144" s="1"/>
  <c r="AC67" i="144" a="1"/>
  <c r="AC67" i="144" s="1"/>
  <c r="AQ67" i="144" a="1"/>
  <c r="AQ67" i="144" s="1"/>
  <c r="AR67" i="144" a="1"/>
  <c r="AR67" i="144" s="1"/>
  <c r="AG67" i="144" a="1"/>
  <c r="AG67" i="144" s="1"/>
  <c r="AF67" i="144" a="1"/>
  <c r="AF67" i="144" s="1"/>
  <c r="AE67" i="144" a="1"/>
  <c r="AE67" i="144" s="1"/>
  <c r="AD67" i="144" a="1"/>
  <c r="AD67" i="144" s="1"/>
  <c r="P67" i="144" a="1"/>
  <c r="P67" i="144" s="1"/>
  <c r="AT67" i="144" a="1"/>
  <c r="AT67" i="144" s="1"/>
  <c r="AS67" i="144" a="1"/>
  <c r="AS67" i="144" s="1"/>
  <c r="AO67" i="144" a="1"/>
  <c r="AO67" i="144" s="1"/>
  <c r="AH67" i="144" a="1"/>
  <c r="AH67" i="144" s="1"/>
  <c r="V67" i="144" a="1"/>
  <c r="V67" i="144" s="1"/>
  <c r="T67" i="144" a="1"/>
  <c r="T67" i="144" s="1"/>
  <c r="R67" i="144" a="1"/>
  <c r="R67" i="144" s="1"/>
  <c r="Z47" i="98" a="1"/>
  <c r="Z47" i="98" s="1"/>
  <c r="P89" i="138" s="1"/>
  <c r="AN47" i="98" a="1"/>
  <c r="AN47" i="98" s="1"/>
  <c r="AM47" i="98" a="1"/>
  <c r="AM47" i="98" s="1"/>
  <c r="AK47" i="98" a="1"/>
  <c r="AK47" i="98" s="1"/>
  <c r="AL47" i="98" a="1"/>
  <c r="AL47" i="98" s="1"/>
  <c r="AB47" i="98" a="1"/>
  <c r="AB47" i="98" s="1"/>
  <c r="R89" i="138" s="1"/>
  <c r="AA47" i="98" a="1"/>
  <c r="AA47" i="98" s="1"/>
  <c r="Q89" i="138" s="1"/>
  <c r="Y47" i="98" a="1"/>
  <c r="Y47" i="98" s="1"/>
  <c r="O89" i="138" s="1"/>
  <c r="AO48" i="144" a="1"/>
  <c r="AO48" i="144" s="1"/>
  <c r="T48" i="144" a="1"/>
  <c r="T48" i="144" s="1"/>
  <c r="R48" i="144" a="1"/>
  <c r="R48" i="144" s="1"/>
  <c r="AE48" i="144" a="1"/>
  <c r="AE48" i="144" s="1"/>
  <c r="U139" i="145" s="1"/>
  <c r="AD48" i="144" a="1"/>
  <c r="AD48" i="144" s="1"/>
  <c r="T139" i="145" s="1"/>
  <c r="AT48" i="144" a="1"/>
  <c r="AT48" i="144" s="1"/>
  <c r="AC48" i="144" a="1"/>
  <c r="AC48" i="144" s="1"/>
  <c r="S139" i="145" s="1"/>
  <c r="AS48" i="144" a="1"/>
  <c r="AS48" i="144" s="1"/>
  <c r="AR48" i="144" a="1"/>
  <c r="AR48" i="144" s="1"/>
  <c r="AH48" i="144" a="1"/>
  <c r="AH48" i="144" s="1"/>
  <c r="X139" i="145" s="1"/>
  <c r="AG48" i="144" a="1"/>
  <c r="AG48" i="144" s="1"/>
  <c r="W139" i="145" s="1"/>
  <c r="AF48" i="144" a="1"/>
  <c r="AF48" i="144" s="1"/>
  <c r="V139" i="145" s="1"/>
  <c r="V48" i="144" a="1"/>
  <c r="V48" i="144" s="1"/>
  <c r="P48" i="144" a="1"/>
  <c r="P48" i="144" s="1"/>
  <c r="N139" i="145" s="1"/>
  <c r="AQ48" i="144" a="1"/>
  <c r="AQ48" i="144" s="1"/>
  <c r="AP48" i="144" a="1"/>
  <c r="AP48" i="144" s="1"/>
  <c r="AK60" i="98" a="1"/>
  <c r="AK60" i="98" s="1"/>
  <c r="Y60" i="98" a="1"/>
  <c r="Y60" i="98" s="1"/>
  <c r="O102" i="138" s="1"/>
  <c r="Z60" i="98" a="1"/>
  <c r="Z60" i="98" s="1"/>
  <c r="P102" i="138" s="1"/>
  <c r="AB60" i="98" a="1"/>
  <c r="AB60" i="98" s="1"/>
  <c r="R102" i="138" s="1"/>
  <c r="AN60" i="98" a="1"/>
  <c r="AN60" i="98" s="1"/>
  <c r="AM60" i="98" a="1"/>
  <c r="AM60" i="98" s="1"/>
  <c r="AL60" i="98" a="1"/>
  <c r="AL60" i="98" s="1"/>
  <c r="AA60" i="98" a="1"/>
  <c r="AA60" i="98" s="1"/>
  <c r="Q102" i="138" s="1"/>
  <c r="N24" i="144"/>
  <c r="AJ24" i="144" s="1"/>
  <c r="AT24" i="144" a="1"/>
  <c r="AT24" i="144" s="1"/>
  <c r="P24" i="144" a="1"/>
  <c r="P24" i="144" s="1"/>
  <c r="N115" i="145" s="1"/>
  <c r="AF24" i="144" a="1"/>
  <c r="AF24" i="144" s="1"/>
  <c r="V115" i="145" s="1"/>
  <c r="T24" i="144" a="1"/>
  <c r="T24" i="144" s="1"/>
  <c r="R24" i="144" a="1"/>
  <c r="R24" i="144" s="1"/>
  <c r="AH24" i="144" a="1"/>
  <c r="AH24" i="144" s="1"/>
  <c r="X115" i="145" s="1"/>
  <c r="AC24" i="144" a="1"/>
  <c r="AC24" i="144" s="1"/>
  <c r="S115" i="145" s="1"/>
  <c r="AS24" i="144" a="1"/>
  <c r="AS24" i="144" s="1"/>
  <c r="AR24" i="144" a="1"/>
  <c r="AR24" i="144" s="1"/>
  <c r="AQ24" i="144" a="1"/>
  <c r="AQ24" i="144" s="1"/>
  <c r="AP24" i="144" a="1"/>
  <c r="AP24" i="144" s="1"/>
  <c r="AO24" i="144" a="1"/>
  <c r="AO24" i="144" s="1"/>
  <c r="AG24" i="144" a="1"/>
  <c r="AG24" i="144" s="1"/>
  <c r="W115" i="145" s="1"/>
  <c r="AE24" i="144" a="1"/>
  <c r="AE24" i="144" s="1"/>
  <c r="U115" i="145" s="1"/>
  <c r="AD24" i="144" a="1"/>
  <c r="AD24" i="144" s="1"/>
  <c r="T115" i="145" s="1"/>
  <c r="V24" i="144" a="1"/>
  <c r="V24" i="144" s="1"/>
  <c r="AQ40" i="144" a="1"/>
  <c r="AQ40" i="144" s="1"/>
  <c r="AC40" i="144" a="1"/>
  <c r="AC40" i="144" s="1"/>
  <c r="S131" i="145" s="1"/>
  <c r="AP40" i="144" a="1"/>
  <c r="AP40" i="144" s="1"/>
  <c r="AO40" i="144" a="1"/>
  <c r="AO40" i="144" s="1"/>
  <c r="AE40" i="144" a="1"/>
  <c r="AE40" i="144" s="1"/>
  <c r="U131" i="145" s="1"/>
  <c r="AD40" i="144" a="1"/>
  <c r="AD40" i="144" s="1"/>
  <c r="T131" i="145" s="1"/>
  <c r="AT40" i="144" a="1"/>
  <c r="AT40" i="144" s="1"/>
  <c r="AS40" i="144" a="1"/>
  <c r="AS40" i="144" s="1"/>
  <c r="AR40" i="144" a="1"/>
  <c r="AR40" i="144" s="1"/>
  <c r="V40" i="144" a="1"/>
  <c r="V40" i="144" s="1"/>
  <c r="AG40" i="144" a="1"/>
  <c r="AG40" i="144" s="1"/>
  <c r="W131" i="145" s="1"/>
  <c r="AF40" i="144" a="1"/>
  <c r="AF40" i="144" s="1"/>
  <c r="V131" i="145" s="1"/>
  <c r="T40" i="144" a="1"/>
  <c r="T40" i="144" s="1"/>
  <c r="R40" i="144" a="1"/>
  <c r="R40" i="144" s="1"/>
  <c r="P40" i="144" a="1"/>
  <c r="P40" i="144" s="1"/>
  <c r="N131" i="145" s="1"/>
  <c r="AH40" i="144" a="1"/>
  <c r="AH40" i="144" s="1"/>
  <c r="X131" i="145" s="1"/>
  <c r="AE51" i="98" a="1"/>
  <c r="AE51" i="98" s="1"/>
  <c r="U93" i="138" s="1"/>
  <c r="AG51" i="98" a="1"/>
  <c r="AG51" i="98" s="1"/>
  <c r="W93" i="138" s="1"/>
  <c r="AS51" i="98" a="1"/>
  <c r="AS51" i="98" s="1"/>
  <c r="AR51" i="98" a="1"/>
  <c r="AR51" i="98" s="1"/>
  <c r="AC51" i="98" a="1"/>
  <c r="AC51" i="98" s="1"/>
  <c r="S93" i="138" s="1"/>
  <c r="AO51" i="98" a="1"/>
  <c r="AO51" i="98" s="1"/>
  <c r="V51" i="98" a="1"/>
  <c r="V51" i="98" s="1"/>
  <c r="T51" i="98" a="1"/>
  <c r="T51" i="98" s="1"/>
  <c r="AT51" i="98" a="1"/>
  <c r="AT51" i="98" s="1"/>
  <c r="AQ51" i="98" a="1"/>
  <c r="AQ51" i="98" s="1"/>
  <c r="R51" i="98" a="1"/>
  <c r="R51" i="98" s="1"/>
  <c r="AP51" i="98" a="1"/>
  <c r="AP51" i="98" s="1"/>
  <c r="P51" i="98" a="1"/>
  <c r="P51" i="98" s="1"/>
  <c r="N93" i="138" s="1"/>
  <c r="AH51" i="98" a="1"/>
  <c r="AH51" i="98" s="1"/>
  <c r="X93" i="138" s="1"/>
  <c r="AF51" i="98" a="1"/>
  <c r="AF51" i="98" s="1"/>
  <c r="V93" i="138" s="1"/>
  <c r="AD51" i="98" a="1"/>
  <c r="AD51" i="98" s="1"/>
  <c r="T93" i="138" s="1"/>
  <c r="P21" i="144" a="1"/>
  <c r="P21" i="144" s="1"/>
  <c r="N112" i="145" s="1"/>
  <c r="AG21" i="144" a="1"/>
  <c r="AG21" i="144" s="1"/>
  <c r="W112" i="145" s="1"/>
  <c r="AF21" i="144" a="1"/>
  <c r="AF21" i="144" s="1"/>
  <c r="V112" i="145" s="1"/>
  <c r="V21" i="144" a="1"/>
  <c r="V21" i="144" s="1"/>
  <c r="AO21" i="144" a="1"/>
  <c r="AO21" i="144" s="1"/>
  <c r="T21" i="144" a="1"/>
  <c r="T21" i="144" s="1"/>
  <c r="R21" i="144" a="1"/>
  <c r="R21" i="144" s="1"/>
  <c r="AD21" i="144" a="1"/>
  <c r="AD21" i="144" s="1"/>
  <c r="T112" i="145" s="1"/>
  <c r="AC21" i="144" a="1"/>
  <c r="AC21" i="144" s="1"/>
  <c r="S112" i="145" s="1"/>
  <c r="AT21" i="144" a="1"/>
  <c r="AT21" i="144" s="1"/>
  <c r="AS21" i="144" a="1"/>
  <c r="AS21" i="144" s="1"/>
  <c r="AR21" i="144" a="1"/>
  <c r="AR21" i="144" s="1"/>
  <c r="AQ21" i="144" a="1"/>
  <c r="AQ21" i="144" s="1"/>
  <c r="AP21" i="144" a="1"/>
  <c r="AP21" i="144" s="1"/>
  <c r="AH21" i="144" a="1"/>
  <c r="AH21" i="144" s="1"/>
  <c r="X112" i="145" s="1"/>
  <c r="AE21" i="144" a="1"/>
  <c r="AE21" i="144" s="1"/>
  <c r="U112" i="145" s="1"/>
  <c r="AR62" i="144" a="1"/>
  <c r="AR62" i="144" s="1"/>
  <c r="AE62" i="144" a="1"/>
  <c r="AE62" i="144" s="1"/>
  <c r="U153" i="145" s="1"/>
  <c r="AH62" i="144" a="1"/>
  <c r="AH62" i="144" s="1"/>
  <c r="X153" i="145" s="1"/>
  <c r="AQ62" i="144" a="1"/>
  <c r="AQ62" i="144" s="1"/>
  <c r="AC62" i="144" a="1"/>
  <c r="AC62" i="144" s="1"/>
  <c r="S153" i="145" s="1"/>
  <c r="AP62" i="144" a="1"/>
  <c r="AP62" i="144" s="1"/>
  <c r="AO62" i="144" a="1"/>
  <c r="AO62" i="144" s="1"/>
  <c r="AF62" i="144" a="1"/>
  <c r="AF62" i="144" s="1"/>
  <c r="V153" i="145" s="1"/>
  <c r="AD62" i="144" a="1"/>
  <c r="AD62" i="144" s="1"/>
  <c r="T153" i="145" s="1"/>
  <c r="AT62" i="144" a="1"/>
  <c r="AT62" i="144" s="1"/>
  <c r="V62" i="144" a="1"/>
  <c r="V62" i="144" s="1"/>
  <c r="T62" i="144" a="1"/>
  <c r="T62" i="144" s="1"/>
  <c r="R62" i="144" a="1"/>
  <c r="R62" i="144" s="1"/>
  <c r="P62" i="144" a="1"/>
  <c r="P62" i="144" s="1"/>
  <c r="N153" i="145" s="1"/>
  <c r="AS62" i="144" a="1"/>
  <c r="AS62" i="144" s="1"/>
  <c r="AG62" i="144" a="1"/>
  <c r="AG62" i="144" s="1"/>
  <c r="W153" i="145" s="1"/>
  <c r="Q72" i="144"/>
  <c r="W72" i="144" s="1"/>
  <c r="AF72" i="144" a="1"/>
  <c r="AF72" i="144" s="1"/>
  <c r="AQ72" i="144" a="1"/>
  <c r="AQ72" i="144" s="1"/>
  <c r="AC72" i="144" a="1"/>
  <c r="AC72" i="144" s="1"/>
  <c r="AS72" i="144" a="1"/>
  <c r="AS72" i="144" s="1"/>
  <c r="AD72" i="144" a="1"/>
  <c r="AD72" i="144" s="1"/>
  <c r="AR72" i="144" a="1"/>
  <c r="AR72" i="144" s="1"/>
  <c r="AH72" i="144" a="1"/>
  <c r="AH72" i="144" s="1"/>
  <c r="AG72" i="144" a="1"/>
  <c r="AG72" i="144" s="1"/>
  <c r="AE72" i="144" a="1"/>
  <c r="AE72" i="144" s="1"/>
  <c r="V72" i="144" a="1"/>
  <c r="V72" i="144" s="1"/>
  <c r="T72" i="144" a="1"/>
  <c r="T72" i="144" s="1"/>
  <c r="R72" i="144" a="1"/>
  <c r="R72" i="144" s="1"/>
  <c r="P72" i="144" a="1"/>
  <c r="P72" i="144" s="1"/>
  <c r="AT72" i="144" a="1"/>
  <c r="AT72" i="144" s="1"/>
  <c r="AP72" i="144" a="1"/>
  <c r="AP72" i="144" s="1"/>
  <c r="AO72" i="144" a="1"/>
  <c r="AO72" i="144" s="1"/>
  <c r="AH66" i="98" a="1"/>
  <c r="AH66" i="98" s="1"/>
  <c r="AQ66" i="98" a="1"/>
  <c r="AQ66" i="98" s="1"/>
  <c r="AF66" i="98" a="1"/>
  <c r="AF66" i="98" s="1"/>
  <c r="AR66" i="98" a="1"/>
  <c r="AR66" i="98" s="1"/>
  <c r="AP66" i="98" a="1"/>
  <c r="AP66" i="98" s="1"/>
  <c r="AG66" i="98" a="1"/>
  <c r="AG66" i="98" s="1"/>
  <c r="AE66" i="98" a="1"/>
  <c r="AE66" i="98" s="1"/>
  <c r="AC66" i="98" a="1"/>
  <c r="AC66" i="98" s="1"/>
  <c r="V66" i="98" a="1"/>
  <c r="V66" i="98" s="1"/>
  <c r="T66" i="98" a="1"/>
  <c r="T66" i="98" s="1"/>
  <c r="R66" i="98" a="1"/>
  <c r="R66" i="98" s="1"/>
  <c r="P66" i="98" a="1"/>
  <c r="P66" i="98" s="1"/>
  <c r="AT66" i="98" a="1"/>
  <c r="AT66" i="98" s="1"/>
  <c r="AS66" i="98" a="1"/>
  <c r="AS66" i="98" s="1"/>
  <c r="AO66" i="98" a="1"/>
  <c r="AO66" i="98" s="1"/>
  <c r="AD66" i="98" a="1"/>
  <c r="AD66" i="98" s="1"/>
  <c r="AB67" i="98" a="1"/>
  <c r="AB67" i="98" s="1"/>
  <c r="AM67" i="98" a="1"/>
  <c r="AM67" i="98" s="1"/>
  <c r="AA67" i="98" a="1"/>
  <c r="AA67" i="98" s="1"/>
  <c r="Z67" i="98" a="1"/>
  <c r="Z67" i="98" s="1"/>
  <c r="Y67" i="98" a="1"/>
  <c r="Y67" i="98" s="1"/>
  <c r="AN67" i="98" a="1"/>
  <c r="AN67" i="98" s="1"/>
  <c r="AL67" i="98" a="1"/>
  <c r="AL67" i="98" s="1"/>
  <c r="AK67" i="98" a="1"/>
  <c r="AK67" i="98" s="1"/>
  <c r="AH52" i="144" a="1"/>
  <c r="AH52" i="144" s="1"/>
  <c r="X143" i="145" s="1"/>
  <c r="P52" i="144" a="1"/>
  <c r="P52" i="144" s="1"/>
  <c r="N143" i="145" s="1"/>
  <c r="AG52" i="144" a="1"/>
  <c r="AG52" i="144" s="1"/>
  <c r="W143" i="145" s="1"/>
  <c r="V52" i="144" a="1"/>
  <c r="V52" i="144" s="1"/>
  <c r="AO52" i="144" a="1"/>
  <c r="AO52" i="144" s="1"/>
  <c r="T52" i="144" a="1"/>
  <c r="T52" i="144" s="1"/>
  <c r="R52" i="144" a="1"/>
  <c r="R52" i="144" s="1"/>
  <c r="AF52" i="144" a="1"/>
  <c r="AF52" i="144" s="1"/>
  <c r="V143" i="145" s="1"/>
  <c r="AT52" i="144" a="1"/>
  <c r="AT52" i="144" s="1"/>
  <c r="AS52" i="144" a="1"/>
  <c r="AS52" i="144" s="1"/>
  <c r="AR52" i="144" a="1"/>
  <c r="AR52" i="144" s="1"/>
  <c r="AQ52" i="144" a="1"/>
  <c r="AQ52" i="144" s="1"/>
  <c r="AP52" i="144" a="1"/>
  <c r="AP52" i="144" s="1"/>
  <c r="AE52" i="144" a="1"/>
  <c r="AE52" i="144" s="1"/>
  <c r="U143" i="145" s="1"/>
  <c r="AD52" i="144" a="1"/>
  <c r="AD52" i="144" s="1"/>
  <c r="T143" i="145" s="1"/>
  <c r="AC52" i="144" a="1"/>
  <c r="AC52" i="144" s="1"/>
  <c r="S143" i="145" s="1"/>
  <c r="AS28" i="144" a="1"/>
  <c r="AS28" i="144" s="1"/>
  <c r="AE28" i="144" a="1"/>
  <c r="AE28" i="144" s="1"/>
  <c r="U119" i="145" s="1"/>
  <c r="P28" i="144" a="1"/>
  <c r="P28" i="144" s="1"/>
  <c r="N119" i="145" s="1"/>
  <c r="AG28" i="144" a="1"/>
  <c r="AG28" i="144" s="1"/>
  <c r="W119" i="145" s="1"/>
  <c r="AF28" i="144" a="1"/>
  <c r="AF28" i="144" s="1"/>
  <c r="V119" i="145" s="1"/>
  <c r="T28" i="144" a="1"/>
  <c r="T28" i="144" s="1"/>
  <c r="R28" i="144" a="1"/>
  <c r="R28" i="144" s="1"/>
  <c r="AH28" i="144" a="1"/>
  <c r="AH28" i="144" s="1"/>
  <c r="X119" i="145" s="1"/>
  <c r="AP28" i="144" a="1"/>
  <c r="AP28" i="144" s="1"/>
  <c r="AO28" i="144" a="1"/>
  <c r="AO28" i="144" s="1"/>
  <c r="AD28" i="144" a="1"/>
  <c r="AD28" i="144" s="1"/>
  <c r="T119" i="145" s="1"/>
  <c r="AC28" i="144" a="1"/>
  <c r="AC28" i="144" s="1"/>
  <c r="S119" i="145" s="1"/>
  <c r="V28" i="144" a="1"/>
  <c r="V28" i="144" s="1"/>
  <c r="AT28" i="144" a="1"/>
  <c r="AT28" i="144" s="1"/>
  <c r="AR28" i="144" a="1"/>
  <c r="AR28" i="144" s="1"/>
  <c r="AQ28" i="144" a="1"/>
  <c r="AQ28" i="144" s="1"/>
  <c r="T43" i="144" a="1"/>
  <c r="T43" i="144" s="1"/>
  <c r="AH43" i="144" a="1"/>
  <c r="AH43" i="144" s="1"/>
  <c r="X134" i="145" s="1"/>
  <c r="AR43" i="144" a="1"/>
  <c r="AR43" i="144" s="1"/>
  <c r="AC43" i="144" a="1"/>
  <c r="AC43" i="144" s="1"/>
  <c r="S134" i="145" s="1"/>
  <c r="AQ43" i="144" a="1"/>
  <c r="AQ43" i="144" s="1"/>
  <c r="AP43" i="144" a="1"/>
  <c r="AP43" i="144" s="1"/>
  <c r="P43" i="144" a="1"/>
  <c r="P43" i="144" s="1"/>
  <c r="N134" i="145" s="1"/>
  <c r="AG43" i="144" a="1"/>
  <c r="AG43" i="144" s="1"/>
  <c r="W134" i="145" s="1"/>
  <c r="AF43" i="144" a="1"/>
  <c r="AF43" i="144" s="1"/>
  <c r="V134" i="145" s="1"/>
  <c r="V43" i="144" a="1"/>
  <c r="V43" i="144" s="1"/>
  <c r="R43" i="144" a="1"/>
  <c r="R43" i="144" s="1"/>
  <c r="AT43" i="144" a="1"/>
  <c r="AT43" i="144" s="1"/>
  <c r="AS43" i="144" a="1"/>
  <c r="AS43" i="144" s="1"/>
  <c r="AO43" i="144" a="1"/>
  <c r="AO43" i="144" s="1"/>
  <c r="AE43" i="144" a="1"/>
  <c r="AE43" i="144" s="1"/>
  <c r="U134" i="145" s="1"/>
  <c r="AD43" i="144" a="1"/>
  <c r="AD43" i="144" s="1"/>
  <c r="T134" i="145" s="1"/>
  <c r="S62" i="98"/>
  <c r="T62" i="98" a="1"/>
  <c r="T62" i="98" s="1"/>
  <c r="AT62" i="98" a="1"/>
  <c r="AT62" i="98" s="1"/>
  <c r="AF62" i="98" a="1"/>
  <c r="AF62" i="98" s="1"/>
  <c r="V104" i="138" s="1"/>
  <c r="AD62" i="98" a="1"/>
  <c r="AD62" i="98" s="1"/>
  <c r="T104" i="138" s="1"/>
  <c r="AQ62" i="98" a="1"/>
  <c r="AQ62" i="98" s="1"/>
  <c r="AP62" i="98" a="1"/>
  <c r="AP62" i="98" s="1"/>
  <c r="AO62" i="98" a="1"/>
  <c r="AO62" i="98" s="1"/>
  <c r="AC62" i="98" a="1"/>
  <c r="AC62" i="98" s="1"/>
  <c r="S104" i="138" s="1"/>
  <c r="V62" i="98" a="1"/>
  <c r="V62" i="98" s="1"/>
  <c r="AS62" i="98" a="1"/>
  <c r="AS62" i="98" s="1"/>
  <c r="AR62" i="98" a="1"/>
  <c r="AR62" i="98" s="1"/>
  <c r="R62" i="98" a="1"/>
  <c r="R62" i="98" s="1"/>
  <c r="P62" i="98" a="1"/>
  <c r="P62" i="98" s="1"/>
  <c r="N104" i="138" s="1"/>
  <c r="AH62" i="98" a="1"/>
  <c r="AH62" i="98" s="1"/>
  <c r="X104" i="138" s="1"/>
  <c r="AG62" i="98" a="1"/>
  <c r="AG62" i="98" s="1"/>
  <c r="W104" i="138" s="1"/>
  <c r="AE62" i="98" a="1"/>
  <c r="AE62" i="98" s="1"/>
  <c r="U104" i="138" s="1"/>
  <c r="AT68" i="144" a="1"/>
  <c r="AT68" i="144" s="1"/>
  <c r="AG68" i="144" a="1"/>
  <c r="AG68" i="144" s="1"/>
  <c r="R68" i="144" a="1"/>
  <c r="R68" i="144" s="1"/>
  <c r="P68" i="144" a="1"/>
  <c r="P68" i="144" s="1"/>
  <c r="V68" i="144" a="1"/>
  <c r="V68" i="144" s="1"/>
  <c r="AO68" i="144" a="1"/>
  <c r="AO68" i="144" s="1"/>
  <c r="AH68" i="144" a="1"/>
  <c r="AH68" i="144" s="1"/>
  <c r="AF68" i="144" a="1"/>
  <c r="AF68" i="144" s="1"/>
  <c r="AE68" i="144" a="1"/>
  <c r="AE68" i="144" s="1"/>
  <c r="AS68" i="144" a="1"/>
  <c r="AS68" i="144" s="1"/>
  <c r="AR68" i="144" a="1"/>
  <c r="AR68" i="144" s="1"/>
  <c r="AQ68" i="144" a="1"/>
  <c r="AQ68" i="144" s="1"/>
  <c r="AP68" i="144" a="1"/>
  <c r="AP68" i="144" s="1"/>
  <c r="AD68" i="144" a="1"/>
  <c r="AD68" i="144" s="1"/>
  <c r="AC68" i="144" a="1"/>
  <c r="AC68" i="144" s="1"/>
  <c r="T68" i="144" a="1"/>
  <c r="T68" i="144" s="1"/>
  <c r="D99" i="138"/>
  <c r="AL57" i="98" a="1"/>
  <c r="AL57" i="98" s="1"/>
  <c r="AB57" i="98" a="1"/>
  <c r="AB57" i="98" s="1"/>
  <c r="R99" i="138" s="1"/>
  <c r="Y57" i="98" a="1"/>
  <c r="Y57" i="98" s="1"/>
  <c r="O99" i="138" s="1"/>
  <c r="AA57" i="98" a="1"/>
  <c r="AA57" i="98" s="1"/>
  <c r="Q99" i="138" s="1"/>
  <c r="Z57" i="98" a="1"/>
  <c r="Z57" i="98" s="1"/>
  <c r="P99" i="138" s="1"/>
  <c r="AN57" i="98" a="1"/>
  <c r="AN57" i="98" s="1"/>
  <c r="AM57" i="98" a="1"/>
  <c r="AM57" i="98" s="1"/>
  <c r="AK57" i="98" a="1"/>
  <c r="AK57" i="98" s="1"/>
  <c r="T39" i="144" a="1"/>
  <c r="T39" i="144" s="1"/>
  <c r="AE39" i="144" a="1"/>
  <c r="AE39" i="144" s="1"/>
  <c r="U130" i="145" s="1"/>
  <c r="AS39" i="144" a="1"/>
  <c r="AS39" i="144" s="1"/>
  <c r="AD39" i="144" a="1"/>
  <c r="AD39" i="144" s="1"/>
  <c r="T130" i="145" s="1"/>
  <c r="AR39" i="144" a="1"/>
  <c r="AR39" i="144" s="1"/>
  <c r="AT39" i="144" a="1"/>
  <c r="AT39" i="144" s="1"/>
  <c r="AQ39" i="144" a="1"/>
  <c r="AQ39" i="144" s="1"/>
  <c r="AP39" i="144" a="1"/>
  <c r="AP39" i="144" s="1"/>
  <c r="AO39" i="144" a="1"/>
  <c r="AO39" i="144" s="1"/>
  <c r="V39" i="144" a="1"/>
  <c r="V39" i="144" s="1"/>
  <c r="AH39" i="144" a="1"/>
  <c r="AH39" i="144" s="1"/>
  <c r="X130" i="145" s="1"/>
  <c r="AG39" i="144" a="1"/>
  <c r="AG39" i="144" s="1"/>
  <c r="W130" i="145" s="1"/>
  <c r="AF39" i="144" a="1"/>
  <c r="AF39" i="144" s="1"/>
  <c r="V130" i="145" s="1"/>
  <c r="AC39" i="144" a="1"/>
  <c r="AC39" i="144" s="1"/>
  <c r="S130" i="145" s="1"/>
  <c r="R39" i="144" a="1"/>
  <c r="R39" i="144" s="1"/>
  <c r="P39" i="144" a="1"/>
  <c r="P39" i="144" s="1"/>
  <c r="N130" i="145" s="1"/>
  <c r="AG72" i="98" a="1"/>
  <c r="AG72" i="98" s="1"/>
  <c r="AT72" i="98" a="1"/>
  <c r="AT72" i="98" s="1"/>
  <c r="AF72" i="98" a="1"/>
  <c r="AF72" i="98" s="1"/>
  <c r="AS72" i="98" a="1"/>
  <c r="AS72" i="98" s="1"/>
  <c r="AR72" i="98" a="1"/>
  <c r="AR72" i="98" s="1"/>
  <c r="AC72" i="98" a="1"/>
  <c r="AC72" i="98" s="1"/>
  <c r="AQ72" i="98" a="1"/>
  <c r="AQ72" i="98" s="1"/>
  <c r="AP72" i="98" a="1"/>
  <c r="AP72" i="98" s="1"/>
  <c r="AO72" i="98" a="1"/>
  <c r="AO72" i="98" s="1"/>
  <c r="T72" i="98" a="1"/>
  <c r="T72" i="98" s="1"/>
  <c r="R72" i="98" a="1"/>
  <c r="R72" i="98" s="1"/>
  <c r="P72" i="98" a="1"/>
  <c r="P72" i="98" s="1"/>
  <c r="AH72" i="98" a="1"/>
  <c r="AH72" i="98" s="1"/>
  <c r="AE72" i="98" a="1"/>
  <c r="AE72" i="98" s="1"/>
  <c r="AD72" i="98" a="1"/>
  <c r="AD72" i="98" s="1"/>
  <c r="V72" i="98" a="1"/>
  <c r="V72" i="98" s="1"/>
  <c r="AN58" i="98" a="1"/>
  <c r="AN58" i="98" s="1"/>
  <c r="Y58" i="98" a="1"/>
  <c r="Y58" i="98" s="1"/>
  <c r="O100" i="138" s="1"/>
  <c r="Z58" i="98" a="1"/>
  <c r="Z58" i="98" s="1"/>
  <c r="P100" i="138" s="1"/>
  <c r="AL58" i="98" a="1"/>
  <c r="AL58" i="98" s="1"/>
  <c r="AK58" i="98" a="1"/>
  <c r="AK58" i="98" s="1"/>
  <c r="AM58" i="98" a="1"/>
  <c r="AM58" i="98" s="1"/>
  <c r="AB58" i="98" a="1"/>
  <c r="AB58" i="98" s="1"/>
  <c r="R100" i="138" s="1"/>
  <c r="AA58" i="98" a="1"/>
  <c r="AA58" i="98" s="1"/>
  <c r="Q100" i="138" s="1"/>
  <c r="N38" i="144"/>
  <c r="AQ38" i="144" a="1"/>
  <c r="AQ38" i="144" s="1"/>
  <c r="AC38" i="144" a="1"/>
  <c r="AC38" i="144" s="1"/>
  <c r="S129" i="145" s="1"/>
  <c r="R38" i="144" a="1"/>
  <c r="R38" i="144" s="1"/>
  <c r="AH38" i="144" a="1"/>
  <c r="AH38" i="144" s="1"/>
  <c r="X129" i="145" s="1"/>
  <c r="P38" i="144" a="1"/>
  <c r="P38" i="144" s="1"/>
  <c r="N129" i="145" s="1"/>
  <c r="AR38" i="144" a="1"/>
  <c r="AR38" i="144" s="1"/>
  <c r="AP38" i="144" a="1"/>
  <c r="AP38" i="144" s="1"/>
  <c r="AO38" i="144" a="1"/>
  <c r="AO38" i="144" s="1"/>
  <c r="V38" i="144" a="1"/>
  <c r="V38" i="144" s="1"/>
  <c r="T38" i="144" a="1"/>
  <c r="T38" i="144" s="1"/>
  <c r="AG38" i="144" a="1"/>
  <c r="AG38" i="144" s="1"/>
  <c r="W129" i="145" s="1"/>
  <c r="AF38" i="144" a="1"/>
  <c r="AF38" i="144" s="1"/>
  <c r="V129" i="145" s="1"/>
  <c r="AE38" i="144" a="1"/>
  <c r="AE38" i="144" s="1"/>
  <c r="U129" i="145" s="1"/>
  <c r="AD38" i="144" a="1"/>
  <c r="AD38" i="144" s="1"/>
  <c r="T129" i="145" s="1"/>
  <c r="AT38" i="144" a="1"/>
  <c r="AT38" i="144" s="1"/>
  <c r="AS38" i="144" a="1"/>
  <c r="AS38" i="144" s="1"/>
  <c r="O50" i="98"/>
  <c r="AI50" i="98" s="1"/>
  <c r="AR50" i="98" a="1"/>
  <c r="AR50" i="98" s="1"/>
  <c r="AD50" i="98" a="1"/>
  <c r="AD50" i="98" s="1"/>
  <c r="T92" i="138" s="1"/>
  <c r="V50" i="98" a="1"/>
  <c r="V50" i="98" s="1"/>
  <c r="AF50" i="98" a="1"/>
  <c r="AF50" i="98" s="1"/>
  <c r="V92" i="138" s="1"/>
  <c r="AO50" i="98" a="1"/>
  <c r="AO50" i="98" s="1"/>
  <c r="T50" i="98" a="1"/>
  <c r="T50" i="98" s="1"/>
  <c r="AH50" i="98" a="1"/>
  <c r="AH50" i="98" s="1"/>
  <c r="X92" i="138" s="1"/>
  <c r="AG50" i="98" a="1"/>
  <c r="AG50" i="98" s="1"/>
  <c r="W92" i="138" s="1"/>
  <c r="AE50" i="98" a="1"/>
  <c r="AE50" i="98" s="1"/>
  <c r="U92" i="138" s="1"/>
  <c r="AS50" i="98" a="1"/>
  <c r="AS50" i="98" s="1"/>
  <c r="AQ50" i="98" a="1"/>
  <c r="AQ50" i="98" s="1"/>
  <c r="AP50" i="98" a="1"/>
  <c r="AP50" i="98" s="1"/>
  <c r="AC50" i="98" a="1"/>
  <c r="AC50" i="98" s="1"/>
  <c r="S92" i="138" s="1"/>
  <c r="R50" i="98" a="1"/>
  <c r="R50" i="98" s="1"/>
  <c r="P50" i="98" a="1"/>
  <c r="P50" i="98" s="1"/>
  <c r="N92" i="138" s="1"/>
  <c r="AT50" i="98" a="1"/>
  <c r="AT50" i="98" s="1"/>
  <c r="AA72" i="98" a="1"/>
  <c r="AA72" i="98" s="1"/>
  <c r="Z72" i="98" a="1"/>
  <c r="Z72" i="98" s="1"/>
  <c r="AN72" i="98" a="1"/>
  <c r="AN72" i="98" s="1"/>
  <c r="AM72" i="98" a="1"/>
  <c r="AM72" i="98" s="1"/>
  <c r="AL72" i="98" a="1"/>
  <c r="AL72" i="98" s="1"/>
  <c r="AK72" i="98" a="1"/>
  <c r="AK72" i="98" s="1"/>
  <c r="AB72" i="98" a="1"/>
  <c r="AB72" i="98" s="1"/>
  <c r="Y72" i="98" a="1"/>
  <c r="Y72" i="98" s="1"/>
  <c r="AL56" i="98" a="1"/>
  <c r="AL56" i="98" s="1"/>
  <c r="Z56" i="98" a="1"/>
  <c r="Z56" i="98" s="1"/>
  <c r="P98" i="138" s="1"/>
  <c r="Y56" i="98" a="1"/>
  <c r="Y56" i="98" s="1"/>
  <c r="O98" i="138" s="1"/>
  <c r="AN56" i="98" a="1"/>
  <c r="AN56" i="98" s="1"/>
  <c r="AM56" i="98" a="1"/>
  <c r="AM56" i="98" s="1"/>
  <c r="AK56" i="98" a="1"/>
  <c r="AK56" i="98" s="1"/>
  <c r="AB56" i="98" a="1"/>
  <c r="AB56" i="98" s="1"/>
  <c r="R98" i="138" s="1"/>
  <c r="AA56" i="98" a="1"/>
  <c r="AA56" i="98" s="1"/>
  <c r="Q98" i="138" s="1"/>
  <c r="AO23" i="144" a="1"/>
  <c r="AO23" i="144" s="1"/>
  <c r="V23" i="144" a="1"/>
  <c r="V23" i="144" s="1"/>
  <c r="AC23" i="144" a="1"/>
  <c r="AC23" i="144" s="1"/>
  <c r="S114" i="145" s="1"/>
  <c r="AS23" i="144" a="1"/>
  <c r="AS23" i="144" s="1"/>
  <c r="AR23" i="144" a="1"/>
  <c r="AR23" i="144" s="1"/>
  <c r="AQ23" i="144" a="1"/>
  <c r="AQ23" i="144" s="1"/>
  <c r="T23" i="144" a="1"/>
  <c r="T23" i="144" s="1"/>
  <c r="AP23" i="144" a="1"/>
  <c r="AP23" i="144" s="1"/>
  <c r="R23" i="144" a="1"/>
  <c r="R23" i="144" s="1"/>
  <c r="AD23" i="144" a="1"/>
  <c r="AD23" i="144" s="1"/>
  <c r="T114" i="145" s="1"/>
  <c r="P23" i="144" a="1"/>
  <c r="P23" i="144" s="1"/>
  <c r="N114" i="145" s="1"/>
  <c r="AT23" i="144" a="1"/>
  <c r="AT23" i="144" s="1"/>
  <c r="AH23" i="144" a="1"/>
  <c r="AH23" i="144" s="1"/>
  <c r="X114" i="145" s="1"/>
  <c r="AG23" i="144" a="1"/>
  <c r="AG23" i="144" s="1"/>
  <c r="W114" i="145" s="1"/>
  <c r="AF23" i="144" a="1"/>
  <c r="AF23" i="144" s="1"/>
  <c r="V114" i="145" s="1"/>
  <c r="AE23" i="144" a="1"/>
  <c r="AE23" i="144" s="1"/>
  <c r="U114" i="145" s="1"/>
  <c r="AR34" i="144" a="1"/>
  <c r="AR34" i="144" s="1"/>
  <c r="AD34" i="144" a="1"/>
  <c r="AD34" i="144" s="1"/>
  <c r="T125" i="145" s="1"/>
  <c r="V34" i="144" a="1"/>
  <c r="V34" i="144" s="1"/>
  <c r="T34" i="144" a="1"/>
  <c r="T34" i="144" s="1"/>
  <c r="AG34" i="144" a="1"/>
  <c r="AG34" i="144" s="1"/>
  <c r="W125" i="145" s="1"/>
  <c r="AF34" i="144" a="1"/>
  <c r="AF34" i="144" s="1"/>
  <c r="V125" i="145" s="1"/>
  <c r="AE34" i="144" a="1"/>
  <c r="AE34" i="144" s="1"/>
  <c r="U125" i="145" s="1"/>
  <c r="AC34" i="144" a="1"/>
  <c r="AC34" i="144" s="1"/>
  <c r="S125" i="145" s="1"/>
  <c r="AT34" i="144" a="1"/>
  <c r="AT34" i="144" s="1"/>
  <c r="R34" i="144" a="1"/>
  <c r="R34" i="144" s="1"/>
  <c r="P34" i="144" a="1"/>
  <c r="P34" i="144" s="1"/>
  <c r="N125" i="145" s="1"/>
  <c r="AS34" i="144" a="1"/>
  <c r="AS34" i="144" s="1"/>
  <c r="AQ34" i="144" a="1"/>
  <c r="AQ34" i="144" s="1"/>
  <c r="AP34" i="144" a="1"/>
  <c r="AP34" i="144" s="1"/>
  <c r="AO34" i="144" a="1"/>
  <c r="AO34" i="144" s="1"/>
  <c r="AH34" i="144" a="1"/>
  <c r="AH34" i="144" s="1"/>
  <c r="X125" i="145" s="1"/>
  <c r="AC61" i="98" a="1"/>
  <c r="AC61" i="98" s="1"/>
  <c r="S103" i="138" s="1"/>
  <c r="AH61" i="98" a="1"/>
  <c r="AH61" i="98" s="1"/>
  <c r="X103" i="138" s="1"/>
  <c r="AE61" i="98" a="1"/>
  <c r="AE61" i="98" s="1"/>
  <c r="U103" i="138" s="1"/>
  <c r="AT61" i="98" a="1"/>
  <c r="AT61" i="98" s="1"/>
  <c r="AQ61" i="98" a="1"/>
  <c r="AQ61" i="98" s="1"/>
  <c r="AP61" i="98" a="1"/>
  <c r="AP61" i="98" s="1"/>
  <c r="AO61" i="98" a="1"/>
  <c r="AO61" i="98" s="1"/>
  <c r="R61" i="98" a="1"/>
  <c r="R61" i="98" s="1"/>
  <c r="P61" i="98" a="1"/>
  <c r="P61" i="98" s="1"/>
  <c r="N103" i="138" s="1"/>
  <c r="V61" i="98" a="1"/>
  <c r="V61" i="98" s="1"/>
  <c r="T61" i="98" a="1"/>
  <c r="T61" i="98" s="1"/>
  <c r="AS61" i="98" a="1"/>
  <c r="AS61" i="98" s="1"/>
  <c r="AR61" i="98" a="1"/>
  <c r="AR61" i="98" s="1"/>
  <c r="AG61" i="98" a="1"/>
  <c r="AG61" i="98" s="1"/>
  <c r="W103" i="138" s="1"/>
  <c r="AF61" i="98" a="1"/>
  <c r="AF61" i="98" s="1"/>
  <c r="V103" i="138" s="1"/>
  <c r="AD61" i="98" a="1"/>
  <c r="AD61" i="98" s="1"/>
  <c r="T103" i="138" s="1"/>
  <c r="AR60" i="98" a="1"/>
  <c r="AR60" i="98" s="1"/>
  <c r="AD60" i="98" a="1"/>
  <c r="AD60" i="98" s="1"/>
  <c r="T102" i="138" s="1"/>
  <c r="AG60" i="98" a="1"/>
  <c r="AG60" i="98" s="1"/>
  <c r="W102" i="138" s="1"/>
  <c r="AQ60" i="98" a="1"/>
  <c r="AQ60" i="98" s="1"/>
  <c r="AP60" i="98" a="1"/>
  <c r="AP60" i="98" s="1"/>
  <c r="AF60" i="98" a="1"/>
  <c r="AF60" i="98" s="1"/>
  <c r="V102" i="138" s="1"/>
  <c r="AE60" i="98" a="1"/>
  <c r="AE60" i="98" s="1"/>
  <c r="U102" i="138" s="1"/>
  <c r="AC60" i="98" a="1"/>
  <c r="AC60" i="98" s="1"/>
  <c r="S102" i="138" s="1"/>
  <c r="R60" i="98" a="1"/>
  <c r="R60" i="98" s="1"/>
  <c r="P60" i="98" a="1"/>
  <c r="P60" i="98" s="1"/>
  <c r="N102" i="138" s="1"/>
  <c r="AT60" i="98" a="1"/>
  <c r="AT60" i="98" s="1"/>
  <c r="AS60" i="98" a="1"/>
  <c r="AS60" i="98" s="1"/>
  <c r="AO60" i="98" a="1"/>
  <c r="AO60" i="98" s="1"/>
  <c r="AH60" i="98" a="1"/>
  <c r="AH60" i="98" s="1"/>
  <c r="X102" i="138" s="1"/>
  <c r="V60" i="98" a="1"/>
  <c r="V60" i="98" s="1"/>
  <c r="T60" i="98" a="1"/>
  <c r="T60" i="98" s="1"/>
  <c r="H65" i="97"/>
  <c r="H71" i="97"/>
  <c r="G148" i="97"/>
  <c r="U57" i="98"/>
  <c r="O57" i="98"/>
  <c r="AI57" i="98" s="1"/>
  <c r="N67" i="98"/>
  <c r="AJ67" i="98" s="1"/>
  <c r="H77" i="97"/>
  <c r="H124" i="97"/>
  <c r="S67" i="98"/>
  <c r="N70" i="98"/>
  <c r="X70" i="98" s="1"/>
  <c r="Q70" i="98"/>
  <c r="W70" i="98" s="1"/>
  <c r="Q67" i="98"/>
  <c r="W67" i="98" s="1"/>
  <c r="H106" i="138"/>
  <c r="G109" i="97"/>
  <c r="N64" i="98"/>
  <c r="X64" i="98" s="1"/>
  <c r="S49" i="98"/>
  <c r="N49" i="98"/>
  <c r="X49" i="98" s="1"/>
  <c r="U49" i="98"/>
  <c r="Q56" i="98"/>
  <c r="W56" i="98" s="1"/>
  <c r="G124" i="97"/>
  <c r="H91" i="138"/>
  <c r="S55" i="144"/>
  <c r="O56" i="98"/>
  <c r="AI56" i="98" s="1"/>
  <c r="S50" i="98"/>
  <c r="H130" i="97"/>
  <c r="H83" i="97"/>
  <c r="S38" i="144"/>
  <c r="V73" i="97"/>
  <c r="H136" i="97"/>
  <c r="S69" i="144"/>
  <c r="Q69" i="144"/>
  <c r="W69" i="144" s="1"/>
  <c r="Q55" i="98"/>
  <c r="W55" i="98" s="1"/>
  <c r="S70" i="98"/>
  <c r="S55" i="98"/>
  <c r="U70" i="98"/>
  <c r="Q49" i="98"/>
  <c r="W49" i="98" s="1"/>
  <c r="U67" i="98"/>
  <c r="U60" i="98"/>
  <c r="O49" i="98"/>
  <c r="AI49" i="98" s="1"/>
  <c r="U64" i="98"/>
  <c r="O64" i="98"/>
  <c r="AI64" i="98" s="1"/>
  <c r="S64" i="98"/>
  <c r="N57" i="98"/>
  <c r="X57" i="98" s="1"/>
  <c r="O38" i="144"/>
  <c r="AI38" i="144" s="1"/>
  <c r="N55" i="144"/>
  <c r="X55" i="144" s="1"/>
  <c r="L57" i="98"/>
  <c r="Q50" i="98"/>
  <c r="W50" i="98" s="1"/>
  <c r="S60" i="98"/>
  <c r="N28" i="144"/>
  <c r="AJ28" i="144" s="1"/>
  <c r="N50" i="98"/>
  <c r="AJ50" i="98" s="1"/>
  <c r="H98" i="138"/>
  <c r="G95" i="97"/>
  <c r="O60" i="98"/>
  <c r="AI60" i="98" s="1"/>
  <c r="U55" i="144"/>
  <c r="S68" i="144"/>
  <c r="N52" i="98"/>
  <c r="X52" i="98" s="1"/>
  <c r="S57" i="98"/>
  <c r="Q38" i="144"/>
  <c r="W38" i="144" s="1"/>
  <c r="G89" i="97"/>
  <c r="Q19" i="144"/>
  <c r="W19" i="144" s="1"/>
  <c r="H118" i="97"/>
  <c r="O68" i="144"/>
  <c r="AI68" i="144" s="1"/>
  <c r="H141" i="145"/>
  <c r="G120" i="97"/>
  <c r="N68" i="144"/>
  <c r="X68" i="144" s="1"/>
  <c r="S56" i="98"/>
  <c r="H147" i="145"/>
  <c r="L69" i="98"/>
  <c r="H110" i="145"/>
  <c r="U50" i="98"/>
  <c r="O56" i="144"/>
  <c r="AI56" i="144" s="1"/>
  <c r="O16" i="144"/>
  <c r="AI16" i="144" s="1"/>
  <c r="Q71" i="144"/>
  <c r="W71" i="144" s="1"/>
  <c r="L67" i="98"/>
  <c r="N55" i="98"/>
  <c r="X55" i="98" s="1"/>
  <c r="G150" i="97"/>
  <c r="O52" i="98"/>
  <c r="AI52" i="98" s="1"/>
  <c r="S63" i="98"/>
  <c r="O57" i="144"/>
  <c r="AI57" i="144" s="1"/>
  <c r="G160" i="97"/>
  <c r="Q52" i="98"/>
  <c r="W52" i="98" s="1"/>
  <c r="S31" i="144"/>
  <c r="U72" i="98"/>
  <c r="Q64" i="98"/>
  <c r="W64" i="98" s="1"/>
  <c r="U63" i="98"/>
  <c r="O72" i="98"/>
  <c r="AI72" i="98" s="1"/>
  <c r="Q57" i="98"/>
  <c r="W57" i="98" s="1"/>
  <c r="O71" i="98"/>
  <c r="AI71" i="98" s="1"/>
  <c r="D100" i="138"/>
  <c r="O55" i="144"/>
  <c r="AI55" i="144" s="1"/>
  <c r="H132" i="97"/>
  <c r="Q55" i="144"/>
  <c r="W55" i="144" s="1"/>
  <c r="Q36" i="144"/>
  <c r="W36" i="144" s="1"/>
  <c r="U71" i="98"/>
  <c r="H129" i="145"/>
  <c r="U17" i="144"/>
  <c r="Q68" i="144"/>
  <c r="W68" i="144" s="1"/>
  <c r="S70" i="144"/>
  <c r="U69" i="144"/>
  <c r="Q50" i="144"/>
  <c r="W50" i="144" s="1"/>
  <c r="H73" i="97"/>
  <c r="O36" i="144"/>
  <c r="AI36" i="144" s="1"/>
  <c r="D97" i="138"/>
  <c r="Q16" i="144"/>
  <c r="W16" i="144" s="1"/>
  <c r="S26" i="144"/>
  <c r="S30" i="144"/>
  <c r="S56" i="144"/>
  <c r="H145" i="145"/>
  <c r="H101" i="97"/>
  <c r="I101" i="97"/>
  <c r="G71" i="97"/>
  <c r="G136" i="97"/>
  <c r="H89" i="97"/>
  <c r="H160" i="97"/>
  <c r="G83" i="97"/>
  <c r="G77" i="97"/>
  <c r="H107" i="97"/>
  <c r="G130" i="97"/>
  <c r="H97" i="138"/>
  <c r="Q21" i="144"/>
  <c r="W21" i="144" s="1"/>
  <c r="S72" i="98"/>
  <c r="U64" i="144"/>
  <c r="O55" i="98"/>
  <c r="AI55" i="98" s="1"/>
  <c r="Q72" i="98"/>
  <c r="W72" i="98" s="1"/>
  <c r="N63" i="98"/>
  <c r="AJ63" i="98" s="1"/>
  <c r="U52" i="98"/>
  <c r="N71" i="98"/>
  <c r="X71" i="98" s="1"/>
  <c r="H94" i="138"/>
  <c r="Q63" i="98"/>
  <c r="W63" i="98" s="1"/>
  <c r="U39" i="144"/>
  <c r="S39" i="144"/>
  <c r="H67" i="97"/>
  <c r="S52" i="98"/>
  <c r="I156" i="97"/>
  <c r="Q60" i="98"/>
  <c r="W60" i="98" s="1"/>
  <c r="O63" i="98"/>
  <c r="AI63" i="98" s="1"/>
  <c r="U56" i="98"/>
  <c r="N42" i="144"/>
  <c r="X42" i="144" s="1"/>
  <c r="U19" i="144"/>
  <c r="O28" i="144"/>
  <c r="AI28" i="144" s="1"/>
  <c r="H91" i="97"/>
  <c r="H150" i="97"/>
  <c r="H105" i="138"/>
  <c r="O31" i="144"/>
  <c r="AI31" i="144" s="1"/>
  <c r="U70" i="144"/>
  <c r="H130" i="145"/>
  <c r="O54" i="144"/>
  <c r="AI54" i="144" s="1"/>
  <c r="N56" i="144"/>
  <c r="AJ56" i="144" s="1"/>
  <c r="U71" i="144"/>
  <c r="U31" i="144"/>
  <c r="O27" i="144"/>
  <c r="AI27" i="144" s="1"/>
  <c r="S28" i="144"/>
  <c r="N54" i="144"/>
  <c r="X54" i="144" s="1"/>
  <c r="U47" i="144"/>
  <c r="H108" i="145"/>
  <c r="O71" i="144"/>
  <c r="AI71" i="144" s="1"/>
  <c r="Q27" i="144"/>
  <c r="W27" i="144" s="1"/>
  <c r="Q56" i="144"/>
  <c r="W56" i="144" s="1"/>
  <c r="S35" i="144"/>
  <c r="U54" i="144"/>
  <c r="H137" i="145"/>
  <c r="H92" i="138"/>
  <c r="Q69" i="98"/>
  <c r="W69" i="98" s="1"/>
  <c r="S43" i="144"/>
  <c r="S42" i="144"/>
  <c r="S27" i="144"/>
  <c r="H102" i="138"/>
  <c r="D93" i="138"/>
  <c r="O50" i="144"/>
  <c r="AI50" i="144" s="1"/>
  <c r="U66" i="144"/>
  <c r="U27" i="144"/>
  <c r="O19" i="144"/>
  <c r="AI19" i="144" s="1"/>
  <c r="S71" i="98"/>
  <c r="O59" i="98"/>
  <c r="AI59" i="98" s="1"/>
  <c r="Q66" i="144"/>
  <c r="W66" i="144" s="1"/>
  <c r="L51" i="98"/>
  <c r="N60" i="98"/>
  <c r="X60" i="98" s="1"/>
  <c r="N39" i="144"/>
  <c r="AJ39" i="144" s="1"/>
  <c r="G118" i="97"/>
  <c r="L64" i="98"/>
  <c r="L65" i="98"/>
  <c r="Q70" i="144"/>
  <c r="W70" i="144" s="1"/>
  <c r="O17" i="144"/>
  <c r="AI17" i="144" s="1"/>
  <c r="O70" i="144"/>
  <c r="AI70" i="144" s="1"/>
  <c r="S60" i="144"/>
  <c r="O26" i="144"/>
  <c r="AI26" i="144" s="1"/>
  <c r="N65" i="98"/>
  <c r="AJ65" i="98" s="1"/>
  <c r="H96" i="138"/>
  <c r="Q62" i="98"/>
  <c r="W62" i="98" s="1"/>
  <c r="S16" i="144"/>
  <c r="O39" i="144"/>
  <c r="AI39" i="144" s="1"/>
  <c r="U28" i="144"/>
  <c r="N60" i="144"/>
  <c r="AJ60" i="144" s="1"/>
  <c r="U36" i="144"/>
  <c r="N31" i="144"/>
  <c r="AJ31" i="144" s="1"/>
  <c r="O35" i="144"/>
  <c r="AI35" i="144" s="1"/>
  <c r="G79" i="97"/>
  <c r="U68" i="144"/>
  <c r="S19" i="144"/>
  <c r="N71" i="144"/>
  <c r="AJ71" i="144" s="1"/>
  <c r="G65" i="97"/>
  <c r="O69" i="144"/>
  <c r="AI69" i="144" s="1"/>
  <c r="N69" i="144"/>
  <c r="X69" i="144" s="1"/>
  <c r="D105" i="138"/>
  <c r="H146" i="145"/>
  <c r="H122" i="145"/>
  <c r="U38" i="144"/>
  <c r="Q39" i="144"/>
  <c r="W39" i="144" s="1"/>
  <c r="N66" i="144"/>
  <c r="X66" i="144" s="1"/>
  <c r="O66" i="144"/>
  <c r="AI66" i="144" s="1"/>
  <c r="H118" i="145"/>
  <c r="H117" i="145"/>
  <c r="N36" i="144"/>
  <c r="AJ36" i="144" s="1"/>
  <c r="D98" i="138"/>
  <c r="N53" i="98"/>
  <c r="AJ53" i="98" s="1"/>
  <c r="S33" i="144"/>
  <c r="H150" i="145"/>
  <c r="O33" i="144"/>
  <c r="AI33" i="144" s="1"/>
  <c r="O25" i="144"/>
  <c r="AI25" i="144" s="1"/>
  <c r="I154" i="97"/>
  <c r="L47" i="98"/>
  <c r="H95" i="97"/>
  <c r="L63" i="98"/>
  <c r="N70" i="144"/>
  <c r="X70" i="144" s="1"/>
  <c r="N34" i="144"/>
  <c r="X34" i="144" s="1"/>
  <c r="H138" i="145"/>
  <c r="U56" i="144"/>
  <c r="S71" i="144"/>
  <c r="U30" i="144"/>
  <c r="N26" i="144"/>
  <c r="AJ26" i="144" s="1"/>
  <c r="H119" i="145"/>
  <c r="S50" i="144"/>
  <c r="G107" i="97"/>
  <c r="G142" i="97"/>
  <c r="S65" i="98"/>
  <c r="N20" i="144"/>
  <c r="AJ20" i="144" s="1"/>
  <c r="H93" i="138"/>
  <c r="S68" i="98"/>
  <c r="S53" i="98"/>
  <c r="Q23" i="144"/>
  <c r="W23" i="144" s="1"/>
  <c r="U68" i="98"/>
  <c r="O68" i="98"/>
  <c r="AI68" i="98" s="1"/>
  <c r="L70" i="98"/>
  <c r="D106" i="138"/>
  <c r="S48" i="144"/>
  <c r="Q51" i="144"/>
  <c r="W51" i="144" s="1"/>
  <c r="S36" i="144"/>
  <c r="U46" i="144"/>
  <c r="N27" i="144"/>
  <c r="AJ27" i="144" s="1"/>
  <c r="U26" i="144"/>
  <c r="Q28" i="144"/>
  <c r="W28" i="144" s="1"/>
  <c r="D91" i="138"/>
  <c r="L49" i="98"/>
  <c r="S22" i="144"/>
  <c r="O22" i="144"/>
  <c r="AI22" i="144" s="1"/>
  <c r="H113" i="145"/>
  <c r="N22" i="144"/>
  <c r="AJ22" i="144" s="1"/>
  <c r="O49" i="144"/>
  <c r="AI49" i="144" s="1"/>
  <c r="N49" i="144"/>
  <c r="AJ49" i="144" s="1"/>
  <c r="S67" i="144"/>
  <c r="Q67" i="144"/>
  <c r="W67" i="144" s="1"/>
  <c r="U67" i="144"/>
  <c r="N67" i="144"/>
  <c r="X67" i="144" s="1"/>
  <c r="O67" i="144"/>
  <c r="AI67" i="144" s="1"/>
  <c r="O18" i="144"/>
  <c r="AI18" i="144" s="1"/>
  <c r="Q18" i="144"/>
  <c r="W18" i="144" s="1"/>
  <c r="U18" i="144"/>
  <c r="N18" i="144"/>
  <c r="AJ18" i="144" s="1"/>
  <c r="H109" i="145"/>
  <c r="I28" i="145" a="1"/>
  <c r="I28" i="145" s="1"/>
  <c r="K27" i="145" a="1"/>
  <c r="K27" i="145" s="1"/>
  <c r="S18" i="144"/>
  <c r="K28" i="145" a="1"/>
  <c r="K28" i="145" s="1"/>
  <c r="N28" i="145" a="1"/>
  <c r="N28" i="145" s="1"/>
  <c r="Q29" i="144"/>
  <c r="W29" i="144" s="1"/>
  <c r="O29" i="144"/>
  <c r="AI29" i="144" s="1"/>
  <c r="H120" i="145"/>
  <c r="N29" i="144"/>
  <c r="X29" i="144" s="1"/>
  <c r="S29" i="144"/>
  <c r="H138" i="97"/>
  <c r="H85" i="97"/>
  <c r="G73" i="97"/>
  <c r="G126" i="97"/>
  <c r="S61" i="98"/>
  <c r="Q61" i="98"/>
  <c r="W61" i="98" s="1"/>
  <c r="U61" i="98"/>
  <c r="O61" i="98"/>
  <c r="AI61" i="98" s="1"/>
  <c r="O51" i="98"/>
  <c r="AI51" i="98" s="1"/>
  <c r="S51" i="98"/>
  <c r="Q51" i="98"/>
  <c r="W51" i="98" s="1"/>
  <c r="U51" i="98"/>
  <c r="O58" i="98"/>
  <c r="AI58" i="98" s="1"/>
  <c r="Q65" i="98"/>
  <c r="W65" i="98" s="1"/>
  <c r="D89" i="138"/>
  <c r="L56" i="98"/>
  <c r="U32" i="144"/>
  <c r="Q32" i="144"/>
  <c r="W32" i="144" s="1"/>
  <c r="H123" i="145"/>
  <c r="S32" i="144"/>
  <c r="N32" i="144"/>
  <c r="X32" i="144" s="1"/>
  <c r="O32" i="144"/>
  <c r="AI32" i="144" s="1"/>
  <c r="H116" i="145"/>
  <c r="Q25" i="144"/>
  <c r="W25" i="144" s="1"/>
  <c r="N25" i="144"/>
  <c r="X25" i="144" s="1"/>
  <c r="S25" i="144"/>
  <c r="U25" i="144"/>
  <c r="Q48" i="144"/>
  <c r="W48" i="144" s="1"/>
  <c r="N48" i="144"/>
  <c r="X48" i="144" s="1"/>
  <c r="O48" i="144"/>
  <c r="AI48" i="144" s="1"/>
  <c r="H139" i="145"/>
  <c r="U48" i="144"/>
  <c r="O34" i="144"/>
  <c r="AI34" i="144" s="1"/>
  <c r="U34" i="144"/>
  <c r="S34" i="144"/>
  <c r="H125" i="145"/>
  <c r="Q34" i="144"/>
  <c r="W34" i="144" s="1"/>
  <c r="Q40" i="144"/>
  <c r="W40" i="144" s="1"/>
  <c r="O40" i="144"/>
  <c r="AI40" i="144" s="1"/>
  <c r="N40" i="144"/>
  <c r="X40" i="144" s="1"/>
  <c r="H131" i="145"/>
  <c r="S40" i="144"/>
  <c r="U40" i="144"/>
  <c r="H154" i="97"/>
  <c r="U44" i="144"/>
  <c r="H135" i="145"/>
  <c r="S44" i="144"/>
  <c r="Q44" i="144"/>
  <c r="W44" i="144" s="1"/>
  <c r="N44" i="144"/>
  <c r="AJ44" i="144" s="1"/>
  <c r="U58" i="144"/>
  <c r="N58" i="144"/>
  <c r="AJ58" i="144" s="1"/>
  <c r="Q58" i="144"/>
  <c r="W58" i="144" s="1"/>
  <c r="H149" i="145"/>
  <c r="O58" i="144"/>
  <c r="AI58" i="144" s="1"/>
  <c r="S58" i="144"/>
  <c r="Q59" i="98"/>
  <c r="W59" i="98" s="1"/>
  <c r="N59" i="98"/>
  <c r="X59" i="98" s="1"/>
  <c r="O44" i="144"/>
  <c r="AI44" i="144" s="1"/>
  <c r="L62" i="98"/>
  <c r="D104" i="138"/>
  <c r="S53" i="144"/>
  <c r="N53" i="144"/>
  <c r="AJ53" i="144" s="1"/>
  <c r="O53" i="144"/>
  <c r="AI53" i="144" s="1"/>
  <c r="Q53" i="144"/>
  <c r="W53" i="144" s="1"/>
  <c r="H144" i="145"/>
  <c r="U45" i="144"/>
  <c r="O45" i="144"/>
  <c r="AI45" i="144" s="1"/>
  <c r="S45" i="144"/>
  <c r="H136" i="145"/>
  <c r="N45" i="144"/>
  <c r="AJ45" i="144" s="1"/>
  <c r="Q45" i="144"/>
  <c r="W45" i="144" s="1"/>
  <c r="H103" i="138"/>
  <c r="L52" i="98"/>
  <c r="U33" i="144"/>
  <c r="N33" i="144"/>
  <c r="X33" i="144" s="1"/>
  <c r="H124" i="145"/>
  <c r="Q33" i="144"/>
  <c r="W33" i="144" s="1"/>
  <c r="G138" i="97"/>
  <c r="D90" i="138"/>
  <c r="H126" i="145"/>
  <c r="U35" i="144"/>
  <c r="N35" i="144"/>
  <c r="AJ35" i="144" s="1"/>
  <c r="Q37" i="144"/>
  <c r="W37" i="144" s="1"/>
  <c r="H128" i="145"/>
  <c r="U37" i="144"/>
  <c r="O37" i="144"/>
  <c r="AI37" i="144" s="1"/>
  <c r="N37" i="144"/>
  <c r="X37" i="144" s="1"/>
  <c r="S37" i="144"/>
  <c r="H142" i="97"/>
  <c r="U22" i="144"/>
  <c r="Q49" i="144"/>
  <c r="W49" i="144" s="1"/>
  <c r="Q22" i="144"/>
  <c r="W22" i="144" s="1"/>
  <c r="S52" i="144"/>
  <c r="D92" i="138"/>
  <c r="N62" i="144"/>
  <c r="H153" i="145"/>
  <c r="S62" i="144"/>
  <c r="Q62" i="144"/>
  <c r="W62" i="144" s="1"/>
  <c r="O62" i="144"/>
  <c r="AI62" i="144" s="1"/>
  <c r="U62" i="144"/>
  <c r="S65" i="144"/>
  <c r="H156" i="145"/>
  <c r="U65" i="144"/>
  <c r="Q65" i="144"/>
  <c r="W65" i="144" s="1"/>
  <c r="H90" i="138"/>
  <c r="Q48" i="98"/>
  <c r="W48" i="98" s="1"/>
  <c r="U48" i="98"/>
  <c r="S41" i="144"/>
  <c r="H132" i="145"/>
  <c r="O41" i="144"/>
  <c r="AI41" i="144" s="1"/>
  <c r="N41" i="144"/>
  <c r="X41" i="144" s="1"/>
  <c r="U41" i="144"/>
  <c r="O54" i="98"/>
  <c r="AI54" i="98" s="1"/>
  <c r="U54" i="98"/>
  <c r="O20" i="144"/>
  <c r="AI20" i="144" s="1"/>
  <c r="O65" i="144"/>
  <c r="AI65" i="144" s="1"/>
  <c r="D96" i="138"/>
  <c r="Q47" i="98"/>
  <c r="W47" i="98" s="1"/>
  <c r="O47" i="98"/>
  <c r="AI47" i="98" s="1"/>
  <c r="U47" i="98"/>
  <c r="S47" i="98"/>
  <c r="H89" i="138"/>
  <c r="U29" i="144"/>
  <c r="H142" i="145"/>
  <c r="D101" i="138"/>
  <c r="L59" i="98"/>
  <c r="D102" i="138"/>
  <c r="L60" i="98"/>
  <c r="H103" i="97"/>
  <c r="H156" i="97"/>
  <c r="N23" i="144"/>
  <c r="AJ23" i="144" s="1"/>
  <c r="O23" i="144"/>
  <c r="AI23" i="144" s="1"/>
  <c r="U23" i="144"/>
  <c r="S23" i="144"/>
  <c r="H114" i="145"/>
  <c r="H107" i="138"/>
  <c r="O65" i="98"/>
  <c r="AI65" i="98" s="1"/>
  <c r="U65" i="98"/>
  <c r="D103" i="138"/>
  <c r="O63" i="144"/>
  <c r="AI63" i="144" s="1"/>
  <c r="H154" i="145"/>
  <c r="Q63" i="144"/>
  <c r="W63" i="144" s="1"/>
  <c r="U63" i="144"/>
  <c r="N63" i="144"/>
  <c r="AJ63" i="144" s="1"/>
  <c r="S63" i="144"/>
  <c r="Q58" i="98"/>
  <c r="W58" i="98" s="1"/>
  <c r="U58" i="98"/>
  <c r="S58" i="98"/>
  <c r="N58" i="98"/>
  <c r="X58" i="98" s="1"/>
  <c r="O48" i="98"/>
  <c r="AI48" i="98" s="1"/>
  <c r="H140" i="145"/>
  <c r="N72" i="144"/>
  <c r="AJ72" i="144" s="1"/>
  <c r="O72" i="144"/>
  <c r="AI72" i="144" s="1"/>
  <c r="U72" i="144"/>
  <c r="S72" i="144"/>
  <c r="H104" i="138"/>
  <c r="U62" i="98"/>
  <c r="O62" i="98"/>
  <c r="AI62" i="98" s="1"/>
  <c r="N62" i="98"/>
  <c r="X62" i="98" s="1"/>
  <c r="D94" i="138"/>
  <c r="Q61" i="144"/>
  <c r="W61" i="144" s="1"/>
  <c r="N61" i="144"/>
  <c r="X61" i="144" s="1"/>
  <c r="S61" i="144"/>
  <c r="U61" i="144"/>
  <c r="O61" i="144"/>
  <c r="AI61" i="144" s="1"/>
  <c r="H152" i="145"/>
  <c r="Q24" i="144"/>
  <c r="W24" i="144" s="1"/>
  <c r="H115" i="145"/>
  <c r="S24" i="144"/>
  <c r="U24" i="144"/>
  <c r="U66" i="98"/>
  <c r="N66" i="98"/>
  <c r="AJ66" i="98" s="1"/>
  <c r="Q66" i="98"/>
  <c r="W66" i="98" s="1"/>
  <c r="O66" i="98"/>
  <c r="AI66" i="98" s="1"/>
  <c r="S66" i="98"/>
  <c r="G91" i="97"/>
  <c r="G144" i="97"/>
  <c r="S59" i="98"/>
  <c r="L72" i="98"/>
  <c r="L68" i="98"/>
  <c r="U59" i="144"/>
  <c r="Q59" i="144"/>
  <c r="W59" i="144" s="1"/>
  <c r="S59" i="144"/>
  <c r="O59" i="144"/>
  <c r="AI59" i="144" s="1"/>
  <c r="N59" i="144"/>
  <c r="AJ59" i="144" s="1"/>
  <c r="N48" i="98"/>
  <c r="X48" i="98" s="1"/>
  <c r="L50" i="98"/>
  <c r="L66" i="98"/>
  <c r="S20" i="144"/>
  <c r="Q20" i="144"/>
  <c r="W20" i="144" s="1"/>
  <c r="U20" i="144"/>
  <c r="H111" i="145"/>
  <c r="H143" i="145"/>
  <c r="Q52" i="144"/>
  <c r="W52" i="144" s="1"/>
  <c r="N52" i="144"/>
  <c r="AJ52" i="144" s="1"/>
  <c r="U52" i="144"/>
  <c r="O52" i="144"/>
  <c r="AI52" i="144" s="1"/>
  <c r="S46" i="144"/>
  <c r="O46" i="144"/>
  <c r="AI46" i="144" s="1"/>
  <c r="Q46" i="144"/>
  <c r="W46" i="144" s="1"/>
  <c r="N51" i="144"/>
  <c r="AJ51" i="144" s="1"/>
  <c r="S51" i="144"/>
  <c r="U51" i="144"/>
  <c r="N61" i="98"/>
  <c r="AJ61" i="98" s="1"/>
  <c r="S49" i="144"/>
  <c r="U53" i="144"/>
  <c r="O24" i="144"/>
  <c r="AI24" i="144" s="1"/>
  <c r="Q54" i="98"/>
  <c r="W54" i="98" s="1"/>
  <c r="U59" i="98"/>
  <c r="N51" i="98"/>
  <c r="X51" i="98" s="1"/>
  <c r="H100" i="138"/>
  <c r="N47" i="98"/>
  <c r="X47" i="98" s="1"/>
  <c r="S54" i="98"/>
  <c r="U49" i="144"/>
  <c r="Q35" i="144"/>
  <c r="W35" i="144" s="1"/>
  <c r="N68" i="98"/>
  <c r="AJ68" i="98" s="1"/>
  <c r="U53" i="98"/>
  <c r="Q53" i="98"/>
  <c r="W53" i="98" s="1"/>
  <c r="O53" i="98"/>
  <c r="AI53" i="98" s="1"/>
  <c r="H148" i="97"/>
  <c r="H133" i="145"/>
  <c r="O42" i="144"/>
  <c r="AI42" i="144" s="1"/>
  <c r="Q42" i="144"/>
  <c r="W42" i="144" s="1"/>
  <c r="U69" i="98"/>
  <c r="Q71" i="98"/>
  <c r="W71" i="98" s="1"/>
  <c r="O69" i="98"/>
  <c r="AI69" i="98" s="1"/>
  <c r="Q57" i="144"/>
  <c r="W57" i="144" s="1"/>
  <c r="N43" i="144"/>
  <c r="Q43" i="144"/>
  <c r="W43" i="144" s="1"/>
  <c r="O43" i="144"/>
  <c r="AI43" i="144" s="1"/>
  <c r="S69" i="98"/>
  <c r="L53" i="98"/>
  <c r="H148" i="145"/>
  <c r="N57" i="144"/>
  <c r="X57" i="144" s="1"/>
  <c r="U57" i="144"/>
  <c r="S57" i="144"/>
  <c r="U43" i="144"/>
  <c r="H95" i="138"/>
  <c r="H112" i="145"/>
  <c r="U21" i="144"/>
  <c r="O21" i="144"/>
  <c r="AI21" i="144" s="1"/>
  <c r="S21" i="144"/>
  <c r="N21" i="144"/>
  <c r="X21" i="144" s="1"/>
  <c r="O64" i="144"/>
  <c r="AI64" i="144" s="1"/>
  <c r="H155" i="145"/>
  <c r="N64" i="144"/>
  <c r="X64" i="144" s="1"/>
  <c r="Q64" i="144"/>
  <c r="W64" i="144" s="1"/>
  <c r="Q68" i="98"/>
  <c r="W68" i="98" s="1"/>
  <c r="H134" i="145"/>
  <c r="S64" i="144"/>
  <c r="L71" i="98"/>
  <c r="H151" i="145"/>
  <c r="U60" i="144"/>
  <c r="S54" i="144"/>
  <c r="Q54" i="144"/>
  <c r="W54" i="144" s="1"/>
  <c r="H107" i="145"/>
  <c r="N26" i="145" a="1"/>
  <c r="N26" i="145" s="1"/>
  <c r="N16" i="144"/>
  <c r="AJ16" i="144" s="1"/>
  <c r="N33" i="145" a="1"/>
  <c r="N33" i="145" s="1"/>
  <c r="U16" i="144"/>
  <c r="N32" i="145" a="1"/>
  <c r="N32" i="145" s="1"/>
  <c r="I33" i="145" a="1"/>
  <c r="I33" i="145" s="1"/>
  <c r="K33" i="145" a="1"/>
  <c r="K33" i="145" s="1"/>
  <c r="I32" i="145" a="1"/>
  <c r="I32" i="145" s="1"/>
  <c r="L55" i="98"/>
  <c r="Q47" i="144"/>
  <c r="W47" i="144" s="1"/>
  <c r="N47" i="144"/>
  <c r="AJ47" i="144" s="1"/>
  <c r="O47" i="144"/>
  <c r="AI47" i="144" s="1"/>
  <c r="H121" i="145"/>
  <c r="O30" i="144"/>
  <c r="AI30" i="144" s="1"/>
  <c r="S47" i="144"/>
  <c r="K26" i="145" a="1"/>
  <c r="K26" i="145" s="1"/>
  <c r="N27" i="145" a="1"/>
  <c r="N27" i="145" s="1"/>
  <c r="K32" i="145" a="1"/>
  <c r="K32" i="145" s="1"/>
  <c r="I27" i="145" a="1"/>
  <c r="I27" i="145" s="1"/>
  <c r="N30" i="144"/>
  <c r="X30" i="144" s="1"/>
  <c r="Q60" i="144"/>
  <c r="W60" i="144" s="1"/>
  <c r="O60" i="144"/>
  <c r="AI60" i="144" s="1"/>
  <c r="I26" i="145" a="1"/>
  <c r="I26" i="145" s="1"/>
  <c r="Q30" i="144"/>
  <c r="W30" i="144" s="1"/>
  <c r="L58" i="98"/>
  <c r="N72" i="98"/>
  <c r="AJ72" i="98" s="1"/>
  <c r="Q17" i="144"/>
  <c r="W17" i="144" s="1"/>
  <c r="Q26" i="144"/>
  <c r="W26" i="144" s="1"/>
  <c r="N50" i="144"/>
  <c r="X50" i="144" s="1"/>
  <c r="H127" i="145"/>
  <c r="S17" i="144"/>
  <c r="J39" i="145"/>
  <c r="J40" i="145"/>
  <c r="AD40" i="145"/>
  <c r="AE39" i="145"/>
  <c r="AE40" i="145"/>
  <c r="O144" i="145"/>
  <c r="O145" i="145"/>
  <c r="O139" i="145"/>
  <c r="O132" i="145"/>
  <c r="K42" i="145"/>
  <c r="K45" i="145"/>
  <c r="K43" i="145"/>
  <c r="K41" i="145"/>
  <c r="K46" i="145"/>
  <c r="K52" i="145"/>
  <c r="K49" i="145"/>
  <c r="K50" i="145"/>
  <c r="K44" i="145"/>
  <c r="K51" i="145"/>
  <c r="K48" i="145"/>
  <c r="K47" i="145"/>
  <c r="I31" i="145" a="1"/>
  <c r="I31" i="145" s="1"/>
  <c r="K40" i="145"/>
  <c r="K39" i="145"/>
  <c r="N31" i="145" a="1"/>
  <c r="N31" i="145" s="1"/>
  <c r="G29" i="146"/>
  <c r="G40" i="146"/>
  <c r="H29" i="146"/>
  <c r="H40" i="146"/>
  <c r="I31" i="146"/>
  <c r="I29" i="146"/>
  <c r="I40" i="146"/>
  <c r="H31" i="146"/>
  <c r="H42" i="146"/>
  <c r="G42" i="146"/>
  <c r="G31" i="146"/>
  <c r="J42" i="146"/>
  <c r="J31" i="146"/>
  <c r="J14" i="97"/>
  <c r="I79" i="97"/>
  <c r="I132" i="97"/>
  <c r="I150" i="97"/>
  <c r="I97" i="97"/>
  <c r="I85" i="97"/>
  <c r="I138" i="97"/>
  <c r="I13" i="97"/>
  <c r="I126" i="97"/>
  <c r="I73" i="97"/>
  <c r="J156" i="97"/>
  <c r="J103" i="97"/>
  <c r="J13" i="146"/>
  <c r="I30" i="98" a="1"/>
  <c r="I30" i="98" s="1"/>
  <c r="I44" i="98" a="1"/>
  <c r="I44" i="98" s="1"/>
  <c r="I42" i="98" a="1"/>
  <c r="I42" i="98" s="1"/>
  <c r="I21" i="98" a="1"/>
  <c r="I21" i="98" s="1"/>
  <c r="I24" i="98" a="1"/>
  <c r="I24" i="98" s="1"/>
  <c r="I41" i="98" a="1"/>
  <c r="I41" i="98" s="1"/>
  <c r="I40" i="98" a="1"/>
  <c r="I40" i="98" s="1"/>
  <c r="I26" i="98" a="1"/>
  <c r="I26" i="98" s="1"/>
  <c r="I35" i="98" a="1"/>
  <c r="I35" i="98" s="1"/>
  <c r="I17" i="98" a="1"/>
  <c r="I17" i="98" s="1"/>
  <c r="I18" i="98" a="1"/>
  <c r="I18" i="98" s="1"/>
  <c r="I46" i="98" a="1"/>
  <c r="I46" i="98" s="1"/>
  <c r="I22" i="98" a="1"/>
  <c r="I22" i="98" s="1"/>
  <c r="I28" i="98" a="1"/>
  <c r="I28" i="98" s="1"/>
  <c r="I23" i="98" a="1"/>
  <c r="I23" i="98" s="1"/>
  <c r="I43" i="98" a="1"/>
  <c r="I43" i="98" s="1"/>
  <c r="I45" i="98" a="1"/>
  <c r="I45" i="98" s="1"/>
  <c r="I29" i="98" a="1"/>
  <c r="I29" i="98" s="1"/>
  <c r="I34" i="98" a="1"/>
  <c r="I34" i="98" s="1"/>
  <c r="I37" i="98" a="1"/>
  <c r="I37" i="98" s="1"/>
  <c r="I38" i="98" a="1"/>
  <c r="I38" i="98" s="1"/>
  <c r="I20" i="98" a="1"/>
  <c r="I20" i="98" s="1"/>
  <c r="I36" i="98" a="1"/>
  <c r="I36" i="98" s="1"/>
  <c r="I19" i="98" a="1"/>
  <c r="I19" i="98" s="1"/>
  <c r="I31" i="98" a="1"/>
  <c r="I31" i="98" s="1"/>
  <c r="I25" i="98" a="1"/>
  <c r="I25" i="98" s="1"/>
  <c r="I39" i="98" a="1"/>
  <c r="I39" i="98" s="1"/>
  <c r="I33" i="98" a="1"/>
  <c r="I33" i="98" s="1"/>
  <c r="I27" i="98" a="1"/>
  <c r="I27" i="98" s="1"/>
  <c r="I32" i="98" a="1"/>
  <c r="I32" i="98" s="1"/>
  <c r="I16" i="98" a="1"/>
  <c r="I16" i="98" s="1"/>
  <c r="J18" i="98" a="1"/>
  <c r="J18" i="98" s="1"/>
  <c r="J37" i="98" a="1"/>
  <c r="J37" i="98" s="1"/>
  <c r="J30" i="98" a="1"/>
  <c r="J30" i="98" s="1"/>
  <c r="J35" i="98" a="1"/>
  <c r="J35" i="98" s="1"/>
  <c r="J29" i="98" a="1"/>
  <c r="J29" i="98" s="1"/>
  <c r="J33" i="98" a="1"/>
  <c r="J33" i="98" s="1"/>
  <c r="J23" i="98" a="1"/>
  <c r="J23" i="98" s="1"/>
  <c r="J24" i="98" a="1"/>
  <c r="J24" i="98" s="1"/>
  <c r="J31" i="98" a="1"/>
  <c r="J31" i="98" s="1"/>
  <c r="J46" i="98" a="1"/>
  <c r="J46" i="98" s="1"/>
  <c r="J16" i="98" a="1"/>
  <c r="J16" i="98" s="1"/>
  <c r="J44" i="98" a="1"/>
  <c r="J44" i="98" s="1"/>
  <c r="J26" i="98" a="1"/>
  <c r="J26" i="98" s="1"/>
  <c r="J28" i="98" a="1"/>
  <c r="J28" i="98" s="1"/>
  <c r="J20" i="98" a="1"/>
  <c r="J20" i="98" s="1"/>
  <c r="J27" i="98" a="1"/>
  <c r="J27" i="98" s="1"/>
  <c r="J38" i="98" a="1"/>
  <c r="J38" i="98" s="1"/>
  <c r="J19" i="98" a="1"/>
  <c r="J19" i="98" s="1"/>
  <c r="J36" i="98" a="1"/>
  <c r="J36" i="98" s="1"/>
  <c r="J42" i="98" a="1"/>
  <c r="J42" i="98" s="1"/>
  <c r="J21" i="98" a="1"/>
  <c r="J21" i="98" s="1"/>
  <c r="J25" i="98" a="1"/>
  <c r="J25" i="98" s="1"/>
  <c r="J39" i="98" a="1"/>
  <c r="J39" i="98" s="1"/>
  <c r="J40" i="98" a="1"/>
  <c r="J40" i="98" s="1"/>
  <c r="J41" i="98" a="1"/>
  <c r="J41" i="98" s="1"/>
  <c r="J32" i="98" a="1"/>
  <c r="J32" i="98" s="1"/>
  <c r="J22" i="98" a="1"/>
  <c r="J22" i="98" s="1"/>
  <c r="J17" i="98" a="1"/>
  <c r="J17" i="98" s="1"/>
  <c r="J45" i="98" a="1"/>
  <c r="J45" i="98" s="1"/>
  <c r="J34" i="98" a="1"/>
  <c r="J34" i="98" s="1"/>
  <c r="J43" i="98" a="1"/>
  <c r="J43" i="98" s="1"/>
  <c r="H29" i="98" a="1"/>
  <c r="H29" i="98" s="1"/>
  <c r="H37" i="98" a="1"/>
  <c r="H37" i="98" s="1"/>
  <c r="H19" i="98" a="1"/>
  <c r="H19" i="98" s="1"/>
  <c r="H28" i="98" a="1"/>
  <c r="H28" i="98" s="1"/>
  <c r="H42" i="98" a="1"/>
  <c r="H42" i="98" s="1"/>
  <c r="H41" i="98" a="1"/>
  <c r="H41" i="98" s="1"/>
  <c r="H45" i="98" a="1"/>
  <c r="H45" i="98" s="1"/>
  <c r="H39" i="98" a="1"/>
  <c r="H39" i="98" s="1"/>
  <c r="H38" i="98" a="1"/>
  <c r="H38" i="98" s="1"/>
  <c r="H46" i="98" a="1"/>
  <c r="H46" i="98" s="1"/>
  <c r="H36" i="98" a="1"/>
  <c r="H36" i="98" s="1"/>
  <c r="H23" i="98" a="1"/>
  <c r="H23" i="98" s="1"/>
  <c r="H20" i="98" a="1"/>
  <c r="H20" i="98" s="1"/>
  <c r="H26" i="98" a="1"/>
  <c r="H26" i="98" s="1"/>
  <c r="H33" i="98" a="1"/>
  <c r="H33" i="98" s="1"/>
  <c r="H31" i="98" a="1"/>
  <c r="H31" i="98" s="1"/>
  <c r="H24" i="98" a="1"/>
  <c r="H24" i="98" s="1"/>
  <c r="H18" i="98" a="1"/>
  <c r="H18" i="98" s="1"/>
  <c r="H30" i="98" a="1"/>
  <c r="H30" i="98" s="1"/>
  <c r="H34" i="98" a="1"/>
  <c r="H34" i="98" s="1"/>
  <c r="H43" i="98" a="1"/>
  <c r="H43" i="98" s="1"/>
  <c r="H44" i="98" a="1"/>
  <c r="H44" i="98" s="1"/>
  <c r="H35" i="98" a="1"/>
  <c r="H35" i="98" s="1"/>
  <c r="H25" i="98" a="1"/>
  <c r="H25" i="98" s="1"/>
  <c r="H40" i="98" a="1"/>
  <c r="H40" i="98" s="1"/>
  <c r="H32" i="98" a="1"/>
  <c r="H32" i="98" s="1"/>
  <c r="H16" i="98" a="1"/>
  <c r="H16" i="98" s="1"/>
  <c r="H21" i="98" a="1"/>
  <c r="H21" i="98" s="1"/>
  <c r="H17" i="98" a="1"/>
  <c r="H17" i="98" s="1"/>
  <c r="H22" i="98" a="1"/>
  <c r="H22" i="98" s="1"/>
  <c r="H27" i="98" a="1"/>
  <c r="H27" i="98" s="1"/>
  <c r="K27" i="98" a="1"/>
  <c r="K27" i="98" s="1"/>
  <c r="K40" i="98" a="1"/>
  <c r="K40" i="98" s="1"/>
  <c r="K18" i="98" a="1"/>
  <c r="K18" i="98" s="1"/>
  <c r="K29" i="98" a="1"/>
  <c r="K29" i="98" s="1"/>
  <c r="K44" i="98" a="1"/>
  <c r="K44" i="98" s="1"/>
  <c r="K42" i="98" a="1"/>
  <c r="K42" i="98" s="1"/>
  <c r="K36" i="98" a="1"/>
  <c r="K36" i="98" s="1"/>
  <c r="K30" i="98" a="1"/>
  <c r="K30" i="98" s="1"/>
  <c r="K33" i="98" a="1"/>
  <c r="K33" i="98" s="1"/>
  <c r="K22" i="98" a="1"/>
  <c r="K22" i="98" s="1"/>
  <c r="K37" i="98" a="1"/>
  <c r="K37" i="98" s="1"/>
  <c r="K19" i="98" a="1"/>
  <c r="K19" i="98" s="1"/>
  <c r="K16" i="98" a="1"/>
  <c r="K16" i="98" s="1"/>
  <c r="K24" i="98" a="1"/>
  <c r="K24" i="98" s="1"/>
  <c r="K45" i="98" a="1"/>
  <c r="K45" i="98" s="1"/>
  <c r="K31" i="98" a="1"/>
  <c r="K31" i="98" s="1"/>
  <c r="K35" i="98" a="1"/>
  <c r="K35" i="98" s="1"/>
  <c r="K20" i="98" a="1"/>
  <c r="K20" i="98" s="1"/>
  <c r="K26" i="98" a="1"/>
  <c r="K26" i="98" s="1"/>
  <c r="K41" i="98" a="1"/>
  <c r="K41" i="98" s="1"/>
  <c r="K21" i="98" a="1"/>
  <c r="K21" i="98" s="1"/>
  <c r="K43" i="98" a="1"/>
  <c r="K43" i="98" s="1"/>
  <c r="K38" i="98" a="1"/>
  <c r="K38" i="98" s="1"/>
  <c r="K23" i="98" a="1"/>
  <c r="K23" i="98" s="1"/>
  <c r="K34" i="98" a="1"/>
  <c r="K34" i="98" s="1"/>
  <c r="K25" i="98" a="1"/>
  <c r="K25" i="98" s="1"/>
  <c r="K32" i="98" a="1"/>
  <c r="K32" i="98" s="1"/>
  <c r="K28" i="98" a="1"/>
  <c r="K28" i="98" s="1"/>
  <c r="K46" i="98" a="1"/>
  <c r="K46" i="98" s="1"/>
  <c r="K17" i="98" a="1"/>
  <c r="K17" i="98" s="1"/>
  <c r="K39" i="98" a="1"/>
  <c r="K39" i="98" s="1"/>
  <c r="V16" i="144" a="1"/>
  <c r="T16" i="144" a="1"/>
  <c r="AP16" i="144" a="1"/>
  <c r="J20" i="97" a="1"/>
  <c r="J38" i="97" a="1"/>
  <c r="J30" i="97" a="1"/>
  <c r="J44" i="97" a="1"/>
  <c r="J28" i="97" a="1"/>
  <c r="K18" i="146" a="1"/>
  <c r="J36" i="97" a="1"/>
  <c r="J26" i="97" a="1"/>
  <c r="J33" i="97" a="1"/>
  <c r="J56" i="97" a="1"/>
  <c r="J41" i="97" a="1"/>
  <c r="K53" i="97" a="1"/>
  <c r="J25" i="97" a="1"/>
  <c r="K51" i="97" a="1"/>
  <c r="J24" i="97" a="1"/>
  <c r="J34" i="97" a="1"/>
  <c r="J55" i="97" a="1"/>
  <c r="J31" i="97" a="1"/>
  <c r="J43" i="97" a="1"/>
  <c r="J46" i="97" a="1"/>
  <c r="J35" i="97" a="1"/>
  <c r="J58" i="97" a="1"/>
  <c r="J19" i="97" a="1"/>
  <c r="K50" i="97" a="1"/>
  <c r="J54" i="97" a="1"/>
  <c r="K49" i="97" a="1"/>
  <c r="K19" i="146" a="1"/>
  <c r="J23" i="97" a="1"/>
  <c r="J45" i="97" a="1"/>
  <c r="J29" i="97" a="1"/>
  <c r="K20" i="146" a="1"/>
  <c r="J39" i="97" a="1"/>
  <c r="J48" i="97" a="1"/>
  <c r="J40" i="97" a="1"/>
  <c r="K22" i="146" a="1"/>
  <c r="J21" i="97" a="1"/>
  <c r="I124" i="97" l="1"/>
  <c r="J29" i="146"/>
  <c r="I77" i="97"/>
  <c r="I130" i="97"/>
  <c r="I136" i="97"/>
  <c r="J101" i="97"/>
  <c r="I83" i="97"/>
  <c r="V16" i="144"/>
  <c r="AP16" i="144"/>
  <c r="T16" i="144"/>
  <c r="I160" i="97"/>
  <c r="I95" i="97"/>
  <c r="I107" i="97"/>
  <c r="I65" i="97"/>
  <c r="I71" i="97"/>
  <c r="I89" i="97"/>
  <c r="I142" i="97"/>
  <c r="I118" i="97"/>
  <c r="I120" i="97"/>
  <c r="I148" i="97"/>
  <c r="J58" i="97"/>
  <c r="J45" i="97"/>
  <c r="J33" i="97"/>
  <c r="J20" i="97"/>
  <c r="J44" i="97"/>
  <c r="J24" i="97"/>
  <c r="J54" i="97"/>
  <c r="J34" i="97"/>
  <c r="J23" i="97"/>
  <c r="J43" i="97"/>
  <c r="J31" i="97"/>
  <c r="J21" i="97"/>
  <c r="J22" i="97" s="1"/>
  <c r="J56" i="97"/>
  <c r="J40" i="97"/>
  <c r="J26" i="97"/>
  <c r="J35" i="97"/>
  <c r="J19" i="97"/>
  <c r="J36" i="97"/>
  <c r="J28" i="97"/>
  <c r="J41" i="97"/>
  <c r="J29" i="97"/>
  <c r="J46" i="97"/>
  <c r="J47" i="97" s="1"/>
  <c r="J38" i="97"/>
  <c r="J55" i="97"/>
  <c r="J30" i="97"/>
  <c r="J39" i="97"/>
  <c r="J48" i="97"/>
  <c r="J25" i="97"/>
  <c r="J154" i="97"/>
  <c r="J63" i="97" a="1"/>
  <c r="J63" i="97" s="1"/>
  <c r="J116" i="97" a="1"/>
  <c r="J116" i="97" s="1"/>
  <c r="J125" i="97" a="1"/>
  <c r="J125" i="97" s="1"/>
  <c r="J72" i="97" a="1"/>
  <c r="J72" i="97" s="1"/>
  <c r="J40" i="146"/>
  <c r="J98" i="97" a="1"/>
  <c r="J98" i="97" s="1"/>
  <c r="J151" i="97" a="1"/>
  <c r="J151" i="97" s="1"/>
  <c r="J145" i="97" a="1"/>
  <c r="J145" i="97" s="1"/>
  <c r="J92" i="97" a="1"/>
  <c r="J92" i="97" s="1"/>
  <c r="J121" i="97" a="1"/>
  <c r="J121" i="97" s="1"/>
  <c r="J68" i="97" a="1"/>
  <c r="J68" i="97" s="1"/>
  <c r="J69" i="97" a="1"/>
  <c r="J69" i="97" s="1"/>
  <c r="J122" i="97" a="1"/>
  <c r="J122" i="97" s="1"/>
  <c r="J74" i="97" a="1"/>
  <c r="J74" i="97" s="1"/>
  <c r="J127" i="97" a="1"/>
  <c r="J127" i="97" s="1"/>
  <c r="J88" i="97" a="1"/>
  <c r="J88" i="97" s="1"/>
  <c r="J141" i="97" a="1"/>
  <c r="J141" i="97" s="1"/>
  <c r="J146" i="97" a="1"/>
  <c r="J146" i="97" s="1"/>
  <c r="J93" i="97" a="1"/>
  <c r="J93" i="97" s="1"/>
  <c r="J134" i="97" a="1"/>
  <c r="J134" i="97" s="1"/>
  <c r="J81" i="97" a="1"/>
  <c r="J81" i="97" s="1"/>
  <c r="J70" i="97" a="1"/>
  <c r="J70" i="97" s="1"/>
  <c r="J123" i="97" a="1"/>
  <c r="J123" i="97" s="1"/>
  <c r="J84" i="97" a="1"/>
  <c r="J84" i="97" s="1"/>
  <c r="J137" i="97" a="1"/>
  <c r="J137" i="97" s="1"/>
  <c r="J80" i="97" a="1"/>
  <c r="J80" i="97" s="1"/>
  <c r="J133" i="97" a="1"/>
  <c r="J133" i="97" s="1"/>
  <c r="I144" i="97"/>
  <c r="I37" i="97"/>
  <c r="J138" i="97" s="1"/>
  <c r="J66" i="97" a="1"/>
  <c r="J66" i="97" s="1"/>
  <c r="J119" i="97" a="1"/>
  <c r="J119" i="97" s="1"/>
  <c r="J106" i="97" a="1"/>
  <c r="J106" i="97" s="1"/>
  <c r="J159" i="97" a="1"/>
  <c r="J159" i="97" s="1"/>
  <c r="J76" i="97" a="1"/>
  <c r="J76" i="97" s="1"/>
  <c r="J129" i="97" a="1"/>
  <c r="J129" i="97" s="1"/>
  <c r="J135" i="97" a="1"/>
  <c r="J135" i="97" s="1"/>
  <c r="J82" i="97" a="1"/>
  <c r="J82" i="97" s="1"/>
  <c r="J139" i="97" a="1"/>
  <c r="J139" i="97" s="1"/>
  <c r="J86" i="97" a="1"/>
  <c r="J86" i="97" s="1"/>
  <c r="J163" i="97" a="1"/>
  <c r="J163" i="97" s="1"/>
  <c r="J110" i="97" a="1"/>
  <c r="J110" i="97" s="1"/>
  <c r="J131" i="97" a="1"/>
  <c r="J131" i="97" s="1"/>
  <c r="J78" i="97" a="1"/>
  <c r="J78" i="97" s="1"/>
  <c r="J161" i="97" a="1"/>
  <c r="J161" i="97" s="1"/>
  <c r="J108" i="97" a="1"/>
  <c r="J108" i="97" s="1"/>
  <c r="J96" i="97" a="1"/>
  <c r="J96" i="97" s="1"/>
  <c r="J149" i="97" a="1"/>
  <c r="J149" i="97" s="1"/>
  <c r="J128" i="97" a="1"/>
  <c r="J128" i="97" s="1"/>
  <c r="J75" i="97" a="1"/>
  <c r="J75" i="97" s="1"/>
  <c r="J117" i="97" a="1"/>
  <c r="J117" i="97" s="1"/>
  <c r="J64" i="97" a="1"/>
  <c r="J64" i="97" s="1"/>
  <c r="K109" i="97" s="1"/>
  <c r="J143" i="97" a="1"/>
  <c r="J143" i="97" s="1"/>
  <c r="J90" i="97" a="1"/>
  <c r="J90" i="97" s="1"/>
  <c r="J87" i="97" a="1"/>
  <c r="J87" i="97" s="1"/>
  <c r="J140" i="97" a="1"/>
  <c r="J140" i="97" s="1"/>
  <c r="J94" i="97" a="1"/>
  <c r="J94" i="97" s="1"/>
  <c r="J147" i="97" a="1"/>
  <c r="J147" i="97" s="1"/>
  <c r="J158" i="97" a="1"/>
  <c r="J158" i="97" s="1"/>
  <c r="J105" i="97" a="1"/>
  <c r="J105" i="97" s="1"/>
  <c r="K49" i="97"/>
  <c r="K53" i="97"/>
  <c r="K51" i="97"/>
  <c r="K52" i="97" s="1"/>
  <c r="K50" i="97"/>
  <c r="K22" i="146"/>
  <c r="K18" i="146"/>
  <c r="K19" i="146"/>
  <c r="K20" i="146"/>
  <c r="K30" i="146" a="1"/>
  <c r="K30" i="146" s="1"/>
  <c r="K41" i="146" a="1"/>
  <c r="K41" i="146" s="1"/>
  <c r="K39" i="146" a="1"/>
  <c r="K39" i="146" s="1"/>
  <c r="K28" i="146" a="1"/>
  <c r="K28" i="146" s="1"/>
  <c r="K32" i="146" a="1"/>
  <c r="K32" i="146" s="1"/>
  <c r="K43" i="146" a="1"/>
  <c r="K43" i="146" s="1"/>
  <c r="K38" i="146" a="1"/>
  <c r="K38" i="146" s="1"/>
  <c r="K27" i="146" a="1"/>
  <c r="K27" i="146" s="1"/>
  <c r="K100" i="97" a="1"/>
  <c r="K100" i="97" s="1"/>
  <c r="K153" i="97" a="1"/>
  <c r="K153" i="97" s="1"/>
  <c r="K152" i="97" a="1"/>
  <c r="K152" i="97" s="1"/>
  <c r="K99" i="97" a="1"/>
  <c r="K99" i="97" s="1"/>
  <c r="K155" i="97" a="1"/>
  <c r="K155" i="97" s="1"/>
  <c r="K102" i="97" a="1"/>
  <c r="K102" i="97" s="1"/>
  <c r="K104" i="97" a="1"/>
  <c r="K104" i="97" s="1"/>
  <c r="K157" i="97" a="1"/>
  <c r="K157" i="97" s="1"/>
  <c r="AJ65" i="144"/>
  <c r="AJ54" i="98"/>
  <c r="X69" i="98"/>
  <c r="AJ56" i="98"/>
  <c r="AH34" i="98" a="1"/>
  <c r="AH34" i="98" s="1"/>
  <c r="AG34" i="98" a="1"/>
  <c r="AG34" i="98" s="1"/>
  <c r="P34" i="98" a="1"/>
  <c r="P34" i="98" s="1"/>
  <c r="T34" i="98" a="1"/>
  <c r="T34" i="98" s="1"/>
  <c r="R34" i="98" a="1"/>
  <c r="R34" i="98" s="1"/>
  <c r="AF34" i="98" a="1"/>
  <c r="AF34" i="98" s="1"/>
  <c r="AE34" i="98" a="1"/>
  <c r="AE34" i="98" s="1"/>
  <c r="AD34" i="98" a="1"/>
  <c r="AD34" i="98" s="1"/>
  <c r="AT34" i="98" a="1"/>
  <c r="AT34" i="98" s="1"/>
  <c r="AC34" i="98" a="1"/>
  <c r="AC34" i="98" s="1"/>
  <c r="AO34" i="98" a="1"/>
  <c r="AO34" i="98" s="1"/>
  <c r="V34" i="98" a="1"/>
  <c r="V34" i="98" s="1"/>
  <c r="AS34" i="98" a="1"/>
  <c r="AS34" i="98" s="1"/>
  <c r="AR34" i="98" a="1"/>
  <c r="AR34" i="98" s="1"/>
  <c r="AQ34" i="98" a="1"/>
  <c r="AQ34" i="98" s="1"/>
  <c r="AP34" i="98" a="1"/>
  <c r="AP34" i="98" s="1"/>
  <c r="AM34" i="98" a="1"/>
  <c r="AM34" i="98" s="1"/>
  <c r="Z34" i="98" a="1"/>
  <c r="Z34" i="98" s="1"/>
  <c r="AL34" i="98" a="1"/>
  <c r="AL34" i="98" s="1"/>
  <c r="AK34" i="98" a="1"/>
  <c r="AK34" i="98" s="1"/>
  <c r="AN34" i="98" a="1"/>
  <c r="AN34" i="98" s="1"/>
  <c r="AB34" i="98" a="1"/>
  <c r="AB34" i="98" s="1"/>
  <c r="AA34" i="98" a="1"/>
  <c r="AA34" i="98" s="1"/>
  <c r="Y34" i="98" a="1"/>
  <c r="Y34" i="98" s="1"/>
  <c r="AR23" i="98" a="1"/>
  <c r="AR23" i="98" s="1"/>
  <c r="T23" i="98" a="1"/>
  <c r="T23" i="98" s="1"/>
  <c r="R23" i="98" a="1"/>
  <c r="R23" i="98" s="1"/>
  <c r="AC23" i="98" a="1"/>
  <c r="AC23" i="98" s="1"/>
  <c r="AT23" i="98" a="1"/>
  <c r="AT23" i="98" s="1"/>
  <c r="AS23" i="98" a="1"/>
  <c r="AS23" i="98" s="1"/>
  <c r="AQ23" i="98" a="1"/>
  <c r="AQ23" i="98" s="1"/>
  <c r="V23" i="98" a="1"/>
  <c r="V23" i="98" s="1"/>
  <c r="AD23" i="98" a="1"/>
  <c r="AD23" i="98" s="1"/>
  <c r="P23" i="98" a="1"/>
  <c r="P23" i="98" s="1"/>
  <c r="AP23" i="98" a="1"/>
  <c r="AP23" i="98" s="1"/>
  <c r="AO23" i="98" a="1"/>
  <c r="AO23" i="98" s="1"/>
  <c r="AH23" i="98" a="1"/>
  <c r="AH23" i="98" s="1"/>
  <c r="AG23" i="98" a="1"/>
  <c r="AG23" i="98" s="1"/>
  <c r="AF23" i="98" a="1"/>
  <c r="AF23" i="98" s="1"/>
  <c r="AE23" i="98" a="1"/>
  <c r="AE23" i="98" s="1"/>
  <c r="AK30" i="98" a="1"/>
  <c r="AK30" i="98" s="1"/>
  <c r="AB30" i="98" a="1"/>
  <c r="AB30" i="98" s="1"/>
  <c r="AM30" i="98" a="1"/>
  <c r="AM30" i="98" s="1"/>
  <c r="AL30" i="98" a="1"/>
  <c r="AL30" i="98" s="1"/>
  <c r="AN30" i="98" a="1"/>
  <c r="AN30" i="98" s="1"/>
  <c r="AA30" i="98" a="1"/>
  <c r="AA30" i="98" s="1"/>
  <c r="Z30" i="98" a="1"/>
  <c r="Z30" i="98" s="1"/>
  <c r="Y30" i="98" a="1"/>
  <c r="Y30" i="98" s="1"/>
  <c r="AJ38" i="144"/>
  <c r="X38" i="144"/>
  <c r="AH36" i="98" a="1"/>
  <c r="AH36" i="98" s="1"/>
  <c r="T36" i="98" a="1"/>
  <c r="T36" i="98" s="1"/>
  <c r="R36" i="98" a="1"/>
  <c r="R36" i="98" s="1"/>
  <c r="V36" i="98" a="1"/>
  <c r="V36" i="98" s="1"/>
  <c r="AT36" i="98" a="1"/>
  <c r="AT36" i="98" s="1"/>
  <c r="AE36" i="98" a="1"/>
  <c r="AE36" i="98" s="1"/>
  <c r="AS36" i="98" a="1"/>
  <c r="AS36" i="98" s="1"/>
  <c r="AD36" i="98" a="1"/>
  <c r="AD36" i="98" s="1"/>
  <c r="AQ36" i="98" a="1"/>
  <c r="AQ36" i="98" s="1"/>
  <c r="AP36" i="98" a="1"/>
  <c r="AP36" i="98" s="1"/>
  <c r="AO36" i="98" a="1"/>
  <c r="AO36" i="98" s="1"/>
  <c r="P36" i="98" a="1"/>
  <c r="P36" i="98" s="1"/>
  <c r="AG36" i="98" a="1"/>
  <c r="AG36" i="98" s="1"/>
  <c r="AF36" i="98" a="1"/>
  <c r="AF36" i="98" s="1"/>
  <c r="AC36" i="98" a="1"/>
  <c r="AC36" i="98" s="1"/>
  <c r="AR36" i="98" a="1"/>
  <c r="AR36" i="98" s="1"/>
  <c r="Z27" i="98" a="1"/>
  <c r="Z27" i="98" s="1"/>
  <c r="AN27" i="98" a="1"/>
  <c r="AN27" i="98" s="1"/>
  <c r="Y27" i="98" a="1"/>
  <c r="Y27" i="98" s="1"/>
  <c r="AA27" i="98" a="1"/>
  <c r="AA27" i="98" s="1"/>
  <c r="AM27" i="98" a="1"/>
  <c r="AM27" i="98" s="1"/>
  <c r="AL27" i="98" a="1"/>
  <c r="AL27" i="98" s="1"/>
  <c r="AK27" i="98" a="1"/>
  <c r="AK27" i="98" s="1"/>
  <c r="AB27" i="98" a="1"/>
  <c r="AB27" i="98" s="1"/>
  <c r="AK39" i="98" a="1"/>
  <c r="AK39" i="98" s="1"/>
  <c r="AM39" i="98" a="1"/>
  <c r="AM39" i="98" s="1"/>
  <c r="Z39" i="98" a="1"/>
  <c r="Z39" i="98" s="1"/>
  <c r="Y39" i="98" a="1"/>
  <c r="Y39" i="98" s="1"/>
  <c r="AN39" i="98" a="1"/>
  <c r="AN39" i="98" s="1"/>
  <c r="AL39" i="98" a="1"/>
  <c r="AL39" i="98" s="1"/>
  <c r="AB39" i="98" a="1"/>
  <c r="AB39" i="98" s="1"/>
  <c r="AA39" i="98" a="1"/>
  <c r="AA39" i="98" s="1"/>
  <c r="AK17" i="98" a="1"/>
  <c r="AK17" i="98" s="1"/>
  <c r="AN17" i="98" a="1"/>
  <c r="AN17" i="98" s="1"/>
  <c r="Y17" i="98" a="1"/>
  <c r="Y17" i="98" s="1"/>
  <c r="AM17" i="98" a="1"/>
  <c r="AM17" i="98" s="1"/>
  <c r="Z17" i="98" a="1"/>
  <c r="Z17" i="98" s="1"/>
  <c r="AL17" i="98" a="1"/>
  <c r="AL17" i="98" s="1"/>
  <c r="AB17" i="98" a="1"/>
  <c r="AB17" i="98" s="1"/>
  <c r="AA17" i="98" a="1"/>
  <c r="AA17" i="98" s="1"/>
  <c r="AR27" i="98" a="1"/>
  <c r="AR27" i="98" s="1"/>
  <c r="AE27" i="98" a="1"/>
  <c r="AE27" i="98" s="1"/>
  <c r="AQ27" i="98" a="1"/>
  <c r="AQ27" i="98" s="1"/>
  <c r="AS27" i="98" a="1"/>
  <c r="AS27" i="98" s="1"/>
  <c r="AO27" i="98" a="1"/>
  <c r="AO27" i="98" s="1"/>
  <c r="AT27" i="98" a="1"/>
  <c r="AT27" i="98" s="1"/>
  <c r="V27" i="98" a="1"/>
  <c r="V27" i="98" s="1"/>
  <c r="AP27" i="98" a="1"/>
  <c r="AP27" i="98" s="1"/>
  <c r="T27" i="98" a="1"/>
  <c r="T27" i="98" s="1"/>
  <c r="R27" i="98" a="1"/>
  <c r="R27" i="98" s="1"/>
  <c r="AH27" i="98" a="1"/>
  <c r="AH27" i="98" s="1"/>
  <c r="AG27" i="98" a="1"/>
  <c r="AG27" i="98" s="1"/>
  <c r="AF27" i="98" a="1"/>
  <c r="AF27" i="98" s="1"/>
  <c r="AD27" i="98" a="1"/>
  <c r="AD27" i="98" s="1"/>
  <c r="AC27" i="98" a="1"/>
  <c r="AC27" i="98" s="1"/>
  <c r="P27" i="98" a="1"/>
  <c r="P27" i="98" s="1"/>
  <c r="AB41" i="98" a="1"/>
  <c r="AB41" i="98" s="1"/>
  <c r="AN41" i="98" a="1"/>
  <c r="AN41" i="98" s="1"/>
  <c r="AM41" i="98" a="1"/>
  <c r="AM41" i="98" s="1"/>
  <c r="AL41" i="98" a="1"/>
  <c r="AL41" i="98" s="1"/>
  <c r="AA41" i="98" a="1"/>
  <c r="AA41" i="98" s="1"/>
  <c r="Z41" i="98" a="1"/>
  <c r="Z41" i="98" s="1"/>
  <c r="Y41" i="98" a="1"/>
  <c r="Y41" i="98" s="1"/>
  <c r="AK41" i="98" a="1"/>
  <c r="AK41" i="98" s="1"/>
  <c r="AA42" i="98" a="1"/>
  <c r="AA42" i="98" s="1"/>
  <c r="AN42" i="98" a="1"/>
  <c r="AN42" i="98" s="1"/>
  <c r="Y42" i="98" a="1"/>
  <c r="Y42" i="98" s="1"/>
  <c r="AM42" i="98" a="1"/>
  <c r="AM42" i="98" s="1"/>
  <c r="AL42" i="98" a="1"/>
  <c r="AL42" i="98" s="1"/>
  <c r="AK42" i="98" a="1"/>
  <c r="AK42" i="98" s="1"/>
  <c r="AB42" i="98" a="1"/>
  <c r="AB42" i="98" s="1"/>
  <c r="Z42" i="98" a="1"/>
  <c r="Z42" i="98" s="1"/>
  <c r="V28" i="98" a="1"/>
  <c r="V28" i="98" s="1"/>
  <c r="T28" i="98" a="1"/>
  <c r="T28" i="98" s="1"/>
  <c r="R28" i="98" a="1"/>
  <c r="R28" i="98" s="1"/>
  <c r="AD28" i="98" a="1"/>
  <c r="AD28" i="98" s="1"/>
  <c r="AT28" i="98" a="1"/>
  <c r="AT28" i="98" s="1"/>
  <c r="AC28" i="98" a="1"/>
  <c r="AC28" i="98" s="1"/>
  <c r="AS28" i="98" a="1"/>
  <c r="AS28" i="98" s="1"/>
  <c r="AR28" i="98" a="1"/>
  <c r="AR28" i="98" s="1"/>
  <c r="AQ28" i="98" a="1"/>
  <c r="AQ28" i="98" s="1"/>
  <c r="AP28" i="98" a="1"/>
  <c r="AP28" i="98" s="1"/>
  <c r="AO28" i="98" a="1"/>
  <c r="AO28" i="98" s="1"/>
  <c r="AH28" i="98" a="1"/>
  <c r="AH28" i="98" s="1"/>
  <c r="AG28" i="98" a="1"/>
  <c r="AG28" i="98" s="1"/>
  <c r="AF28" i="98" a="1"/>
  <c r="AF28" i="98" s="1"/>
  <c r="AE28" i="98" a="1"/>
  <c r="AE28" i="98" s="1"/>
  <c r="P28" i="98" a="1"/>
  <c r="P28" i="98" s="1"/>
  <c r="X46" i="144"/>
  <c r="AA32" i="98" a="1"/>
  <c r="AA32" i="98" s="1"/>
  <c r="Z32" i="98" a="1"/>
  <c r="Z32" i="98" s="1"/>
  <c r="AB32" i="98" a="1"/>
  <c r="AB32" i="98" s="1"/>
  <c r="Y32" i="98" a="1"/>
  <c r="Y32" i="98" s="1"/>
  <c r="AN32" i="98" a="1"/>
  <c r="AN32" i="98" s="1"/>
  <c r="AM32" i="98" a="1"/>
  <c r="AM32" i="98" s="1"/>
  <c r="AL32" i="98" a="1"/>
  <c r="AL32" i="98" s="1"/>
  <c r="AK32" i="98" a="1"/>
  <c r="AK32" i="98" s="1"/>
  <c r="AK28" i="98" a="1"/>
  <c r="AK28" i="98" s="1"/>
  <c r="AN28" i="98" a="1"/>
  <c r="AN28" i="98" s="1"/>
  <c r="Z28" i="98" a="1"/>
  <c r="Z28" i="98" s="1"/>
  <c r="AM28" i="98" a="1"/>
  <c r="AM28" i="98" s="1"/>
  <c r="AL28" i="98" a="1"/>
  <c r="AL28" i="98" s="1"/>
  <c r="AB28" i="98" a="1"/>
  <c r="AB28" i="98" s="1"/>
  <c r="AA28" i="98" a="1"/>
  <c r="AA28" i="98" s="1"/>
  <c r="Y28" i="98" a="1"/>
  <c r="Y28" i="98" s="1"/>
  <c r="V26" i="98" a="1"/>
  <c r="V26" i="98" s="1"/>
  <c r="T26" i="98" a="1"/>
  <c r="T26" i="98" s="1"/>
  <c r="AR26" i="98" a="1"/>
  <c r="AR26" i="98" s="1"/>
  <c r="AC26" i="98" a="1"/>
  <c r="AC26" i="98" s="1"/>
  <c r="AQ26" i="98" a="1"/>
  <c r="AQ26" i="98" s="1"/>
  <c r="AO26" i="98" a="1"/>
  <c r="AO26" i="98" s="1"/>
  <c r="R26" i="98" a="1"/>
  <c r="R26" i="98" s="1"/>
  <c r="P26" i="98" a="1"/>
  <c r="P26" i="98" s="1"/>
  <c r="AH26" i="98" a="1"/>
  <c r="AH26" i="98" s="1"/>
  <c r="AT26" i="98" a="1"/>
  <c r="AT26" i="98" s="1"/>
  <c r="AS26" i="98" a="1"/>
  <c r="AS26" i="98" s="1"/>
  <c r="AP26" i="98" a="1"/>
  <c r="AP26" i="98" s="1"/>
  <c r="AG26" i="98" a="1"/>
  <c r="AG26" i="98" s="1"/>
  <c r="AF26" i="98" a="1"/>
  <c r="AF26" i="98" s="1"/>
  <c r="AE26" i="98" a="1"/>
  <c r="AE26" i="98" s="1"/>
  <c r="AD26" i="98" a="1"/>
  <c r="AD26" i="98" s="1"/>
  <c r="X24" i="144"/>
  <c r="AQ24" i="98" a="1"/>
  <c r="AQ24" i="98" s="1"/>
  <c r="AD24" i="98" a="1"/>
  <c r="AD24" i="98" s="1"/>
  <c r="AG24" i="98" a="1"/>
  <c r="AG24" i="98" s="1"/>
  <c r="P24" i="98" a="1"/>
  <c r="P24" i="98" s="1"/>
  <c r="AH24" i="98" a="1"/>
  <c r="AH24" i="98" s="1"/>
  <c r="AF24" i="98" a="1"/>
  <c r="AF24" i="98" s="1"/>
  <c r="AE24" i="98" a="1"/>
  <c r="AE24" i="98" s="1"/>
  <c r="AC24" i="98" a="1"/>
  <c r="AC24" i="98" s="1"/>
  <c r="AT24" i="98" a="1"/>
  <c r="AT24" i="98" s="1"/>
  <c r="AS24" i="98" a="1"/>
  <c r="AS24" i="98" s="1"/>
  <c r="V24" i="98" a="1"/>
  <c r="V24" i="98" s="1"/>
  <c r="T24" i="98" a="1"/>
  <c r="T24" i="98" s="1"/>
  <c r="R24" i="98" a="1"/>
  <c r="R24" i="98" s="1"/>
  <c r="AR24" i="98" a="1"/>
  <c r="AR24" i="98" s="1"/>
  <c r="AP24" i="98" a="1"/>
  <c r="AP24" i="98" s="1"/>
  <c r="AO24" i="98" a="1"/>
  <c r="AO24" i="98" s="1"/>
  <c r="AF45" i="98" a="1"/>
  <c r="AF45" i="98" s="1"/>
  <c r="AR45" i="98" a="1"/>
  <c r="AR45" i="98" s="1"/>
  <c r="AD45" i="98" a="1"/>
  <c r="AD45" i="98" s="1"/>
  <c r="AE45" i="98" a="1"/>
  <c r="AE45" i="98" s="1"/>
  <c r="V45" i="98" a="1"/>
  <c r="V45" i="98" s="1"/>
  <c r="T45" i="98" a="1"/>
  <c r="T45" i="98" s="1"/>
  <c r="R45" i="98" a="1"/>
  <c r="R45" i="98" s="1"/>
  <c r="AP45" i="98" a="1"/>
  <c r="AP45" i="98" s="1"/>
  <c r="P45" i="98" a="1"/>
  <c r="P45" i="98" s="1"/>
  <c r="AO45" i="98" a="1"/>
  <c r="AO45" i="98" s="1"/>
  <c r="AH45" i="98" a="1"/>
  <c r="AH45" i="98" s="1"/>
  <c r="AG45" i="98" a="1"/>
  <c r="AG45" i="98" s="1"/>
  <c r="AC45" i="98" a="1"/>
  <c r="AC45" i="98" s="1"/>
  <c r="AT45" i="98" a="1"/>
  <c r="AT45" i="98" s="1"/>
  <c r="AS45" i="98" a="1"/>
  <c r="AS45" i="98" s="1"/>
  <c r="AQ45" i="98" a="1"/>
  <c r="AQ45" i="98" s="1"/>
  <c r="V17" i="98" a="1"/>
  <c r="V17" i="98" s="1"/>
  <c r="AS17" i="98" a="1"/>
  <c r="AS17" i="98" s="1"/>
  <c r="AE17" i="98" a="1"/>
  <c r="AE17" i="98" s="1"/>
  <c r="T17" i="98" a="1"/>
  <c r="T17" i="98" s="1"/>
  <c r="AQ17" i="98" a="1"/>
  <c r="AQ17" i="98" s="1"/>
  <c r="AP17" i="98" a="1"/>
  <c r="AP17" i="98" s="1"/>
  <c r="R17" i="98" a="1"/>
  <c r="R17" i="98" s="1"/>
  <c r="AO17" i="98" a="1"/>
  <c r="AO17" i="98" s="1"/>
  <c r="P17" i="98" a="1"/>
  <c r="P17" i="98" s="1"/>
  <c r="AG17" i="98" a="1"/>
  <c r="AG17" i="98" s="1"/>
  <c r="AF17" i="98" a="1"/>
  <c r="AF17" i="98" s="1"/>
  <c r="AD17" i="98" a="1"/>
  <c r="AD17" i="98" s="1"/>
  <c r="AC17" i="98" a="1"/>
  <c r="AC17" i="98" s="1"/>
  <c r="AT17" i="98" a="1"/>
  <c r="AT17" i="98" s="1"/>
  <c r="AR17" i="98" a="1"/>
  <c r="AR17" i="98" s="1"/>
  <c r="AH17" i="98" a="1"/>
  <c r="AH17" i="98" s="1"/>
  <c r="AN46" i="98" a="1"/>
  <c r="AN46" i="98" s="1"/>
  <c r="Z46" i="98" a="1"/>
  <c r="Z46" i="98" s="1"/>
  <c r="AM46" i="98" a="1"/>
  <c r="AM46" i="98" s="1"/>
  <c r="Y46" i="98" a="1"/>
  <c r="Y46" i="98" s="1"/>
  <c r="AA46" i="98" a="1"/>
  <c r="AA46" i="98" s="1"/>
  <c r="AL46" i="98" a="1"/>
  <c r="AL46" i="98" s="1"/>
  <c r="AB46" i="98" a="1"/>
  <c r="AB46" i="98" s="1"/>
  <c r="AK46" i="98" a="1"/>
  <c r="AK46" i="98" s="1"/>
  <c r="Z38" i="98" a="1"/>
  <c r="Z38" i="98" s="1"/>
  <c r="AN38" i="98" a="1"/>
  <c r="AN38" i="98" s="1"/>
  <c r="AA38" i="98" a="1"/>
  <c r="AA38" i="98" s="1"/>
  <c r="Y38" i="98" a="1"/>
  <c r="Y38" i="98" s="1"/>
  <c r="AB38" i="98" a="1"/>
  <c r="AB38" i="98" s="1"/>
  <c r="AM38" i="98" a="1"/>
  <c r="AM38" i="98" s="1"/>
  <c r="AL38" i="98" a="1"/>
  <c r="AL38" i="98" s="1"/>
  <c r="AK38" i="98" a="1"/>
  <c r="AK38" i="98" s="1"/>
  <c r="Y22" i="98" a="1"/>
  <c r="Y22" i="98" s="1"/>
  <c r="Z22" i="98" a="1"/>
  <c r="Z22" i="98" s="1"/>
  <c r="AN22" i="98" a="1"/>
  <c r="AN22" i="98" s="1"/>
  <c r="AA22" i="98" a="1"/>
  <c r="AA22" i="98" s="1"/>
  <c r="AM22" i="98" a="1"/>
  <c r="AM22" i="98" s="1"/>
  <c r="AL22" i="98" a="1"/>
  <c r="AL22" i="98" s="1"/>
  <c r="AB22" i="98" a="1"/>
  <c r="AB22" i="98" s="1"/>
  <c r="AK22" i="98" a="1"/>
  <c r="AK22" i="98" s="1"/>
  <c r="AN45" i="98" a="1"/>
  <c r="AN45" i="98" s="1"/>
  <c r="AM45" i="98" a="1"/>
  <c r="AM45" i="98" s="1"/>
  <c r="AL45" i="98" a="1"/>
  <c r="AL45" i="98" s="1"/>
  <c r="AK45" i="98" a="1"/>
  <c r="AK45" i="98" s="1"/>
  <c r="AB45" i="98" a="1"/>
  <c r="AB45" i="98" s="1"/>
  <c r="AA45" i="98" a="1"/>
  <c r="AA45" i="98" s="1"/>
  <c r="Z45" i="98" a="1"/>
  <c r="Z45" i="98" s="1"/>
  <c r="Y45" i="98" a="1"/>
  <c r="Y45" i="98" s="1"/>
  <c r="AJ19" i="144"/>
  <c r="AL21" i="98" a="1"/>
  <c r="AL21" i="98" s="1"/>
  <c r="AB21" i="98" a="1"/>
  <c r="AB21" i="98" s="1"/>
  <c r="AA21" i="98" a="1"/>
  <c r="AA21" i="98" s="1"/>
  <c r="AN21" i="98" a="1"/>
  <c r="AN21" i="98" s="1"/>
  <c r="AM21" i="98" a="1"/>
  <c r="AM21" i="98" s="1"/>
  <c r="AK21" i="98" a="1"/>
  <c r="AK21" i="98" s="1"/>
  <c r="Z21" i="98" a="1"/>
  <c r="Z21" i="98" s="1"/>
  <c r="Y21" i="98" a="1"/>
  <c r="Y21" i="98" s="1"/>
  <c r="AQ20" i="98" a="1"/>
  <c r="AQ20" i="98" s="1"/>
  <c r="AC20" i="98" a="1"/>
  <c r="AC20" i="98" s="1"/>
  <c r="AT20" i="98" a="1"/>
  <c r="AT20" i="98" s="1"/>
  <c r="AE20" i="98" a="1"/>
  <c r="AE20" i="98" s="1"/>
  <c r="AS20" i="98" a="1"/>
  <c r="AS20" i="98" s="1"/>
  <c r="AD20" i="98" a="1"/>
  <c r="AD20" i="98" s="1"/>
  <c r="AH20" i="98" a="1"/>
  <c r="AH20" i="98" s="1"/>
  <c r="AG20" i="98" a="1"/>
  <c r="AG20" i="98" s="1"/>
  <c r="AF20" i="98" a="1"/>
  <c r="AF20" i="98" s="1"/>
  <c r="V20" i="98" a="1"/>
  <c r="V20" i="98" s="1"/>
  <c r="T20" i="98" a="1"/>
  <c r="T20" i="98" s="1"/>
  <c r="R20" i="98" a="1"/>
  <c r="R20" i="98" s="1"/>
  <c r="P20" i="98" a="1"/>
  <c r="P20" i="98" s="1"/>
  <c r="AR20" i="98" a="1"/>
  <c r="AR20" i="98" s="1"/>
  <c r="AP20" i="98" a="1"/>
  <c r="AP20" i="98" s="1"/>
  <c r="AO20" i="98" a="1"/>
  <c r="AO20" i="98" s="1"/>
  <c r="AB19" i="98" a="1"/>
  <c r="AB19" i="98" s="1"/>
  <c r="AA19" i="98" a="1"/>
  <c r="AA19" i="98" s="1"/>
  <c r="Z19" i="98" a="1"/>
  <c r="Z19" i="98" s="1"/>
  <c r="AL19" i="98" a="1"/>
  <c r="AL19" i="98" s="1"/>
  <c r="AK19" i="98" a="1"/>
  <c r="AK19" i="98" s="1"/>
  <c r="Y19" i="98" a="1"/>
  <c r="Y19" i="98" s="1"/>
  <c r="AN19" i="98" a="1"/>
  <c r="AN19" i="98" s="1"/>
  <c r="AM19" i="98" a="1"/>
  <c r="AM19" i="98" s="1"/>
  <c r="T44" i="98" a="1"/>
  <c r="T44" i="98" s="1"/>
  <c r="P44" i="98" a="1"/>
  <c r="P44" i="98" s="1"/>
  <c r="AH44" i="98" a="1"/>
  <c r="AH44" i="98" s="1"/>
  <c r="AG44" i="98" a="1"/>
  <c r="AG44" i="98" s="1"/>
  <c r="AO44" i="98" a="1"/>
  <c r="AO44" i="98" s="1"/>
  <c r="V44" i="98" a="1"/>
  <c r="V44" i="98" s="1"/>
  <c r="AF44" i="98" a="1"/>
  <c r="AF44" i="98" s="1"/>
  <c r="AE44" i="98" a="1"/>
  <c r="AE44" i="98" s="1"/>
  <c r="AD44" i="98" a="1"/>
  <c r="AD44" i="98" s="1"/>
  <c r="AC44" i="98" a="1"/>
  <c r="AC44" i="98" s="1"/>
  <c r="R44" i="98" a="1"/>
  <c r="R44" i="98" s="1"/>
  <c r="AT44" i="98" a="1"/>
  <c r="AT44" i="98" s="1"/>
  <c r="AS44" i="98" a="1"/>
  <c r="AS44" i="98" s="1"/>
  <c r="AR44" i="98" a="1"/>
  <c r="AR44" i="98" s="1"/>
  <c r="AQ44" i="98" a="1"/>
  <c r="AQ44" i="98" s="1"/>
  <c r="AP44" i="98" a="1"/>
  <c r="AP44" i="98" s="1"/>
  <c r="AN37" i="98" a="1"/>
  <c r="AN37" i="98" s="1"/>
  <c r="AA37" i="98" a="1"/>
  <c r="AA37" i="98" s="1"/>
  <c r="AB37" i="98" a="1"/>
  <c r="AB37" i="98" s="1"/>
  <c r="Z37" i="98" a="1"/>
  <c r="Z37" i="98" s="1"/>
  <c r="Y37" i="98" a="1"/>
  <c r="Y37" i="98" s="1"/>
  <c r="AM37" i="98" a="1"/>
  <c r="AM37" i="98" s="1"/>
  <c r="AL37" i="98" a="1"/>
  <c r="AL37" i="98" s="1"/>
  <c r="AK37" i="98" a="1"/>
  <c r="AK37" i="98" s="1"/>
  <c r="AB35" i="98" a="1"/>
  <c r="AB35" i="98" s="1"/>
  <c r="AN35" i="98" a="1"/>
  <c r="AN35" i="98" s="1"/>
  <c r="AM35" i="98" a="1"/>
  <c r="AM35" i="98" s="1"/>
  <c r="AL35" i="98" a="1"/>
  <c r="AL35" i="98" s="1"/>
  <c r="AK35" i="98" a="1"/>
  <c r="AK35" i="98" s="1"/>
  <c r="AA35" i="98" a="1"/>
  <c r="AA35" i="98" s="1"/>
  <c r="Z35" i="98" a="1"/>
  <c r="Z35" i="98" s="1"/>
  <c r="Y35" i="98" a="1"/>
  <c r="Y35" i="98" s="1"/>
  <c r="AB29" i="98" a="1"/>
  <c r="AB29" i="98" s="1"/>
  <c r="AK29" i="98" a="1"/>
  <c r="AK29" i="98" s="1"/>
  <c r="AN29" i="98" a="1"/>
  <c r="AN29" i="98" s="1"/>
  <c r="AM29" i="98" a="1"/>
  <c r="AM29" i="98" s="1"/>
  <c r="AL29" i="98" a="1"/>
  <c r="AL29" i="98" s="1"/>
  <c r="AA29" i="98" a="1"/>
  <c r="AA29" i="98" s="1"/>
  <c r="Z29" i="98" a="1"/>
  <c r="Z29" i="98" s="1"/>
  <c r="Y29" i="98" a="1"/>
  <c r="Y29" i="98" s="1"/>
  <c r="AR46" i="98" a="1"/>
  <c r="AR46" i="98" s="1"/>
  <c r="AC46" i="98" a="1"/>
  <c r="AC46" i="98" s="1"/>
  <c r="AO46" i="98" a="1"/>
  <c r="AO46" i="98" s="1"/>
  <c r="T46" i="98" a="1"/>
  <c r="T46" i="98" s="1"/>
  <c r="R46" i="98" a="1"/>
  <c r="R46" i="98" s="1"/>
  <c r="AD46" i="98" a="1"/>
  <c r="AD46" i="98" s="1"/>
  <c r="AT46" i="98" a="1"/>
  <c r="AT46" i="98" s="1"/>
  <c r="AS46" i="98" a="1"/>
  <c r="AS46" i="98" s="1"/>
  <c r="V46" i="98" a="1"/>
  <c r="V46" i="98" s="1"/>
  <c r="AH46" i="98" a="1"/>
  <c r="AH46" i="98" s="1"/>
  <c r="AG46" i="98" a="1"/>
  <c r="AG46" i="98" s="1"/>
  <c r="AF46" i="98" a="1"/>
  <c r="AF46" i="98" s="1"/>
  <c r="AE46" i="98" a="1"/>
  <c r="AE46" i="98" s="1"/>
  <c r="P46" i="98" a="1"/>
  <c r="P46" i="98" s="1"/>
  <c r="AQ46" i="98" a="1"/>
  <c r="AQ46" i="98" s="1"/>
  <c r="AP46" i="98" a="1"/>
  <c r="AP46" i="98" s="1"/>
  <c r="AJ17" i="144"/>
  <c r="AB43" i="98" a="1"/>
  <c r="AB43" i="98" s="1"/>
  <c r="AL43" i="98" a="1"/>
  <c r="AL43" i="98" s="1"/>
  <c r="AN43" i="98" a="1"/>
  <c r="AN43" i="98" s="1"/>
  <c r="AM43" i="98" a="1"/>
  <c r="AM43" i="98" s="1"/>
  <c r="AA43" i="98" a="1"/>
  <c r="AA43" i="98" s="1"/>
  <c r="Z43" i="98" a="1"/>
  <c r="Z43" i="98" s="1"/>
  <c r="Y43" i="98" a="1"/>
  <c r="Y43" i="98" s="1"/>
  <c r="AK43" i="98" a="1"/>
  <c r="AK43" i="98" s="1"/>
  <c r="AT33" i="98" a="1"/>
  <c r="AT33" i="98" s="1"/>
  <c r="AG33" i="98" a="1"/>
  <c r="AG33" i="98" s="1"/>
  <c r="R33" i="98" a="1"/>
  <c r="R33" i="98" s="1"/>
  <c r="AP33" i="98" a="1"/>
  <c r="AP33" i="98" s="1"/>
  <c r="AO33" i="98" a="1"/>
  <c r="AO33" i="98" s="1"/>
  <c r="V33" i="98" a="1"/>
  <c r="V33" i="98" s="1"/>
  <c r="AE33" i="98" a="1"/>
  <c r="AE33" i="98" s="1"/>
  <c r="AD33" i="98" a="1"/>
  <c r="AD33" i="98" s="1"/>
  <c r="AC33" i="98" a="1"/>
  <c r="AC33" i="98" s="1"/>
  <c r="AS33" i="98" a="1"/>
  <c r="AS33" i="98" s="1"/>
  <c r="AH33" i="98" a="1"/>
  <c r="AH33" i="98" s="1"/>
  <c r="AF33" i="98" a="1"/>
  <c r="AF33" i="98" s="1"/>
  <c r="T33" i="98" a="1"/>
  <c r="T33" i="98" s="1"/>
  <c r="P33" i="98" a="1"/>
  <c r="P33" i="98" s="1"/>
  <c r="AR33" i="98" a="1"/>
  <c r="AR33" i="98" s="1"/>
  <c r="AQ33" i="98" a="1"/>
  <c r="AQ33" i="98" s="1"/>
  <c r="AS19" i="98" a="1"/>
  <c r="AS19" i="98" s="1"/>
  <c r="AF19" i="98" a="1"/>
  <c r="AF19" i="98" s="1"/>
  <c r="P19" i="98" a="1"/>
  <c r="P19" i="98" s="1"/>
  <c r="AE19" i="98" a="1"/>
  <c r="AE19" i="98" s="1"/>
  <c r="AH19" i="98" a="1"/>
  <c r="AH19" i="98" s="1"/>
  <c r="R19" i="98" a="1"/>
  <c r="R19" i="98" s="1"/>
  <c r="AG19" i="98" a="1"/>
  <c r="AG19" i="98" s="1"/>
  <c r="AD19" i="98" a="1"/>
  <c r="AD19" i="98" s="1"/>
  <c r="AC19" i="98" a="1"/>
  <c r="AC19" i="98" s="1"/>
  <c r="AT19" i="98" a="1"/>
  <c r="AT19" i="98" s="1"/>
  <c r="AR19" i="98" a="1"/>
  <c r="AR19" i="98" s="1"/>
  <c r="AQ19" i="98" a="1"/>
  <c r="AQ19" i="98" s="1"/>
  <c r="V19" i="98" a="1"/>
  <c r="V19" i="98" s="1"/>
  <c r="T19" i="98" a="1"/>
  <c r="T19" i="98" s="1"/>
  <c r="AP19" i="98" a="1"/>
  <c r="AP19" i="98" s="1"/>
  <c r="AO19" i="98" a="1"/>
  <c r="AO19" i="98" s="1"/>
  <c r="AR38" i="98" a="1"/>
  <c r="AR38" i="98" s="1"/>
  <c r="AE38" i="98" a="1"/>
  <c r="AE38" i="98" s="1"/>
  <c r="AS38" i="98" a="1"/>
  <c r="AS38" i="98" s="1"/>
  <c r="AH38" i="98" a="1"/>
  <c r="AH38" i="98" s="1"/>
  <c r="R38" i="98" a="1"/>
  <c r="R38" i="98" s="1"/>
  <c r="AP38" i="98" a="1"/>
  <c r="AP38" i="98" s="1"/>
  <c r="AO38" i="98" a="1"/>
  <c r="AO38" i="98" s="1"/>
  <c r="AG38" i="98" a="1"/>
  <c r="AG38" i="98" s="1"/>
  <c r="AF38" i="98" a="1"/>
  <c r="AF38" i="98" s="1"/>
  <c r="AD38" i="98" a="1"/>
  <c r="AD38" i="98" s="1"/>
  <c r="AC38" i="98" a="1"/>
  <c r="AC38" i="98" s="1"/>
  <c r="V38" i="98" a="1"/>
  <c r="V38" i="98" s="1"/>
  <c r="T38" i="98" a="1"/>
  <c r="T38" i="98" s="1"/>
  <c r="P38" i="98" a="1"/>
  <c r="P38" i="98" s="1"/>
  <c r="AT38" i="98" a="1"/>
  <c r="AT38" i="98" s="1"/>
  <c r="AQ38" i="98" a="1"/>
  <c r="AQ38" i="98" s="1"/>
  <c r="AB40" i="98" a="1"/>
  <c r="AB40" i="98" s="1"/>
  <c r="AL40" i="98" a="1"/>
  <c r="AL40" i="98" s="1"/>
  <c r="AN40" i="98" a="1"/>
  <c r="AN40" i="98" s="1"/>
  <c r="AM40" i="98" a="1"/>
  <c r="AM40" i="98" s="1"/>
  <c r="Z40" i="98" a="1"/>
  <c r="Z40" i="98" s="1"/>
  <c r="Y40" i="98" a="1"/>
  <c r="Y40" i="98" s="1"/>
  <c r="AA40" i="98" a="1"/>
  <c r="AA40" i="98" s="1"/>
  <c r="AK40" i="98" a="1"/>
  <c r="AK40" i="98" s="1"/>
  <c r="AB25" i="98" a="1"/>
  <c r="AB25" i="98" s="1"/>
  <c r="AL25" i="98" a="1"/>
  <c r="AL25" i="98" s="1"/>
  <c r="AK25" i="98" a="1"/>
  <c r="AK25" i="98" s="1"/>
  <c r="AN25" i="98" a="1"/>
  <c r="AN25" i="98" s="1"/>
  <c r="AM25" i="98" a="1"/>
  <c r="AM25" i="98" s="1"/>
  <c r="AA25" i="98" a="1"/>
  <c r="AA25" i="98" s="1"/>
  <c r="Z25" i="98" a="1"/>
  <c r="Z25" i="98" s="1"/>
  <c r="Y25" i="98" a="1"/>
  <c r="Y25" i="98" s="1"/>
  <c r="AN44" i="98" a="1"/>
  <c r="AN44" i="98" s="1"/>
  <c r="AK44" i="98" a="1"/>
  <c r="AK44" i="98" s="1"/>
  <c r="AM44" i="98" a="1"/>
  <c r="AM44" i="98" s="1"/>
  <c r="AB44" i="98" a="1"/>
  <c r="AB44" i="98" s="1"/>
  <c r="AL44" i="98" a="1"/>
  <c r="AL44" i="98" s="1"/>
  <c r="AA44" i="98" a="1"/>
  <c r="AA44" i="98" s="1"/>
  <c r="Z44" i="98" a="1"/>
  <c r="Z44" i="98" s="1"/>
  <c r="Y44" i="98" a="1"/>
  <c r="Y44" i="98" s="1"/>
  <c r="AT43" i="98" a="1"/>
  <c r="AT43" i="98" s="1"/>
  <c r="P43" i="98" a="1"/>
  <c r="P43" i="98" s="1"/>
  <c r="AP43" i="98" a="1"/>
  <c r="AP43" i="98" s="1"/>
  <c r="T43" i="98" a="1"/>
  <c r="T43" i="98" s="1"/>
  <c r="AO43" i="98" a="1"/>
  <c r="AO43" i="98" s="1"/>
  <c r="V43" i="98" a="1"/>
  <c r="V43" i="98" s="1"/>
  <c r="R43" i="98" a="1"/>
  <c r="R43" i="98" s="1"/>
  <c r="AS43" i="98" a="1"/>
  <c r="AS43" i="98" s="1"/>
  <c r="AR43" i="98" a="1"/>
  <c r="AR43" i="98" s="1"/>
  <c r="AQ43" i="98" a="1"/>
  <c r="AQ43" i="98" s="1"/>
  <c r="AG43" i="98" a="1"/>
  <c r="AG43" i="98" s="1"/>
  <c r="AF43" i="98" a="1"/>
  <c r="AF43" i="98" s="1"/>
  <c r="AE43" i="98" a="1"/>
  <c r="AE43" i="98" s="1"/>
  <c r="AD43" i="98" a="1"/>
  <c r="AD43" i="98" s="1"/>
  <c r="AC43" i="98" a="1"/>
  <c r="AC43" i="98" s="1"/>
  <c r="AH43" i="98" a="1"/>
  <c r="AH43" i="98" s="1"/>
  <c r="AC31" i="98" a="1"/>
  <c r="AC31" i="98" s="1"/>
  <c r="T31" i="98" a="1"/>
  <c r="T31" i="98" s="1"/>
  <c r="AS31" i="98" a="1"/>
  <c r="AS31" i="98" s="1"/>
  <c r="AD31" i="98" a="1"/>
  <c r="AD31" i="98" s="1"/>
  <c r="AR31" i="98" a="1"/>
  <c r="AR31" i="98" s="1"/>
  <c r="AP31" i="98" a="1"/>
  <c r="AP31" i="98" s="1"/>
  <c r="V31" i="98" a="1"/>
  <c r="V31" i="98" s="1"/>
  <c r="AO31" i="98" a="1"/>
  <c r="AO31" i="98" s="1"/>
  <c r="R31" i="98" a="1"/>
  <c r="R31" i="98" s="1"/>
  <c r="P31" i="98" a="1"/>
  <c r="P31" i="98" s="1"/>
  <c r="AT31" i="98" a="1"/>
  <c r="AT31" i="98" s="1"/>
  <c r="AQ31" i="98" a="1"/>
  <c r="AQ31" i="98" s="1"/>
  <c r="AH31" i="98" a="1"/>
  <c r="AH31" i="98" s="1"/>
  <c r="AG31" i="98" a="1"/>
  <c r="AG31" i="98" s="1"/>
  <c r="AF31" i="98" a="1"/>
  <c r="AF31" i="98" s="1"/>
  <c r="AE31" i="98" a="1"/>
  <c r="AE31" i="98" s="1"/>
  <c r="AT22" i="98" a="1"/>
  <c r="AT22" i="98" s="1"/>
  <c r="AG22" i="98" a="1"/>
  <c r="AG22" i="98" s="1"/>
  <c r="R22" i="98" a="1"/>
  <c r="R22" i="98" s="1"/>
  <c r="AS22" i="98" a="1"/>
  <c r="AS22" i="98" s="1"/>
  <c r="AE22" i="98" a="1"/>
  <c r="AE22" i="98" s="1"/>
  <c r="AO22" i="98" a="1"/>
  <c r="AO22" i="98" s="1"/>
  <c r="V22" i="98" a="1"/>
  <c r="V22" i="98" s="1"/>
  <c r="AR22" i="98" a="1"/>
  <c r="AR22" i="98" s="1"/>
  <c r="AQ22" i="98" a="1"/>
  <c r="AQ22" i="98" s="1"/>
  <c r="T22" i="98" a="1"/>
  <c r="T22" i="98" s="1"/>
  <c r="AP22" i="98" a="1"/>
  <c r="AP22" i="98" s="1"/>
  <c r="P22" i="98" a="1"/>
  <c r="P22" i="98" s="1"/>
  <c r="AC22" i="98" a="1"/>
  <c r="AC22" i="98" s="1"/>
  <c r="AH22" i="98" a="1"/>
  <c r="AH22" i="98" s="1"/>
  <c r="AF22" i="98" a="1"/>
  <c r="AF22" i="98" s="1"/>
  <c r="AD22" i="98" a="1"/>
  <c r="AD22" i="98" s="1"/>
  <c r="AL24" i="98" a="1"/>
  <c r="AL24" i="98" s="1"/>
  <c r="AB24" i="98" a="1"/>
  <c r="AB24" i="98" s="1"/>
  <c r="AA24" i="98" a="1"/>
  <c r="AA24" i="98" s="1"/>
  <c r="Y24" i="98" a="1"/>
  <c r="Y24" i="98" s="1"/>
  <c r="AN24" i="98" a="1"/>
  <c r="AN24" i="98" s="1"/>
  <c r="AM24" i="98" a="1"/>
  <c r="AM24" i="98" s="1"/>
  <c r="AK24" i="98" a="1"/>
  <c r="AK24" i="98" s="1"/>
  <c r="Z24" i="98" a="1"/>
  <c r="Z24" i="98" s="1"/>
  <c r="AS30" i="98" a="1"/>
  <c r="AS30" i="98" s="1"/>
  <c r="AF30" i="98" a="1"/>
  <c r="AF30" i="98" s="1"/>
  <c r="P30" i="98" a="1"/>
  <c r="P30" i="98" s="1"/>
  <c r="AP30" i="98" a="1"/>
  <c r="AP30" i="98" s="1"/>
  <c r="AG30" i="98" a="1"/>
  <c r="AG30" i="98" s="1"/>
  <c r="AE30" i="98" a="1"/>
  <c r="AE30" i="98" s="1"/>
  <c r="R30" i="98" a="1"/>
  <c r="R30" i="98" s="1"/>
  <c r="AH30" i="98" a="1"/>
  <c r="AH30" i="98" s="1"/>
  <c r="AR30" i="98" a="1"/>
  <c r="AR30" i="98" s="1"/>
  <c r="AQ30" i="98" a="1"/>
  <c r="AQ30" i="98" s="1"/>
  <c r="AO30" i="98" a="1"/>
  <c r="AO30" i="98" s="1"/>
  <c r="AD30" i="98" a="1"/>
  <c r="AD30" i="98" s="1"/>
  <c r="AC30" i="98" a="1"/>
  <c r="AC30" i="98" s="1"/>
  <c r="V30" i="98" a="1"/>
  <c r="V30" i="98" s="1"/>
  <c r="T30" i="98" a="1"/>
  <c r="T30" i="98" s="1"/>
  <c r="AT30" i="98" a="1"/>
  <c r="AT30" i="98" s="1"/>
  <c r="V39" i="98" a="1"/>
  <c r="V39" i="98" s="1"/>
  <c r="AQ39" i="98" a="1"/>
  <c r="AQ39" i="98" s="1"/>
  <c r="AC39" i="98" a="1"/>
  <c r="AC39" i="98" s="1"/>
  <c r="R39" i="98" a="1"/>
  <c r="R39" i="98" s="1"/>
  <c r="AH39" i="98" a="1"/>
  <c r="AH39" i="98" s="1"/>
  <c r="AO39" i="98" a="1"/>
  <c r="AO39" i="98" s="1"/>
  <c r="AG39" i="98" a="1"/>
  <c r="AG39" i="98" s="1"/>
  <c r="AF39" i="98" a="1"/>
  <c r="AF39" i="98" s="1"/>
  <c r="AD39" i="98" a="1"/>
  <c r="AD39" i="98" s="1"/>
  <c r="T39" i="98" a="1"/>
  <c r="T39" i="98" s="1"/>
  <c r="P39" i="98" a="1"/>
  <c r="P39" i="98" s="1"/>
  <c r="AT39" i="98" a="1"/>
  <c r="AT39" i="98" s="1"/>
  <c r="AS39" i="98" a="1"/>
  <c r="AS39" i="98" s="1"/>
  <c r="AR39" i="98" a="1"/>
  <c r="AR39" i="98" s="1"/>
  <c r="AP39" i="98" a="1"/>
  <c r="AP39" i="98" s="1"/>
  <c r="AE39" i="98" a="1"/>
  <c r="AE39" i="98" s="1"/>
  <c r="AL20" i="98" a="1"/>
  <c r="AL20" i="98" s="1"/>
  <c r="Y20" i="98" a="1"/>
  <c r="Y20" i="98" s="1"/>
  <c r="AM20" i="98" a="1"/>
  <c r="AM20" i="98" s="1"/>
  <c r="AK20" i="98" a="1"/>
  <c r="AK20" i="98" s="1"/>
  <c r="AB20" i="98" a="1"/>
  <c r="AB20" i="98" s="1"/>
  <c r="AA20" i="98" a="1"/>
  <c r="AA20" i="98" s="1"/>
  <c r="Z20" i="98" a="1"/>
  <c r="Z20" i="98" s="1"/>
  <c r="AN20" i="98" a="1"/>
  <c r="AN20" i="98" s="1"/>
  <c r="AH25" i="98" a="1"/>
  <c r="AH25" i="98" s="1"/>
  <c r="T25" i="98" a="1"/>
  <c r="T25" i="98" s="1"/>
  <c r="AD25" i="98" a="1"/>
  <c r="AD25" i="98" s="1"/>
  <c r="AP25" i="98" a="1"/>
  <c r="AP25" i="98" s="1"/>
  <c r="AF25" i="98" a="1"/>
  <c r="AF25" i="98" s="1"/>
  <c r="AT25" i="98" a="1"/>
  <c r="AT25" i="98" s="1"/>
  <c r="AE25" i="98" a="1"/>
  <c r="AE25" i="98" s="1"/>
  <c r="P25" i="98" a="1"/>
  <c r="P25" i="98" s="1"/>
  <c r="AG25" i="98" a="1"/>
  <c r="AG25" i="98" s="1"/>
  <c r="V25" i="98" a="1"/>
  <c r="V25" i="98" s="1"/>
  <c r="R25" i="98" a="1"/>
  <c r="R25" i="98" s="1"/>
  <c r="AS25" i="98" a="1"/>
  <c r="AS25" i="98" s="1"/>
  <c r="AR25" i="98" a="1"/>
  <c r="AR25" i="98" s="1"/>
  <c r="AQ25" i="98" a="1"/>
  <c r="AQ25" i="98" s="1"/>
  <c r="AO25" i="98" a="1"/>
  <c r="AO25" i="98" s="1"/>
  <c r="AC25" i="98" a="1"/>
  <c r="AC25" i="98" s="1"/>
  <c r="AB18" i="98" a="1"/>
  <c r="AB18" i="98" s="1"/>
  <c r="AM18" i="98" a="1"/>
  <c r="AM18" i="98" s="1"/>
  <c r="AN18" i="98" a="1"/>
  <c r="AN18" i="98" s="1"/>
  <c r="Z18" i="98" a="1"/>
  <c r="Z18" i="98" s="1"/>
  <c r="AK18" i="98" a="1"/>
  <c r="AK18" i="98" s="1"/>
  <c r="AA18" i="98" a="1"/>
  <c r="AA18" i="98" s="1"/>
  <c r="Y18" i="98" a="1"/>
  <c r="Y18" i="98" s="1"/>
  <c r="AL18" i="98" a="1"/>
  <c r="AL18" i="98" s="1"/>
  <c r="AQ35" i="98" a="1"/>
  <c r="AQ35" i="98" s="1"/>
  <c r="AD35" i="98" a="1"/>
  <c r="AD35" i="98" s="1"/>
  <c r="AP35" i="98" a="1"/>
  <c r="AP35" i="98" s="1"/>
  <c r="AH35" i="98" a="1"/>
  <c r="AH35" i="98" s="1"/>
  <c r="P35" i="98" a="1"/>
  <c r="P35" i="98" s="1"/>
  <c r="AG35" i="98" a="1"/>
  <c r="AG35" i="98" s="1"/>
  <c r="T35" i="98" a="1"/>
  <c r="T35" i="98" s="1"/>
  <c r="R35" i="98" a="1"/>
  <c r="R35" i="98" s="1"/>
  <c r="AF35" i="98" a="1"/>
  <c r="AF35" i="98" s="1"/>
  <c r="AE35" i="98" a="1"/>
  <c r="AE35" i="98" s="1"/>
  <c r="AC35" i="98" a="1"/>
  <c r="AC35" i="98" s="1"/>
  <c r="V35" i="98" a="1"/>
  <c r="V35" i="98" s="1"/>
  <c r="AT35" i="98" a="1"/>
  <c r="AT35" i="98" s="1"/>
  <c r="AS35" i="98" a="1"/>
  <c r="AS35" i="98" s="1"/>
  <c r="AR35" i="98" a="1"/>
  <c r="AR35" i="98" s="1"/>
  <c r="AO35" i="98" a="1"/>
  <c r="AO35" i="98" s="1"/>
  <c r="AL31" i="98" a="1"/>
  <c r="AL31" i="98" s="1"/>
  <c r="Y31" i="98" a="1"/>
  <c r="Y31" i="98" s="1"/>
  <c r="AK31" i="98" a="1"/>
  <c r="AK31" i="98" s="1"/>
  <c r="AN31" i="98" a="1"/>
  <c r="AN31" i="98" s="1"/>
  <c r="AM31" i="98" a="1"/>
  <c r="AM31" i="98" s="1"/>
  <c r="AB31" i="98" a="1"/>
  <c r="AB31" i="98" s="1"/>
  <c r="AA31" i="98" a="1"/>
  <c r="AA31" i="98" s="1"/>
  <c r="Z31" i="98" a="1"/>
  <c r="Z31" i="98" s="1"/>
  <c r="AN33" i="98" a="1"/>
  <c r="AN33" i="98" s="1"/>
  <c r="Z33" i="98" a="1"/>
  <c r="Z33" i="98" s="1"/>
  <c r="Y33" i="98" a="1"/>
  <c r="Y33" i="98" s="1"/>
  <c r="AM33" i="98" a="1"/>
  <c r="AM33" i="98" s="1"/>
  <c r="AB33" i="98" a="1"/>
  <c r="AB33" i="98" s="1"/>
  <c r="AA33" i="98" a="1"/>
  <c r="AA33" i="98" s="1"/>
  <c r="AL33" i="98" a="1"/>
  <c r="AL33" i="98" s="1"/>
  <c r="AK33" i="98" a="1"/>
  <c r="AK33" i="98" s="1"/>
  <c r="AS37" i="98" a="1"/>
  <c r="AS37" i="98" s="1"/>
  <c r="AE37" i="98" a="1"/>
  <c r="AE37" i="98" s="1"/>
  <c r="AR37" i="98" a="1"/>
  <c r="AR37" i="98" s="1"/>
  <c r="AC37" i="98" a="1"/>
  <c r="AC37" i="98" s="1"/>
  <c r="AQ37" i="98" a="1"/>
  <c r="AQ37" i="98" s="1"/>
  <c r="AD37" i="98" a="1"/>
  <c r="AD37" i="98" s="1"/>
  <c r="AT37" i="98" a="1"/>
  <c r="AT37" i="98" s="1"/>
  <c r="AP37" i="98" a="1"/>
  <c r="AP37" i="98" s="1"/>
  <c r="V37" i="98" a="1"/>
  <c r="V37" i="98" s="1"/>
  <c r="AO37" i="98" a="1"/>
  <c r="AO37" i="98" s="1"/>
  <c r="T37" i="98" a="1"/>
  <c r="T37" i="98" s="1"/>
  <c r="AH37" i="98" a="1"/>
  <c r="AH37" i="98" s="1"/>
  <c r="AG37" i="98" a="1"/>
  <c r="AG37" i="98" s="1"/>
  <c r="AF37" i="98" a="1"/>
  <c r="AF37" i="98" s="1"/>
  <c r="R37" i="98" a="1"/>
  <c r="R37" i="98" s="1"/>
  <c r="P37" i="98" a="1"/>
  <c r="P37" i="98" s="1"/>
  <c r="AN26" i="98" a="1"/>
  <c r="AN26" i="98" s="1"/>
  <c r="AA26" i="98" a="1"/>
  <c r="AA26" i="98" s="1"/>
  <c r="AL26" i="98" a="1"/>
  <c r="AL26" i="98" s="1"/>
  <c r="AK26" i="98" a="1"/>
  <c r="AK26" i="98" s="1"/>
  <c r="AB26" i="98" a="1"/>
  <c r="AB26" i="98" s="1"/>
  <c r="AM26" i="98" a="1"/>
  <c r="AM26" i="98" s="1"/>
  <c r="Y26" i="98" a="1"/>
  <c r="Y26" i="98" s="1"/>
  <c r="Z26" i="98" a="1"/>
  <c r="Z26" i="98" s="1"/>
  <c r="AO18" i="98" a="1"/>
  <c r="AO18" i="98" s="1"/>
  <c r="R18" i="98" a="1"/>
  <c r="R18" i="98" s="1"/>
  <c r="AH18" i="98" a="1"/>
  <c r="AH18" i="98" s="1"/>
  <c r="P18" i="98" a="1"/>
  <c r="P18" i="98" s="1"/>
  <c r="AT18" i="98" a="1"/>
  <c r="AT18" i="98" s="1"/>
  <c r="AC18" i="98" a="1"/>
  <c r="AC18" i="98" s="1"/>
  <c r="AS18" i="98" a="1"/>
  <c r="AS18" i="98" s="1"/>
  <c r="AR18" i="98" a="1"/>
  <c r="AR18" i="98" s="1"/>
  <c r="AQ18" i="98" a="1"/>
  <c r="AQ18" i="98" s="1"/>
  <c r="V18" i="98" a="1"/>
  <c r="V18" i="98" s="1"/>
  <c r="AP18" i="98" a="1"/>
  <c r="AP18" i="98" s="1"/>
  <c r="T18" i="98" a="1"/>
  <c r="T18" i="98" s="1"/>
  <c r="AG18" i="98" a="1"/>
  <c r="AG18" i="98" s="1"/>
  <c r="AF18" i="98" a="1"/>
  <c r="AF18" i="98" s="1"/>
  <c r="AE18" i="98" a="1"/>
  <c r="AE18" i="98" s="1"/>
  <c r="AD18" i="98" a="1"/>
  <c r="AD18" i="98" s="1"/>
  <c r="AM23" i="98" a="1"/>
  <c r="AM23" i="98" s="1"/>
  <c r="Z23" i="98" a="1"/>
  <c r="Z23" i="98" s="1"/>
  <c r="AN23" i="98" a="1"/>
  <c r="AN23" i="98" s="1"/>
  <c r="AL23" i="98" a="1"/>
  <c r="AL23" i="98" s="1"/>
  <c r="AK23" i="98" a="1"/>
  <c r="AK23" i="98" s="1"/>
  <c r="AB23" i="98" a="1"/>
  <c r="AB23" i="98" s="1"/>
  <c r="AA23" i="98" a="1"/>
  <c r="AA23" i="98" s="1"/>
  <c r="Y23" i="98" a="1"/>
  <c r="Y23" i="98" s="1"/>
  <c r="AP21" i="98" a="1"/>
  <c r="AP21" i="98" s="1"/>
  <c r="AC21" i="98" a="1"/>
  <c r="AC21" i="98" s="1"/>
  <c r="AE21" i="98" a="1"/>
  <c r="AE21" i="98" s="1"/>
  <c r="V21" i="98" a="1"/>
  <c r="V21" i="98" s="1"/>
  <c r="AQ21" i="98" a="1"/>
  <c r="AQ21" i="98" s="1"/>
  <c r="R21" i="98" a="1"/>
  <c r="R21" i="98" s="1"/>
  <c r="P21" i="98" a="1"/>
  <c r="P21" i="98" s="1"/>
  <c r="AH21" i="98" a="1"/>
  <c r="AH21" i="98" s="1"/>
  <c r="AG21" i="98" a="1"/>
  <c r="AG21" i="98" s="1"/>
  <c r="AD21" i="98" a="1"/>
  <c r="AD21" i="98" s="1"/>
  <c r="T21" i="98" a="1"/>
  <c r="T21" i="98" s="1"/>
  <c r="AT21" i="98" a="1"/>
  <c r="AT21" i="98" s="1"/>
  <c r="AS21" i="98" a="1"/>
  <c r="AS21" i="98" s="1"/>
  <c r="AR21" i="98" a="1"/>
  <c r="AR21" i="98" s="1"/>
  <c r="AO21" i="98" a="1"/>
  <c r="AO21" i="98" s="1"/>
  <c r="AF21" i="98" a="1"/>
  <c r="AF21" i="98" s="1"/>
  <c r="AO29" i="98" a="1"/>
  <c r="AO29" i="98" s="1"/>
  <c r="AQ29" i="98" a="1"/>
  <c r="AQ29" i="98" s="1"/>
  <c r="AG29" i="98" a="1"/>
  <c r="AG29" i="98" s="1"/>
  <c r="P29" i="98" a="1"/>
  <c r="P29" i="98" s="1"/>
  <c r="R29" i="98" a="1"/>
  <c r="R29" i="98" s="1"/>
  <c r="AH29" i="98" a="1"/>
  <c r="AH29" i="98" s="1"/>
  <c r="AF29" i="98" a="1"/>
  <c r="AF29" i="98" s="1"/>
  <c r="AE29" i="98" a="1"/>
  <c r="AE29" i="98" s="1"/>
  <c r="AD29" i="98" a="1"/>
  <c r="AD29" i="98" s="1"/>
  <c r="AC29" i="98" a="1"/>
  <c r="AC29" i="98" s="1"/>
  <c r="AT29" i="98" a="1"/>
  <c r="AT29" i="98" s="1"/>
  <c r="AR29" i="98" a="1"/>
  <c r="AR29" i="98" s="1"/>
  <c r="AP29" i="98" a="1"/>
  <c r="AP29" i="98" s="1"/>
  <c r="V29" i="98" a="1"/>
  <c r="V29" i="98" s="1"/>
  <c r="T29" i="98" a="1"/>
  <c r="T29" i="98" s="1"/>
  <c r="AS29" i="98" a="1"/>
  <c r="AS29" i="98" s="1"/>
  <c r="AP32" i="98" a="1"/>
  <c r="AP32" i="98" s="1"/>
  <c r="AC32" i="98" a="1"/>
  <c r="AC32" i="98" s="1"/>
  <c r="T32" i="98" a="1"/>
  <c r="T32" i="98" s="1"/>
  <c r="AS32" i="98" a="1"/>
  <c r="AS32" i="98" s="1"/>
  <c r="AE32" i="98" a="1"/>
  <c r="AE32" i="98" s="1"/>
  <c r="AQ32" i="98" a="1"/>
  <c r="AQ32" i="98" s="1"/>
  <c r="AO32" i="98" a="1"/>
  <c r="AO32" i="98" s="1"/>
  <c r="AT32" i="98" a="1"/>
  <c r="AT32" i="98" s="1"/>
  <c r="AR32" i="98" a="1"/>
  <c r="AR32" i="98" s="1"/>
  <c r="V32" i="98" a="1"/>
  <c r="V32" i="98" s="1"/>
  <c r="R32" i="98" a="1"/>
  <c r="R32" i="98" s="1"/>
  <c r="AH32" i="98" a="1"/>
  <c r="AH32" i="98" s="1"/>
  <c r="AG32" i="98" a="1"/>
  <c r="AG32" i="98" s="1"/>
  <c r="AF32" i="98" a="1"/>
  <c r="AF32" i="98" s="1"/>
  <c r="AD32" i="98" a="1"/>
  <c r="AD32" i="98" s="1"/>
  <c r="P32" i="98" a="1"/>
  <c r="P32" i="98" s="1"/>
  <c r="AG41" i="98" a="1"/>
  <c r="AG41" i="98" s="1"/>
  <c r="AF41" i="98" a="1"/>
  <c r="AF41" i="98" s="1"/>
  <c r="AQ41" i="98" a="1"/>
  <c r="AQ41" i="98" s="1"/>
  <c r="T41" i="98" a="1"/>
  <c r="T41" i="98" s="1"/>
  <c r="R41" i="98" a="1"/>
  <c r="R41" i="98" s="1"/>
  <c r="AE41" i="98" a="1"/>
  <c r="AE41" i="98" s="1"/>
  <c r="AD41" i="98" a="1"/>
  <c r="AD41" i="98" s="1"/>
  <c r="AC41" i="98" a="1"/>
  <c r="AC41" i="98" s="1"/>
  <c r="AT41" i="98" a="1"/>
  <c r="AT41" i="98" s="1"/>
  <c r="AH41" i="98" a="1"/>
  <c r="AH41" i="98" s="1"/>
  <c r="V41" i="98" a="1"/>
  <c r="V41" i="98" s="1"/>
  <c r="P41" i="98" a="1"/>
  <c r="P41" i="98" s="1"/>
  <c r="AS41" i="98" a="1"/>
  <c r="AS41" i="98" s="1"/>
  <c r="AR41" i="98" a="1"/>
  <c r="AR41" i="98" s="1"/>
  <c r="AP41" i="98" a="1"/>
  <c r="AP41" i="98" s="1"/>
  <c r="AO41" i="98" a="1"/>
  <c r="AO41" i="98" s="1"/>
  <c r="AO40" i="98" a="1"/>
  <c r="AO40" i="98" s="1"/>
  <c r="AE40" i="98" a="1"/>
  <c r="AE40" i="98" s="1"/>
  <c r="V40" i="98" a="1"/>
  <c r="V40" i="98" s="1"/>
  <c r="AT40" i="98" a="1"/>
  <c r="AT40" i="98" s="1"/>
  <c r="T40" i="98" a="1"/>
  <c r="T40" i="98" s="1"/>
  <c r="AS40" i="98" a="1"/>
  <c r="AS40" i="98" s="1"/>
  <c r="AR40" i="98" a="1"/>
  <c r="AR40" i="98" s="1"/>
  <c r="AQ40" i="98" a="1"/>
  <c r="AQ40" i="98" s="1"/>
  <c r="R40" i="98" a="1"/>
  <c r="R40" i="98" s="1"/>
  <c r="AP40" i="98" a="1"/>
  <c r="AP40" i="98" s="1"/>
  <c r="P40" i="98" a="1"/>
  <c r="P40" i="98" s="1"/>
  <c r="AF40" i="98" a="1"/>
  <c r="AF40" i="98" s="1"/>
  <c r="AD40" i="98" a="1"/>
  <c r="AD40" i="98" s="1"/>
  <c r="AC40" i="98" a="1"/>
  <c r="AC40" i="98" s="1"/>
  <c r="AH40" i="98" a="1"/>
  <c r="AH40" i="98" s="1"/>
  <c r="AG40" i="98" a="1"/>
  <c r="AG40" i="98" s="1"/>
  <c r="AL36" i="98" a="1"/>
  <c r="AL36" i="98" s="1"/>
  <c r="Z36" i="98" a="1"/>
  <c r="Z36" i="98" s="1"/>
  <c r="Y36" i="98" a="1"/>
  <c r="Y36" i="98" s="1"/>
  <c r="AN36" i="98" a="1"/>
  <c r="AN36" i="98" s="1"/>
  <c r="AM36" i="98" a="1"/>
  <c r="AM36" i="98" s="1"/>
  <c r="AB36" i="98" a="1"/>
  <c r="AB36" i="98" s="1"/>
  <c r="AA36" i="98" a="1"/>
  <c r="AA36" i="98" s="1"/>
  <c r="AK36" i="98" a="1"/>
  <c r="AK36" i="98" s="1"/>
  <c r="AG42" i="98" a="1"/>
  <c r="AG42" i="98" s="1"/>
  <c r="AQ42" i="98" a="1"/>
  <c r="AQ42" i="98" s="1"/>
  <c r="AO42" i="98" a="1"/>
  <c r="AO42" i="98" s="1"/>
  <c r="T42" i="98" a="1"/>
  <c r="T42" i="98" s="1"/>
  <c r="R42" i="98" a="1"/>
  <c r="R42" i="98" s="1"/>
  <c r="AP42" i="98" a="1"/>
  <c r="AP42" i="98" s="1"/>
  <c r="AH42" i="98" a="1"/>
  <c r="AH42" i="98" s="1"/>
  <c r="AF42" i="98" a="1"/>
  <c r="AF42" i="98" s="1"/>
  <c r="AD42" i="98" a="1"/>
  <c r="AD42" i="98" s="1"/>
  <c r="AC42" i="98" a="1"/>
  <c r="AC42" i="98" s="1"/>
  <c r="V42" i="98" a="1"/>
  <c r="V42" i="98" s="1"/>
  <c r="P42" i="98" a="1"/>
  <c r="P42" i="98" s="1"/>
  <c r="AT42" i="98" a="1"/>
  <c r="AT42" i="98" s="1"/>
  <c r="AS42" i="98" a="1"/>
  <c r="AS42" i="98" s="1"/>
  <c r="AR42" i="98" a="1"/>
  <c r="AR42" i="98" s="1"/>
  <c r="AE42" i="98" a="1"/>
  <c r="AE42" i="98" s="1"/>
  <c r="X67" i="98"/>
  <c r="AJ70" i="98"/>
  <c r="AJ49" i="98"/>
  <c r="AJ64" i="98"/>
  <c r="AJ55" i="144"/>
  <c r="AJ57" i="98"/>
  <c r="AJ52" i="98"/>
  <c r="X28" i="144"/>
  <c r="X50" i="98"/>
  <c r="AJ68" i="144"/>
  <c r="AJ55" i="98"/>
  <c r="AU69" i="144" a="1"/>
  <c r="AU69" i="144" s="1"/>
  <c r="AV69" i="144" s="1"/>
  <c r="AJ66" i="144"/>
  <c r="AU68" i="144" a="1"/>
  <c r="AU68" i="144" s="1"/>
  <c r="AV68" i="144" s="1"/>
  <c r="AJ42" i="144"/>
  <c r="AJ71" i="98"/>
  <c r="X56" i="144"/>
  <c r="X63" i="98"/>
  <c r="X47" i="144"/>
  <c r="X27" i="144"/>
  <c r="X22" i="144"/>
  <c r="AU38" i="144" a="1"/>
  <c r="AU38" i="144" s="1"/>
  <c r="AV38" i="144" s="1"/>
  <c r="AJ69" i="144"/>
  <c r="AU71" i="144" a="1"/>
  <c r="AU71" i="144" s="1"/>
  <c r="AV71" i="144" s="1"/>
  <c r="AU70" i="144" a="1"/>
  <c r="AU70" i="144" s="1"/>
  <c r="AV70" i="144" s="1"/>
  <c r="AU55" i="144" a="1"/>
  <c r="AU55" i="144" s="1"/>
  <c r="AV55" i="144" s="1"/>
  <c r="X65" i="98"/>
  <c r="X26" i="144"/>
  <c r="AJ54" i="144"/>
  <c r="X31" i="144"/>
  <c r="X72" i="98"/>
  <c r="AU66" i="144" a="1"/>
  <c r="AU66" i="144" s="1"/>
  <c r="AV66" i="144" s="1"/>
  <c r="X35" i="144"/>
  <c r="X53" i="98"/>
  <c r="AJ60" i="98"/>
  <c r="X39" i="144"/>
  <c r="X60" i="144"/>
  <c r="X20" i="144"/>
  <c r="X36" i="144"/>
  <c r="AJ70" i="144"/>
  <c r="AJ57" i="144"/>
  <c r="AU31" i="144" a="1"/>
  <c r="AU31" i="144" s="1"/>
  <c r="AV31" i="144" s="1"/>
  <c r="AJ48" i="98"/>
  <c r="X44" i="144"/>
  <c r="X58" i="144"/>
  <c r="AJ25" i="144"/>
  <c r="AJ67" i="144"/>
  <c r="X63" i="144"/>
  <c r="AJ21" i="144"/>
  <c r="AJ51" i="98"/>
  <c r="AJ64" i="144"/>
  <c r="AU67" i="144" a="1"/>
  <c r="AU67" i="144" s="1"/>
  <c r="AV67" i="144" s="1"/>
  <c r="X49" i="144"/>
  <c r="X71" i="144"/>
  <c r="AU33" i="144" a="1"/>
  <c r="AU33" i="144" s="1"/>
  <c r="AV33" i="144" s="1"/>
  <c r="AU50" i="144" a="1"/>
  <c r="AU50" i="144" s="1"/>
  <c r="AV50" i="144" s="1"/>
  <c r="AJ58" i="98"/>
  <c r="X59" i="144"/>
  <c r="X45" i="144"/>
  <c r="AU25" i="144" a="1"/>
  <c r="AU25" i="144" s="1"/>
  <c r="AV25" i="144" s="1"/>
  <c r="AU27" i="144" a="1"/>
  <c r="AU27" i="144" s="1"/>
  <c r="AV27" i="144" s="1"/>
  <c r="AJ59" i="98"/>
  <c r="AJ29" i="144"/>
  <c r="AJ34" i="144"/>
  <c r="X16" i="144"/>
  <c r="AU56" i="144" a="1"/>
  <c r="AU56" i="144" s="1"/>
  <c r="AV56" i="144" s="1"/>
  <c r="AU39" i="144" a="1"/>
  <c r="AU39" i="144" s="1"/>
  <c r="AV39" i="144" s="1"/>
  <c r="AU72" i="144" a="1"/>
  <c r="AU72" i="144" s="1"/>
  <c r="AV72" i="144" s="1"/>
  <c r="AU23" i="144" a="1"/>
  <c r="AU23" i="144" s="1"/>
  <c r="AV23" i="144" s="1"/>
  <c r="X66" i="98"/>
  <c r="AJ50" i="144"/>
  <c r="AU26" i="144" a="1"/>
  <c r="AU26" i="144" s="1"/>
  <c r="AV26" i="144" s="1"/>
  <c r="AJ32" i="144"/>
  <c r="X68" i="98"/>
  <c r="AJ37" i="144"/>
  <c r="AU21" i="144" a="1"/>
  <c r="AU21" i="144" s="1"/>
  <c r="AV21" i="144" s="1"/>
  <c r="AJ62" i="98"/>
  <c r="AU47" i="144" a="1"/>
  <c r="AU47" i="144" s="1"/>
  <c r="AV47" i="144" s="1"/>
  <c r="AJ40" i="144"/>
  <c r="AJ30" i="144"/>
  <c r="AU60" i="144" a="1"/>
  <c r="AU60" i="144" s="1"/>
  <c r="AV60" i="144" s="1"/>
  <c r="AJ47" i="98"/>
  <c r="AU35" i="144" a="1"/>
  <c r="AU35" i="144" s="1"/>
  <c r="AV35" i="144" s="1"/>
  <c r="AU58" i="144" a="1"/>
  <c r="AU58" i="144" s="1"/>
  <c r="AV58" i="144" s="1"/>
  <c r="X61" i="98"/>
  <c r="AU51" i="144" a="1"/>
  <c r="AU51" i="144" s="1"/>
  <c r="AV51" i="144" s="1"/>
  <c r="X53" i="144"/>
  <c r="AU49" i="144" a="1"/>
  <c r="AU49" i="144" s="1"/>
  <c r="AV49" i="144" s="1"/>
  <c r="X51" i="144"/>
  <c r="X23" i="144"/>
  <c r="AJ33" i="144"/>
  <c r="AU40" i="144" a="1"/>
  <c r="AU40" i="144" s="1"/>
  <c r="AV40" i="144" s="1"/>
  <c r="AU57" i="144" a="1"/>
  <c r="AU57" i="144" s="1"/>
  <c r="AV57" i="144" s="1"/>
  <c r="AU65" i="144" a="1"/>
  <c r="AU65" i="144" s="1"/>
  <c r="AV65" i="144" s="1"/>
  <c r="AU42" i="144" a="1"/>
  <c r="AU42" i="144" s="1"/>
  <c r="AV42" i="144" s="1"/>
  <c r="AU48" i="144" a="1"/>
  <c r="AU48" i="144" s="1"/>
  <c r="AV48" i="144" s="1"/>
  <c r="AU36" i="144" a="1"/>
  <c r="AU36" i="144" s="1"/>
  <c r="AV36" i="144" s="1"/>
  <c r="X43" i="144"/>
  <c r="AJ43" i="144"/>
  <c r="X62" i="144"/>
  <c r="AJ62" i="144"/>
  <c r="AU22" i="144" a="1"/>
  <c r="AU22" i="144" s="1"/>
  <c r="AV22" i="144" s="1"/>
  <c r="AU41" i="144" a="1"/>
  <c r="AU41" i="144" s="1"/>
  <c r="AV41" i="144" s="1"/>
  <c r="AU20" i="144" a="1"/>
  <c r="AU20" i="144" s="1"/>
  <c r="AV20" i="144" s="1"/>
  <c r="AU54" i="144" a="1"/>
  <c r="AU54" i="144" s="1"/>
  <c r="AV54" i="144" s="1"/>
  <c r="X52" i="144"/>
  <c r="AU45" i="144" a="1"/>
  <c r="AU45" i="144" s="1"/>
  <c r="AV45" i="144" s="1"/>
  <c r="AJ61" i="144"/>
  <c r="AJ41" i="144"/>
  <c r="X72" i="144"/>
  <c r="AU29" i="144" a="1"/>
  <c r="AU29" i="144" s="1"/>
  <c r="AV29" i="144" s="1"/>
  <c r="AU52" i="144" a="1"/>
  <c r="AU52" i="144" s="1"/>
  <c r="AV52" i="144" s="1"/>
  <c r="AU53" i="144" a="1"/>
  <c r="AU53" i="144" s="1"/>
  <c r="AV53" i="144" s="1"/>
  <c r="AU34" i="144" a="1"/>
  <c r="AU34" i="144" s="1"/>
  <c r="AV34" i="144" s="1"/>
  <c r="AU24" i="144" a="1"/>
  <c r="AU24" i="144" s="1"/>
  <c r="AV24" i="144" s="1"/>
  <c r="AU28" i="144" a="1"/>
  <c r="AU28" i="144" s="1"/>
  <c r="AV28" i="144" s="1"/>
  <c r="AU61" i="144" a="1"/>
  <c r="AU61" i="144" s="1"/>
  <c r="AV61" i="144" s="1"/>
  <c r="AJ48" i="144"/>
  <c r="AU46" i="144" a="1"/>
  <c r="AU46" i="144" s="1"/>
  <c r="AV46" i="144" s="1"/>
  <c r="AU32" i="144" a="1"/>
  <c r="AU32" i="144" s="1"/>
  <c r="AV32" i="144" s="1"/>
  <c r="AU30" i="144" a="1"/>
  <c r="AU30" i="144" s="1"/>
  <c r="AV30" i="144" s="1"/>
  <c r="AU63" i="144" a="1"/>
  <c r="AU63" i="144" s="1"/>
  <c r="AV63" i="144" s="1"/>
  <c r="AU59" i="144" a="1"/>
  <c r="AU59" i="144" s="1"/>
  <c r="AV59" i="144" s="1"/>
  <c r="AU64" i="144" a="1"/>
  <c r="AU64" i="144" s="1"/>
  <c r="AV64" i="144" s="1"/>
  <c r="AU37" i="144" a="1"/>
  <c r="AU37" i="144" s="1"/>
  <c r="AV37" i="144" s="1"/>
  <c r="X18" i="144"/>
  <c r="AU62" i="144" a="1"/>
  <c r="AU62" i="144" s="1"/>
  <c r="AV62" i="144" s="1"/>
  <c r="AU44" i="144" a="1"/>
  <c r="AU44" i="144" s="1"/>
  <c r="AV44" i="144" s="1"/>
  <c r="AU43" i="144" a="1"/>
  <c r="AU43" i="144" s="1"/>
  <c r="AV43" i="144" s="1"/>
  <c r="K38" i="145"/>
  <c r="AU17" i="144" a="1"/>
  <c r="AU17" i="144" s="1"/>
  <c r="AV17" i="144" s="1"/>
  <c r="AD39" i="145" s="1"/>
  <c r="AU19" i="144" a="1"/>
  <c r="AU19" i="144" s="1"/>
  <c r="AV19" i="144" s="1"/>
  <c r="I41" i="145"/>
  <c r="H41" i="145" s="1"/>
  <c r="I51" i="145"/>
  <c r="I46" i="145"/>
  <c r="I47" i="145"/>
  <c r="I44" i="145"/>
  <c r="I45" i="145"/>
  <c r="I49" i="145"/>
  <c r="I50" i="145"/>
  <c r="I48" i="145"/>
  <c r="I43" i="145"/>
  <c r="I42" i="145"/>
  <c r="I52" i="145"/>
  <c r="K31" i="145" a="1"/>
  <c r="K31" i="145" s="1"/>
  <c r="N108" i="145"/>
  <c r="T109" i="145"/>
  <c r="Q110" i="145"/>
  <c r="O110" i="145"/>
  <c r="P110" i="145"/>
  <c r="R110" i="145"/>
  <c r="S110" i="145"/>
  <c r="T108" i="145"/>
  <c r="X108" i="145"/>
  <c r="W108" i="145"/>
  <c r="U108" i="145"/>
  <c r="V108" i="145"/>
  <c r="Q108" i="145"/>
  <c r="S108" i="145"/>
  <c r="R108" i="145"/>
  <c r="O108" i="145"/>
  <c r="P108" i="145"/>
  <c r="K13" i="146"/>
  <c r="J67" i="97"/>
  <c r="J120" i="97"/>
  <c r="J97" i="97"/>
  <c r="J150" i="97"/>
  <c r="J126" i="97"/>
  <c r="J73" i="97"/>
  <c r="J79" i="97"/>
  <c r="J132" i="97"/>
  <c r="K42" i="146"/>
  <c r="K31" i="146"/>
  <c r="K14" i="97"/>
  <c r="J13" i="97"/>
  <c r="K156" i="97"/>
  <c r="K103" i="97"/>
  <c r="J144" i="97"/>
  <c r="J91" i="97"/>
  <c r="J77" i="138"/>
  <c r="H68" i="138"/>
  <c r="D82" i="138"/>
  <c r="F80" i="138"/>
  <c r="D79" i="138"/>
  <c r="J66" i="138"/>
  <c r="D71" i="138"/>
  <c r="F76" i="138"/>
  <c r="H85" i="138"/>
  <c r="J61" i="138"/>
  <c r="H66" i="138"/>
  <c r="D76" i="138"/>
  <c r="F85" i="138"/>
  <c r="J81" i="138"/>
  <c r="H64" i="138"/>
  <c r="H74" i="138"/>
  <c r="J88" i="138"/>
  <c r="H72" i="138"/>
  <c r="J70" i="138"/>
  <c r="H82" i="138"/>
  <c r="J74" i="138"/>
  <c r="H60" i="138"/>
  <c r="J71" i="138"/>
  <c r="F74" i="138"/>
  <c r="J82" i="138"/>
  <c r="H84" i="138"/>
  <c r="J80" i="138"/>
  <c r="H78" i="138"/>
  <c r="D69" i="138"/>
  <c r="F81" i="138"/>
  <c r="J63" i="138"/>
  <c r="D64" i="138"/>
  <c r="D81" i="138"/>
  <c r="H80" i="138"/>
  <c r="F67" i="138"/>
  <c r="F63" i="138"/>
  <c r="D70" i="138"/>
  <c r="J73" i="138"/>
  <c r="H86" i="138"/>
  <c r="D67" i="138"/>
  <c r="F79" i="138"/>
  <c r="D77" i="138"/>
  <c r="H88" i="138"/>
  <c r="D86" i="138"/>
  <c r="F71" i="138"/>
  <c r="H76" i="138"/>
  <c r="J79" i="138"/>
  <c r="H65" i="138"/>
  <c r="D72" i="138"/>
  <c r="F65" i="138"/>
  <c r="F70" i="138"/>
  <c r="D66" i="138"/>
  <c r="F64" i="138"/>
  <c r="D73" i="138"/>
  <c r="F88" i="138"/>
  <c r="D75" i="138"/>
  <c r="D68" i="138"/>
  <c r="D62" i="138"/>
  <c r="F77" i="138"/>
  <c r="D65" i="138"/>
  <c r="F68" i="138"/>
  <c r="D78" i="138"/>
  <c r="F82" i="138"/>
  <c r="D88" i="138"/>
  <c r="F83" i="138"/>
  <c r="D80" i="138"/>
  <c r="F66" i="138"/>
  <c r="H69" i="138"/>
  <c r="F84" i="138"/>
  <c r="D63" i="138"/>
  <c r="D83" i="138"/>
  <c r="H62" i="138"/>
  <c r="F61" i="138"/>
  <c r="F86" i="138"/>
  <c r="D74" i="138"/>
  <c r="F62" i="138"/>
  <c r="D61" i="138"/>
  <c r="J87" i="138"/>
  <c r="H73" i="138"/>
  <c r="D85" i="138"/>
  <c r="F87" i="138"/>
  <c r="H87" i="138"/>
  <c r="J64" i="138"/>
  <c r="H75" i="138"/>
  <c r="J75" i="138"/>
  <c r="H71" i="138"/>
  <c r="J72" i="138"/>
  <c r="H77" i="138"/>
  <c r="J78" i="138"/>
  <c r="H83" i="138"/>
  <c r="J84" i="138"/>
  <c r="H79" i="138"/>
  <c r="J86" i="138"/>
  <c r="H81" i="138"/>
  <c r="J67" i="138"/>
  <c r="H67" i="138"/>
  <c r="J76" i="138"/>
  <c r="H63" i="138"/>
  <c r="J65" i="138"/>
  <c r="F69" i="138"/>
  <c r="J69" i="138"/>
  <c r="F75" i="138"/>
  <c r="J85" i="138"/>
  <c r="H61" i="138"/>
  <c r="J83" i="138"/>
  <c r="D87" i="138"/>
  <c r="F73" i="138"/>
  <c r="J68" i="138"/>
  <c r="J62" i="138"/>
  <c r="D84" i="138"/>
  <c r="H70" i="138"/>
  <c r="F78" i="138"/>
  <c r="F72" i="138"/>
  <c r="D60" i="138"/>
  <c r="F60" i="138"/>
  <c r="F59" i="138"/>
  <c r="H59" i="138"/>
  <c r="N45" i="138" a="1"/>
  <c r="N45" i="138" s="1"/>
  <c r="N44" i="138" a="1"/>
  <c r="N44" i="138" s="1"/>
  <c r="N40" i="138" a="1"/>
  <c r="N40" i="138" s="1"/>
  <c r="N39" i="138" a="1"/>
  <c r="N39" i="138" s="1"/>
  <c r="H58" i="138"/>
  <c r="F58" i="138"/>
  <c r="J60" i="138"/>
  <c r="J59" i="138"/>
  <c r="J58" i="138"/>
  <c r="I45" i="138" a="1"/>
  <c r="I45" i="138" s="1"/>
  <c r="K45" i="138" a="1"/>
  <c r="K45" i="138" s="1"/>
  <c r="Q30" i="98"/>
  <c r="W30" i="98" s="1"/>
  <c r="S36" i="98"/>
  <c r="Q32" i="98"/>
  <c r="W32" i="98" s="1"/>
  <c r="Q38" i="98"/>
  <c r="S39" i="98"/>
  <c r="Q19" i="98"/>
  <c r="L28" i="98"/>
  <c r="L19" i="98"/>
  <c r="L43" i="98"/>
  <c r="L18" i="98"/>
  <c r="L23" i="98"/>
  <c r="I39" i="138" s="1" a="1"/>
  <c r="I39" i="138" s="1"/>
  <c r="L22" i="98"/>
  <c r="L17" i="98"/>
  <c r="L32" i="98"/>
  <c r="L40" i="98"/>
  <c r="L25" i="98"/>
  <c r="L37" i="98"/>
  <c r="L29" i="98"/>
  <c r="L34" i="98"/>
  <c r="L30" i="98"/>
  <c r="L24" i="98"/>
  <c r="L26" i="98"/>
  <c r="L20" i="98"/>
  <c r="L21" i="98"/>
  <c r="L16" i="98"/>
  <c r="L42" i="98"/>
  <c r="K40" i="138" a="1"/>
  <c r="K40" i="138" s="1"/>
  <c r="I40" i="138" a="1"/>
  <c r="I40" i="138" s="1"/>
  <c r="L31" i="98"/>
  <c r="L33" i="98"/>
  <c r="L35" i="98"/>
  <c r="L46" i="98"/>
  <c r="L36" i="98"/>
  <c r="L27" i="98"/>
  <c r="L38" i="98"/>
  <c r="L39" i="98"/>
  <c r="L45" i="98"/>
  <c r="L44" i="98"/>
  <c r="L41" i="98"/>
  <c r="S44" i="98"/>
  <c r="U44" i="98"/>
  <c r="S46" i="98"/>
  <c r="U46" i="98"/>
  <c r="O44" i="98"/>
  <c r="AI44" i="98" s="1"/>
  <c r="S34" i="98"/>
  <c r="N46" i="98"/>
  <c r="Q34" i="98"/>
  <c r="W34" i="98" s="1"/>
  <c r="N34" i="98"/>
  <c r="O34" i="98"/>
  <c r="AI34" i="98" s="1"/>
  <c r="O46" i="98"/>
  <c r="AI46" i="98" s="1"/>
  <c r="Q43" i="98"/>
  <c r="W43" i="98" s="1"/>
  <c r="N43" i="98"/>
  <c r="U43" i="98"/>
  <c r="O43" i="98"/>
  <c r="AI43" i="98" s="1"/>
  <c r="S43" i="98"/>
  <c r="Q46" i="98"/>
  <c r="W46" i="98" s="1"/>
  <c r="U34" i="98"/>
  <c r="S28" i="98"/>
  <c r="N28" i="98"/>
  <c r="U26" i="98"/>
  <c r="Q26" i="98"/>
  <c r="W26" i="98" s="1"/>
  <c r="N16" i="98"/>
  <c r="X16" i="98" s="1"/>
  <c r="S16" i="98"/>
  <c r="Q16" i="98"/>
  <c r="W16" i="98" s="1"/>
  <c r="O20" i="98"/>
  <c r="O26" i="98"/>
  <c r="AI26" i="98" s="1"/>
  <c r="N20" i="98"/>
  <c r="O36" i="98"/>
  <c r="AI36" i="98" s="1"/>
  <c r="S20" i="98"/>
  <c r="N26" i="98"/>
  <c r="U20" i="98"/>
  <c r="S26" i="98"/>
  <c r="Q20" i="98"/>
  <c r="W20" i="98" s="1"/>
  <c r="U28" i="98"/>
  <c r="O28" i="98"/>
  <c r="AI28" i="98" s="1"/>
  <c r="Q28" i="98"/>
  <c r="W28" i="98" s="1"/>
  <c r="O33" i="98"/>
  <c r="AI33" i="98" s="1"/>
  <c r="N29" i="98"/>
  <c r="O29" i="98"/>
  <c r="AI29" i="98" s="1"/>
  <c r="N40" i="98"/>
  <c r="Q40" i="98"/>
  <c r="W40" i="98" s="1"/>
  <c r="S40" i="98"/>
  <c r="N39" i="98"/>
  <c r="S37" i="98"/>
  <c r="N37" i="98"/>
  <c r="Q37" i="98"/>
  <c r="W37" i="98" s="1"/>
  <c r="U21" i="98"/>
  <c r="Q21" i="98"/>
  <c r="W21" i="98" s="1"/>
  <c r="U18" i="98"/>
  <c r="S18" i="98"/>
  <c r="N42" i="98"/>
  <c r="O42" i="98"/>
  <c r="AI42" i="98" s="1"/>
  <c r="Q42" i="98"/>
  <c r="W42" i="98" s="1"/>
  <c r="S42" i="98"/>
  <c r="U42" i="98"/>
  <c r="D58" i="138"/>
  <c r="Q33" i="98"/>
  <c r="W33" i="98" s="1"/>
  <c r="Q29" i="98"/>
  <c r="W29" i="98" s="1"/>
  <c r="N27" i="98"/>
  <c r="S19" i="98"/>
  <c r="S38" i="98"/>
  <c r="O19" i="98"/>
  <c r="O38" i="98"/>
  <c r="AI38" i="98" s="1"/>
  <c r="O27" i="98"/>
  <c r="AI27" i="98" s="1"/>
  <c r="U38" i="98"/>
  <c r="U27" i="98"/>
  <c r="S27" i="98"/>
  <c r="N44" i="98"/>
  <c r="Q44" i="98"/>
  <c r="W44" i="98" s="1"/>
  <c r="U16" i="98"/>
  <c r="O31" i="98"/>
  <c r="AI31" i="98" s="1"/>
  <c r="S31" i="98"/>
  <c r="Q23" i="98"/>
  <c r="W23" i="98" s="1"/>
  <c r="S35" i="98"/>
  <c r="N24" i="98"/>
  <c r="U17" i="98"/>
  <c r="O45" i="98"/>
  <c r="AI45" i="98" s="1"/>
  <c r="Q24" i="98"/>
  <c r="W24" i="98" s="1"/>
  <c r="N41" i="98"/>
  <c r="O23" i="98"/>
  <c r="AI23" i="98" s="1"/>
  <c r="N25" i="98"/>
  <c r="O21" i="98"/>
  <c r="N18" i="98"/>
  <c r="S25" i="98"/>
  <c r="S45" i="98"/>
  <c r="N45" i="98"/>
  <c r="O30" i="98"/>
  <c r="AI30" i="98" s="1"/>
  <c r="S33" i="98"/>
  <c r="N35" i="98"/>
  <c r="N33" i="98"/>
  <c r="U23" i="98"/>
  <c r="Q35" i="98"/>
  <c r="W35" i="98" s="1"/>
  <c r="Q41" i="98"/>
  <c r="W41" i="98" s="1"/>
  <c r="U41" i="98"/>
  <c r="O37" i="98"/>
  <c r="AI37" i="98" s="1"/>
  <c r="N21" i="98"/>
  <c r="N32" i="98"/>
  <c r="U36" i="98"/>
  <c r="D59" i="138"/>
  <c r="N22" i="98"/>
  <c r="U29" i="98"/>
  <c r="Q25" i="98"/>
  <c r="W25" i="98" s="1"/>
  <c r="Q17" i="98"/>
  <c r="W17" i="98" s="1"/>
  <c r="N23" i="98"/>
  <c r="N17" i="98"/>
  <c r="N36" i="98"/>
  <c r="O24" i="98"/>
  <c r="S24" i="98"/>
  <c r="U25" i="98"/>
  <c r="O39" i="98"/>
  <c r="AI39" i="98" s="1"/>
  <c r="U19" i="98"/>
  <c r="O16" i="98"/>
  <c r="AI16" i="98" s="1"/>
  <c r="U45" i="98"/>
  <c r="U22" i="98"/>
  <c r="U30" i="98"/>
  <c r="N31" i="98"/>
  <c r="Q45" i="98"/>
  <c r="W45" i="98" s="1"/>
  <c r="U24" i="98"/>
  <c r="N30" i="98"/>
  <c r="U31" i="98"/>
  <c r="U39" i="98"/>
  <c r="Q18" i="98"/>
  <c r="W18" i="98" s="1"/>
  <c r="O18" i="98"/>
  <c r="AI18" i="98" s="1"/>
  <c r="O35" i="98"/>
  <c r="AI35" i="98" s="1"/>
  <c r="S29" i="98"/>
  <c r="S21" i="98"/>
  <c r="S41" i="98"/>
  <c r="O41" i="98"/>
  <c r="AI41" i="98" s="1"/>
  <c r="S32" i="98"/>
  <c r="Q31" i="98"/>
  <c r="W31" i="98" s="1"/>
  <c r="U35" i="98"/>
  <c r="S23" i="98"/>
  <c r="U32" i="98"/>
  <c r="Q22" i="98"/>
  <c r="W22" i="98" s="1"/>
  <c r="O32" i="98"/>
  <c r="AI32" i="98" s="1"/>
  <c r="O17" i="98"/>
  <c r="S22" i="98"/>
  <c r="O25" i="98"/>
  <c r="U37" i="98"/>
  <c r="U33" i="98"/>
  <c r="Q39" i="98"/>
  <c r="W39" i="98" s="1"/>
  <c r="O40" i="98"/>
  <c r="AI40" i="98" s="1"/>
  <c r="N38" i="98"/>
  <c r="Q36" i="98"/>
  <c r="W36" i="98" s="1"/>
  <c r="N19" i="98"/>
  <c r="S17" i="98"/>
  <c r="S30" i="98"/>
  <c r="U40" i="98"/>
  <c r="O22" i="98"/>
  <c r="AI22" i="98" s="1"/>
  <c r="Q27" i="98"/>
  <c r="W27" i="98" s="1"/>
  <c r="V16" i="98" a="1"/>
  <c r="AD16" i="98" a="1"/>
  <c r="R16" i="98" a="1"/>
  <c r="AC16" i="98" a="1"/>
  <c r="T16" i="98" a="1"/>
  <c r="P16" i="144" a="1"/>
  <c r="AL16" i="144" a="1"/>
  <c r="AO16" i="144" a="1"/>
  <c r="Z16" i="144" a="1"/>
  <c r="R16" i="144" a="1"/>
  <c r="AK16" i="144" a="1"/>
  <c r="AS16" i="144" a="1"/>
  <c r="AM16" i="144" a="1"/>
  <c r="AQ16" i="144" a="1"/>
  <c r="AT16" i="144" a="1"/>
  <c r="Y16" i="144" a="1"/>
  <c r="AR16" i="144" a="1"/>
  <c r="AN16" i="144" a="1"/>
  <c r="K48" i="97" a="1"/>
  <c r="K29" i="97" a="1"/>
  <c r="K40" i="97" a="1"/>
  <c r="K39" i="97" a="1"/>
  <c r="K46" i="97" a="1"/>
  <c r="K31" i="97" a="1"/>
  <c r="K58" i="97" a="1"/>
  <c r="K54" i="97" a="1"/>
  <c r="K45" i="97" a="1"/>
  <c r="L50" i="97" a="1"/>
  <c r="K26" i="97" a="1"/>
  <c r="K35" i="97" a="1"/>
  <c r="L19" i="146" a="1"/>
  <c r="K30" i="97" a="1"/>
  <c r="K24" i="97" a="1"/>
  <c r="L51" i="97" a="1"/>
  <c r="K23" i="97" a="1"/>
  <c r="K41" i="97" a="1"/>
  <c r="K25" i="97" a="1"/>
  <c r="K21" i="97" a="1"/>
  <c r="L20" i="146" a="1"/>
  <c r="K28" i="97" a="1"/>
  <c r="K56" i="97" a="1"/>
  <c r="L18" i="146" a="1"/>
  <c r="L53" i="97" a="1"/>
  <c r="K43" i="97" a="1"/>
  <c r="K34" i="97" a="1"/>
  <c r="K20" i="97" a="1"/>
  <c r="K38" i="97" a="1"/>
  <c r="K36" i="97" a="1"/>
  <c r="K55" i="97" a="1"/>
  <c r="L22" i="146" a="1"/>
  <c r="K44" i="97" a="1"/>
  <c r="L49" i="97" a="1"/>
  <c r="K33" i="97" a="1"/>
  <c r="K19" i="97" a="1"/>
  <c r="AC16" i="98" l="1"/>
  <c r="T16" i="98"/>
  <c r="AD16" i="98"/>
  <c r="V16" i="98"/>
  <c r="R16" i="98"/>
  <c r="P16" i="144"/>
  <c r="N107" i="145" s="1"/>
  <c r="AT16" i="144"/>
  <c r="Z16" i="144"/>
  <c r="AL16" i="144"/>
  <c r="AK16" i="144"/>
  <c r="AM16" i="144"/>
  <c r="AS16" i="144"/>
  <c r="AR16" i="144"/>
  <c r="R16" i="144"/>
  <c r="AO16" i="144"/>
  <c r="AQ16" i="144"/>
  <c r="Y16" i="144"/>
  <c r="AN16" i="144"/>
  <c r="K40" i="146"/>
  <c r="J118" i="97"/>
  <c r="J148" i="97"/>
  <c r="J130" i="97"/>
  <c r="J124" i="97"/>
  <c r="J71" i="97"/>
  <c r="J142" i="97"/>
  <c r="J89" i="97"/>
  <c r="K29" i="146"/>
  <c r="J83" i="97"/>
  <c r="J160" i="97"/>
  <c r="J136" i="97"/>
  <c r="J85" i="97"/>
  <c r="J65" i="97"/>
  <c r="J107" i="97"/>
  <c r="J95" i="97"/>
  <c r="J77" i="97"/>
  <c r="K20" i="97"/>
  <c r="K36" i="97"/>
  <c r="K37" i="97" s="1"/>
  <c r="K24" i="97"/>
  <c r="K54" i="97"/>
  <c r="K34" i="97"/>
  <c r="K23" i="97"/>
  <c r="K43" i="97"/>
  <c r="K33" i="97"/>
  <c r="K31" i="97"/>
  <c r="K21" i="97"/>
  <c r="K22" i="97" s="1"/>
  <c r="K41" i="97"/>
  <c r="K40" i="97"/>
  <c r="K56" i="97"/>
  <c r="K26" i="97"/>
  <c r="K35" i="97"/>
  <c r="K44" i="97"/>
  <c r="K19" i="97"/>
  <c r="K28" i="97"/>
  <c r="K58" i="97"/>
  <c r="K45" i="97"/>
  <c r="K29" i="97"/>
  <c r="K46" i="97"/>
  <c r="K38" i="97"/>
  <c r="K55" i="97"/>
  <c r="K39" i="97"/>
  <c r="K30" i="97"/>
  <c r="K48" i="97"/>
  <c r="K25" i="97"/>
  <c r="K75" i="97" a="1"/>
  <c r="K75" i="97" s="1"/>
  <c r="K128" i="97" a="1"/>
  <c r="K128" i="97" s="1"/>
  <c r="K90" i="97" a="1"/>
  <c r="K90" i="97" s="1"/>
  <c r="K143" i="97" a="1"/>
  <c r="K143" i="97" s="1"/>
  <c r="K74" i="97" a="1"/>
  <c r="K74" i="97" s="1"/>
  <c r="K127" i="97" a="1"/>
  <c r="K127" i="97" s="1"/>
  <c r="K72" i="97" a="1"/>
  <c r="K72" i="97" s="1"/>
  <c r="K125" i="97" a="1"/>
  <c r="K125" i="97" s="1"/>
  <c r="K141" i="97" a="1"/>
  <c r="K141" i="97" s="1"/>
  <c r="K88" i="97" a="1"/>
  <c r="K88" i="97" s="1"/>
  <c r="K68" i="97" a="1"/>
  <c r="K68" i="97" s="1"/>
  <c r="K121" i="97" a="1"/>
  <c r="K121" i="97" s="1"/>
  <c r="K81" i="97" a="1"/>
  <c r="K81" i="97" s="1"/>
  <c r="K134" i="97" a="1"/>
  <c r="K134" i="97" s="1"/>
  <c r="K137" i="97" a="1"/>
  <c r="K137" i="97" s="1"/>
  <c r="K84" i="97" a="1"/>
  <c r="K84" i="97" s="1"/>
  <c r="K82" i="97" a="1"/>
  <c r="K82" i="97" s="1"/>
  <c r="K135" i="97" a="1"/>
  <c r="K135" i="97" s="1"/>
  <c r="K161" i="97" a="1"/>
  <c r="K161" i="97" s="1"/>
  <c r="K108" i="97" a="1"/>
  <c r="K108" i="97" s="1"/>
  <c r="K145" i="97" a="1"/>
  <c r="K145" i="97" s="1"/>
  <c r="K92" i="97" a="1"/>
  <c r="K92" i="97" s="1"/>
  <c r="J37" i="97"/>
  <c r="K138" i="97" s="1"/>
  <c r="J57" i="97"/>
  <c r="K162" i="97" s="1"/>
  <c r="K158" i="97" a="1"/>
  <c r="K158" i="97" s="1"/>
  <c r="K105" i="97" a="1"/>
  <c r="K105" i="97" s="1"/>
  <c r="K123" i="97" a="1"/>
  <c r="K123" i="97" s="1"/>
  <c r="K70" i="97" a="1"/>
  <c r="K70" i="97" s="1"/>
  <c r="K122" i="97" a="1"/>
  <c r="K122" i="97" s="1"/>
  <c r="K69" i="97" a="1"/>
  <c r="K69" i="97" s="1"/>
  <c r="K116" i="97" a="1"/>
  <c r="K116" i="97" s="1"/>
  <c r="K63" i="97" a="1"/>
  <c r="K63" i="97" s="1"/>
  <c r="K78" i="97" a="1"/>
  <c r="K78" i="97" s="1"/>
  <c r="K131" i="97" a="1"/>
  <c r="K131" i="97" s="1"/>
  <c r="J27" i="97"/>
  <c r="K73" i="97" s="1"/>
  <c r="K151" i="97" a="1"/>
  <c r="K151" i="97" s="1"/>
  <c r="K98" i="97" a="1"/>
  <c r="K98" i="97" s="1"/>
  <c r="K93" i="97" a="1"/>
  <c r="K93" i="97" s="1"/>
  <c r="K146" i="97" a="1"/>
  <c r="K146" i="97" s="1"/>
  <c r="K96" i="97" a="1"/>
  <c r="K96" i="97" s="1"/>
  <c r="K149" i="97" a="1"/>
  <c r="K149" i="97" s="1"/>
  <c r="K140" i="97" a="1"/>
  <c r="K140" i="97" s="1"/>
  <c r="K87" i="97" a="1"/>
  <c r="K87" i="97" s="1"/>
  <c r="K64" i="97" a="1"/>
  <c r="K64" i="97" s="1"/>
  <c r="L109" i="97" s="1"/>
  <c r="K117" i="97" a="1"/>
  <c r="K117" i="97" s="1"/>
  <c r="J42" i="97"/>
  <c r="K144" i="97" s="1"/>
  <c r="K129" i="97" a="1"/>
  <c r="K129" i="97" s="1"/>
  <c r="K76" i="97" a="1"/>
  <c r="K76" i="97" s="1"/>
  <c r="K133" i="97" a="1"/>
  <c r="K133" i="97" s="1"/>
  <c r="K80" i="97" a="1"/>
  <c r="K80" i="97" s="1"/>
  <c r="J32" i="97"/>
  <c r="K79" i="97" s="1"/>
  <c r="K159" i="97" a="1"/>
  <c r="K159" i="97" s="1"/>
  <c r="K106" i="97" a="1"/>
  <c r="K106" i="97" s="1"/>
  <c r="K147" i="97" a="1"/>
  <c r="K147" i="97" s="1"/>
  <c r="K94" i="97" a="1"/>
  <c r="K94" i="97" s="1"/>
  <c r="K119" i="97" a="1"/>
  <c r="K119" i="97" s="1"/>
  <c r="K66" i="97" a="1"/>
  <c r="K66" i="97" s="1"/>
  <c r="K139" i="97" a="1"/>
  <c r="K139" i="97" s="1"/>
  <c r="K86" i="97" a="1"/>
  <c r="K86" i="97" s="1"/>
  <c r="K110" i="97" a="1"/>
  <c r="K110" i="97" s="1"/>
  <c r="K163" i="97" a="1"/>
  <c r="K163" i="97" s="1"/>
  <c r="K101" i="97"/>
  <c r="K154" i="97"/>
  <c r="L18" i="146"/>
  <c r="L19" i="146"/>
  <c r="L20" i="146"/>
  <c r="L21" i="146" s="1"/>
  <c r="L22" i="146"/>
  <c r="L53" i="97"/>
  <c r="L51" i="97"/>
  <c r="L52" i="97" s="1"/>
  <c r="L50" i="97"/>
  <c r="L49" i="97"/>
  <c r="L27" i="146" a="1"/>
  <c r="L27" i="146" s="1"/>
  <c r="L38" i="146" a="1"/>
  <c r="L38" i="146" s="1"/>
  <c r="L30" i="146" a="1"/>
  <c r="L30" i="146" s="1"/>
  <c r="L41" i="146" a="1"/>
  <c r="L41" i="146" s="1"/>
  <c r="L32" i="146" a="1"/>
  <c r="L32" i="146" s="1"/>
  <c r="L43" i="146" a="1"/>
  <c r="L43" i="146" s="1"/>
  <c r="L153" i="97" a="1"/>
  <c r="L153" i="97" s="1"/>
  <c r="L100" i="97" a="1"/>
  <c r="L100" i="97" s="1"/>
  <c r="L155" i="97" a="1"/>
  <c r="L155" i="97" s="1"/>
  <c r="L102" i="97" a="1"/>
  <c r="L102" i="97" s="1"/>
  <c r="L157" i="97" a="1"/>
  <c r="L157" i="97" s="1"/>
  <c r="L104" i="97" a="1"/>
  <c r="L104" i="97" s="1"/>
  <c r="L28" i="146" a="1"/>
  <c r="L28" i="146" s="1"/>
  <c r="L39" i="146" a="1"/>
  <c r="L39" i="146" s="1"/>
  <c r="K21" i="146"/>
  <c r="L31" i="146" s="1"/>
  <c r="L152" i="97" a="1"/>
  <c r="L152" i="97" s="1"/>
  <c r="L99" i="97" a="1"/>
  <c r="L99" i="97" s="1"/>
  <c r="I39" i="145"/>
  <c r="H39" i="145" s="1"/>
  <c r="AU18" i="144" a="1"/>
  <c r="AU18" i="144" s="1"/>
  <c r="AV18" i="144" s="1"/>
  <c r="I40" i="145"/>
  <c r="H40" i="145" s="1"/>
  <c r="X109" i="145"/>
  <c r="R109" i="145"/>
  <c r="Q109" i="145"/>
  <c r="O109" i="145"/>
  <c r="P109" i="145"/>
  <c r="U109" i="145"/>
  <c r="V109" i="145"/>
  <c r="W109" i="145"/>
  <c r="S109" i="145"/>
  <c r="H48" i="145"/>
  <c r="H52" i="145"/>
  <c r="H45" i="145"/>
  <c r="H42" i="145"/>
  <c r="H43" i="145"/>
  <c r="H51" i="145"/>
  <c r="H50" i="145"/>
  <c r="H46" i="145"/>
  <c r="H49" i="145"/>
  <c r="H44" i="145"/>
  <c r="H47" i="145"/>
  <c r="L103" i="97"/>
  <c r="L156" i="97"/>
  <c r="K13" i="97"/>
  <c r="L14" i="97"/>
  <c r="K97" i="97"/>
  <c r="K150" i="97"/>
  <c r="L13" i="146"/>
  <c r="K120" i="97"/>
  <c r="K67" i="97"/>
  <c r="U74" i="138"/>
  <c r="P80" i="138"/>
  <c r="S86" i="138"/>
  <c r="V84" i="138"/>
  <c r="X74" i="138"/>
  <c r="W69" i="138"/>
  <c r="O87" i="138"/>
  <c r="R81" i="138"/>
  <c r="N80" i="138"/>
  <c r="N88" i="138"/>
  <c r="T70" i="138"/>
  <c r="T84" i="138"/>
  <c r="W74" i="138"/>
  <c r="V69" i="138"/>
  <c r="U75" i="138"/>
  <c r="R83" i="138"/>
  <c r="N82" i="138"/>
  <c r="P77" i="138"/>
  <c r="N86" i="138"/>
  <c r="T80" i="138"/>
  <c r="X81" i="138"/>
  <c r="X69" i="138"/>
  <c r="T75" i="138"/>
  <c r="T78" i="138"/>
  <c r="T79" i="138"/>
  <c r="U76" i="138"/>
  <c r="V87" i="138"/>
  <c r="O88" i="138"/>
  <c r="P86" i="138"/>
  <c r="N76" i="138"/>
  <c r="P83" i="138"/>
  <c r="S69" i="138"/>
  <c r="V81" i="138"/>
  <c r="W76" i="138"/>
  <c r="W78" i="138"/>
  <c r="U87" i="138"/>
  <c r="Q85" i="138"/>
  <c r="O79" i="138"/>
  <c r="O81" i="138"/>
  <c r="O77" i="138"/>
  <c r="S80" i="138"/>
  <c r="T77" i="138"/>
  <c r="T81" i="138"/>
  <c r="T76" i="138"/>
  <c r="W87" i="138"/>
  <c r="Q71" i="138"/>
  <c r="P82" i="138"/>
  <c r="P79" i="138"/>
  <c r="S87" i="138"/>
  <c r="T74" i="138"/>
  <c r="X82" i="138"/>
  <c r="X73" i="138"/>
  <c r="T87" i="138"/>
  <c r="S85" i="138"/>
  <c r="W82" i="138"/>
  <c r="V73" i="138"/>
  <c r="X79" i="138"/>
  <c r="U85" i="138"/>
  <c r="R70" i="138"/>
  <c r="Q88" i="138"/>
  <c r="P87" i="138"/>
  <c r="Q82" i="138"/>
  <c r="N75" i="138"/>
  <c r="R80" i="138"/>
  <c r="S78" i="138"/>
  <c r="V82" i="138"/>
  <c r="W73" i="138"/>
  <c r="U79" i="138"/>
  <c r="V85" i="138"/>
  <c r="P69" i="138"/>
  <c r="N79" i="138"/>
  <c r="Q76" i="138"/>
  <c r="T82" i="138"/>
  <c r="U73" i="138"/>
  <c r="X85" i="138"/>
  <c r="N68" i="138"/>
  <c r="P81" i="138"/>
  <c r="O85" i="138"/>
  <c r="R82" i="138"/>
  <c r="S81" i="138"/>
  <c r="X72" i="138"/>
  <c r="W85" i="138"/>
  <c r="X77" i="138"/>
  <c r="S71" i="138"/>
  <c r="V72" i="138"/>
  <c r="V77" i="138"/>
  <c r="N73" i="138"/>
  <c r="S88" i="138"/>
  <c r="W70" i="138"/>
  <c r="U88" i="138"/>
  <c r="U77" i="138"/>
  <c r="V68" i="138"/>
  <c r="N87" i="138"/>
  <c r="X80" i="138"/>
  <c r="W88" i="138"/>
  <c r="Q84" i="138"/>
  <c r="O80" i="138"/>
  <c r="O83" i="138"/>
  <c r="N85" i="138"/>
  <c r="S72" i="138"/>
  <c r="V80" i="138"/>
  <c r="V83" i="138"/>
  <c r="X86" i="138"/>
  <c r="W71" i="138"/>
  <c r="T68" i="138"/>
  <c r="R86" i="138"/>
  <c r="R74" i="138"/>
  <c r="Q86" i="138"/>
  <c r="N83" i="138"/>
  <c r="W80" i="138"/>
  <c r="T88" i="138"/>
  <c r="X71" i="138"/>
  <c r="Q78" i="138"/>
  <c r="P76" i="138"/>
  <c r="U80" i="138"/>
  <c r="U83" i="138"/>
  <c r="V86" i="138"/>
  <c r="P85" i="138"/>
  <c r="O78" i="138"/>
  <c r="Q83" i="138"/>
  <c r="S77" i="138"/>
  <c r="X84" i="138"/>
  <c r="T83" i="138"/>
  <c r="U86" i="138"/>
  <c r="U71" i="138"/>
  <c r="N84" i="138"/>
  <c r="Q77" i="138"/>
  <c r="S76" i="138"/>
  <c r="U84" i="138"/>
  <c r="T86" i="138"/>
  <c r="W75" i="138"/>
  <c r="N71" i="138"/>
  <c r="V75" i="138"/>
  <c r="R87" i="138"/>
  <c r="X76" i="138"/>
  <c r="Q73" i="138"/>
  <c r="N78" i="138"/>
  <c r="R78" i="138"/>
  <c r="S70" i="138"/>
  <c r="U81" i="138"/>
  <c r="V76" i="138"/>
  <c r="U69" i="138"/>
  <c r="X87" i="138"/>
  <c r="R75" i="138"/>
  <c r="P73" i="138"/>
  <c r="S73" i="138"/>
  <c r="W81" i="138"/>
  <c r="X78" i="138"/>
  <c r="P70" i="138"/>
  <c r="T72" i="138"/>
  <c r="P88" i="138"/>
  <c r="V78" i="138"/>
  <c r="O74" i="138"/>
  <c r="U78" i="138"/>
  <c r="R69" i="138"/>
  <c r="R77" i="138"/>
  <c r="P75" i="138"/>
  <c r="T71" i="138"/>
  <c r="T69" i="138"/>
  <c r="P78" i="138"/>
  <c r="S84" i="138"/>
  <c r="U82" i="138"/>
  <c r="W79" i="138"/>
  <c r="N70" i="138"/>
  <c r="R73" i="138"/>
  <c r="X70" i="138"/>
  <c r="T73" i="138"/>
  <c r="V79" i="138"/>
  <c r="Q69" i="138"/>
  <c r="O75" i="138"/>
  <c r="R85" i="138"/>
  <c r="O82" i="138"/>
  <c r="S75" i="138"/>
  <c r="V70" i="138"/>
  <c r="W72" i="138"/>
  <c r="X88" i="138"/>
  <c r="T85" i="138"/>
  <c r="P71" i="138"/>
  <c r="R88" i="138"/>
  <c r="Q75" i="138"/>
  <c r="O84" i="138"/>
  <c r="Q80" i="138"/>
  <c r="U70" i="138"/>
  <c r="V88" i="138"/>
  <c r="X68" i="138"/>
  <c r="R71" i="138"/>
  <c r="R76" i="138"/>
  <c r="R84" i="138"/>
  <c r="U72" i="138"/>
  <c r="N77" i="138"/>
  <c r="R79" i="138"/>
  <c r="O76" i="138"/>
  <c r="P74" i="138"/>
  <c r="S79" i="138"/>
  <c r="X83" i="138"/>
  <c r="W77" i="138"/>
  <c r="U68" i="138"/>
  <c r="N69" i="138"/>
  <c r="Q74" i="138"/>
  <c r="N74" i="138"/>
  <c r="O73" i="138"/>
  <c r="Q79" i="138"/>
  <c r="S82" i="138"/>
  <c r="W83" i="138"/>
  <c r="W68" i="138"/>
  <c r="Q87" i="138"/>
  <c r="S83" i="138"/>
  <c r="V71" i="138"/>
  <c r="N72" i="138"/>
  <c r="P84" i="138"/>
  <c r="P72" i="138"/>
  <c r="N81" i="138"/>
  <c r="O86" i="138"/>
  <c r="Q81" i="138"/>
  <c r="S74" i="138"/>
  <c r="W84" i="138"/>
  <c r="V74" i="138"/>
  <c r="W86" i="138"/>
  <c r="X75" i="138"/>
  <c r="N43" i="138" a="1"/>
  <c r="N43" i="138" s="1"/>
  <c r="N38" i="138" a="1"/>
  <c r="N38" i="138" s="1"/>
  <c r="I44" i="138" a="1"/>
  <c r="I44" i="138" s="1"/>
  <c r="AI25" i="98"/>
  <c r="I43" i="138" a="1"/>
  <c r="I43" i="138" s="1"/>
  <c r="I38" i="138" a="1"/>
  <c r="I38" i="138" s="1"/>
  <c r="AI21" i="98"/>
  <c r="AI24" i="98"/>
  <c r="AI19" i="98"/>
  <c r="AI20" i="98"/>
  <c r="AI17" i="98"/>
  <c r="W19" i="98"/>
  <c r="W38" i="98"/>
  <c r="X38" i="98"/>
  <c r="AJ38" i="98"/>
  <c r="AJ16" i="98"/>
  <c r="X37" i="98"/>
  <c r="AJ37" i="98"/>
  <c r="X29" i="98"/>
  <c r="AJ29" i="98"/>
  <c r="X31" i="98"/>
  <c r="AJ31" i="98"/>
  <c r="X35" i="98"/>
  <c r="AJ35" i="98"/>
  <c r="X25" i="98"/>
  <c r="AJ25" i="98"/>
  <c r="X20" i="98"/>
  <c r="AJ20" i="98"/>
  <c r="X42" i="98"/>
  <c r="AJ42" i="98"/>
  <c r="X36" i="98"/>
  <c r="AJ36" i="98"/>
  <c r="X27" i="98"/>
  <c r="AJ27" i="98"/>
  <c r="X30" i="98"/>
  <c r="AJ30" i="98"/>
  <c r="X17" i="98"/>
  <c r="AJ17" i="98"/>
  <c r="X40" i="98"/>
  <c r="AJ40" i="98"/>
  <c r="X23" i="98"/>
  <c r="AJ23" i="98"/>
  <c r="X44" i="98"/>
  <c r="AJ44" i="98"/>
  <c r="X34" i="98"/>
  <c r="AJ34" i="98"/>
  <c r="X33" i="98"/>
  <c r="AJ33" i="98"/>
  <c r="X26" i="98"/>
  <c r="AJ26" i="98"/>
  <c r="X28" i="98"/>
  <c r="AJ28" i="98"/>
  <c r="X22" i="98"/>
  <c r="AJ22" i="98"/>
  <c r="X46" i="98"/>
  <c r="AJ46" i="98"/>
  <c r="X41" i="98"/>
  <c r="AJ41" i="98"/>
  <c r="X32" i="98"/>
  <c r="AJ32" i="98"/>
  <c r="X39" i="98"/>
  <c r="AJ39" i="98"/>
  <c r="X45" i="98"/>
  <c r="AJ45" i="98"/>
  <c r="X24" i="98"/>
  <c r="AJ24" i="98"/>
  <c r="X21" i="98"/>
  <c r="AJ21" i="98"/>
  <c r="X43" i="98"/>
  <c r="AJ43" i="98"/>
  <c r="X19" i="98"/>
  <c r="AJ19" i="98"/>
  <c r="X18" i="98"/>
  <c r="AJ18" i="98"/>
  <c r="Z16" i="98" a="1"/>
  <c r="P16" i="98" a="1"/>
  <c r="AE16" i="98" a="1"/>
  <c r="AH16" i="98" a="1"/>
  <c r="Y16" i="98" a="1"/>
  <c r="AF16" i="98" a="1"/>
  <c r="AB16" i="98" a="1"/>
  <c r="AA16" i="98" a="1"/>
  <c r="AG16" i="98" a="1"/>
  <c r="AB16" i="144" a="1"/>
  <c r="AF16" i="144" a="1"/>
  <c r="AG16" i="144" a="1"/>
  <c r="AC16" i="144" a="1"/>
  <c r="AH16" i="144" a="1"/>
  <c r="AA16" i="144" a="1"/>
  <c r="AD16" i="144" a="1"/>
  <c r="AE16" i="144" a="1"/>
  <c r="M50" i="97" a="1"/>
  <c r="L28" i="97" a="1"/>
  <c r="L25" i="97" a="1"/>
  <c r="M20" i="146" a="1"/>
  <c r="L36" i="97" a="1"/>
  <c r="L30" i="97" a="1"/>
  <c r="L56" i="97" a="1"/>
  <c r="L54" i="97" a="1"/>
  <c r="M18" i="146" a="1"/>
  <c r="M19" i="146" a="1"/>
  <c r="L34" i="97" a="1"/>
  <c r="L43" i="97" a="1"/>
  <c r="L41" i="97" a="1"/>
  <c r="L38" i="97" a="1"/>
  <c r="L44" i="97" a="1"/>
  <c r="L46" i="97" a="1"/>
  <c r="M49" i="97" a="1"/>
  <c r="L31" i="97" a="1"/>
  <c r="L29" i="97" a="1"/>
  <c r="M22" i="146" a="1"/>
  <c r="L33" i="97" a="1"/>
  <c r="L40" i="97" a="1"/>
  <c r="M51" i="97" a="1"/>
  <c r="L23" i="97" a="1"/>
  <c r="L35" i="97" a="1"/>
  <c r="M53" i="97" a="1"/>
  <c r="L21" i="97" a="1"/>
  <c r="L48" i="97" a="1"/>
  <c r="L55" i="97" a="1"/>
  <c r="L58" i="97" a="1"/>
  <c r="L39" i="97" a="1"/>
  <c r="L26" i="97" a="1"/>
  <c r="L20" i="97" a="1"/>
  <c r="L45" i="97" a="1"/>
  <c r="L24" i="97" a="1"/>
  <c r="L19" i="97" a="1"/>
  <c r="O107" i="145" l="1"/>
  <c r="P16" i="98"/>
  <c r="N58" i="138" s="1"/>
  <c r="AA16" i="98"/>
  <c r="AE16" i="98"/>
  <c r="Z16" i="98"/>
  <c r="Y16" i="98"/>
  <c r="AG16" i="98"/>
  <c r="AB16" i="98"/>
  <c r="AH16" i="98"/>
  <c r="AF16" i="98"/>
  <c r="AB16" i="144"/>
  <c r="R107" i="145" s="1"/>
  <c r="AA16" i="144"/>
  <c r="Q107" i="145" s="1"/>
  <c r="K71" i="97"/>
  <c r="AG16" i="144"/>
  <c r="W107" i="145" s="1"/>
  <c r="AH16" i="144"/>
  <c r="X107" i="145" s="1"/>
  <c r="AD16" i="144"/>
  <c r="T107" i="145" s="1"/>
  <c r="AE16" i="144"/>
  <c r="U107" i="145" s="1"/>
  <c r="AF16" i="144"/>
  <c r="V107" i="145" s="1"/>
  <c r="AC16" i="144"/>
  <c r="S107" i="145" s="1"/>
  <c r="K124" i="97"/>
  <c r="K130" i="97"/>
  <c r="K107" i="97"/>
  <c r="L42" i="146"/>
  <c r="K160" i="97"/>
  <c r="K77" i="97"/>
  <c r="K136" i="97"/>
  <c r="K148" i="97"/>
  <c r="K65" i="97"/>
  <c r="K89" i="97"/>
  <c r="K118" i="97"/>
  <c r="K142" i="97"/>
  <c r="K132" i="97"/>
  <c r="L101" i="97"/>
  <c r="K83" i="97"/>
  <c r="L154" i="97"/>
  <c r="K85" i="97"/>
  <c r="K91" i="97"/>
  <c r="K126" i="97"/>
  <c r="K95" i="97"/>
  <c r="L24" i="97"/>
  <c r="L40" i="97"/>
  <c r="L28" i="97"/>
  <c r="L43" i="97"/>
  <c r="L33" i="97"/>
  <c r="L31" i="97"/>
  <c r="L32" i="97" s="1"/>
  <c r="L21" i="97"/>
  <c r="L22" i="97" s="1"/>
  <c r="L41" i="97"/>
  <c r="L42" i="97" s="1"/>
  <c r="L30" i="97"/>
  <c r="L20" i="97"/>
  <c r="L19" i="97"/>
  <c r="L35" i="97"/>
  <c r="L26" i="97"/>
  <c r="L27" i="97" s="1"/>
  <c r="L44" i="97"/>
  <c r="L23" i="97"/>
  <c r="L58" i="97"/>
  <c r="L36" i="97"/>
  <c r="L45" i="97"/>
  <c r="L54" i="97"/>
  <c r="L29" i="97"/>
  <c r="L46" i="97"/>
  <c r="L38" i="97"/>
  <c r="L55" i="97"/>
  <c r="L39" i="97"/>
  <c r="L48" i="97"/>
  <c r="L25" i="97"/>
  <c r="L34" i="97"/>
  <c r="L56" i="97"/>
  <c r="L57" i="97" s="1"/>
  <c r="M162" i="97" s="1"/>
  <c r="L147" i="97" a="1"/>
  <c r="L147" i="97" s="1"/>
  <c r="L94" i="97" a="1"/>
  <c r="L94" i="97" s="1"/>
  <c r="L110" i="97" a="1"/>
  <c r="L110" i="97" s="1"/>
  <c r="L163" i="97" a="1"/>
  <c r="L163" i="97" s="1"/>
  <c r="L149" i="97" a="1"/>
  <c r="L149" i="97" s="1"/>
  <c r="L96" i="97" a="1"/>
  <c r="L96" i="97" s="1"/>
  <c r="L75" i="97" a="1"/>
  <c r="L75" i="97" s="1"/>
  <c r="L128" i="97" a="1"/>
  <c r="L128" i="97" s="1"/>
  <c r="L127" i="97" a="1"/>
  <c r="L127" i="97" s="1"/>
  <c r="L74" i="97" a="1"/>
  <c r="L74" i="97" s="1"/>
  <c r="L93" i="97" a="1"/>
  <c r="L93" i="97" s="1"/>
  <c r="L146" i="97" a="1"/>
  <c r="L146" i="97" s="1"/>
  <c r="L72" i="97" a="1"/>
  <c r="L72" i="97" s="1"/>
  <c r="L125" i="97" a="1"/>
  <c r="L125" i="97" s="1"/>
  <c r="L108" i="97" a="1"/>
  <c r="L108" i="97" s="1"/>
  <c r="L161" i="97" a="1"/>
  <c r="L161" i="97" s="1"/>
  <c r="L88" i="97" a="1"/>
  <c r="L88" i="97" s="1"/>
  <c r="L141" i="97" a="1"/>
  <c r="L141" i="97" s="1"/>
  <c r="L143" i="97" a="1"/>
  <c r="L143" i="97" s="1"/>
  <c r="L90" i="97" a="1"/>
  <c r="L90" i="97" s="1"/>
  <c r="L116" i="97" a="1"/>
  <c r="L116" i="97" s="1"/>
  <c r="L63" i="97" a="1"/>
  <c r="L63" i="97" s="1"/>
  <c r="L119" i="97" a="1"/>
  <c r="L119" i="97" s="1"/>
  <c r="L66" i="97" a="1"/>
  <c r="L66" i="97" s="1"/>
  <c r="L131" i="97" a="1"/>
  <c r="L131" i="97" s="1"/>
  <c r="L78" i="97" a="1"/>
  <c r="L78" i="97" s="1"/>
  <c r="L133" i="97" a="1"/>
  <c r="L133" i="97" s="1"/>
  <c r="L80" i="97" a="1"/>
  <c r="L80" i="97" s="1"/>
  <c r="L135" i="97" a="1"/>
  <c r="L135" i="97" s="1"/>
  <c r="L82" i="97" a="1"/>
  <c r="L82" i="97" s="1"/>
  <c r="L92" i="97" a="1"/>
  <c r="L92" i="97" s="1"/>
  <c r="L145" i="97" a="1"/>
  <c r="L145" i="97" s="1"/>
  <c r="L70" i="97" a="1"/>
  <c r="L70" i="97" s="1"/>
  <c r="L123" i="97" a="1"/>
  <c r="L123" i="97" s="1"/>
  <c r="L121" i="97" a="1"/>
  <c r="L121" i="97" s="1"/>
  <c r="L68" i="97" a="1"/>
  <c r="L68" i="97" s="1"/>
  <c r="K47" i="97"/>
  <c r="L97" i="97" s="1"/>
  <c r="L151" i="97" a="1"/>
  <c r="L151" i="97" s="1"/>
  <c r="L98" i="97" a="1"/>
  <c r="L98" i="97" s="1"/>
  <c r="L81" i="97" a="1"/>
  <c r="L81" i="97" s="1"/>
  <c r="L134" i="97" a="1"/>
  <c r="L134" i="97" s="1"/>
  <c r="K32" i="97"/>
  <c r="L132" i="97" s="1"/>
  <c r="L129" i="97" a="1"/>
  <c r="L129" i="97" s="1"/>
  <c r="L76" i="97" a="1"/>
  <c r="L76" i="97" s="1"/>
  <c r="L158" i="97" a="1"/>
  <c r="L158" i="97" s="1"/>
  <c r="L105" i="97" a="1"/>
  <c r="L105" i="97" s="1"/>
  <c r="L69" i="97" a="1"/>
  <c r="L69" i="97" s="1"/>
  <c r="L122" i="97" a="1"/>
  <c r="L122" i="97" s="1"/>
  <c r="L140" i="97" a="1"/>
  <c r="L140" i="97" s="1"/>
  <c r="L87" i="97" a="1"/>
  <c r="L87" i="97" s="1"/>
  <c r="K42" i="97"/>
  <c r="L144" i="97" s="1"/>
  <c r="L159" i="97" a="1"/>
  <c r="L159" i="97" s="1"/>
  <c r="L106" i="97" a="1"/>
  <c r="L106" i="97" s="1"/>
  <c r="L84" i="97" a="1"/>
  <c r="L84" i="97" s="1"/>
  <c r="L137" i="97" a="1"/>
  <c r="L137" i="97" s="1"/>
  <c r="K57" i="97"/>
  <c r="L162" i="97" s="1"/>
  <c r="K27" i="97"/>
  <c r="L126" i="97" s="1"/>
  <c r="L139" i="97" a="1"/>
  <c r="L139" i="97" s="1"/>
  <c r="L86" i="97" a="1"/>
  <c r="L86" i="97" s="1"/>
  <c r="L117" i="97" a="1"/>
  <c r="L117" i="97" s="1"/>
  <c r="L64" i="97" a="1"/>
  <c r="L64" i="97" s="1"/>
  <c r="M109" i="97" s="1"/>
  <c r="L40" i="146"/>
  <c r="L29" i="146"/>
  <c r="M19" i="146"/>
  <c r="M20" i="146"/>
  <c r="M21" i="146" s="1"/>
  <c r="M22" i="146"/>
  <c r="M18" i="146"/>
  <c r="M53" i="97"/>
  <c r="M51" i="97"/>
  <c r="M52" i="97" s="1"/>
  <c r="M50" i="97"/>
  <c r="M49" i="97"/>
  <c r="M99" i="97" a="1"/>
  <c r="M99" i="97" s="1"/>
  <c r="M152" i="97" a="1"/>
  <c r="M152" i="97" s="1"/>
  <c r="M153" i="97" a="1"/>
  <c r="M153" i="97" s="1"/>
  <c r="M100" i="97" a="1"/>
  <c r="M100" i="97" s="1"/>
  <c r="M155" i="97" a="1"/>
  <c r="M155" i="97" s="1"/>
  <c r="M102" i="97" a="1"/>
  <c r="M102" i="97" s="1"/>
  <c r="M157" i="97" a="1"/>
  <c r="M157" i="97" s="1"/>
  <c r="M104" i="97" a="1"/>
  <c r="M104" i="97" s="1"/>
  <c r="M32" i="146" a="1"/>
  <c r="M32" i="146" s="1"/>
  <c r="M43" i="146" a="1"/>
  <c r="M43" i="146" s="1"/>
  <c r="M30" i="146" a="1"/>
  <c r="M30" i="146" s="1"/>
  <c r="M41" i="146" a="1"/>
  <c r="M41" i="146" s="1"/>
  <c r="M39" i="146" a="1"/>
  <c r="M39" i="146" s="1"/>
  <c r="M28" i="146" a="1"/>
  <c r="M28" i="146" s="1"/>
  <c r="M38" i="146" a="1"/>
  <c r="M38" i="146" s="1"/>
  <c r="M27" i="146" a="1"/>
  <c r="M27" i="146" s="1"/>
  <c r="P107" i="145"/>
  <c r="M103" i="97"/>
  <c r="M156" i="97"/>
  <c r="L138" i="97"/>
  <c r="L85" i="97"/>
  <c r="M14" i="97"/>
  <c r="L120" i="97"/>
  <c r="L67" i="97"/>
  <c r="M31" i="146"/>
  <c r="M42" i="146"/>
  <c r="L13" i="97"/>
  <c r="M13" i="146"/>
  <c r="U66" i="138"/>
  <c r="O62" i="138"/>
  <c r="O68" i="138"/>
  <c r="N62" i="138"/>
  <c r="P68" i="138"/>
  <c r="N61" i="138"/>
  <c r="N65" i="138"/>
  <c r="R68" i="138"/>
  <c r="N63" i="138"/>
  <c r="R72" i="138"/>
  <c r="O72" i="138"/>
  <c r="Q66" i="138"/>
  <c r="O71" i="138"/>
  <c r="R63" i="138"/>
  <c r="N66" i="138"/>
  <c r="O69" i="138"/>
  <c r="N64" i="138"/>
  <c r="O70" i="138"/>
  <c r="O64" i="138"/>
  <c r="U64" i="138"/>
  <c r="Q70" i="138"/>
  <c r="Q72" i="138"/>
  <c r="R65" i="138"/>
  <c r="Q67" i="138"/>
  <c r="T65" i="138"/>
  <c r="N67" i="138"/>
  <c r="U67" i="138"/>
  <c r="N60" i="138"/>
  <c r="K44" i="138" a="1"/>
  <c r="K44" i="138" s="1"/>
  <c r="K39" i="138" a="1"/>
  <c r="K39" i="138" s="1"/>
  <c r="N59" i="138"/>
  <c r="K43" i="138" a="1"/>
  <c r="K43" i="138" s="1"/>
  <c r="K38" i="138" a="1"/>
  <c r="K38" i="138" s="1"/>
  <c r="AK16" i="98" a="1"/>
  <c r="AQ16" i="98" a="1"/>
  <c r="AP16" i="98" a="1"/>
  <c r="AN16" i="98" a="1"/>
  <c r="AO16" i="98" a="1"/>
  <c r="AL16" i="98" a="1"/>
  <c r="AT16" i="98" a="1"/>
  <c r="AS16" i="98" a="1"/>
  <c r="AM16" i="98" a="1"/>
  <c r="AR16" i="98" a="1"/>
  <c r="M38" i="97" a="1"/>
  <c r="M31" i="97" a="1"/>
  <c r="M26" i="97" a="1"/>
  <c r="M28" i="97" a="1"/>
  <c r="M20" i="97" a="1"/>
  <c r="M23" i="97" a="1"/>
  <c r="M48" i="97" a="1"/>
  <c r="N49" i="97" a="1"/>
  <c r="M39" i="97" a="1"/>
  <c r="M45" i="97" a="1"/>
  <c r="M19" i="97" a="1"/>
  <c r="M56" i="97" a="1"/>
  <c r="M58" i="97" a="1"/>
  <c r="M55" i="97" a="1"/>
  <c r="M36" i="97" a="1"/>
  <c r="M35" i="97" a="1"/>
  <c r="M34" i="97" a="1"/>
  <c r="M29" i="97" a="1"/>
  <c r="N53" i="97" a="1"/>
  <c r="N19" i="146" a="1"/>
  <c r="N22" i="146" a="1"/>
  <c r="M54" i="97" a="1"/>
  <c r="N50" i="97" a="1"/>
  <c r="M44" i="97" a="1"/>
  <c r="N20" i="146" a="1"/>
  <c r="N51" i="97" a="1"/>
  <c r="M40" i="97" a="1"/>
  <c r="M46" i="97" a="1"/>
  <c r="M43" i="97" a="1"/>
  <c r="M30" i="97" a="1"/>
  <c r="M25" i="97" a="1"/>
  <c r="M33" i="97" a="1"/>
  <c r="M41" i="97" a="1"/>
  <c r="N18" i="146" a="1"/>
  <c r="M21" i="97" a="1"/>
  <c r="M24" i="97" a="1"/>
  <c r="AT16" i="98" l="1"/>
  <c r="X58" i="138" s="1"/>
  <c r="AO16" i="98"/>
  <c r="S58" i="138" s="1"/>
  <c r="AN16" i="98"/>
  <c r="R58" i="138" s="1"/>
  <c r="AL16" i="98"/>
  <c r="AQ16" i="98"/>
  <c r="U58" i="138" s="1"/>
  <c r="AP16" i="98"/>
  <c r="T58" i="138" s="1"/>
  <c r="AK16" i="98"/>
  <c r="O58" i="138" s="1"/>
  <c r="AS16" i="98"/>
  <c r="W58" i="138" s="1"/>
  <c r="AR16" i="98"/>
  <c r="V58" i="138" s="1"/>
  <c r="AM16" i="98"/>
  <c r="AU16" i="144" a="1"/>
  <c r="AU16" i="144" s="1"/>
  <c r="AV16" i="144" s="1"/>
  <c r="AD38" i="145" s="1"/>
  <c r="AE38" i="145"/>
  <c r="L65" i="97"/>
  <c r="L79" i="97"/>
  <c r="L95" i="97"/>
  <c r="L107" i="97"/>
  <c r="L160" i="97"/>
  <c r="L83" i="97"/>
  <c r="L130" i="97"/>
  <c r="L136" i="97"/>
  <c r="L77" i="97"/>
  <c r="L89" i="97"/>
  <c r="L142" i="97"/>
  <c r="L118" i="97"/>
  <c r="L148" i="97"/>
  <c r="M154" i="97"/>
  <c r="L124" i="97"/>
  <c r="L71" i="97"/>
  <c r="L91" i="97"/>
  <c r="M40" i="97"/>
  <c r="M28" i="97"/>
  <c r="M56" i="97"/>
  <c r="M57" i="97" s="1"/>
  <c r="N162" i="97" s="1"/>
  <c r="M44" i="97"/>
  <c r="M31" i="97"/>
  <c r="M32" i="97" s="1"/>
  <c r="M19" i="97"/>
  <c r="M21" i="97"/>
  <c r="M22" i="97" s="1"/>
  <c r="M41" i="97"/>
  <c r="M42" i="97" s="1"/>
  <c r="M30" i="97"/>
  <c r="M20" i="97"/>
  <c r="M39" i="97"/>
  <c r="M29" i="97"/>
  <c r="M23" i="97"/>
  <c r="M58" i="97"/>
  <c r="M45" i="97"/>
  <c r="M36" i="97"/>
  <c r="M54" i="97"/>
  <c r="M46" i="97"/>
  <c r="M38" i="97"/>
  <c r="M33" i="97"/>
  <c r="M24" i="97"/>
  <c r="M55" i="97"/>
  <c r="M48" i="97"/>
  <c r="M25" i="97"/>
  <c r="M43" i="97"/>
  <c r="M34" i="97"/>
  <c r="M35" i="97"/>
  <c r="M26" i="97"/>
  <c r="M27" i="97" s="1"/>
  <c r="M96" i="97" a="1"/>
  <c r="M96" i="97" s="1"/>
  <c r="M149" i="97" a="1"/>
  <c r="M149" i="97" s="1"/>
  <c r="M75" i="97" a="1"/>
  <c r="M75" i="97" s="1"/>
  <c r="M128" i="97" a="1"/>
  <c r="M128" i="97" s="1"/>
  <c r="M147" i="97" a="1"/>
  <c r="M147" i="97" s="1"/>
  <c r="M94" i="97" a="1"/>
  <c r="M94" i="97" s="1"/>
  <c r="L150" i="97"/>
  <c r="L47" i="97"/>
  <c r="M97" i="97" s="1"/>
  <c r="M93" i="97" a="1"/>
  <c r="M93" i="97" s="1"/>
  <c r="M146" i="97" a="1"/>
  <c r="M146" i="97" s="1"/>
  <c r="M72" i="97" a="1"/>
  <c r="M72" i="97" s="1"/>
  <c r="M125" i="97" a="1"/>
  <c r="M125" i="97" s="1"/>
  <c r="M135" i="97" a="1"/>
  <c r="M135" i="97" s="1"/>
  <c r="M82" i="97" a="1"/>
  <c r="M82" i="97" s="1"/>
  <c r="M116" i="97" a="1"/>
  <c r="M116" i="97" s="1"/>
  <c r="M63" i="97" a="1"/>
  <c r="M63" i="97" s="1"/>
  <c r="M64" i="97" a="1"/>
  <c r="M64" i="97" s="1"/>
  <c r="N109" i="97" s="1"/>
  <c r="M117" i="97" a="1"/>
  <c r="M117" i="97" s="1"/>
  <c r="M90" i="97" a="1"/>
  <c r="M90" i="97" s="1"/>
  <c r="M143" i="97" a="1"/>
  <c r="M143" i="97" s="1"/>
  <c r="M84" i="97" a="1"/>
  <c r="M84" i="97" s="1"/>
  <c r="M137" i="97" a="1"/>
  <c r="M137" i="97" s="1"/>
  <c r="M66" i="97" a="1"/>
  <c r="M66" i="97" s="1"/>
  <c r="M119" i="97" a="1"/>
  <c r="M119" i="97" s="1"/>
  <c r="M68" i="97" a="1"/>
  <c r="M68" i="97" s="1"/>
  <c r="M121" i="97" a="1"/>
  <c r="M121" i="97" s="1"/>
  <c r="L37" i="97"/>
  <c r="M85" i="97" s="1"/>
  <c r="M161" i="97" a="1"/>
  <c r="M161" i="97" s="1"/>
  <c r="M108" i="97" a="1"/>
  <c r="M108" i="97" s="1"/>
  <c r="M78" i="97" a="1"/>
  <c r="M78" i="97" s="1"/>
  <c r="M131" i="97" a="1"/>
  <c r="M131" i="97" s="1"/>
  <c r="M110" i="97" a="1"/>
  <c r="M110" i="97" s="1"/>
  <c r="M163" i="97" a="1"/>
  <c r="M163" i="97" s="1"/>
  <c r="M134" i="97" a="1"/>
  <c r="M134" i="97" s="1"/>
  <c r="M81" i="97" a="1"/>
  <c r="M81" i="97" s="1"/>
  <c r="M133" i="97" a="1"/>
  <c r="M133" i="97" s="1"/>
  <c r="M80" i="97" a="1"/>
  <c r="M80" i="97" s="1"/>
  <c r="M70" i="97" a="1"/>
  <c r="M70" i="97" s="1"/>
  <c r="M123" i="97" a="1"/>
  <c r="M123" i="97" s="1"/>
  <c r="M145" i="97" a="1"/>
  <c r="M145" i="97" s="1"/>
  <c r="M92" i="97" a="1"/>
  <c r="M92" i="97" s="1"/>
  <c r="M76" i="97" a="1"/>
  <c r="M76" i="97" s="1"/>
  <c r="M129" i="97" a="1"/>
  <c r="M129" i="97" s="1"/>
  <c r="M151" i="97" a="1"/>
  <c r="M151" i="97" s="1"/>
  <c r="M98" i="97" a="1"/>
  <c r="M98" i="97" s="1"/>
  <c r="M74" i="97" a="1"/>
  <c r="M74" i="97" s="1"/>
  <c r="M127" i="97" a="1"/>
  <c r="M127" i="97" s="1"/>
  <c r="M139" i="97" a="1"/>
  <c r="M139" i="97" s="1"/>
  <c r="M86" i="97" a="1"/>
  <c r="M86" i="97" s="1"/>
  <c r="L73" i="97"/>
  <c r="M87" i="97" a="1"/>
  <c r="M87" i="97" s="1"/>
  <c r="M140" i="97" a="1"/>
  <c r="M140" i="97" s="1"/>
  <c r="M88" i="97" a="1"/>
  <c r="M88" i="97" s="1"/>
  <c r="M141" i="97" a="1"/>
  <c r="M141" i="97" s="1"/>
  <c r="M158" i="97" a="1"/>
  <c r="M158" i="97" s="1"/>
  <c r="M105" i="97" a="1"/>
  <c r="M105" i="97" s="1"/>
  <c r="M106" i="97" a="1"/>
  <c r="M106" i="97" s="1"/>
  <c r="M159" i="97" a="1"/>
  <c r="M159" i="97" s="1"/>
  <c r="M69" i="97" a="1"/>
  <c r="M69" i="97" s="1"/>
  <c r="M122" i="97" a="1"/>
  <c r="M122" i="97" s="1"/>
  <c r="M101" i="97"/>
  <c r="M29" i="146"/>
  <c r="M40" i="146"/>
  <c r="N20" i="146"/>
  <c r="N21" i="146" s="1"/>
  <c r="N19" i="146"/>
  <c r="N22" i="146"/>
  <c r="N18" i="146"/>
  <c r="N50" i="97"/>
  <c r="N49" i="97"/>
  <c r="N53" i="97"/>
  <c r="N51" i="97"/>
  <c r="N52" i="97" s="1"/>
  <c r="N99" i="97" a="1"/>
  <c r="N99" i="97" s="1"/>
  <c r="N152" i="97" a="1"/>
  <c r="N152" i="97" s="1"/>
  <c r="N153" i="97" a="1"/>
  <c r="N153" i="97" s="1"/>
  <c r="N100" i="97" a="1"/>
  <c r="N100" i="97" s="1"/>
  <c r="N157" i="97" a="1"/>
  <c r="N157" i="97" s="1"/>
  <c r="N104" i="97" a="1"/>
  <c r="N104" i="97" s="1"/>
  <c r="N38" i="146" a="1"/>
  <c r="N38" i="146" s="1"/>
  <c r="N27" i="146" a="1"/>
  <c r="N27" i="146" s="1"/>
  <c r="N102" i="97" a="1"/>
  <c r="N102" i="97" s="1"/>
  <c r="N155" i="97" a="1"/>
  <c r="N155" i="97" s="1"/>
  <c r="N43" i="146" a="1"/>
  <c r="N43" i="146" s="1"/>
  <c r="N32" i="146" a="1"/>
  <c r="N32" i="146" s="1"/>
  <c r="N41" i="146" a="1"/>
  <c r="N41" i="146" s="1"/>
  <c r="N30" i="146" a="1"/>
  <c r="N30" i="146" s="1"/>
  <c r="N28" i="146" a="1"/>
  <c r="N28" i="146" s="1"/>
  <c r="N39" i="146" a="1"/>
  <c r="N39" i="146" s="1"/>
  <c r="P61" i="138"/>
  <c r="Q60" i="138"/>
  <c r="X62" i="138"/>
  <c r="T62" i="138"/>
  <c r="W62" i="138"/>
  <c r="R62" i="138"/>
  <c r="M73" i="97"/>
  <c r="M126" i="97"/>
  <c r="M13" i="97"/>
  <c r="N42" i="146"/>
  <c r="N31" i="146"/>
  <c r="M132" i="97"/>
  <c r="M79" i="97"/>
  <c r="N14" i="97"/>
  <c r="M144" i="97"/>
  <c r="M91" i="97"/>
  <c r="M120" i="97"/>
  <c r="M67" i="97"/>
  <c r="N13" i="146"/>
  <c r="N103" i="97"/>
  <c r="N156" i="97"/>
  <c r="Q65" i="138"/>
  <c r="S64" i="138"/>
  <c r="O67" i="138"/>
  <c r="P62" i="138"/>
  <c r="S65" i="138"/>
  <c r="V62" i="138"/>
  <c r="Q64" i="138"/>
  <c r="O63" i="138"/>
  <c r="S62" i="138"/>
  <c r="T66" i="138"/>
  <c r="Q62" i="138"/>
  <c r="S66" i="138"/>
  <c r="S68" i="138"/>
  <c r="R67" i="138"/>
  <c r="U63" i="138"/>
  <c r="O66" i="138"/>
  <c r="W61" i="138"/>
  <c r="X67" i="138"/>
  <c r="S61" i="138"/>
  <c r="V61" i="138"/>
  <c r="Q61" i="138"/>
  <c r="X65" i="138"/>
  <c r="T63" i="138"/>
  <c r="R61" i="138"/>
  <c r="V66" i="138"/>
  <c r="U61" i="138"/>
  <c r="R64" i="138"/>
  <c r="X66" i="138"/>
  <c r="U62" i="138"/>
  <c r="X64" i="138"/>
  <c r="O65" i="138"/>
  <c r="T61" i="138"/>
  <c r="W66" i="138"/>
  <c r="S63" i="138"/>
  <c r="Q63" i="138"/>
  <c r="V63" i="138"/>
  <c r="X63" i="138"/>
  <c r="P63" i="138"/>
  <c r="S67" i="138"/>
  <c r="Q68" i="138"/>
  <c r="X61" i="138"/>
  <c r="W63" i="138"/>
  <c r="U65" i="138"/>
  <c r="P66" i="138"/>
  <c r="V65" i="138"/>
  <c r="R66" i="138"/>
  <c r="P64" i="138"/>
  <c r="T64" i="138"/>
  <c r="P67" i="138"/>
  <c r="V67" i="138"/>
  <c r="P65" i="138"/>
  <c r="O61" i="138"/>
  <c r="W64" i="138"/>
  <c r="W65" i="138"/>
  <c r="T67" i="138"/>
  <c r="V64" i="138"/>
  <c r="W67" i="138"/>
  <c r="P60" i="138"/>
  <c r="X60" i="138"/>
  <c r="W60" i="138"/>
  <c r="T60" i="138"/>
  <c r="R60" i="138"/>
  <c r="V60" i="138"/>
  <c r="O60" i="138"/>
  <c r="U60" i="138"/>
  <c r="S60" i="138"/>
  <c r="Q59" i="138"/>
  <c r="P59" i="138"/>
  <c r="Q58" i="138"/>
  <c r="P58" i="138"/>
  <c r="R59" i="138"/>
  <c r="S59" i="138"/>
  <c r="U59" i="138"/>
  <c r="W59" i="138"/>
  <c r="V59" i="138"/>
  <c r="T59" i="138"/>
  <c r="X59" i="138"/>
  <c r="O59" i="138"/>
  <c r="N23" i="97" a="1"/>
  <c r="N44" i="97" a="1"/>
  <c r="O51" i="97" a="1"/>
  <c r="N25" i="97" a="1"/>
  <c r="N26" i="97" a="1"/>
  <c r="N28" i="97" a="1"/>
  <c r="N54" i="97" a="1"/>
  <c r="O50" i="97" a="1"/>
  <c r="N55" i="97" a="1"/>
  <c r="N38" i="97" a="1"/>
  <c r="N41" i="97" a="1"/>
  <c r="N56" i="97" a="1"/>
  <c r="O18" i="146" a="1"/>
  <c r="O49" i="97" a="1"/>
  <c r="N36" i="97" a="1"/>
  <c r="O19" i="146" a="1"/>
  <c r="N19" i="97" a="1"/>
  <c r="N48" i="97" a="1"/>
  <c r="N34" i="97" a="1"/>
  <c r="N21" i="97" a="1"/>
  <c r="N35" i="97" a="1"/>
  <c r="N40" i="97" a="1"/>
  <c r="N29" i="97" a="1"/>
  <c r="O20" i="146" a="1"/>
  <c r="N46" i="97" a="1"/>
  <c r="N31" i="97" a="1"/>
  <c r="N24" i="97" a="1"/>
  <c r="N30" i="97" a="1"/>
  <c r="N33" i="97" a="1"/>
  <c r="N58" i="97" a="1"/>
  <c r="N39" i="97" a="1"/>
  <c r="O53" i="97" a="1"/>
  <c r="N43" i="97" a="1"/>
  <c r="N20" i="97" a="1"/>
  <c r="N45" i="97" a="1"/>
  <c r="O22" i="146" a="1"/>
  <c r="M148" i="97" l="1"/>
  <c r="M89" i="97"/>
  <c r="M95" i="97"/>
  <c r="I38" i="145"/>
  <c r="H38" i="145" s="1"/>
  <c r="M130" i="97"/>
  <c r="M77" i="97"/>
  <c r="M142" i="97"/>
  <c r="M138" i="97"/>
  <c r="M124" i="97"/>
  <c r="M65" i="97"/>
  <c r="M71" i="97"/>
  <c r="M118" i="97"/>
  <c r="N29" i="146"/>
  <c r="M83" i="97"/>
  <c r="N40" i="146"/>
  <c r="M107" i="97"/>
  <c r="M136" i="97"/>
  <c r="M160" i="97"/>
  <c r="N44" i="97"/>
  <c r="N31" i="97"/>
  <c r="N32" i="97" s="1"/>
  <c r="N19" i="97"/>
  <c r="N48" i="97"/>
  <c r="N35" i="97"/>
  <c r="N41" i="97"/>
  <c r="N42" i="97" s="1"/>
  <c r="N30" i="97"/>
  <c r="N20" i="97"/>
  <c r="N40" i="97"/>
  <c r="N39" i="97"/>
  <c r="N29" i="97"/>
  <c r="N23" i="97"/>
  <c r="N58" i="97"/>
  <c r="N28" i="97"/>
  <c r="N45" i="97"/>
  <c r="N36" i="97"/>
  <c r="N37" i="97" s="1"/>
  <c r="N54" i="97"/>
  <c r="N38" i="97"/>
  <c r="N46" i="97"/>
  <c r="N47" i="97" s="1"/>
  <c r="N24" i="97"/>
  <c r="N33" i="97"/>
  <c r="N55" i="97"/>
  <c r="N25" i="97"/>
  <c r="N43" i="97"/>
  <c r="N34" i="97"/>
  <c r="N26" i="97"/>
  <c r="N27" i="97" s="1"/>
  <c r="N56" i="97"/>
  <c r="N57" i="97" s="1"/>
  <c r="O162" i="97" s="1"/>
  <c r="N21" i="97"/>
  <c r="N22" i="97" s="1"/>
  <c r="N69" i="97" a="1"/>
  <c r="N69" i="97" s="1"/>
  <c r="N122" i="97" a="1"/>
  <c r="N122" i="97" s="1"/>
  <c r="N149" i="97" a="1"/>
  <c r="N149" i="97" s="1"/>
  <c r="N96" i="97" a="1"/>
  <c r="N96" i="97" s="1"/>
  <c r="M150" i="97"/>
  <c r="N68" i="97" a="1"/>
  <c r="N68" i="97" s="1"/>
  <c r="N121" i="97" a="1"/>
  <c r="N121" i="97" s="1"/>
  <c r="N75" i="97" a="1"/>
  <c r="N75" i="97" s="1"/>
  <c r="N128" i="97" a="1"/>
  <c r="N128" i="97" s="1"/>
  <c r="N87" i="97" a="1"/>
  <c r="N87" i="97" s="1"/>
  <c r="N140" i="97" a="1"/>
  <c r="N140" i="97" s="1"/>
  <c r="N106" i="97" a="1"/>
  <c r="N106" i="97" s="1"/>
  <c r="N159" i="97" a="1"/>
  <c r="N159" i="97" s="1"/>
  <c r="N133" i="97" a="1"/>
  <c r="N133" i="97" s="1"/>
  <c r="N80" i="97" a="1"/>
  <c r="N80" i="97" s="1"/>
  <c r="N137" i="97" a="1"/>
  <c r="N137" i="97" s="1"/>
  <c r="N84" i="97" a="1"/>
  <c r="N84" i="97" s="1"/>
  <c r="N64" i="97" a="1"/>
  <c r="N64" i="97" s="1"/>
  <c r="O109" i="97" s="1"/>
  <c r="N117" i="97" a="1"/>
  <c r="N117" i="97" s="1"/>
  <c r="N147" i="97" a="1"/>
  <c r="N147" i="97" s="1"/>
  <c r="N94" i="97" a="1"/>
  <c r="N94" i="97" s="1"/>
  <c r="N143" i="97" a="1"/>
  <c r="N143" i="97" s="1"/>
  <c r="N90" i="97" a="1"/>
  <c r="N90" i="97" s="1"/>
  <c r="N119" i="97" a="1"/>
  <c r="N119" i="97" s="1"/>
  <c r="N66" i="97" a="1"/>
  <c r="N66" i="97" s="1"/>
  <c r="N158" i="97" a="1"/>
  <c r="N158" i="97" s="1"/>
  <c r="N105" i="97" a="1"/>
  <c r="N105" i="97" s="1"/>
  <c r="N125" i="97" a="1"/>
  <c r="N125" i="97" s="1"/>
  <c r="N72" i="97" a="1"/>
  <c r="N72" i="97" s="1"/>
  <c r="N116" i="97" a="1"/>
  <c r="N116" i="97" s="1"/>
  <c r="N63" i="97" a="1"/>
  <c r="N63" i="97" s="1"/>
  <c r="N82" i="97" a="1"/>
  <c r="N82" i="97" s="1"/>
  <c r="N135" i="97" a="1"/>
  <c r="N135" i="97" s="1"/>
  <c r="N78" i="97" a="1"/>
  <c r="N78" i="97" s="1"/>
  <c r="N131" i="97" a="1"/>
  <c r="N131" i="97" s="1"/>
  <c r="N134" i="97" a="1"/>
  <c r="N134" i="97" s="1"/>
  <c r="N81" i="97" a="1"/>
  <c r="N81" i="97" s="1"/>
  <c r="N146" i="97" a="1"/>
  <c r="N146" i="97" s="1"/>
  <c r="N93" i="97" a="1"/>
  <c r="N93" i="97" s="1"/>
  <c r="N76" i="97" a="1"/>
  <c r="N76" i="97" s="1"/>
  <c r="N129" i="97" a="1"/>
  <c r="N129" i="97" s="1"/>
  <c r="N145" i="97" a="1"/>
  <c r="N145" i="97" s="1"/>
  <c r="N92" i="97" a="1"/>
  <c r="N92" i="97" s="1"/>
  <c r="N161" i="97" a="1"/>
  <c r="N161" i="97" s="1"/>
  <c r="N108" i="97" a="1"/>
  <c r="N108" i="97" s="1"/>
  <c r="M47" i="97"/>
  <c r="N97" i="97" s="1"/>
  <c r="N70" i="97" a="1"/>
  <c r="N70" i="97" s="1"/>
  <c r="N123" i="97" a="1"/>
  <c r="N123" i="97" s="1"/>
  <c r="N127" i="97" a="1"/>
  <c r="N127" i="97" s="1"/>
  <c r="N74" i="97" a="1"/>
  <c r="N74" i="97" s="1"/>
  <c r="N139" i="97" a="1"/>
  <c r="N139" i="97" s="1"/>
  <c r="N86" i="97" a="1"/>
  <c r="N86" i="97" s="1"/>
  <c r="N110" i="97" a="1"/>
  <c r="N110" i="97" s="1"/>
  <c r="N163" i="97" a="1"/>
  <c r="N163" i="97" s="1"/>
  <c r="M37" i="97"/>
  <c r="N138" i="97" s="1"/>
  <c r="N151" i="97" a="1"/>
  <c r="N151" i="97" s="1"/>
  <c r="N98" i="97" a="1"/>
  <c r="N98" i="97" s="1"/>
  <c r="N88" i="97" a="1"/>
  <c r="N88" i="97" s="1"/>
  <c r="N141" i="97" a="1"/>
  <c r="N141" i="97" s="1"/>
  <c r="N154" i="97"/>
  <c r="N101" i="97"/>
  <c r="O51" i="97"/>
  <c r="O52" i="97" s="1"/>
  <c r="O50" i="97"/>
  <c r="O49" i="97"/>
  <c r="O53" i="97"/>
  <c r="O22" i="146"/>
  <c r="O20" i="146"/>
  <c r="O21" i="146" s="1"/>
  <c r="O18" i="146"/>
  <c r="O19" i="146"/>
  <c r="O155" i="97" a="1"/>
  <c r="O155" i="97" s="1"/>
  <c r="O102" i="97" a="1"/>
  <c r="O102" i="97" s="1"/>
  <c r="O104" i="97" a="1"/>
  <c r="O104" i="97" s="1"/>
  <c r="O157" i="97" a="1"/>
  <c r="O157" i="97" s="1"/>
  <c r="O152" i="97" a="1"/>
  <c r="O152" i="97" s="1"/>
  <c r="O99" i="97" a="1"/>
  <c r="O99" i="97" s="1"/>
  <c r="O153" i="97" a="1"/>
  <c r="O153" i="97" s="1"/>
  <c r="O100" i="97" a="1"/>
  <c r="O100" i="97" s="1"/>
  <c r="O38" i="146" a="1"/>
  <c r="O38" i="146" s="1"/>
  <c r="O27" i="146" a="1"/>
  <c r="O27" i="146" s="1"/>
  <c r="O32" i="146" a="1"/>
  <c r="O32" i="146" s="1"/>
  <c r="O43" i="146" a="1"/>
  <c r="O43" i="146" s="1"/>
  <c r="O28" i="146" a="1"/>
  <c r="O28" i="146" s="1"/>
  <c r="O39" i="146" a="1"/>
  <c r="O39" i="146" s="1"/>
  <c r="O30" i="146" a="1"/>
  <c r="O30" i="146" s="1"/>
  <c r="O41" i="146" a="1"/>
  <c r="O41" i="146" s="1"/>
  <c r="O103" i="97"/>
  <c r="O156" i="97"/>
  <c r="N91" i="97"/>
  <c r="N144" i="97"/>
  <c r="N67" i="97"/>
  <c r="N120" i="97"/>
  <c r="O42" i="146"/>
  <c r="O31" i="146"/>
  <c r="O14" i="97"/>
  <c r="O13" i="146"/>
  <c r="N13" i="97"/>
  <c r="N132" i="97"/>
  <c r="N79" i="97"/>
  <c r="N126" i="97"/>
  <c r="N73" i="97"/>
  <c r="O45" i="97" a="1"/>
  <c r="O25" i="97" a="1"/>
  <c r="P18" i="146" a="1"/>
  <c r="P19" i="146" a="1"/>
  <c r="O23" i="97" a="1"/>
  <c r="O26" i="97" a="1"/>
  <c r="O28" i="97" a="1"/>
  <c r="O19" i="97" a="1"/>
  <c r="P50" i="97" a="1"/>
  <c r="O39" i="97" a="1"/>
  <c r="O40" i="97" a="1"/>
  <c r="O33" i="97" a="1"/>
  <c r="O58" i="97" a="1"/>
  <c r="O55" i="97" a="1"/>
  <c r="O35" i="97" a="1"/>
  <c r="O20" i="97" a="1"/>
  <c r="O54" i="97" a="1"/>
  <c r="O56" i="97" a="1"/>
  <c r="P51" i="97" a="1"/>
  <c r="O38" i="97" a="1"/>
  <c r="O36" i="97" a="1"/>
  <c r="P20" i="146" a="1"/>
  <c r="P53" i="97" a="1"/>
  <c r="O29" i="97" a="1"/>
  <c r="O34" i="97" a="1"/>
  <c r="P49" i="97" a="1"/>
  <c r="O46" i="97" a="1"/>
  <c r="O31" i="97" a="1"/>
  <c r="O43" i="97" a="1"/>
  <c r="O48" i="97" a="1"/>
  <c r="P22" i="146" a="1"/>
  <c r="O21" i="97" a="1"/>
  <c r="O24" i="97" a="1"/>
  <c r="O41" i="97" a="1"/>
  <c r="O30" i="97" a="1"/>
  <c r="O44" i="97" a="1"/>
  <c r="N130" i="97" l="1"/>
  <c r="N83" i="97"/>
  <c r="N95" i="97"/>
  <c r="N136" i="97"/>
  <c r="N71" i="97"/>
  <c r="N107" i="97"/>
  <c r="N124" i="97"/>
  <c r="N150" i="97"/>
  <c r="N148" i="97"/>
  <c r="N160" i="97"/>
  <c r="O40" i="146"/>
  <c r="N142" i="97"/>
  <c r="N89" i="97"/>
  <c r="N65" i="97"/>
  <c r="N118" i="97"/>
  <c r="N77" i="97"/>
  <c r="O48" i="97"/>
  <c r="O35" i="97"/>
  <c r="O23" i="97"/>
  <c r="O39" i="97"/>
  <c r="O30" i="97"/>
  <c r="O20" i="97"/>
  <c r="O40" i="97"/>
  <c r="O29" i="97"/>
  <c r="O19" i="97"/>
  <c r="O38" i="97"/>
  <c r="O58" i="97"/>
  <c r="O28" i="97"/>
  <c r="O45" i="97"/>
  <c r="O36" i="97"/>
  <c r="O37" i="97" s="1"/>
  <c r="O31" i="97"/>
  <c r="O32" i="97" s="1"/>
  <c r="O54" i="97"/>
  <c r="O46" i="97"/>
  <c r="O47" i="97" s="1"/>
  <c r="O24" i="97"/>
  <c r="O41" i="97"/>
  <c r="O33" i="97"/>
  <c r="O55" i="97"/>
  <c r="O25" i="97"/>
  <c r="O34" i="97"/>
  <c r="O43" i="97"/>
  <c r="O26" i="97"/>
  <c r="O27" i="97" s="1"/>
  <c r="O21" i="97"/>
  <c r="O22" i="97" s="1"/>
  <c r="O56" i="97"/>
  <c r="O57" i="97" s="1"/>
  <c r="P162" i="97" s="1"/>
  <c r="O44" i="97"/>
  <c r="O149" i="97" a="1"/>
  <c r="O149" i="97" s="1"/>
  <c r="O96" i="97" a="1"/>
  <c r="O96" i="97" s="1"/>
  <c r="O122" i="97" a="1"/>
  <c r="O122" i="97" s="1"/>
  <c r="O69" i="97" a="1"/>
  <c r="O69" i="97" s="1"/>
  <c r="O129" i="97" a="1"/>
  <c r="O129" i="97" s="1"/>
  <c r="O76" i="97" a="1"/>
  <c r="O76" i="97" s="1"/>
  <c r="O108" i="97" a="1"/>
  <c r="O108" i="97" s="1"/>
  <c r="O161" i="97" a="1"/>
  <c r="O161" i="97" s="1"/>
  <c r="O82" i="97" a="1"/>
  <c r="O82" i="97" s="1"/>
  <c r="O135" i="97" a="1"/>
  <c r="O135" i="97" s="1"/>
  <c r="N85" i="97"/>
  <c r="O72" i="97" a="1"/>
  <c r="O72" i="97" s="1"/>
  <c r="O125" i="97" a="1"/>
  <c r="O125" i="97" s="1"/>
  <c r="O151" i="97" a="1"/>
  <c r="O151" i="97" s="1"/>
  <c r="O98" i="97" a="1"/>
  <c r="O98" i="97" s="1"/>
  <c r="O140" i="97" a="1"/>
  <c r="O140" i="97" s="1"/>
  <c r="O87" i="97" a="1"/>
  <c r="O87" i="97" s="1"/>
  <c r="O90" i="97" a="1"/>
  <c r="O90" i="97" s="1"/>
  <c r="O143" i="97" a="1"/>
  <c r="O143" i="97" s="1"/>
  <c r="O134" i="97" a="1"/>
  <c r="O134" i="97" s="1"/>
  <c r="O81" i="97" a="1"/>
  <c r="O81" i="97" s="1"/>
  <c r="O116" i="97" a="1"/>
  <c r="O116" i="97" s="1"/>
  <c r="O63" i="97" a="1"/>
  <c r="O63" i="97" s="1"/>
  <c r="O29" i="146"/>
  <c r="O86" i="97" a="1"/>
  <c r="O86" i="97" s="1"/>
  <c r="O139" i="97" a="1"/>
  <c r="O139" i="97" s="1"/>
  <c r="O110" i="97" a="1"/>
  <c r="O110" i="97" s="1"/>
  <c r="O163" i="97" a="1"/>
  <c r="O163" i="97" s="1"/>
  <c r="O88" i="97" a="1"/>
  <c r="O88" i="97" s="1"/>
  <c r="O141" i="97" a="1"/>
  <c r="O141" i="97" s="1"/>
  <c r="O92" i="97" a="1"/>
  <c r="O92" i="97" s="1"/>
  <c r="O145" i="97" a="1"/>
  <c r="O145" i="97" s="1"/>
  <c r="O131" i="97" a="1"/>
  <c r="O131" i="97" s="1"/>
  <c r="O78" i="97" a="1"/>
  <c r="O78" i="97" s="1"/>
  <c r="O106" i="97" a="1"/>
  <c r="O106" i="97" s="1"/>
  <c r="O159" i="97" a="1"/>
  <c r="O159" i="97" s="1"/>
  <c r="O80" i="97" a="1"/>
  <c r="O80" i="97" s="1"/>
  <c r="O133" i="97" a="1"/>
  <c r="O133" i="97" s="1"/>
  <c r="O158" i="97" a="1"/>
  <c r="O158" i="97" s="1"/>
  <c r="O105" i="97" a="1"/>
  <c r="O105" i="97" s="1"/>
  <c r="O84" i="97" a="1"/>
  <c r="O84" i="97" s="1"/>
  <c r="O137" i="97" a="1"/>
  <c r="O137" i="97" s="1"/>
  <c r="O94" i="97" a="1"/>
  <c r="O94" i="97" s="1"/>
  <c r="O147" i="97" a="1"/>
  <c r="O147" i="97" s="1"/>
  <c r="O74" i="97" a="1"/>
  <c r="O74" i="97" s="1"/>
  <c r="O127" i="97" a="1"/>
  <c r="O127" i="97" s="1"/>
  <c r="O68" i="97" a="1"/>
  <c r="O68" i="97" s="1"/>
  <c r="O121" i="97" a="1"/>
  <c r="O121" i="97" s="1"/>
  <c r="O75" i="97" a="1"/>
  <c r="O75" i="97" s="1"/>
  <c r="O128" i="97" a="1"/>
  <c r="O128" i="97" s="1"/>
  <c r="O64" i="97" a="1"/>
  <c r="O64" i="97" s="1"/>
  <c r="P109" i="97" s="1"/>
  <c r="O117" i="97" a="1"/>
  <c r="O117" i="97" s="1"/>
  <c r="O119" i="97" a="1"/>
  <c r="O119" i="97" s="1"/>
  <c r="O66" i="97" a="1"/>
  <c r="O66" i="97" s="1"/>
  <c r="O70" i="97" a="1"/>
  <c r="O70" i="97" s="1"/>
  <c r="O123" i="97" a="1"/>
  <c r="O123" i="97" s="1"/>
  <c r="O93" i="97" a="1"/>
  <c r="O93" i="97" s="1"/>
  <c r="O146" i="97" a="1"/>
  <c r="O146" i="97" s="1"/>
  <c r="O101" i="97"/>
  <c r="O154" i="97"/>
  <c r="P22" i="146"/>
  <c r="P20" i="146"/>
  <c r="P21" i="146" s="1"/>
  <c r="P18" i="146"/>
  <c r="P19" i="146"/>
  <c r="P51" i="97"/>
  <c r="P49" i="97"/>
  <c r="P50" i="97"/>
  <c r="P53" i="97"/>
  <c r="P32" i="146" a="1"/>
  <c r="P32" i="146" s="1"/>
  <c r="P43" i="146" a="1"/>
  <c r="P43" i="146" s="1"/>
  <c r="P157" i="97" a="1"/>
  <c r="P157" i="97" s="1"/>
  <c r="P104" i="97" a="1"/>
  <c r="P104" i="97" s="1"/>
  <c r="P27" i="146" a="1"/>
  <c r="P27" i="146" s="1"/>
  <c r="P38" i="146" a="1"/>
  <c r="P38" i="146" s="1"/>
  <c r="P152" i="97" a="1"/>
  <c r="P152" i="97" s="1"/>
  <c r="P99" i="97" a="1"/>
  <c r="P99" i="97" s="1"/>
  <c r="P100" i="97" a="1"/>
  <c r="P100" i="97" s="1"/>
  <c r="P153" i="97" a="1"/>
  <c r="P153" i="97" s="1"/>
  <c r="P28" i="146" a="1"/>
  <c r="P28" i="146" s="1"/>
  <c r="P39" i="146" a="1"/>
  <c r="P39" i="146" s="1"/>
  <c r="P41" i="146" a="1"/>
  <c r="P41" i="146" s="1"/>
  <c r="P30" i="146" a="1"/>
  <c r="P30" i="146" s="1"/>
  <c r="P102" i="97" a="1"/>
  <c r="P102" i="97" s="1"/>
  <c r="P155" i="97" a="1"/>
  <c r="P155" i="97" s="1"/>
  <c r="O13" i="97"/>
  <c r="O67" i="97"/>
  <c r="O120" i="97"/>
  <c r="P31" i="146"/>
  <c r="P42" i="146"/>
  <c r="P14" i="97"/>
  <c r="O91" i="97"/>
  <c r="O144" i="97"/>
  <c r="P103" i="97"/>
  <c r="P156" i="97"/>
  <c r="O138" i="97"/>
  <c r="O85" i="97"/>
  <c r="O79" i="97"/>
  <c r="O132" i="97"/>
  <c r="P13" i="146"/>
  <c r="O126" i="97"/>
  <c r="O73" i="97"/>
  <c r="O150" i="97"/>
  <c r="O97" i="97"/>
  <c r="P45" i="97" a="1"/>
  <c r="P33" i="97" a="1"/>
  <c r="P39" i="97" a="1"/>
  <c r="P26" i="97" a="1"/>
  <c r="P48" i="97" a="1"/>
  <c r="P31" i="97" a="1"/>
  <c r="P34" i="97" a="1"/>
  <c r="P23" i="97" a="1"/>
  <c r="P20" i="97" a="1"/>
  <c r="P36" i="97" a="1"/>
  <c r="P55" i="97" a="1"/>
  <c r="Q49" i="97" a="1"/>
  <c r="Q22" i="146" a="1"/>
  <c r="Q50" i="97" a="1"/>
  <c r="Q20" i="146" a="1"/>
  <c r="P38" i="97" a="1"/>
  <c r="P41" i="97" a="1"/>
  <c r="P46" i="97" a="1"/>
  <c r="Q18" i="146" a="1"/>
  <c r="P58" i="97" a="1"/>
  <c r="P40" i="97" a="1"/>
  <c r="Q19" i="146" a="1"/>
  <c r="P54" i="97" a="1"/>
  <c r="P24" i="97" a="1"/>
  <c r="P44" i="97" a="1"/>
  <c r="P21" i="97" a="1"/>
  <c r="P43" i="97" a="1"/>
  <c r="P25" i="97" a="1"/>
  <c r="Q51" i="97" a="1"/>
  <c r="P29" i="97" a="1"/>
  <c r="P30" i="97" a="1"/>
  <c r="P56" i="97" a="1"/>
  <c r="Q53" i="97" a="1"/>
  <c r="P19" i="97" a="1"/>
  <c r="P28" i="97" a="1"/>
  <c r="P35" i="97" a="1"/>
  <c r="O65" i="97" l="1"/>
  <c r="O118" i="97"/>
  <c r="O142" i="97"/>
  <c r="O71" i="97"/>
  <c r="O89" i="97"/>
  <c r="O130" i="97"/>
  <c r="O77" i="97"/>
  <c r="O148" i="97"/>
  <c r="O160" i="97"/>
  <c r="O95" i="97"/>
  <c r="O107" i="97"/>
  <c r="O124" i="97"/>
  <c r="O136" i="97"/>
  <c r="O83" i="97"/>
  <c r="P39" i="97"/>
  <c r="P26" i="97"/>
  <c r="P27" i="97" s="1"/>
  <c r="P55" i="97"/>
  <c r="P40" i="97"/>
  <c r="P29" i="97"/>
  <c r="P19" i="97"/>
  <c r="P38" i="97"/>
  <c r="P58" i="97"/>
  <c r="P28" i="97"/>
  <c r="P48" i="97"/>
  <c r="P46" i="97"/>
  <c r="P47" i="97" s="1"/>
  <c r="P45" i="97"/>
  <c r="P36" i="97"/>
  <c r="P37" i="97" s="1"/>
  <c r="P31" i="97"/>
  <c r="P32" i="97" s="1"/>
  <c r="P23" i="97"/>
  <c r="P54" i="97"/>
  <c r="P24" i="97"/>
  <c r="P41" i="97"/>
  <c r="P33" i="97"/>
  <c r="P34" i="97"/>
  <c r="P25" i="97"/>
  <c r="P43" i="97"/>
  <c r="P20" i="97"/>
  <c r="P21" i="97"/>
  <c r="P22" i="97" s="1"/>
  <c r="P56" i="97"/>
  <c r="P57" i="97" s="1"/>
  <c r="Q162" i="97" s="1"/>
  <c r="P30" i="97"/>
  <c r="P35" i="97"/>
  <c r="P44" i="97"/>
  <c r="P105" i="97" a="1"/>
  <c r="P105" i="97" s="1"/>
  <c r="P158" i="97" a="1"/>
  <c r="P158" i="97" s="1"/>
  <c r="P74" i="97" a="1"/>
  <c r="P74" i="97" s="1"/>
  <c r="P127" i="97" a="1"/>
  <c r="P127" i="97" s="1"/>
  <c r="P163" i="97" a="1"/>
  <c r="P163" i="97" s="1"/>
  <c r="P110" i="97" a="1"/>
  <c r="P110" i="97" s="1"/>
  <c r="P86" i="97" a="1"/>
  <c r="P86" i="97" s="1"/>
  <c r="P139" i="97" a="1"/>
  <c r="P139" i="97" s="1"/>
  <c r="P128" i="97" a="1"/>
  <c r="P128" i="97" s="1"/>
  <c r="P75" i="97" a="1"/>
  <c r="P75" i="97" s="1"/>
  <c r="P143" i="97" a="1"/>
  <c r="P143" i="97" s="1"/>
  <c r="P90" i="97" a="1"/>
  <c r="P90" i="97" s="1"/>
  <c r="P40" i="146"/>
  <c r="P93" i="97" a="1"/>
  <c r="P93" i="97" s="1"/>
  <c r="P146" i="97" a="1"/>
  <c r="P146" i="97" s="1"/>
  <c r="P64" i="97" a="1"/>
  <c r="P64" i="97" s="1"/>
  <c r="Q109" i="97" s="1"/>
  <c r="P117" i="97" a="1"/>
  <c r="P117" i="97" s="1"/>
  <c r="P69" i="97" a="1"/>
  <c r="P69" i="97" s="1"/>
  <c r="P122" i="97" a="1"/>
  <c r="P122" i="97" s="1"/>
  <c r="P84" i="97" a="1"/>
  <c r="P84" i="97" s="1"/>
  <c r="P137" i="97" a="1"/>
  <c r="P137" i="97" s="1"/>
  <c r="P63" i="97" a="1"/>
  <c r="P63" i="97" s="1"/>
  <c r="P116" i="97" a="1"/>
  <c r="P116" i="97" s="1"/>
  <c r="P88" i="97" a="1"/>
  <c r="P88" i="97" s="1"/>
  <c r="P141" i="97" a="1"/>
  <c r="P141" i="97" s="1"/>
  <c r="P108" i="97" a="1"/>
  <c r="P108" i="97" s="1"/>
  <c r="P161" i="97" a="1"/>
  <c r="P161" i="97" s="1"/>
  <c r="P129" i="97" a="1"/>
  <c r="P129" i="97" s="1"/>
  <c r="P76" i="97" a="1"/>
  <c r="P76" i="97" s="1"/>
  <c r="P70" i="97" a="1"/>
  <c r="P70" i="97" s="1"/>
  <c r="P123" i="97" a="1"/>
  <c r="P123" i="97" s="1"/>
  <c r="P131" i="97" a="1"/>
  <c r="P131" i="97" s="1"/>
  <c r="P78" i="97" a="1"/>
  <c r="P78" i="97" s="1"/>
  <c r="P66" i="97" a="1"/>
  <c r="P66" i="97" s="1"/>
  <c r="P119" i="97" a="1"/>
  <c r="P119" i="97" s="1"/>
  <c r="P140" i="97" a="1"/>
  <c r="P140" i="97" s="1"/>
  <c r="P87" i="97" a="1"/>
  <c r="P87" i="97" s="1"/>
  <c r="P72" i="97" a="1"/>
  <c r="P72" i="97" s="1"/>
  <c r="P125" i="97" a="1"/>
  <c r="P125" i="97" s="1"/>
  <c r="P68" i="97" a="1"/>
  <c r="P68" i="97" s="1"/>
  <c r="P121" i="97" a="1"/>
  <c r="P121" i="97" s="1"/>
  <c r="P80" i="97" a="1"/>
  <c r="P80" i="97" s="1"/>
  <c r="P133" i="97" a="1"/>
  <c r="P133" i="97" s="1"/>
  <c r="P94" i="97" a="1"/>
  <c r="P94" i="97" s="1"/>
  <c r="P147" i="97" a="1"/>
  <c r="P147" i="97" s="1"/>
  <c r="P92" i="97" a="1"/>
  <c r="P92" i="97" s="1"/>
  <c r="P145" i="97" a="1"/>
  <c r="P145" i="97" s="1"/>
  <c r="P135" i="97" a="1"/>
  <c r="P135" i="97" s="1"/>
  <c r="P82" i="97" a="1"/>
  <c r="P82" i="97" s="1"/>
  <c r="P106" i="97" a="1"/>
  <c r="P106" i="97" s="1"/>
  <c r="P159" i="97" a="1"/>
  <c r="P159" i="97" s="1"/>
  <c r="O42" i="97"/>
  <c r="P144" i="97" s="1"/>
  <c r="P149" i="97" a="1"/>
  <c r="P149" i="97" s="1"/>
  <c r="P96" i="97" a="1"/>
  <c r="P96" i="97" s="1"/>
  <c r="P134" i="97" a="1"/>
  <c r="P134" i="97" s="1"/>
  <c r="P81" i="97" a="1"/>
  <c r="P81" i="97" s="1"/>
  <c r="P151" i="97" a="1"/>
  <c r="P151" i="97" s="1"/>
  <c r="P98" i="97" a="1"/>
  <c r="P98" i="97" s="1"/>
  <c r="P29" i="146"/>
  <c r="P154" i="97"/>
  <c r="P101" i="97"/>
  <c r="Q19" i="146"/>
  <c r="Q22" i="146"/>
  <c r="Q20" i="146"/>
  <c r="Q21" i="146" s="1"/>
  <c r="Q18" i="146"/>
  <c r="Q49" i="97"/>
  <c r="Q50" i="97"/>
  <c r="Q51" i="97"/>
  <c r="Q52" i="97" s="1"/>
  <c r="Q53" i="97"/>
  <c r="Q155" i="97" a="1"/>
  <c r="Q155" i="97" s="1"/>
  <c r="Q102" i="97" a="1"/>
  <c r="Q102" i="97" s="1"/>
  <c r="Q28" i="146" a="1"/>
  <c r="Q28" i="146" s="1"/>
  <c r="Q39" i="146" a="1"/>
  <c r="Q39" i="146" s="1"/>
  <c r="Q38" i="146" a="1"/>
  <c r="Q38" i="146" s="1"/>
  <c r="Q27" i="146" a="1"/>
  <c r="Q27" i="146" s="1"/>
  <c r="Q157" i="97" a="1"/>
  <c r="Q157" i="97" s="1"/>
  <c r="Q104" i="97" a="1"/>
  <c r="Q104" i="97" s="1"/>
  <c r="Q153" i="97" a="1"/>
  <c r="Q153" i="97" s="1"/>
  <c r="Q100" i="97" a="1"/>
  <c r="Q100" i="97" s="1"/>
  <c r="Q41" i="146" a="1"/>
  <c r="Q41" i="146" s="1"/>
  <c r="Q30" i="146" a="1"/>
  <c r="Q30" i="146" s="1"/>
  <c r="Q152" i="97" a="1"/>
  <c r="Q152" i="97" s="1"/>
  <c r="Q99" i="97" a="1"/>
  <c r="Q99" i="97" s="1"/>
  <c r="P52" i="97"/>
  <c r="Q156" i="97" s="1"/>
  <c r="Q43" i="146" a="1"/>
  <c r="Q43" i="146" s="1"/>
  <c r="Q32" i="146" a="1"/>
  <c r="Q32" i="146" s="1"/>
  <c r="P97" i="97"/>
  <c r="P150" i="97"/>
  <c r="P120" i="97"/>
  <c r="P67" i="97"/>
  <c r="Q31" i="146"/>
  <c r="Q42" i="146"/>
  <c r="P126" i="97"/>
  <c r="P73" i="97"/>
  <c r="Q14" i="97"/>
  <c r="P132" i="97"/>
  <c r="P79" i="97"/>
  <c r="Q13" i="146"/>
  <c r="P13" i="97"/>
  <c r="P138" i="97"/>
  <c r="P85" i="97"/>
  <c r="Q43" i="97" a="1"/>
  <c r="Q44" i="97" a="1"/>
  <c r="Q24" i="97" a="1"/>
  <c r="Q20" i="97" a="1"/>
  <c r="Q55" i="97" a="1"/>
  <c r="Q38" i="97" a="1"/>
  <c r="Q25" i="97" a="1"/>
  <c r="R53" i="97" a="1"/>
  <c r="Q41" i="97" a="1"/>
  <c r="Q34" i="97" a="1"/>
  <c r="Q45" i="97" a="1"/>
  <c r="Q35" i="97" a="1"/>
  <c r="Q26" i="97" a="1"/>
  <c r="R18" i="146" a="1"/>
  <c r="R22" i="146" a="1"/>
  <c r="R49" i="97" a="1"/>
  <c r="R51" i="97" a="1"/>
  <c r="Q46" i="97" a="1"/>
  <c r="Q56" i="97" a="1"/>
  <c r="Q29" i="97" a="1"/>
  <c r="Q40" i="97" a="1"/>
  <c r="Q48" i="97" a="1"/>
  <c r="R20" i="146" a="1"/>
  <c r="Q19" i="97" a="1"/>
  <c r="Q31" i="97" a="1"/>
  <c r="Q30" i="97" a="1"/>
  <c r="Q21" i="97" a="1"/>
  <c r="Q23" i="97" a="1"/>
  <c r="Q33" i="97" a="1"/>
  <c r="Q54" i="97" a="1"/>
  <c r="R19" i="146" a="1"/>
  <c r="R50" i="97" a="1"/>
  <c r="Q36" i="97" a="1"/>
  <c r="Q58" i="97" a="1"/>
  <c r="Q39" i="97" a="1"/>
  <c r="Q28" i="97" a="1"/>
  <c r="P118" i="97" l="1"/>
  <c r="Q103" i="97"/>
  <c r="P160" i="97"/>
  <c r="P77" i="97"/>
  <c r="Q40" i="146"/>
  <c r="P130" i="97"/>
  <c r="P71" i="97"/>
  <c r="Q29" i="146"/>
  <c r="P124" i="97"/>
  <c r="P107" i="97"/>
  <c r="P89" i="97"/>
  <c r="P148" i="97"/>
  <c r="P142" i="97"/>
  <c r="P95" i="97"/>
  <c r="P83" i="97"/>
  <c r="P136" i="97"/>
  <c r="Q55" i="97"/>
  <c r="Q43" i="97"/>
  <c r="Q30" i="97"/>
  <c r="Q29" i="97"/>
  <c r="Q19" i="97"/>
  <c r="Q39" i="97"/>
  <c r="Q38" i="97"/>
  <c r="Q58" i="97"/>
  <c r="Q28" i="97"/>
  <c r="Q48" i="97"/>
  <c r="Q46" i="97"/>
  <c r="Q47" i="97" s="1"/>
  <c r="Q36" i="97"/>
  <c r="Q37" i="97" s="1"/>
  <c r="Q56" i="97"/>
  <c r="Q57" i="97" s="1"/>
  <c r="R162" i="97" s="1"/>
  <c r="Q26" i="97"/>
  <c r="Q54" i="97"/>
  <c r="Q40" i="97"/>
  <c r="Q24" i="97"/>
  <c r="Q41" i="97"/>
  <c r="Q42" i="97" s="1"/>
  <c r="Q33" i="97"/>
  <c r="Q34" i="97"/>
  <c r="Q25" i="97"/>
  <c r="Q20" i="97"/>
  <c r="Q21" i="97"/>
  <c r="Q22" i="97" s="1"/>
  <c r="Q44" i="97"/>
  <c r="Q35" i="97"/>
  <c r="Q45" i="97"/>
  <c r="Q31" i="97"/>
  <c r="Q32" i="97" s="1"/>
  <c r="Q23" i="97"/>
  <c r="Q81" i="97" a="1"/>
  <c r="Q81" i="97" s="1"/>
  <c r="Q134" i="97" a="1"/>
  <c r="Q134" i="97" s="1"/>
  <c r="Q133" i="97" a="1"/>
  <c r="Q133" i="97" s="1"/>
  <c r="Q80" i="97" a="1"/>
  <c r="Q80" i="97" s="1"/>
  <c r="Q131" i="97" a="1"/>
  <c r="Q131" i="97" s="1"/>
  <c r="Q78" i="97" a="1"/>
  <c r="Q78" i="97" s="1"/>
  <c r="P91" i="97"/>
  <c r="Q94" i="97" a="1"/>
  <c r="Q94" i="97" s="1"/>
  <c r="Q147" i="97" a="1"/>
  <c r="Q147" i="97" s="1"/>
  <c r="Q96" i="97" a="1"/>
  <c r="Q96" i="97" s="1"/>
  <c r="Q149" i="97" a="1"/>
  <c r="Q149" i="97" s="1"/>
  <c r="Q151" i="97" a="1"/>
  <c r="Q151" i="97" s="1"/>
  <c r="Q98" i="97" a="1"/>
  <c r="Q98" i="97" s="1"/>
  <c r="Q123" i="97" a="1"/>
  <c r="Q123" i="97" s="1"/>
  <c r="Q70" i="97" a="1"/>
  <c r="Q70" i="97" s="1"/>
  <c r="Q143" i="97" a="1"/>
  <c r="Q143" i="97" s="1"/>
  <c r="Q90" i="97" a="1"/>
  <c r="Q90" i="97" s="1"/>
  <c r="Q163" i="97" a="1"/>
  <c r="Q163" i="97" s="1"/>
  <c r="Q110" i="97" a="1"/>
  <c r="Q110" i="97" s="1"/>
  <c r="Q69" i="97" a="1"/>
  <c r="Q69" i="97" s="1"/>
  <c r="Q122" i="97" a="1"/>
  <c r="Q122" i="97" s="1"/>
  <c r="Q86" i="97" a="1"/>
  <c r="Q86" i="97" s="1"/>
  <c r="Q139" i="97" a="1"/>
  <c r="Q139" i="97" s="1"/>
  <c r="Q93" i="97" a="1"/>
  <c r="Q93" i="97" s="1"/>
  <c r="Q146" i="97" a="1"/>
  <c r="Q146" i="97" s="1"/>
  <c r="Q63" i="97" a="1"/>
  <c r="Q63" i="97" s="1"/>
  <c r="Q116" i="97" a="1"/>
  <c r="Q116" i="97" s="1"/>
  <c r="P65" i="97"/>
  <c r="Q121" i="97" a="1"/>
  <c r="Q121" i="97" s="1"/>
  <c r="Q68" i="97" a="1"/>
  <c r="Q68" i="97" s="1"/>
  <c r="Q135" i="97" a="1"/>
  <c r="Q135" i="97" s="1"/>
  <c r="Q82" i="97" a="1"/>
  <c r="Q82" i="97" s="1"/>
  <c r="Q75" i="97" a="1"/>
  <c r="Q75" i="97" s="1"/>
  <c r="Q128" i="97" a="1"/>
  <c r="Q128" i="97" s="1"/>
  <c r="P42" i="97"/>
  <c r="Q91" i="97" s="1"/>
  <c r="Q74" i="97" a="1"/>
  <c r="Q74" i="97" s="1"/>
  <c r="Q127" i="97" a="1"/>
  <c r="Q127" i="97" s="1"/>
  <c r="Q76" i="97" a="1"/>
  <c r="Q76" i="97" s="1"/>
  <c r="Q129" i="97" a="1"/>
  <c r="Q129" i="97" s="1"/>
  <c r="Q88" i="97" a="1"/>
  <c r="Q88" i="97" s="1"/>
  <c r="Q141" i="97" a="1"/>
  <c r="Q141" i="97" s="1"/>
  <c r="Q92" i="97" a="1"/>
  <c r="Q92" i="97" s="1"/>
  <c r="Q145" i="97" a="1"/>
  <c r="Q145" i="97" s="1"/>
  <c r="Q84" i="97" a="1"/>
  <c r="Q84" i="97" s="1"/>
  <c r="Q137" i="97" a="1"/>
  <c r="Q137" i="97" s="1"/>
  <c r="Q108" i="97" a="1"/>
  <c r="Q108" i="97" s="1"/>
  <c r="Q161" i="97" a="1"/>
  <c r="Q161" i="97" s="1"/>
  <c r="Q106" i="97" a="1"/>
  <c r="Q106" i="97" s="1"/>
  <c r="Q159" i="97" a="1"/>
  <c r="Q159" i="97" s="1"/>
  <c r="Q105" i="97" a="1"/>
  <c r="Q105" i="97" s="1"/>
  <c r="Q158" i="97" a="1"/>
  <c r="Q158" i="97" s="1"/>
  <c r="Q66" i="97" a="1"/>
  <c r="Q66" i="97" s="1"/>
  <c r="Q119" i="97" a="1"/>
  <c r="Q119" i="97" s="1"/>
  <c r="Q72" i="97" a="1"/>
  <c r="Q72" i="97" s="1"/>
  <c r="Q125" i="97" a="1"/>
  <c r="Q125" i="97" s="1"/>
  <c r="Q64" i="97" a="1"/>
  <c r="Q64" i="97" s="1"/>
  <c r="R109" i="97" s="1"/>
  <c r="Q117" i="97" a="1"/>
  <c r="Q117" i="97" s="1"/>
  <c r="Q87" i="97" a="1"/>
  <c r="Q87" i="97" s="1"/>
  <c r="Q140" i="97" a="1"/>
  <c r="Q140" i="97" s="1"/>
  <c r="Q101" i="97"/>
  <c r="Q154" i="97"/>
  <c r="R50" i="97"/>
  <c r="R51" i="97"/>
  <c r="R52" i="97" s="1"/>
  <c r="R53" i="97"/>
  <c r="R49" i="97"/>
  <c r="R19" i="146"/>
  <c r="R22" i="146"/>
  <c r="R20" i="146"/>
  <c r="R21" i="146" s="1"/>
  <c r="R18" i="146"/>
  <c r="R157" i="97" a="1"/>
  <c r="R157" i="97" s="1"/>
  <c r="R104" i="97" a="1"/>
  <c r="R104" i="97" s="1"/>
  <c r="R152" i="97" a="1"/>
  <c r="R152" i="97" s="1"/>
  <c r="R99" i="97" a="1"/>
  <c r="R99" i="97" s="1"/>
  <c r="R38" i="146" a="1"/>
  <c r="R38" i="146" s="1"/>
  <c r="R27" i="146" a="1"/>
  <c r="R27" i="146" s="1"/>
  <c r="R41" i="146" a="1"/>
  <c r="R41" i="146" s="1"/>
  <c r="R30" i="146" a="1"/>
  <c r="R30" i="146" s="1"/>
  <c r="R155" i="97" a="1"/>
  <c r="R155" i="97" s="1"/>
  <c r="R102" i="97" a="1"/>
  <c r="R102" i="97" s="1"/>
  <c r="R43" i="146" a="1"/>
  <c r="R43" i="146" s="1"/>
  <c r="R32" i="146" a="1"/>
  <c r="R32" i="146" s="1"/>
  <c r="R153" i="97" a="1"/>
  <c r="R153" i="97" s="1"/>
  <c r="R100" i="97" a="1"/>
  <c r="R100" i="97" s="1"/>
  <c r="R39" i="146" a="1"/>
  <c r="R39" i="146" s="1"/>
  <c r="R28" i="146" a="1"/>
  <c r="R28" i="146" s="1"/>
  <c r="R42" i="146"/>
  <c r="R31" i="146"/>
  <c r="R14" i="97"/>
  <c r="Q138" i="97"/>
  <c r="Q85" i="97"/>
  <c r="R13" i="146"/>
  <c r="Q67" i="97"/>
  <c r="Q120" i="97"/>
  <c r="Q97" i="97"/>
  <c r="Q150" i="97"/>
  <c r="Q73" i="97"/>
  <c r="Q126" i="97"/>
  <c r="Q13" i="97"/>
  <c r="R156" i="97"/>
  <c r="R103" i="97"/>
  <c r="Q79" i="97"/>
  <c r="Q132" i="97"/>
  <c r="R36" i="97" a="1"/>
  <c r="R55" i="97" a="1"/>
  <c r="R23" i="97" a="1"/>
  <c r="S50" i="97" a="1"/>
  <c r="S22" i="146" a="1"/>
  <c r="S49" i="97" a="1"/>
  <c r="R28" i="97" a="1"/>
  <c r="R29" i="97" a="1"/>
  <c r="R30" i="97" a="1"/>
  <c r="S18" i="146" a="1"/>
  <c r="R48" i="97" a="1"/>
  <c r="R26" i="97" a="1"/>
  <c r="R54" i="97" a="1"/>
  <c r="R31" i="97" a="1"/>
  <c r="R40" i="97" a="1"/>
  <c r="R33" i="97" a="1"/>
  <c r="R20" i="97" a="1"/>
  <c r="R46" i="97" a="1"/>
  <c r="R34" i="97" a="1"/>
  <c r="S53" i="97" a="1"/>
  <c r="S51" i="97" a="1"/>
  <c r="R35" i="97" a="1"/>
  <c r="R19" i="97" a="1"/>
  <c r="R58" i="97" a="1"/>
  <c r="R24" i="97" a="1"/>
  <c r="R21" i="97" a="1"/>
  <c r="R38" i="97" a="1"/>
  <c r="S20" i="146" a="1"/>
  <c r="R39" i="97" a="1"/>
  <c r="R41" i="97" a="1"/>
  <c r="R44" i="97" a="1"/>
  <c r="R43" i="97" a="1"/>
  <c r="S19" i="146" a="1"/>
  <c r="R45" i="97" a="1"/>
  <c r="R56" i="97" a="1"/>
  <c r="R25" i="97" a="1"/>
  <c r="Q83" i="97" l="1"/>
  <c r="Q118" i="97"/>
  <c r="Q148" i="97"/>
  <c r="Q160" i="97"/>
  <c r="R29" i="146"/>
  <c r="R40" i="146"/>
  <c r="Q107" i="97"/>
  <c r="Q95" i="97"/>
  <c r="Q136" i="97"/>
  <c r="Q142" i="97"/>
  <c r="Q71" i="97"/>
  <c r="Q89" i="97"/>
  <c r="Q124" i="97"/>
  <c r="Q130" i="97"/>
  <c r="Q77" i="97"/>
  <c r="R46" i="97"/>
  <c r="R47" i="97" s="1"/>
  <c r="R34" i="97"/>
  <c r="R21" i="97"/>
  <c r="R22" i="97" s="1"/>
  <c r="R39" i="97"/>
  <c r="R38" i="97"/>
  <c r="R58" i="97"/>
  <c r="R28" i="97"/>
  <c r="R48" i="97"/>
  <c r="R36" i="97"/>
  <c r="R56" i="97"/>
  <c r="R57" i="97" s="1"/>
  <c r="S162" i="97" s="1"/>
  <c r="R26" i="97"/>
  <c r="R27" i="97" s="1"/>
  <c r="R25" i="97"/>
  <c r="R45" i="97"/>
  <c r="R55" i="97"/>
  <c r="R24" i="97"/>
  <c r="R41" i="97"/>
  <c r="R33" i="97"/>
  <c r="R19" i="97"/>
  <c r="R20" i="97"/>
  <c r="R29" i="97"/>
  <c r="R43" i="97"/>
  <c r="R44" i="97"/>
  <c r="R35" i="97"/>
  <c r="R30" i="97"/>
  <c r="R23" i="97"/>
  <c r="R54" i="97"/>
  <c r="R40" i="97"/>
  <c r="R31" i="97"/>
  <c r="R32" i="97" s="1"/>
  <c r="R80" i="97" a="1"/>
  <c r="R80" i="97" s="1"/>
  <c r="R133" i="97" a="1"/>
  <c r="R133" i="97" s="1"/>
  <c r="R72" i="97" a="1"/>
  <c r="R72" i="97" s="1"/>
  <c r="R125" i="97" a="1"/>
  <c r="R125" i="97" s="1"/>
  <c r="R137" i="97" a="1"/>
  <c r="R137" i="97" s="1"/>
  <c r="R84" i="97" a="1"/>
  <c r="R84" i="97" s="1"/>
  <c r="Q144" i="97"/>
  <c r="R149" i="97" a="1"/>
  <c r="R149" i="97" s="1"/>
  <c r="R96" i="97" a="1"/>
  <c r="R96" i="97" s="1"/>
  <c r="R151" i="97" a="1"/>
  <c r="R151" i="97" s="1"/>
  <c r="R98" i="97" a="1"/>
  <c r="R98" i="97" s="1"/>
  <c r="R158" i="97" a="1"/>
  <c r="R158" i="97" s="1"/>
  <c r="R105" i="97" a="1"/>
  <c r="R105" i="97" s="1"/>
  <c r="Q65" i="97"/>
  <c r="R163" i="97" a="1"/>
  <c r="R163" i="97" s="1"/>
  <c r="R110" i="97" a="1"/>
  <c r="R110" i="97" s="1"/>
  <c r="R70" i="97" a="1"/>
  <c r="R70" i="97" s="1"/>
  <c r="R123" i="97" a="1"/>
  <c r="R123" i="97" s="1"/>
  <c r="R122" i="97" a="1"/>
  <c r="R122" i="97" s="1"/>
  <c r="R69" i="97" a="1"/>
  <c r="R69" i="97" s="1"/>
  <c r="R154" i="97"/>
  <c r="R68" i="97" a="1"/>
  <c r="R68" i="97" s="1"/>
  <c r="R121" i="97" a="1"/>
  <c r="R121" i="97" s="1"/>
  <c r="R87" i="97" a="1"/>
  <c r="R87" i="97" s="1"/>
  <c r="R140" i="97" a="1"/>
  <c r="R140" i="97" s="1"/>
  <c r="R134" i="97" a="1"/>
  <c r="R134" i="97" s="1"/>
  <c r="R81" i="97" a="1"/>
  <c r="R81" i="97" s="1"/>
  <c r="Q27" i="97"/>
  <c r="R73" i="97" s="1"/>
  <c r="R78" i="97" a="1"/>
  <c r="R78" i="97" s="1"/>
  <c r="R131" i="97" a="1"/>
  <c r="R131" i="97" s="1"/>
  <c r="R63" i="97" a="1"/>
  <c r="R63" i="97" s="1"/>
  <c r="R116" i="97" a="1"/>
  <c r="R116" i="97" s="1"/>
  <c r="R147" i="97" a="1"/>
  <c r="R147" i="97" s="1"/>
  <c r="R94" i="97" a="1"/>
  <c r="R94" i="97" s="1"/>
  <c r="R75" i="97" a="1"/>
  <c r="R75" i="97" s="1"/>
  <c r="R128" i="97" a="1"/>
  <c r="R128" i="97" s="1"/>
  <c r="R161" i="97" a="1"/>
  <c r="R161" i="97" s="1"/>
  <c r="R108" i="97" a="1"/>
  <c r="R108" i="97" s="1"/>
  <c r="R135" i="97" a="1"/>
  <c r="R135" i="97" s="1"/>
  <c r="R82" i="97" a="1"/>
  <c r="R82" i="97" s="1"/>
  <c r="R129" i="97" a="1"/>
  <c r="R129" i="97" s="1"/>
  <c r="R76" i="97" a="1"/>
  <c r="R76" i="97" s="1"/>
  <c r="R88" i="97" a="1"/>
  <c r="R88" i="97" s="1"/>
  <c r="R141" i="97" a="1"/>
  <c r="R141" i="97" s="1"/>
  <c r="R127" i="97" a="1"/>
  <c r="R127" i="97" s="1"/>
  <c r="R74" i="97" a="1"/>
  <c r="R74" i="97" s="1"/>
  <c r="R93" i="97" a="1"/>
  <c r="R93" i="97" s="1"/>
  <c r="R146" i="97" a="1"/>
  <c r="R146" i="97" s="1"/>
  <c r="R92" i="97" a="1"/>
  <c r="R92" i="97" s="1"/>
  <c r="R145" i="97" a="1"/>
  <c r="R145" i="97" s="1"/>
  <c r="R117" i="97" a="1"/>
  <c r="R117" i="97" s="1"/>
  <c r="R64" i="97" a="1"/>
  <c r="R64" i="97" s="1"/>
  <c r="S109" i="97" s="1"/>
  <c r="R143" i="97" a="1"/>
  <c r="R143" i="97" s="1"/>
  <c r="R90" i="97" a="1"/>
  <c r="R90" i="97" s="1"/>
  <c r="R86" i="97" a="1"/>
  <c r="R86" i="97" s="1"/>
  <c r="R139" i="97" a="1"/>
  <c r="R139" i="97" s="1"/>
  <c r="R66" i="97" a="1"/>
  <c r="R66" i="97" s="1"/>
  <c r="R119" i="97" a="1"/>
  <c r="R119" i="97" s="1"/>
  <c r="R106" i="97" a="1"/>
  <c r="R106" i="97" s="1"/>
  <c r="R159" i="97" a="1"/>
  <c r="R159" i="97" s="1"/>
  <c r="R101" i="97"/>
  <c r="S20" i="146"/>
  <c r="S21" i="146" s="1"/>
  <c r="S19" i="146"/>
  <c r="S18" i="146"/>
  <c r="S22" i="146"/>
  <c r="S50" i="97"/>
  <c r="S51" i="97"/>
  <c r="S52" i="97" s="1"/>
  <c r="S53" i="97"/>
  <c r="S49" i="97"/>
  <c r="S28" i="146" a="1"/>
  <c r="S28" i="146" s="1"/>
  <c r="S39" i="146" a="1"/>
  <c r="S39" i="146" s="1"/>
  <c r="S99" i="97" a="1"/>
  <c r="S99" i="97" s="1"/>
  <c r="S152" i="97" a="1"/>
  <c r="S152" i="97" s="1"/>
  <c r="S157" i="97" a="1"/>
  <c r="S157" i="97" s="1"/>
  <c r="S104" i="97" a="1"/>
  <c r="S104" i="97" s="1"/>
  <c r="S43" i="146" a="1"/>
  <c r="S43" i="146" s="1"/>
  <c r="S32" i="146" a="1"/>
  <c r="S32" i="146" s="1"/>
  <c r="S102" i="97" a="1"/>
  <c r="S102" i="97" s="1"/>
  <c r="S155" i="97" a="1"/>
  <c r="S155" i="97" s="1"/>
  <c r="S27" i="146" a="1"/>
  <c r="S27" i="146" s="1"/>
  <c r="S38" i="146" a="1"/>
  <c r="S38" i="146" s="1"/>
  <c r="S30" i="146" a="1"/>
  <c r="S30" i="146" s="1"/>
  <c r="S41" i="146" a="1"/>
  <c r="S41" i="146" s="1"/>
  <c r="S100" i="97" a="1"/>
  <c r="S100" i="97" s="1"/>
  <c r="S153" i="97" a="1"/>
  <c r="S153" i="97" s="1"/>
  <c r="R97" i="97"/>
  <c r="R150" i="97"/>
  <c r="S42" i="146"/>
  <c r="S31" i="146"/>
  <c r="R132" i="97"/>
  <c r="R79" i="97"/>
  <c r="R144" i="97"/>
  <c r="R91" i="97"/>
  <c r="S103" i="97"/>
  <c r="S156" i="97"/>
  <c r="S14" i="97"/>
  <c r="R13" i="97"/>
  <c r="R67" i="97"/>
  <c r="R120" i="97"/>
  <c r="S13" i="146"/>
  <c r="R85" i="97"/>
  <c r="R138" i="97"/>
  <c r="T22" i="146" a="1"/>
  <c r="T19" i="146" a="1"/>
  <c r="S25" i="97" a="1"/>
  <c r="T53" i="97" a="1"/>
  <c r="S31" i="97" a="1"/>
  <c r="S39" i="97" a="1"/>
  <c r="S55" i="97" a="1"/>
  <c r="S36" i="97" a="1"/>
  <c r="S56" i="97" a="1"/>
  <c r="S35" i="97" a="1"/>
  <c r="S33" i="97" a="1"/>
  <c r="S34" i="97" a="1"/>
  <c r="S30" i="97" a="1"/>
  <c r="S23" i="97" a="1"/>
  <c r="T50" i="97" a="1"/>
  <c r="T51" i="97" a="1"/>
  <c r="T49" i="97" a="1"/>
  <c r="S58" i="97" a="1"/>
  <c r="T18" i="146" a="1"/>
  <c r="S26" i="97" a="1"/>
  <c r="S41" i="97" a="1"/>
  <c r="S48" i="97" a="1"/>
  <c r="S45" i="97" a="1"/>
  <c r="S43" i="97" a="1"/>
  <c r="S28" i="97" a="1"/>
  <c r="S24" i="97" a="1"/>
  <c r="T20" i="146" a="1"/>
  <c r="S38" i="97" a="1"/>
  <c r="S19" i="97" a="1"/>
  <c r="S29" i="97" a="1"/>
  <c r="S20" i="97" a="1"/>
  <c r="S40" i="97" a="1"/>
  <c r="S21" i="97" a="1"/>
  <c r="S54" i="97" a="1"/>
  <c r="S46" i="97" a="1"/>
  <c r="S44" i="97" a="1"/>
  <c r="R71" i="97" l="1"/>
  <c r="R124" i="97"/>
  <c r="R160" i="97"/>
  <c r="R89" i="97"/>
  <c r="R65" i="97"/>
  <c r="R148" i="97"/>
  <c r="R136" i="97"/>
  <c r="R95" i="97"/>
  <c r="R142" i="97"/>
  <c r="S154" i="97"/>
  <c r="S101" i="97"/>
  <c r="R83" i="97"/>
  <c r="R126" i="97"/>
  <c r="S40" i="146"/>
  <c r="R130" i="97"/>
  <c r="R77" i="97"/>
  <c r="R107" i="97"/>
  <c r="R118" i="97"/>
  <c r="S21" i="97"/>
  <c r="S22" i="97" s="1"/>
  <c r="S38" i="97"/>
  <c r="S25" i="97"/>
  <c r="S48" i="97"/>
  <c r="S28" i="97"/>
  <c r="S36" i="97"/>
  <c r="S37" i="97" s="1"/>
  <c r="S56" i="97"/>
  <c r="S57" i="97" s="1"/>
  <c r="T162" i="97" s="1"/>
  <c r="S26" i="97"/>
  <c r="S27" i="97" s="1"/>
  <c r="S46" i="97"/>
  <c r="S47" i="97" s="1"/>
  <c r="S45" i="97"/>
  <c r="S35" i="97"/>
  <c r="S55" i="97"/>
  <c r="S54" i="97"/>
  <c r="S24" i="97"/>
  <c r="S33" i="97"/>
  <c r="S41" i="97"/>
  <c r="S42" i="97" s="1"/>
  <c r="S19" i="97"/>
  <c r="S58" i="97"/>
  <c r="S20" i="97"/>
  <c r="S29" i="97"/>
  <c r="S34" i="97"/>
  <c r="S43" i="97"/>
  <c r="S44" i="97"/>
  <c r="S30" i="97"/>
  <c r="S39" i="97"/>
  <c r="S23" i="97"/>
  <c r="S40" i="97"/>
  <c r="S31" i="97"/>
  <c r="S32" i="97" s="1"/>
  <c r="S64" i="97" a="1"/>
  <c r="S64" i="97" s="1"/>
  <c r="T109" i="97" s="1"/>
  <c r="S117" i="97" a="1"/>
  <c r="S117" i="97" s="1"/>
  <c r="S70" i="97" a="1"/>
  <c r="S70" i="97" s="1"/>
  <c r="S123" i="97" a="1"/>
  <c r="S123" i="97" s="1"/>
  <c r="S125" i="97" a="1"/>
  <c r="S125" i="97" s="1"/>
  <c r="S72" i="97" a="1"/>
  <c r="S72" i="97" s="1"/>
  <c r="S161" i="97" a="1"/>
  <c r="S161" i="97" s="1"/>
  <c r="S108" i="97" a="1"/>
  <c r="S108" i="97" s="1"/>
  <c r="S80" i="97" a="1"/>
  <c r="S80" i="97" s="1"/>
  <c r="S133" i="97" a="1"/>
  <c r="S133" i="97" s="1"/>
  <c r="S137" i="97" a="1"/>
  <c r="S137" i="97" s="1"/>
  <c r="S84" i="97" a="1"/>
  <c r="S84" i="97" s="1"/>
  <c r="S106" i="97" a="1"/>
  <c r="S106" i="97" s="1"/>
  <c r="S159" i="97" a="1"/>
  <c r="S159" i="97" s="1"/>
  <c r="R37" i="97"/>
  <c r="S138" i="97" s="1"/>
  <c r="S127" i="97" a="1"/>
  <c r="S127" i="97" s="1"/>
  <c r="S74" i="97" a="1"/>
  <c r="S74" i="97" s="1"/>
  <c r="S88" i="97" a="1"/>
  <c r="S88" i="97" s="1"/>
  <c r="S141" i="97" a="1"/>
  <c r="S141" i="97" s="1"/>
  <c r="S86" i="97" a="1"/>
  <c r="S86" i="97" s="1"/>
  <c r="S139" i="97" a="1"/>
  <c r="S139" i="97" s="1"/>
  <c r="S128" i="97" a="1"/>
  <c r="S128" i="97" s="1"/>
  <c r="S75" i="97" a="1"/>
  <c r="S75" i="97" s="1"/>
  <c r="S116" i="97" a="1"/>
  <c r="S116" i="97" s="1"/>
  <c r="S63" i="97" a="1"/>
  <c r="S63" i="97" s="1"/>
  <c r="S78" i="97" a="1"/>
  <c r="S78" i="97" s="1"/>
  <c r="S131" i="97" a="1"/>
  <c r="S131" i="97" s="1"/>
  <c r="S158" i="97" a="1"/>
  <c r="S158" i="97" s="1"/>
  <c r="S105" i="97" a="1"/>
  <c r="S105" i="97" s="1"/>
  <c r="S140" i="97" a="1"/>
  <c r="S140" i="97" s="1"/>
  <c r="S87" i="97" a="1"/>
  <c r="S87" i="97" s="1"/>
  <c r="S121" i="97" a="1"/>
  <c r="S121" i="97" s="1"/>
  <c r="S68" i="97" a="1"/>
  <c r="S68" i="97" s="1"/>
  <c r="S66" i="97" a="1"/>
  <c r="S66" i="97" s="1"/>
  <c r="S119" i="97" a="1"/>
  <c r="S119" i="97" s="1"/>
  <c r="S93" i="97" a="1"/>
  <c r="S93" i="97" s="1"/>
  <c r="S146" i="97" a="1"/>
  <c r="S146" i="97" s="1"/>
  <c r="S90" i="97" a="1"/>
  <c r="S90" i="97" s="1"/>
  <c r="S143" i="97" a="1"/>
  <c r="S143" i="97" s="1"/>
  <c r="R42" i="97"/>
  <c r="S91" i="97" s="1"/>
  <c r="S129" i="97" a="1"/>
  <c r="S129" i="97" s="1"/>
  <c r="S76" i="97" a="1"/>
  <c r="S76" i="97" s="1"/>
  <c r="S81" i="97" a="1"/>
  <c r="S81" i="97" s="1"/>
  <c r="S134" i="97" a="1"/>
  <c r="S134" i="97" s="1"/>
  <c r="S145" i="97" a="1"/>
  <c r="S145" i="97" s="1"/>
  <c r="S92" i="97" a="1"/>
  <c r="S92" i="97" s="1"/>
  <c r="S122" i="97" a="1"/>
  <c r="S122" i="97" s="1"/>
  <c r="S69" i="97" a="1"/>
  <c r="S69" i="97" s="1"/>
  <c r="S147" i="97" a="1"/>
  <c r="S147" i="97" s="1"/>
  <c r="S94" i="97" a="1"/>
  <c r="S94" i="97" s="1"/>
  <c r="S98" i="97" a="1"/>
  <c r="S98" i="97" s="1"/>
  <c r="S151" i="97" a="1"/>
  <c r="S151" i="97" s="1"/>
  <c r="S163" i="97" a="1"/>
  <c r="S163" i="97" s="1"/>
  <c r="S110" i="97" a="1"/>
  <c r="S110" i="97" s="1"/>
  <c r="S135" i="97" a="1"/>
  <c r="S135" i="97" s="1"/>
  <c r="S82" i="97" a="1"/>
  <c r="S82" i="97" s="1"/>
  <c r="S96" i="97" a="1"/>
  <c r="S96" i="97" s="1"/>
  <c r="S149" i="97" a="1"/>
  <c r="S149" i="97" s="1"/>
  <c r="S29" i="146"/>
  <c r="T50" i="97"/>
  <c r="T51" i="97"/>
  <c r="T52" i="97" s="1"/>
  <c r="T53" i="97"/>
  <c r="T49" i="97"/>
  <c r="T20" i="146"/>
  <c r="T21" i="146" s="1"/>
  <c r="T19" i="146"/>
  <c r="T18" i="146"/>
  <c r="T22" i="146"/>
  <c r="T153" i="97" a="1"/>
  <c r="T153" i="97" s="1"/>
  <c r="T100" i="97" a="1"/>
  <c r="T100" i="97" s="1"/>
  <c r="T157" i="97" a="1"/>
  <c r="T157" i="97" s="1"/>
  <c r="T104" i="97" a="1"/>
  <c r="T104" i="97" s="1"/>
  <c r="T32" i="146" a="1"/>
  <c r="T32" i="146" s="1"/>
  <c r="T43" i="146" a="1"/>
  <c r="T43" i="146" s="1"/>
  <c r="T27" i="146" a="1"/>
  <c r="T27" i="146" s="1"/>
  <c r="T38" i="146" a="1"/>
  <c r="T38" i="146" s="1"/>
  <c r="T99" i="97" a="1"/>
  <c r="T99" i="97" s="1"/>
  <c r="T152" i="97" a="1"/>
  <c r="T152" i="97" s="1"/>
  <c r="T28" i="146" a="1"/>
  <c r="T28" i="146" s="1"/>
  <c r="T39" i="146" a="1"/>
  <c r="T39" i="146" s="1"/>
  <c r="T102" i="97" a="1"/>
  <c r="T102" i="97" s="1"/>
  <c r="T155" i="97" a="1"/>
  <c r="T155" i="97" s="1"/>
  <c r="T41" i="146" a="1"/>
  <c r="T41" i="146" s="1"/>
  <c r="T30" i="146" a="1"/>
  <c r="T30" i="146" s="1"/>
  <c r="S97" i="97"/>
  <c r="S150" i="97"/>
  <c r="T42" i="146"/>
  <c r="T31" i="146"/>
  <c r="S126" i="97"/>
  <c r="S73" i="97"/>
  <c r="S67" i="97"/>
  <c r="S120" i="97"/>
  <c r="S132" i="97"/>
  <c r="S79" i="97"/>
  <c r="S13" i="97"/>
  <c r="T103" i="97"/>
  <c r="T156" i="97"/>
  <c r="T19" i="97" a="1"/>
  <c r="T28" i="97" a="1"/>
  <c r="T41" i="97" a="1"/>
  <c r="T40" i="97" a="1"/>
  <c r="T55" i="97" a="1"/>
  <c r="T44" i="97" a="1"/>
  <c r="T34" i="97" a="1"/>
  <c r="T56" i="97" a="1"/>
  <c r="T38" i="97" a="1"/>
  <c r="T45" i="97" a="1"/>
  <c r="T36" i="97" a="1"/>
  <c r="T26" i="97" a="1"/>
  <c r="T25" i="97" a="1"/>
  <c r="T33" i="97" a="1"/>
  <c r="T20" i="97" a="1"/>
  <c r="T31" i="97" a="1"/>
  <c r="T46" i="97" a="1"/>
  <c r="T24" i="97" a="1"/>
  <c r="T39" i="97" a="1"/>
  <c r="T29" i="97" a="1"/>
  <c r="T30" i="97" a="1"/>
  <c r="T54" i="97" a="1"/>
  <c r="T43" i="97" a="1"/>
  <c r="T21" i="97" a="1"/>
  <c r="T23" i="97" a="1"/>
  <c r="T58" i="97" a="1"/>
  <c r="T48" i="97" a="1"/>
  <c r="T35" i="97" a="1"/>
  <c r="S83" i="97" l="1"/>
  <c r="S85" i="97"/>
  <c r="S130" i="97"/>
  <c r="S77" i="97"/>
  <c r="S65" i="97"/>
  <c r="S71" i="97"/>
  <c r="S107" i="97"/>
  <c r="S160" i="97"/>
  <c r="S118" i="97"/>
  <c r="T154" i="97"/>
  <c r="S136" i="97"/>
  <c r="T101" i="97"/>
  <c r="S89" i="97"/>
  <c r="S142" i="97"/>
  <c r="S124" i="97"/>
  <c r="S148" i="97"/>
  <c r="S95" i="97"/>
  <c r="S144" i="97"/>
  <c r="T40" i="146"/>
  <c r="T29" i="146"/>
  <c r="T38" i="97"/>
  <c r="T25" i="97"/>
  <c r="T54" i="97"/>
  <c r="T41" i="97"/>
  <c r="T42" i="97" s="1"/>
  <c r="T29" i="97"/>
  <c r="T36" i="97"/>
  <c r="T37" i="97" s="1"/>
  <c r="T56" i="97"/>
  <c r="T57" i="97" s="1"/>
  <c r="U162" i="97" s="1"/>
  <c r="F162" i="97" s="1" a="1"/>
  <c r="F162" i="97" s="1"/>
  <c r="T26" i="97"/>
  <c r="T27" i="97" s="1"/>
  <c r="T46" i="97"/>
  <c r="T47" i="97" s="1"/>
  <c r="T45" i="97"/>
  <c r="T35" i="97"/>
  <c r="T55" i="97"/>
  <c r="T44" i="97"/>
  <c r="T24" i="97"/>
  <c r="T34" i="97"/>
  <c r="T58" i="97"/>
  <c r="T28" i="97"/>
  <c r="T20" i="97"/>
  <c r="T43" i="97"/>
  <c r="T30" i="97"/>
  <c r="T21" i="97"/>
  <c r="T48" i="97"/>
  <c r="T39" i="97"/>
  <c r="T23" i="97"/>
  <c r="T40" i="97"/>
  <c r="T31" i="97"/>
  <c r="T32" i="97" s="1"/>
  <c r="T33" i="97"/>
  <c r="T19" i="97"/>
  <c r="T158" i="97" a="1"/>
  <c r="T158" i="97" s="1"/>
  <c r="T105" i="97" a="1"/>
  <c r="T105" i="97" s="1"/>
  <c r="T135" i="97" a="1"/>
  <c r="T135" i="97" s="1"/>
  <c r="T82" i="97" a="1"/>
  <c r="T82" i="97" s="1"/>
  <c r="T147" i="97" a="1"/>
  <c r="T147" i="97" s="1"/>
  <c r="T94" i="97" a="1"/>
  <c r="T94" i="97" s="1"/>
  <c r="T163" i="97" a="1"/>
  <c r="T163" i="97" s="1"/>
  <c r="T110" i="97" a="1"/>
  <c r="T110" i="97" s="1"/>
  <c r="T64" i="97" a="1"/>
  <c r="T64" i="97" s="1"/>
  <c r="U109" i="97" s="1"/>
  <c r="F109" i="97" s="1"/>
  <c r="Y15" i="138" s="1"/>
  <c r="T117" i="97" a="1"/>
  <c r="T117" i="97" s="1"/>
  <c r="T63" i="97" a="1"/>
  <c r="T63" i="97" s="1"/>
  <c r="T116" i="97" a="1"/>
  <c r="T116" i="97" s="1"/>
  <c r="T159" i="97" a="1"/>
  <c r="T159" i="97" s="1"/>
  <c r="T106" i="97" a="1"/>
  <c r="T106" i="97" s="1"/>
  <c r="T125" i="97" a="1"/>
  <c r="T125" i="97" s="1"/>
  <c r="T72" i="97" a="1"/>
  <c r="T72" i="97" s="1"/>
  <c r="T134" i="97" a="1"/>
  <c r="T134" i="97" s="1"/>
  <c r="T81" i="97" a="1"/>
  <c r="T81" i="97" s="1"/>
  <c r="T78" i="97" a="1"/>
  <c r="T78" i="97" s="1"/>
  <c r="T131" i="97" a="1"/>
  <c r="T131" i="97" s="1"/>
  <c r="T137" i="97" a="1"/>
  <c r="T137" i="97" s="1"/>
  <c r="T84" i="97" a="1"/>
  <c r="T84" i="97" s="1"/>
  <c r="T88" i="97" a="1"/>
  <c r="T88" i="97" s="1"/>
  <c r="T141" i="97" a="1"/>
  <c r="T141" i="97" s="1"/>
  <c r="T74" i="97" a="1"/>
  <c r="T74" i="97" s="1"/>
  <c r="T127" i="97" a="1"/>
  <c r="T127" i="97" s="1"/>
  <c r="T121" i="97" a="1"/>
  <c r="T121" i="97" s="1"/>
  <c r="T68" i="97" a="1"/>
  <c r="T68" i="97" s="1"/>
  <c r="T98" i="97" a="1"/>
  <c r="T98" i="97" s="1"/>
  <c r="T151" i="97" a="1"/>
  <c r="T151" i="97" s="1"/>
  <c r="T145" i="97" a="1"/>
  <c r="T145" i="97" s="1"/>
  <c r="T92" i="97" a="1"/>
  <c r="T92" i="97" s="1"/>
  <c r="T143" i="97" a="1"/>
  <c r="T143" i="97" s="1"/>
  <c r="T90" i="97" a="1"/>
  <c r="T90" i="97" s="1"/>
  <c r="T69" i="97" a="1"/>
  <c r="T69" i="97" s="1"/>
  <c r="T122" i="97" a="1"/>
  <c r="T122" i="97" s="1"/>
  <c r="T140" i="97" a="1"/>
  <c r="T140" i="97" s="1"/>
  <c r="T87" i="97" a="1"/>
  <c r="T87" i="97" s="1"/>
  <c r="T70" i="97" a="1"/>
  <c r="T70" i="97" s="1"/>
  <c r="T123" i="97" a="1"/>
  <c r="T123" i="97" s="1"/>
  <c r="T129" i="97" a="1"/>
  <c r="T129" i="97" s="1"/>
  <c r="T76" i="97" a="1"/>
  <c r="T76" i="97" s="1"/>
  <c r="T86" i="97" a="1"/>
  <c r="T86" i="97" s="1"/>
  <c r="T139" i="97" a="1"/>
  <c r="T139" i="97" s="1"/>
  <c r="T75" i="97" a="1"/>
  <c r="T75" i="97" s="1"/>
  <c r="T128" i="97" a="1"/>
  <c r="T128" i="97" s="1"/>
  <c r="T80" i="97" a="1"/>
  <c r="T80" i="97" s="1"/>
  <c r="T133" i="97" a="1"/>
  <c r="T133" i="97" s="1"/>
  <c r="T96" i="97" a="1"/>
  <c r="T96" i="97" s="1"/>
  <c r="T149" i="97" a="1"/>
  <c r="T149" i="97" s="1"/>
  <c r="T161" i="97" a="1"/>
  <c r="T161" i="97" s="1"/>
  <c r="T108" i="97" a="1"/>
  <c r="T108" i="97" s="1"/>
  <c r="T146" i="97" a="1"/>
  <c r="T146" i="97" s="1"/>
  <c r="T93" i="97" a="1"/>
  <c r="T93" i="97" s="1"/>
  <c r="T119" i="97" a="1"/>
  <c r="T119" i="97" s="1"/>
  <c r="T66" i="97" a="1"/>
  <c r="T66" i="97" s="1"/>
  <c r="U38" i="146" a="1"/>
  <c r="U38" i="146" s="1"/>
  <c r="F38" i="146" s="1" a="1"/>
  <c r="F38" i="146" s="1"/>
  <c r="U27" i="146" a="1"/>
  <c r="U27" i="146" s="1"/>
  <c r="F27" i="146" s="1"/>
  <c r="U39" i="146" a="1"/>
  <c r="U39" i="146" s="1"/>
  <c r="F39" i="146" s="1" a="1"/>
  <c r="F39" i="146" s="1"/>
  <c r="U28" i="146" a="1"/>
  <c r="U28" i="146" s="1"/>
  <c r="F28" i="146" s="1"/>
  <c r="U41" i="146" a="1"/>
  <c r="U41" i="146" s="1"/>
  <c r="F41" i="146" s="1" a="1"/>
  <c r="F41" i="146" s="1"/>
  <c r="U30" i="146" a="1"/>
  <c r="U30" i="146" s="1"/>
  <c r="F30" i="146" s="1"/>
  <c r="U99" i="97" a="1"/>
  <c r="U99" i="97" s="1"/>
  <c r="F99" i="97" s="1"/>
  <c r="U152" i="97" a="1"/>
  <c r="U152" i="97" s="1"/>
  <c r="U157" i="97" a="1"/>
  <c r="U157" i="97" s="1"/>
  <c r="F157" i="97" s="1" a="1"/>
  <c r="F157" i="97" s="1"/>
  <c r="U104" i="97" a="1"/>
  <c r="U104" i="97" s="1"/>
  <c r="F104" i="97" s="1"/>
  <c r="U155" i="97" a="1"/>
  <c r="U155" i="97" s="1"/>
  <c r="F155" i="97" s="1" a="1"/>
  <c r="F155" i="97" s="1"/>
  <c r="U102" i="97" a="1"/>
  <c r="U102" i="97" s="1"/>
  <c r="F102" i="97" s="1"/>
  <c r="U32" i="146" a="1"/>
  <c r="U32" i="146" s="1"/>
  <c r="F32" i="146" s="1"/>
  <c r="U43" i="146" a="1"/>
  <c r="U43" i="146" s="1"/>
  <c r="F43" i="146" s="1" a="1"/>
  <c r="F43" i="146" s="1"/>
  <c r="U153" i="97" a="1"/>
  <c r="U153" i="97" s="1"/>
  <c r="F153" i="97" s="1" a="1"/>
  <c r="F153" i="97" s="1"/>
  <c r="U100" i="97" a="1"/>
  <c r="U100" i="97" s="1"/>
  <c r="F100" i="97" s="1"/>
  <c r="T150" i="97"/>
  <c r="T97" i="97"/>
  <c r="T138" i="97"/>
  <c r="T85" i="97"/>
  <c r="U31" i="146"/>
  <c r="F31" i="146" s="1"/>
  <c r="U42" i="146"/>
  <c r="F42" i="146" s="1" a="1"/>
  <c r="F42" i="146" s="1"/>
  <c r="T144" i="97"/>
  <c r="T91" i="97"/>
  <c r="T126" i="97"/>
  <c r="T73" i="97"/>
  <c r="T79" i="97"/>
  <c r="T132" i="97"/>
  <c r="U103" i="97"/>
  <c r="F103" i="97" s="1"/>
  <c r="U156" i="97"/>
  <c r="F156" i="97" s="1" a="1"/>
  <c r="F156" i="97" s="1"/>
  <c r="T120" i="97"/>
  <c r="T67" i="97"/>
  <c r="T77" i="97" l="1"/>
  <c r="T83" i="97"/>
  <c r="T148" i="97"/>
  <c r="T95" i="97"/>
  <c r="T130" i="97"/>
  <c r="T136" i="97"/>
  <c r="T118" i="97"/>
  <c r="T89" i="97"/>
  <c r="T142" i="97"/>
  <c r="T124" i="97"/>
  <c r="T71" i="97"/>
  <c r="T160" i="97"/>
  <c r="T65" i="97"/>
  <c r="U119" i="97" a="1"/>
  <c r="U119" i="97" s="1"/>
  <c r="F119" i="97" s="1" a="1"/>
  <c r="F119" i="97" s="1"/>
  <c r="U66" i="97" a="1"/>
  <c r="U66" i="97" s="1"/>
  <c r="F66" i="97" s="1"/>
  <c r="J14" i="138" s="1"/>
  <c r="U69" i="97" a="1"/>
  <c r="U69" i="97" s="1"/>
  <c r="F69" i="97" s="1"/>
  <c r="U122" i="97" a="1"/>
  <c r="U122" i="97" s="1"/>
  <c r="U159" i="97" a="1"/>
  <c r="U159" i="97" s="1"/>
  <c r="F159" i="97" s="1" a="1"/>
  <c r="F159" i="97" s="1"/>
  <c r="U106" i="97" a="1"/>
  <c r="U106" i="97" s="1"/>
  <c r="F106" i="97" s="1"/>
  <c r="U82" i="97" a="1"/>
  <c r="U82" i="97" s="1"/>
  <c r="F82" i="97" s="1"/>
  <c r="U135" i="97" a="1"/>
  <c r="U135" i="97" s="1"/>
  <c r="F135" i="97" s="1" a="1"/>
  <c r="F135" i="97" s="1"/>
  <c r="U147" i="97" a="1"/>
  <c r="U147" i="97" s="1"/>
  <c r="F147" i="97" s="1" a="1"/>
  <c r="F147" i="97" s="1"/>
  <c r="U94" i="97" a="1"/>
  <c r="U94" i="97" s="1"/>
  <c r="F94" i="97" s="1"/>
  <c r="U96" i="97" a="1"/>
  <c r="U96" i="97" s="1"/>
  <c r="F96" i="97" s="1"/>
  <c r="T18" i="138" s="1"/>
  <c r="U149" i="97" a="1"/>
  <c r="U149" i="97" s="1"/>
  <c r="F149" i="97" s="1" a="1"/>
  <c r="F149" i="97" s="1"/>
  <c r="U72" i="97" a="1"/>
  <c r="U72" i="97" s="1"/>
  <c r="F72" i="97" s="1"/>
  <c r="J18" i="138" s="1"/>
  <c r="U125" i="97" a="1"/>
  <c r="U125" i="97" s="1"/>
  <c r="F125" i="97" s="1" a="1"/>
  <c r="F125" i="97" s="1"/>
  <c r="U64" i="97" a="1"/>
  <c r="U64" i="97" s="1"/>
  <c r="F64" i="97" s="1"/>
  <c r="U117" i="97" a="1"/>
  <c r="U117" i="97" s="1"/>
  <c r="F117" i="97" s="1" a="1"/>
  <c r="F117" i="97" s="1"/>
  <c r="T22" i="97"/>
  <c r="U67" i="97" s="1"/>
  <c r="F67" i="97" s="1"/>
  <c r="J15" i="138" s="1"/>
  <c r="U161" i="97" a="1"/>
  <c r="U161" i="97" s="1"/>
  <c r="F161" i="97" s="1" a="1"/>
  <c r="F161" i="97" s="1"/>
  <c r="U108" i="97" a="1"/>
  <c r="U108" i="97" s="1"/>
  <c r="F108" i="97" s="1"/>
  <c r="Y14" i="138" s="1"/>
  <c r="U145" i="97" a="1"/>
  <c r="U145" i="97" s="1"/>
  <c r="F145" i="97" s="1" a="1"/>
  <c r="F145" i="97" s="1"/>
  <c r="U92" i="97" a="1"/>
  <c r="U92" i="97" s="1"/>
  <c r="F92" i="97" s="1"/>
  <c r="U163" i="97" a="1"/>
  <c r="U163" i="97" s="1"/>
  <c r="F163" i="97" s="1" a="1"/>
  <c r="F163" i="97" s="1"/>
  <c r="U110" i="97" a="1"/>
  <c r="U110" i="97" s="1"/>
  <c r="F110" i="97" s="1"/>
  <c r="U134" i="97" a="1"/>
  <c r="U134" i="97" s="1"/>
  <c r="F134" i="97" s="1" a="1"/>
  <c r="F134" i="97" s="1"/>
  <c r="U81" i="97" a="1"/>
  <c r="U81" i="97" s="1"/>
  <c r="U40" i="146"/>
  <c r="F40" i="146" s="1" a="1"/>
  <c r="F40" i="146" s="1"/>
  <c r="E38" i="146" s="1" a="1"/>
  <c r="E38" i="146" s="1"/>
  <c r="U63" i="97" a="1"/>
  <c r="U63" i="97" s="1"/>
  <c r="U116" i="97" a="1"/>
  <c r="U116" i="97" s="1"/>
  <c r="F116" i="97" s="1" a="1"/>
  <c r="F116" i="97" s="1"/>
  <c r="U84" i="97" a="1"/>
  <c r="U84" i="97" s="1"/>
  <c r="F84" i="97" s="1"/>
  <c r="O18" i="138" s="1"/>
  <c r="U137" i="97" a="1"/>
  <c r="U137" i="97" s="1"/>
  <c r="F137" i="97" s="1" a="1"/>
  <c r="F137" i="97" s="1"/>
  <c r="U98" i="97" a="1"/>
  <c r="U98" i="97" s="1"/>
  <c r="F98" i="97" s="1"/>
  <c r="U151" i="97" a="1"/>
  <c r="U151" i="97" s="1"/>
  <c r="F151" i="97" s="1" a="1"/>
  <c r="F151" i="97" s="1"/>
  <c r="U80" i="97" a="1"/>
  <c r="U80" i="97" s="1"/>
  <c r="F80" i="97" s="1"/>
  <c r="U133" i="97" a="1"/>
  <c r="U133" i="97" s="1"/>
  <c r="F133" i="97" s="1" a="1"/>
  <c r="F133" i="97" s="1"/>
  <c r="U128" i="97" a="1"/>
  <c r="U128" i="97" s="1"/>
  <c r="F128" i="97" s="1" a="1"/>
  <c r="F128" i="97" s="1"/>
  <c r="U75" i="97" a="1"/>
  <c r="U75" i="97" s="1"/>
  <c r="F75" i="97" s="1"/>
  <c r="U93" i="97" a="1"/>
  <c r="U93" i="97" s="1"/>
  <c r="U146" i="97" a="1"/>
  <c r="U146" i="97" s="1"/>
  <c r="F146" i="97" s="1" a="1"/>
  <c r="F146" i="97" s="1"/>
  <c r="T107" i="97"/>
  <c r="U131" i="97" a="1"/>
  <c r="U131" i="97" s="1"/>
  <c r="F131" i="97" s="1" a="1"/>
  <c r="F131" i="97" s="1"/>
  <c r="U78" i="97" a="1"/>
  <c r="U78" i="97" s="1"/>
  <c r="F78" i="97" s="1"/>
  <c r="O14" i="138" s="1"/>
  <c r="U143" i="97" a="1"/>
  <c r="U143" i="97" s="1"/>
  <c r="F143" i="97" s="1" a="1"/>
  <c r="F143" i="97" s="1"/>
  <c r="U90" i="97" a="1"/>
  <c r="U90" i="97" s="1"/>
  <c r="F90" i="97" s="1"/>
  <c r="T14" i="138" s="1"/>
  <c r="U141" i="97" a="1"/>
  <c r="U141" i="97" s="1"/>
  <c r="F141" i="97" s="1" a="1"/>
  <c r="F141" i="97" s="1"/>
  <c r="U88" i="97" a="1"/>
  <c r="U88" i="97" s="1"/>
  <c r="F88" i="97" s="1"/>
  <c r="U105" i="97" a="1"/>
  <c r="U105" i="97" s="1"/>
  <c r="F105" i="97" s="1"/>
  <c r="U158" i="97" a="1"/>
  <c r="U158" i="97" s="1"/>
  <c r="F158" i="97" s="1" a="1"/>
  <c r="F158" i="97" s="1"/>
  <c r="U127" i="97" a="1"/>
  <c r="U127" i="97" s="1"/>
  <c r="F127" i="97" s="1" a="1"/>
  <c r="F127" i="97" s="1"/>
  <c r="U74" i="97" a="1"/>
  <c r="U74" i="97" s="1"/>
  <c r="F74" i="97" s="1"/>
  <c r="U68" i="97" a="1"/>
  <c r="U68" i="97" s="1"/>
  <c r="F68" i="97" s="1"/>
  <c r="U121" i="97" a="1"/>
  <c r="U121" i="97" s="1"/>
  <c r="F121" i="97" s="1" a="1"/>
  <c r="F121" i="97" s="1"/>
  <c r="U123" i="97" a="1"/>
  <c r="U123" i="97" s="1"/>
  <c r="F123" i="97" s="1" a="1"/>
  <c r="F123" i="97" s="1"/>
  <c r="U70" i="97" a="1"/>
  <c r="U70" i="97" s="1"/>
  <c r="F70" i="97" s="1"/>
  <c r="U76" i="97" a="1"/>
  <c r="U76" i="97" s="1"/>
  <c r="F76" i="97" s="1"/>
  <c r="U129" i="97" a="1"/>
  <c r="U129" i="97" s="1"/>
  <c r="F129" i="97" s="1" a="1"/>
  <c r="F129" i="97" s="1"/>
  <c r="U87" i="97" a="1"/>
  <c r="U87" i="97" s="1"/>
  <c r="U140" i="97" a="1"/>
  <c r="U140" i="97" s="1"/>
  <c r="F140" i="97" s="1" a="1"/>
  <c r="F140" i="97" s="1"/>
  <c r="U86" i="97" a="1"/>
  <c r="U86" i="97" s="1"/>
  <c r="F86" i="97" s="1"/>
  <c r="U139" i="97" a="1"/>
  <c r="U139" i="97" s="1"/>
  <c r="F139" i="97" s="1" a="1"/>
  <c r="F139" i="97" s="1"/>
  <c r="U154" i="97"/>
  <c r="F154" i="97" s="1" a="1"/>
  <c r="F154" i="97" s="1"/>
  <c r="U101" i="97"/>
  <c r="F101" i="97" s="1"/>
  <c r="E99" i="97" s="1"/>
  <c r="F152" i="97" a="1"/>
  <c r="F152" i="97" s="1"/>
  <c r="U29" i="146"/>
  <c r="F29" i="146" s="1"/>
  <c r="E27" i="146" s="1"/>
  <c r="U85" i="97"/>
  <c r="F85" i="97" s="1"/>
  <c r="O19" i="138" s="1"/>
  <c r="U138" i="97"/>
  <c r="F138" i="97" s="1" a="1"/>
  <c r="F138" i="97" s="1"/>
  <c r="U79" i="97"/>
  <c r="F79" i="97" s="1"/>
  <c r="O15" i="138" s="1"/>
  <c r="U132" i="97"/>
  <c r="F132" i="97" s="1" a="1"/>
  <c r="F132" i="97" s="1"/>
  <c r="U150" i="97"/>
  <c r="F150" i="97" s="1" a="1"/>
  <c r="F150" i="97" s="1"/>
  <c r="U97" i="97"/>
  <c r="F97" i="97" s="1"/>
  <c r="T19" i="138" s="1"/>
  <c r="U126" i="97"/>
  <c r="F126" i="97" s="1" a="1"/>
  <c r="F126" i="97" s="1"/>
  <c r="U73" i="97"/>
  <c r="F73" i="97" s="1"/>
  <c r="J19" i="138" s="1"/>
  <c r="U144" i="97"/>
  <c r="F144" i="97" s="1" a="1"/>
  <c r="F144" i="97" s="1"/>
  <c r="U91" i="97"/>
  <c r="F91" i="97" s="1"/>
  <c r="T15" i="138" s="1"/>
  <c r="U65" i="97" l="1"/>
  <c r="F65" i="97" s="1"/>
  <c r="J13" i="138" s="1"/>
  <c r="U120" i="97"/>
  <c r="F120" i="97" s="1" a="1"/>
  <c r="F120" i="97" s="1"/>
  <c r="E152" i="97" a="1"/>
  <c r="E152" i="97" s="1"/>
  <c r="U77" i="97"/>
  <c r="F77" i="97" s="1"/>
  <c r="O13" i="138" s="1"/>
  <c r="U95" i="97"/>
  <c r="F95" i="97" s="1"/>
  <c r="E93" i="97" s="1"/>
  <c r="T16" i="138" s="1"/>
  <c r="U148" i="97"/>
  <c r="F148" i="97" s="1" a="1"/>
  <c r="F148" i="97" s="1"/>
  <c r="E146" i="97" s="1" a="1"/>
  <c r="E146" i="97" s="1"/>
  <c r="U124" i="97"/>
  <c r="F124" i="97" s="1" a="1"/>
  <c r="F124" i="97" s="1"/>
  <c r="U83" i="97"/>
  <c r="F83" i="97" s="1"/>
  <c r="O17" i="138" s="1"/>
  <c r="U118" i="97"/>
  <c r="F118" i="97" s="1" a="1"/>
  <c r="F118" i="97" s="1"/>
  <c r="F63" i="97"/>
  <c r="U89" i="97"/>
  <c r="F89" i="97" s="1"/>
  <c r="T13" i="138" s="1"/>
  <c r="U160" i="97"/>
  <c r="F160" i="97" s="1" a="1"/>
  <c r="F160" i="97" s="1"/>
  <c r="E158" i="97" s="1" a="1"/>
  <c r="E158" i="97" s="1"/>
  <c r="F81" i="97"/>
  <c r="F122" i="97" a="1"/>
  <c r="F122" i="97" s="1"/>
  <c r="U136" i="97"/>
  <c r="F136" i="97" s="1" a="1"/>
  <c r="F136" i="97" s="1"/>
  <c r="E134" i="97" s="1" a="1"/>
  <c r="E134" i="97" s="1"/>
  <c r="U142" i="97"/>
  <c r="F142" i="97" s="1" a="1"/>
  <c r="F142" i="97" s="1"/>
  <c r="E140" i="97" s="1" a="1"/>
  <c r="E140" i="97" s="1"/>
  <c r="U130" i="97"/>
  <c r="F130" i="97" s="1" a="1"/>
  <c r="F130" i="97" s="1"/>
  <c r="E128" i="97" s="1" a="1"/>
  <c r="E128" i="97" s="1"/>
  <c r="U71" i="97"/>
  <c r="F71" i="97" s="1"/>
  <c r="J17" i="138" s="1"/>
  <c r="U107" i="97"/>
  <c r="F107" i="97" s="1"/>
  <c r="E105" i="97" s="1"/>
  <c r="Y12" i="138" s="1"/>
  <c r="F93" i="97"/>
  <c r="F87" i="97"/>
  <c r="E116" i="97" l="1" a="1"/>
  <c r="E116" i="97" s="1"/>
  <c r="E63" i="97"/>
  <c r="J12" i="138" s="1"/>
  <c r="E122" i="97" a="1"/>
  <c r="E122" i="97" s="1"/>
  <c r="E75" i="97"/>
  <c r="O12" i="138" s="1"/>
  <c r="T17" i="138"/>
  <c r="E81" i="97"/>
  <c r="O16" i="138" s="1"/>
  <c r="E87" i="97"/>
  <c r="T12" i="138" s="1"/>
  <c r="Y13" i="138"/>
  <c r="E69" i="97"/>
  <c r="J16" i="13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<sst xmlns="http://schemas.openxmlformats.org/spreadsheetml/2006/main" count="1808" uniqueCount="636">
  <si>
    <t>Point A3</t>
  </si>
  <si>
    <t>Point A4</t>
  </si>
  <si>
    <t>SDE</t>
  </si>
  <si>
    <t>Point A2</t>
  </si>
  <si>
    <t>Point A5</t>
  </si>
  <si>
    <t>Point 1</t>
  </si>
  <si>
    <t>Point 2</t>
  </si>
  <si>
    <t>Point 3</t>
  </si>
  <si>
    <t>Point A6</t>
  </si>
  <si>
    <t>Point A7</t>
  </si>
  <si>
    <t>Autres évaluations</t>
  </si>
  <si>
    <t>Sonde température</t>
  </si>
  <si>
    <t>Pluviomètre</t>
  </si>
  <si>
    <t>Commentaire général</t>
  </si>
  <si>
    <t>Détails des équipements contrôlés</t>
  </si>
  <si>
    <t>Libellé</t>
  </si>
  <si>
    <t>Point 4</t>
  </si>
  <si>
    <t>Point 5</t>
  </si>
  <si>
    <t>Point 6</t>
  </si>
  <si>
    <t>Point 7</t>
  </si>
  <si>
    <t>Point 8</t>
  </si>
  <si>
    <t>Point 9</t>
  </si>
  <si>
    <t>Point 10</t>
  </si>
  <si>
    <t>Point 11</t>
  </si>
  <si>
    <t>Point 12</t>
  </si>
  <si>
    <t>Code SANDRE</t>
  </si>
  <si>
    <t>Caisson</t>
  </si>
  <si>
    <t>Clapet</t>
  </si>
  <si>
    <t>Evaluation finale controleur</t>
  </si>
  <si>
    <t>Score</t>
  </si>
  <si>
    <t>COMPARATIF ANALYTIQUE</t>
  </si>
  <si>
    <t>Paramètres</t>
  </si>
  <si>
    <t>LQ
en mg/l</t>
  </si>
  <si>
    <t>COFRAC</t>
  </si>
  <si>
    <t>Ecart (%)</t>
  </si>
  <si>
    <t>Conformité</t>
  </si>
  <si>
    <t>DBO5</t>
  </si>
  <si>
    <t>DCO</t>
  </si>
  <si>
    <t>ST DCO</t>
  </si>
  <si>
    <t>COT</t>
  </si>
  <si>
    <t>MEST</t>
  </si>
  <si>
    <t>NKJ (N)</t>
  </si>
  <si>
    <t>NH4 (NH4)</t>
  </si>
  <si>
    <t>NO2 (NO2)</t>
  </si>
  <si>
    <t>NO3 (NO3)</t>
  </si>
  <si>
    <t>NGL</t>
  </si>
  <si>
    <t>PT</t>
  </si>
  <si>
    <t>AOX</t>
  </si>
  <si>
    <t>As</t>
  </si>
  <si>
    <t>Cd</t>
  </si>
  <si>
    <t>Cr</t>
  </si>
  <si>
    <t>Cu</t>
  </si>
  <si>
    <t>Hg</t>
  </si>
  <si>
    <t>Ni</t>
  </si>
  <si>
    <t>Pb</t>
  </si>
  <si>
    <t>Zn</t>
  </si>
  <si>
    <t>MS</t>
  </si>
  <si>
    <t>Oui</t>
  </si>
  <si>
    <t>A4</t>
  </si>
  <si>
    <t>Non contrôlé</t>
  </si>
  <si>
    <t>Non validé</t>
  </si>
  <si>
    <t>N°</t>
  </si>
  <si>
    <t>Canal Venturi</t>
  </si>
  <si>
    <t>Débitmètre électromagnétique (boue/MDV)</t>
  </si>
  <si>
    <t>Seuil</t>
  </si>
  <si>
    <t>Modélisation</t>
  </si>
  <si>
    <t>Débitmètre électromagnétique partiellement plein</t>
  </si>
  <si>
    <t>Hauteur/Vitesse</t>
  </si>
  <si>
    <t>Détecteur de surverse</t>
  </si>
  <si>
    <t>Préleveur Automatique</t>
  </si>
  <si>
    <t>Vanne de prélèvement asservie</t>
  </si>
  <si>
    <t>Prélèvement ponctuel</t>
  </si>
  <si>
    <t>Le dimensionnement du caisson et notamment son échancrure de mesure est-elle adaptée vis-à-vis de l'étendue des débits à mesurer ?</t>
  </si>
  <si>
    <t>Le point de prélèvement est-il correctement implanté et situé dans un milieu homogène et brassé ?</t>
  </si>
  <si>
    <t>Le point de prélèvement est-il correctement implanté ?</t>
  </si>
  <si>
    <t>Le point de prélèvement est-il correctement implanté (notamment pour les robinets) ?</t>
  </si>
  <si>
    <t>Le circuit de prélèvement, y compris la boucle primaire, présente t-il un état de fonctionnement satisfaisant, son diamètre est-il ≥ à 9 mm ?</t>
  </si>
  <si>
    <t>L'étanchéité, la propreté et l'état d'entretien de l'organe de mesure, des capteurs associés, des canaux d'approche et de fuite sont-ils satisfaisants ?</t>
  </si>
  <si>
    <t>L'étanchéité, la propreté et l'état d'entretien du caisson et des capteurs associés sont-ils satisfaisants ?</t>
  </si>
  <si>
    <t>La propreté et l'état d'entretien de la conduite de déversement et des capteurs associés sont-ils satisfaisants ?</t>
  </si>
  <si>
    <t>La propreté et l'état d'entretien de la conduite et des capteurs associés, sont-ils satisfaisants ?</t>
  </si>
  <si>
    <t>Le dispositif de prélèvement présente t-il un état de propreté et d'entretien satisfaisant ?</t>
  </si>
  <si>
    <t xml:space="preserve">Le fonctionnement hydraulique de l'organe de mesure, en amont et en aval, est-il satisfaisant ? </t>
  </si>
  <si>
    <t>La vitesse d'aspiration, y compris celle de la boucle primaire, est-elle de ≥ 0,5 m/s ?</t>
  </si>
  <si>
    <t xml:space="preserve"> Les horaires de prélèvement et de totalisation des débits sont-ils synchronisés ?</t>
  </si>
  <si>
    <t>Existe-t-il un afficheur de proximité (Débit + Volume) ?</t>
  </si>
  <si>
    <t xml:space="preserve"> </t>
  </si>
  <si>
    <t>L'écart entre le volume théorique et le volume prélevé est-il ≤ à 10% ?</t>
  </si>
  <si>
    <t>LISTE_1</t>
  </si>
  <si>
    <t>LISTE_3</t>
  </si>
  <si>
    <t>LISTE_2</t>
  </si>
  <si>
    <t>LISTE_5</t>
  </si>
  <si>
    <t>Equipement Q</t>
  </si>
  <si>
    <t>Equipement Prel</t>
  </si>
  <si>
    <t xml:space="preserve">Liste des statuts </t>
  </si>
  <si>
    <t>A3</t>
  </si>
  <si>
    <t>S1</t>
  </si>
  <si>
    <t>Validé</t>
  </si>
  <si>
    <t>A2</t>
  </si>
  <si>
    <t>A1</t>
  </si>
  <si>
    <t>Agréé</t>
  </si>
  <si>
    <t>R1</t>
  </si>
  <si>
    <t>Non</t>
  </si>
  <si>
    <t>Non agréé</t>
  </si>
  <si>
    <t>R2</t>
  </si>
  <si>
    <t>S2</t>
  </si>
  <si>
    <t>A5</t>
  </si>
  <si>
    <t>R3</t>
  </si>
  <si>
    <t>Non validé (absence d'équipement)</t>
  </si>
  <si>
    <t>A6</t>
  </si>
  <si>
    <t>Non validé (équipement insuffisant)</t>
  </si>
  <si>
    <t>A7</t>
  </si>
  <si>
    <t>S16</t>
  </si>
  <si>
    <t>A8</t>
  </si>
  <si>
    <t>S3</t>
  </si>
  <si>
    <t>S5</t>
  </si>
  <si>
    <t>S12</t>
  </si>
  <si>
    <t>S4</t>
  </si>
  <si>
    <t>Point non existant</t>
  </si>
  <si>
    <t>S13</t>
  </si>
  <si>
    <t>S19</t>
  </si>
  <si>
    <t>LISTE_4</t>
  </si>
  <si>
    <t>Entre 5 et 10%</t>
  </si>
  <si>
    <t>Non validé (&gt;10%)</t>
  </si>
  <si>
    <t>Unités</t>
  </si>
  <si>
    <t>Limites de quantification</t>
  </si>
  <si>
    <t>Seuil de comparaison</t>
  </si>
  <si>
    <t>Concentration supérieure au seuil de comparaison et   inférieure ou égale à</t>
  </si>
  <si>
    <t>Ecart Maximum Toléré</t>
  </si>
  <si>
    <t>Concentration supérieure à</t>
  </si>
  <si>
    <r>
      <t>en mg/l de O</t>
    </r>
    <r>
      <rPr>
        <vertAlign val="subscript"/>
        <sz val="10"/>
        <rFont val="Arial"/>
        <family val="2"/>
      </rPr>
      <t>2</t>
    </r>
  </si>
  <si>
    <t>en mg/l</t>
  </si>
  <si>
    <t>en mg/l de N</t>
  </si>
  <si>
    <r>
      <t>en mg/l de NH</t>
    </r>
    <r>
      <rPr>
        <vertAlign val="subscript"/>
        <sz val="10"/>
        <rFont val="Arial"/>
        <family val="2"/>
      </rPr>
      <t>4</t>
    </r>
    <r>
      <rPr>
        <vertAlign val="superscript"/>
        <sz val="10"/>
        <rFont val="Arial"/>
        <family val="2"/>
      </rPr>
      <t>+</t>
    </r>
  </si>
  <si>
    <r>
      <t>en mg/l de NO</t>
    </r>
    <r>
      <rPr>
        <vertAlign val="subscript"/>
        <sz val="10"/>
        <rFont val="Arial"/>
        <family val="2"/>
      </rPr>
      <t>2</t>
    </r>
  </si>
  <si>
    <r>
      <t>en mg/l de NO</t>
    </r>
    <r>
      <rPr>
        <vertAlign val="subscript"/>
        <sz val="10"/>
        <rFont val="Arial"/>
        <family val="2"/>
      </rPr>
      <t>3</t>
    </r>
  </si>
  <si>
    <t>en mg/l de P</t>
  </si>
  <si>
    <r>
      <t xml:space="preserve">Le cacul des écarts analytiques est effectué si l'un des deux ou les deux résultats sont au dessus du seuil de comparaison. </t>
    </r>
    <r>
      <rPr>
        <b/>
        <sz val="10"/>
        <rFont val="Arial"/>
        <family val="2"/>
      </rPr>
      <t>L'écart est calculé par rapport à la moyenne des 2 valeurs.</t>
    </r>
  </si>
  <si>
    <t xml:space="preserve"> LIMITES DE QUANTIFICATION POUR LES SDE</t>
  </si>
  <si>
    <t>Coefficient multiplicateur de la masse rejetée</t>
  </si>
  <si>
    <t>Anthracène</t>
  </si>
  <si>
    <t>0,010 µg/l</t>
  </si>
  <si>
    <t>Benzène</t>
  </si>
  <si>
    <t>1,0 µg/l</t>
  </si>
  <si>
    <t>Benzo(a)pyrène</t>
  </si>
  <si>
    <t>Benzo(b)fluoranthène</t>
  </si>
  <si>
    <t>0,005 µg/l</t>
  </si>
  <si>
    <t>Benzo(k)fluoranthène</t>
  </si>
  <si>
    <t>Benzo(ghi)pérylène</t>
  </si>
  <si>
    <t>Di(2-éthylhexyl)phtalate DEHP</t>
  </si>
  <si>
    <t>Ethylbenzène</t>
  </si>
  <si>
    <t>Fluoranthène</t>
  </si>
  <si>
    <t>Indeno(1,2,3-cd)pyrène</t>
  </si>
  <si>
    <t>Naphtalène</t>
  </si>
  <si>
    <t>0,050 µg/l</t>
  </si>
  <si>
    <t>Nonylphénols mélange</t>
  </si>
  <si>
    <t>0,5 µg/l</t>
  </si>
  <si>
    <t>p-Octylphénol mélange</t>
  </si>
  <si>
    <t>Toluène</t>
  </si>
  <si>
    <t>1 µg/l</t>
  </si>
  <si>
    <t>Tributylétain cation</t>
  </si>
  <si>
    <t>0,02 µg/l</t>
  </si>
  <si>
    <t>Xylènes</t>
  </si>
  <si>
    <t>2 µg/l</t>
  </si>
  <si>
    <t>Evaluation</t>
  </si>
  <si>
    <t>Au débit</t>
  </si>
  <si>
    <t>Conforme</t>
  </si>
  <si>
    <t>Type</t>
  </si>
  <si>
    <t>Annuelle</t>
  </si>
  <si>
    <t>En V</t>
  </si>
  <si>
    <t>Réglet</t>
  </si>
  <si>
    <t>Satisfaisant</t>
  </si>
  <si>
    <t>Mensuelle</t>
  </si>
  <si>
    <t>Les échantillons sont-ils constitués, conservés et mis en analyse, selon les règles de l'art en vigueur ?</t>
  </si>
  <si>
    <t>Actif</t>
  </si>
  <si>
    <t>Ajouter un équipement réseau</t>
  </si>
  <si>
    <t>Ajouter un équipement station</t>
  </si>
  <si>
    <t>Q en charge</t>
  </si>
  <si>
    <t>Débitmètre Ultrason</t>
  </si>
  <si>
    <t>Conditions météo</t>
  </si>
  <si>
    <t>Q Gravitaire</t>
  </si>
  <si>
    <t>Type équipement : débimètre</t>
  </si>
  <si>
    <t>Listes fiches terrain</t>
  </si>
  <si>
    <t>Au temps</t>
  </si>
  <si>
    <t>Asservissement</t>
  </si>
  <si>
    <t>Non conforme</t>
  </si>
  <si>
    <t>Non vérifié</t>
  </si>
  <si>
    <t>Non vérifiable</t>
  </si>
  <si>
    <t>Ultrason</t>
  </si>
  <si>
    <t>Type_capteur</t>
  </si>
  <si>
    <t>Radar</t>
  </si>
  <si>
    <t>Piezo</t>
  </si>
  <si>
    <t>Bulle à bulle</t>
  </si>
  <si>
    <t>Autre</t>
  </si>
  <si>
    <t>Non satisfaisant</t>
  </si>
  <si>
    <t>Fréquence</t>
  </si>
  <si>
    <t>Satisfaction</t>
  </si>
  <si>
    <t>Journalière</t>
  </si>
  <si>
    <t>Bimensuelle</t>
  </si>
  <si>
    <t>Trimestrielle</t>
  </si>
  <si>
    <t>Semestrielle</t>
  </si>
  <si>
    <t>Hebdomadaire</t>
  </si>
  <si>
    <t>Inconnu</t>
  </si>
  <si>
    <t>Débitmètre électromagnétique (Eau)</t>
  </si>
  <si>
    <t>Débitmètre électromagnétique (Boue/MDV)</t>
  </si>
  <si>
    <t>Description</t>
  </si>
  <si>
    <t>Pondération</t>
  </si>
  <si>
    <t>Liste</t>
  </si>
  <si>
    <t>L'accès à l'ouvrage et aux équipements de mesure se fait-il en toute sécurité pour les agents en charge des opérations de contrôles et d'entretien ?</t>
  </si>
  <si>
    <t>Le dimensionnement du débitmètre est-il adapté vis à vis de l'étendue des débits à mesurer ?</t>
  </si>
  <si>
    <t>Le dimensionnement de l'organe de mesure, y compris des canaux d'approche et de fuite, est-il adapté vis-à-vis de l'étendue des débits à mesurer ?</t>
  </si>
  <si>
    <t>Le dimensionnement du clapet est-il adapté vis à vis de l'étendue des débits à mesurer ?</t>
  </si>
  <si>
    <t>Le capteur est-il installé conformément aux règles de l'art et/ou aux prescriptions des constructeurs ?</t>
  </si>
  <si>
    <t>Le débitmètre est-il installé conformément aux normes en vigueur et/ou aux prescriptions du constructeur ?</t>
  </si>
  <si>
    <t>Le contenu de ce critère sera plus exhaustif (prise de côtes) lorsqu'il s'agit d'un contrôle initial de réception ou lorsqu'il y a une suspicion que le dispositif à "bougé".
Préciser en commentaire la nature de la déformation et fournir si possible des photos.</t>
  </si>
  <si>
    <t xml:space="preserve">Les conditions initiales de mise en œuvre de la loi, telles que définies dans l'étude spécifique, sont-elles respectées (Pas de modification du génie civil ou du régime hydraulique,…) ?
</t>
  </si>
  <si>
    <t>Le débitmètre est-il installé conformément aux prescriptions du constructeur ?</t>
  </si>
  <si>
    <t xml:space="preserve">Le clapet et les capteurs associés, sont-ils installés conformément aux prescriptions du constructeur ou à l'étude spécifique ?
</t>
  </si>
  <si>
    <r>
      <t xml:space="preserve">Le capteur de mesure de </t>
    </r>
    <r>
      <rPr>
        <u/>
        <sz val="10"/>
        <color theme="1"/>
        <rFont val="Arial"/>
        <family val="2"/>
      </rPr>
      <t>vitesse</t>
    </r>
    <r>
      <rPr>
        <sz val="10"/>
        <color theme="1"/>
        <rFont val="Arial"/>
        <family val="2"/>
      </rPr>
      <t xml:space="preserve"> est-il installé conformément aux prescriptions du constructeur, ou celles définies dans l'étude spécifique ?</t>
    </r>
  </si>
  <si>
    <t>La propreté et l'état d'entretien du point de déversement et des capteurs associés sont-ils satisfaisants ?</t>
  </si>
  <si>
    <t>La propreté et l'état d'entretien du dispositif de prélèvement sont-ils satisfaisants ?</t>
  </si>
  <si>
    <t>Un défaut de propreté et/ou d'entretien ayant un impact immédiat sur la fiabilité du prélèvement doit entrainer un jugement à "Non Validé".
Un défaut de propreté et/ou d'entretien mais n'ayant à priori pas d'impact immédiat sur la fiabilité du prélèvement doit avoir un jugement "Validé avec réserve".</t>
  </si>
  <si>
    <t>Le modalités d'échantillonnage permettent-elles de prélever un échantillon représentatif du rejet (fréquence de prélèvement, en plusieurs points représentatifs, ...) ?</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</si>
  <si>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5%) ?
</t>
    </r>
  </si>
  <si>
    <t>Calcul de l'écart par rapport à la moyenne des 2 valeurs.
Pour les volumes &lt; 10 m3, le fonctionnement sera apprécié par l'intervenant.</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</si>
  <si>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10%) ?
</t>
    </r>
  </si>
  <si>
    <t>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t>
  </si>
  <si>
    <t>L'étanchéité, la propreté et l'état d'entretien du clapet sont-ils satisfaisants ?</t>
  </si>
  <si>
    <t>Le capteur est-il adapté au type d'effluent et à l'environnement rencontrés (mousses, température, condensation, déchet etc..) et présente t-il un état de fonctionnement satisfaisant ?</t>
  </si>
  <si>
    <t>Le dispositif de prélèvement présente t-il un état de fonctionnement satisfaisant, son diamètre est-il ≥ à 9 mm ?</t>
  </si>
  <si>
    <r>
      <t xml:space="preserve">Si une mesure comparative est impossible ou que l'écart se situe entre 5 et 10%, est ce qu'un </t>
    </r>
    <r>
      <rPr>
        <u/>
        <sz val="10"/>
        <color rgb="FF7030A0"/>
        <rFont val="Arial"/>
        <family val="2"/>
      </rPr>
      <t>bilan eau</t>
    </r>
    <r>
      <rPr>
        <sz val="10"/>
        <color rgb="FF7030A0"/>
        <rFont val="Arial"/>
        <family val="2"/>
      </rPr>
      <t xml:space="preserve"> (entrée / sortie ou autre) peut-être établi et est-il cohérent (EMT ± 10 %) ?</t>
    </r>
  </si>
  <si>
    <t>Calcul de l'écart selon la formule (Volume Entrée - Volume Sortie) / Volume Moyen</t>
  </si>
  <si>
    <r>
      <t xml:space="preserve">Si une mesure comparative est impossible ou que l'écart se situe entre 10 et 20%, est ce qu'un </t>
    </r>
    <r>
      <rPr>
        <u/>
        <sz val="10"/>
        <color rgb="FF7030A0"/>
        <rFont val="Arial"/>
        <family val="2"/>
      </rPr>
      <t>bilan matière</t>
    </r>
    <r>
      <rPr>
        <sz val="10"/>
        <color rgb="FF7030A0"/>
        <rFont val="Arial"/>
        <family val="2"/>
      </rPr>
      <t xml:space="preserve"> (volume pompé / mesuré ou autre) peut-être établi et est-il cohérent (EMT ± 20 %) ?</t>
    </r>
  </si>
  <si>
    <t xml:space="preserve">Le fonctionnement hydraulique, en amont et en aval de la sonde de mesure de la hauteur d'eau, est-il satisfaisant ? </t>
  </si>
  <si>
    <t>En l'absence d'écoulement saisir "Non contrôlé"</t>
  </si>
  <si>
    <t>Le fonctionnement hydraulique, en amont et en aval du clapet, est-il satisfaisant ?</t>
  </si>
  <si>
    <t>Les traces de mises en charges peuvent être un indice pour évaluer ce critère.
En l'absence d'écoulement saisir "Non contrôlé"
Si impossibilité de se prononcer ou de doute saisir "Validé avec réserve"</t>
  </si>
  <si>
    <t>Le fonctionnement hydraulique, en amont et en aval des capteurs, est-il satisfaisant ?</t>
  </si>
  <si>
    <r>
      <t xml:space="preserve">L'écart entre d'une part les résultats de mesure des temps de déversement obtenus à partir des dispositifs en place et ceux mesurés par l'organisme de contrôle d'autre part sont-ils cohérents ?
     EMT </t>
    </r>
    <r>
      <rPr>
        <sz val="10"/>
        <color theme="1"/>
        <rFont val="Aptos Narrow"/>
        <family val="2"/>
      </rPr>
      <t>±</t>
    </r>
    <r>
      <rPr>
        <sz val="10"/>
        <color theme="1"/>
        <rFont val="Arial"/>
        <family val="2"/>
      </rPr>
      <t xml:space="preserve"> 10% pour la durée totalisée (à minima 20min ou 4 pas d'enregistrement)
     EMT </t>
    </r>
    <r>
      <rPr>
        <sz val="10"/>
        <color theme="1"/>
        <rFont val="Aptos Narrow"/>
        <family val="2"/>
      </rPr>
      <t>±</t>
    </r>
    <r>
      <rPr>
        <sz val="10"/>
        <color theme="1"/>
        <rFont val="Arial"/>
        <family val="2"/>
      </rPr>
      <t xml:space="preserve"> 1 évènement pour le nombre d'évènements simulés (à minima 5) </t>
    </r>
  </si>
  <si>
    <t>Le volume de prélèvement par cycle est-il ≥ à 50 ml et est-il répétable à ± 5 % ?</t>
  </si>
  <si>
    <t>Contrôle à réaliser sur 3 prélèvements</t>
  </si>
  <si>
    <t>Pour les prélèvements réalisés sur des eaux usées réutilisées (A8), la stérilisation du robinet a-t-elle été effectuée?</t>
  </si>
  <si>
    <t>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t>
  </si>
  <si>
    <t xml:space="preserve">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 </t>
  </si>
  <si>
    <r>
      <t xml:space="preserve">Si une mesure comparative est possible, 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(EMT ± 10 mm) ?</t>
    </r>
  </si>
  <si>
    <t>En période de déversement, le pas de temps est-il inférieur ou égal à 5 minutes ?</t>
  </si>
  <si>
    <t>Le préleveur est-il asservi au débit, ou au volume écoulé, et assure-t-il un nombre de prélèvements égal, en moyenne, à au moins à 6 par heure de rejet effectif ? soit 144 prélèvements unitaires par 24h de rejet.</t>
  </si>
  <si>
    <r>
      <t xml:space="preserve">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t>
    </r>
    <r>
      <rPr>
        <sz val="9"/>
        <color theme="1"/>
        <rFont val="Aptos Narrow"/>
        <family val="2"/>
      </rPr>
      <t xml:space="preserve">EMT ± </t>
    </r>
    <r>
      <rPr>
        <sz val="10"/>
        <color theme="1"/>
        <rFont val="Arial"/>
        <family val="2"/>
      </rPr>
      <t>10 mm) ?</t>
    </r>
  </si>
  <si>
    <r>
      <t xml:space="preserve">Si une mesure comparative est possible,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</si>
  <si>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t>En période hors déversement, le pas de temps est-il inférieur ou égal à 15 minutes?</t>
  </si>
  <si>
    <t>Si le débit est nul, le contrôle du zéro est-il cohérent ?</t>
  </si>
  <si>
    <t>Si impossibilité d'avoir un débit nul =&gt; saisir "validé" et noter un commentaire.</t>
  </si>
  <si>
    <r>
      <t xml:space="preserve">La loi hydraulique utilisée Q=f(h), est-elle correctement paramétrée et cohérente avec les caractéristiques de l'organe de mesure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</si>
  <si>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r>
      <t xml:space="preserve">Si une mesure comparative est impossible, est ce qu'il existe un contrôle de cohérence des données qui atteste d'un bon fonctionnement (EMT </t>
    </r>
    <r>
      <rPr>
        <sz val="10"/>
        <color rgb="FF7030A0"/>
        <rFont val="Aptos Narrow"/>
        <family val="2"/>
      </rPr>
      <t>±</t>
    </r>
    <r>
      <rPr>
        <sz val="8"/>
        <color rgb="FF7030A0"/>
        <rFont val="Arial"/>
        <family val="2"/>
      </rPr>
      <t xml:space="preserve"> </t>
    </r>
    <r>
      <rPr>
        <sz val="10"/>
        <color rgb="FF7030A0"/>
        <rFont val="Arial"/>
        <family val="2"/>
      </rPr>
      <t>10 %) ?</t>
    </r>
  </si>
  <si>
    <t>Le contrôle de cohérence peut être établi par rapport aux données des années antérieures ou d'un autre point de mesure ou d'un modèle mathématique.</t>
  </si>
  <si>
    <t>La température de l'enceinte de prélèvement est-elle adaptée? Si elle est réfrigérée, sa température est-elle maîtrisée à 5°C ± 3°C ?</t>
  </si>
  <si>
    <r>
      <t xml:space="preserve">Les écarts entre d'une part les résultats de mesure des </t>
    </r>
    <r>
      <rPr>
        <u/>
        <sz val="10"/>
        <color theme="1"/>
        <rFont val="Arial"/>
        <family val="2"/>
      </rPr>
      <t>volumes</t>
    </r>
    <r>
      <rPr>
        <sz val="10"/>
        <color theme="1"/>
        <rFont val="Arial"/>
        <family val="2"/>
      </rPr>
      <t xml:space="preserve"> obtenus à partir des dispositifs en place (y compris le report en supervision) et ceux mesurés par l'organisme de contrôle d'autre part, sont-ils cohérents ?  
     EMT </t>
    </r>
    <r>
      <rPr>
        <sz val="10"/>
        <color theme="1"/>
        <rFont val="Aptos Narrow"/>
        <family val="2"/>
      </rPr>
      <t>±</t>
    </r>
    <r>
      <rPr>
        <sz val="10"/>
        <color theme="1"/>
        <rFont val="Arial"/>
        <family val="2"/>
      </rPr>
      <t xml:space="preserve"> 10% pour un volume &lt; 50 m</t>
    </r>
    <r>
      <rPr>
        <vertAlign val="superscript"/>
        <sz val="10"/>
        <color theme="1"/>
        <rFont val="Arial"/>
        <family val="2"/>
      </rPr>
      <t>3</t>
    </r>
    <r>
      <rPr>
        <sz val="10"/>
        <color theme="1"/>
        <rFont val="Arial"/>
        <family val="2"/>
      </rPr>
      <t xml:space="preserve">
     EMT ± 5% pour un volume </t>
    </r>
    <r>
      <rPr>
        <sz val="10"/>
        <color theme="1"/>
        <rFont val="Aptos Narrow"/>
        <family val="2"/>
      </rPr>
      <t>≥</t>
    </r>
    <r>
      <rPr>
        <sz val="10"/>
        <color theme="1"/>
        <rFont val="Arial"/>
        <family val="2"/>
      </rPr>
      <t xml:space="preserve"> 50 m</t>
    </r>
    <r>
      <rPr>
        <vertAlign val="superscript"/>
        <sz val="10"/>
        <color theme="1"/>
        <rFont val="Arial"/>
        <family val="2"/>
      </rPr>
      <t>3</t>
    </r>
  </si>
  <si>
    <r>
      <t>Calcul de l'écart par rapport à la moyenne des 2 valeurs.
Pour les volumes &lt; 10 m</t>
    </r>
    <r>
      <rPr>
        <vertAlign val="superscript"/>
        <sz val="10"/>
        <color theme="1"/>
        <rFont val="Arial"/>
        <family val="2"/>
      </rPr>
      <t>3</t>
    </r>
    <r>
      <rPr>
        <sz val="10"/>
        <color theme="1"/>
        <rFont val="Arial"/>
        <family val="2"/>
      </rPr>
      <t>, le fonctionnement sera apprécié par l'intervenant.</t>
    </r>
  </si>
  <si>
    <t>Existe t-il un dispositif de contrôle adapté et un afficheur de proximité (Hauteur + Débit + Volume) ?</t>
  </si>
  <si>
    <t>Si une mesure comparative est impossible, est ce que l'exploitant fait réaliser un contrôle électronique du débitmètre, ou un recalibrage sur banc d'essai des capteurs ? Le rapport atteste-t-il d'un bon fonctionnement ?</t>
  </si>
  <si>
    <t>Existe t-il un dispositif de contrôle adapté et un afficheur de proximité (Hauteur + Vitesse + Débit + Volume) ?</t>
  </si>
  <si>
    <t>Inconnues</t>
  </si>
  <si>
    <t>Temps sec</t>
  </si>
  <si>
    <t>Temps de pluie</t>
  </si>
  <si>
    <t>Critères d'évaluation</t>
  </si>
  <si>
    <t>Montage sonde</t>
  </si>
  <si>
    <t>En W</t>
  </si>
  <si>
    <t>Ajouter un pluviomètre réseau</t>
  </si>
  <si>
    <t>Les analyses sont-elles correctement effectuées ?</t>
  </si>
  <si>
    <t>Sonde de température</t>
  </si>
  <si>
    <t>Thermomètre</t>
  </si>
  <si>
    <t>La sonde est-elle installée conformément aux règles de l'art et/ou aux prescriptions des constructeurs ?</t>
  </si>
  <si>
    <t>Dans le canal de rejet, au centre de l'écoulement, à 2/3 de la profondeur et façon à être toujours immergé et à l'ombre.</t>
  </si>
  <si>
    <t>Le pluviomètre présente t-il une section suffisante ?</t>
  </si>
  <si>
    <r>
      <t>Entre 180 et 1 000 cm</t>
    </r>
    <r>
      <rPr>
        <vertAlign val="superscript"/>
        <sz val="10"/>
        <color theme="1"/>
        <rFont val="Arial"/>
        <family val="2"/>
      </rPr>
      <t>2</t>
    </r>
    <r>
      <rPr>
        <sz val="10"/>
        <color theme="1"/>
        <rFont val="Arial"/>
        <family val="2"/>
      </rPr>
      <t>, soit un diamètre variant entre 15 et 35 cm.</t>
    </r>
  </si>
  <si>
    <t>La propreté et l'état d'entretien de la sonde, sont-ils satisfaisants ?</t>
  </si>
  <si>
    <t>Le pluviomètre est-il installé conformément aux règles de l'art et/ou aux prescriptions des constructeurs ?</t>
  </si>
  <si>
    <t>L'écart entre d'une part la mesure de la température réalisée à partir du dispositif en place et celle réalisée par l'organisme de contrôle d'autre part, est-il cohérent (EMT ± 1°C) ?</t>
  </si>
  <si>
    <t>La propreté et l'état d'entretien du pluviomètre, sont-ils satisfaisants ?</t>
  </si>
  <si>
    <t>Conductivité</t>
  </si>
  <si>
    <t>Cl</t>
  </si>
  <si>
    <t>Ajouter un comparatif analytique</t>
  </si>
  <si>
    <t>Ne rien mettre dans cette colonne</t>
  </si>
  <si>
    <t>Préleveur</t>
  </si>
  <si>
    <t>Equipement de contrôle H</t>
  </si>
  <si>
    <t>Sonde</t>
  </si>
  <si>
    <t>Câble</t>
  </si>
  <si>
    <t>Liste préleveurs</t>
  </si>
  <si>
    <t>Liste débimètres</t>
  </si>
  <si>
    <t>début données sys collect</t>
  </si>
  <si>
    <t>début données station</t>
  </si>
  <si>
    <t>fin données sys collect</t>
  </si>
  <si>
    <t>fin données station</t>
  </si>
  <si>
    <t>Conforme avec réserve</t>
  </si>
  <si>
    <t>cellule score</t>
  </si>
  <si>
    <t>Type Equipement</t>
  </si>
  <si>
    <t>cellule typeE</t>
  </si>
  <si>
    <t>D53</t>
  </si>
  <si>
    <t>cellule commentaire score</t>
  </si>
  <si>
    <t>cellule commentaire</t>
  </si>
  <si>
    <t>D33</t>
  </si>
  <si>
    <t>Point 13</t>
  </si>
  <si>
    <t>Point 14</t>
  </si>
  <si>
    <t>Point 15</t>
  </si>
  <si>
    <t>Paramètres de localisation des données dans les cellules</t>
  </si>
  <si>
    <t>Identification des feuilles de données</t>
  </si>
  <si>
    <t>Préparation des données pour la feuilles synthèse et pour les exports</t>
  </si>
  <si>
    <t>Reg.</t>
  </si>
  <si>
    <t>Log.</t>
  </si>
  <si>
    <t>cellule eval</t>
  </si>
  <si>
    <t>Ligne STEU</t>
  </si>
  <si>
    <t>Ligne SCL</t>
  </si>
  <si>
    <t>Ligne</t>
  </si>
  <si>
    <t>Type ligne</t>
  </si>
  <si>
    <t>Scores</t>
  </si>
  <si>
    <t>Moyennes individuelles</t>
  </si>
  <si>
    <t>Moyennes générales</t>
  </si>
  <si>
    <t>Evaluations individuelles</t>
  </si>
  <si>
    <t>Evaluation globale</t>
  </si>
  <si>
    <t>Liste équipements</t>
  </si>
  <si>
    <t>I</t>
  </si>
  <si>
    <t>Lignes SCL</t>
  </si>
  <si>
    <t>Lignes STEU</t>
  </si>
  <si>
    <t>Feuille</t>
  </si>
  <si>
    <t>loc</t>
  </si>
  <si>
    <t>type</t>
  </si>
  <si>
    <t>typeE</t>
  </si>
  <si>
    <t>n°</t>
  </si>
  <si>
    <t>utilisable</t>
  </si>
  <si>
    <t>Colonnes</t>
  </si>
  <si>
    <t>Données équipement</t>
  </si>
  <si>
    <t>Commentaire eval</t>
  </si>
  <si>
    <t>src</t>
  </si>
  <si>
    <t>val</t>
  </si>
  <si>
    <t>Commentaire equipement</t>
  </si>
  <si>
    <t>cellule score global</t>
  </si>
  <si>
    <t>cellule eval global</t>
  </si>
  <si>
    <t>col</t>
  </si>
  <si>
    <t>ligne</t>
  </si>
  <si>
    <t>TypeE</t>
  </si>
  <si>
    <t>en g/l</t>
  </si>
  <si>
    <t>Ajouter un pluviomètre station</t>
  </si>
  <si>
    <t>Localisation 
(cf. MAS)</t>
  </si>
  <si>
    <t>Point réglementaire</t>
  </si>
  <si>
    <t>Liste pluvio</t>
  </si>
  <si>
    <t>Liste thermo</t>
  </si>
  <si>
    <t>SYSTÈME DE COLLECTE</t>
  </si>
  <si>
    <t>Localisation (cf. MAS)</t>
  </si>
  <si>
    <t>Lien vers l'onglet de l'équipement</t>
  </si>
  <si>
    <t>Si pas de pluviomètre, veuillez ajouter en commentaire la provenance des données :</t>
  </si>
  <si>
    <t>SYSTÈME DE TRAITEMENT</t>
  </si>
  <si>
    <t>COMMENTAIRES :</t>
  </si>
  <si>
    <t>En /</t>
  </si>
  <si>
    <t>En N</t>
  </si>
  <si>
    <t>Listes méthode contrôle</t>
  </si>
  <si>
    <t>Méthode</t>
  </si>
  <si>
    <t>Simulation d'une hauteur d'eau et mesure en parallèle</t>
  </si>
  <si>
    <t>D32</t>
  </si>
  <si>
    <t>D26</t>
  </si>
  <si>
    <t>P33</t>
  </si>
  <si>
    <t>N33</t>
  </si>
  <si>
    <t>C37</t>
  </si>
  <si>
    <t>D37</t>
  </si>
  <si>
    <t>P50</t>
  </si>
  <si>
    <t>N50</t>
  </si>
  <si>
    <t>D50</t>
  </si>
  <si>
    <t>C54</t>
  </si>
  <si>
    <t>P45</t>
  </si>
  <si>
    <t>N45</t>
  </si>
  <si>
    <t>D45</t>
  </si>
  <si>
    <t>C49</t>
  </si>
  <si>
    <t>D40</t>
  </si>
  <si>
    <t>P53</t>
  </si>
  <si>
    <t>C57</t>
  </si>
  <si>
    <t>F</t>
  </si>
  <si>
    <t>M</t>
  </si>
  <si>
    <t>O</t>
  </si>
  <si>
    <t>En cas d'accès nécessitant des équipements de protection individuels renforcés (ARI par exemple) ou d'intervenir à 2 personnes, retenir "Validé avec réserve"</t>
  </si>
  <si>
    <t>Débitmètre en charge</t>
  </si>
  <si>
    <t>Débitmètre gravitaire</t>
  </si>
  <si>
    <t>MANUEL D'AUTOSURVEILLANCE</t>
  </si>
  <si>
    <t>Total pénalité :</t>
  </si>
  <si>
    <t>Fractionnement</t>
  </si>
  <si>
    <t>Température</t>
  </si>
  <si>
    <t>Transport</t>
  </si>
  <si>
    <t>Aquaref</t>
  </si>
  <si>
    <t>Score 
sur 100</t>
  </si>
  <si>
    <t xml:space="preserve">Localisation </t>
  </si>
  <si>
    <t>Type d'équipement</t>
  </si>
  <si>
    <t>Type de mesure</t>
  </si>
  <si>
    <t>Ponctuelle</t>
  </si>
  <si>
    <t>Type de matériel</t>
  </si>
  <si>
    <t>Analytique</t>
  </si>
  <si>
    <t>En continu</t>
  </si>
  <si>
    <t>L'écart entre d'une part la mesure de la hauteur de pluie réalisée à partir du dispositif en place et celle réalisée par l'organisme de contrôle d'autre part, est-il cohérent (EMT ± 1 unité) ?</t>
  </si>
  <si>
    <t>pluvio SCL</t>
  </si>
  <si>
    <t>pluvio STEU</t>
  </si>
  <si>
    <t>Pluvio SCL</t>
  </si>
  <si>
    <t>Puvio STEU</t>
  </si>
  <si>
    <t>code</t>
  </si>
  <si>
    <t>Débitmètre</t>
  </si>
  <si>
    <t>Code PREL</t>
  </si>
  <si>
    <t>NB ANALYSE</t>
  </si>
  <si>
    <t>NB CONFORME</t>
  </si>
  <si>
    <t>Coef</t>
  </si>
  <si>
    <t>Facteur Qualité</t>
  </si>
  <si>
    <t>Les évaluations des sondes de température ne sont pas prises en compte</t>
  </si>
  <si>
    <t>Liste des pluviomètres de référence du réseau</t>
  </si>
  <si>
    <t>Liste des pluviomètres de référence de la station</t>
  </si>
  <si>
    <t>Certaines informations d'un équipement ne sont pas modifiables. Au besoin il est préférable de supprimer et de recréer l'équipement.</t>
  </si>
  <si>
    <t>Les informations de codification sont à reprendre du MAS</t>
  </si>
  <si>
    <t>Libellé de l'équipement</t>
  </si>
  <si>
    <t>Scores critères</t>
  </si>
  <si>
    <t>Evaluations critères</t>
  </si>
  <si>
    <t>Pénalité</t>
  </si>
  <si>
    <t>Type réseau</t>
  </si>
  <si>
    <r>
      <t xml:space="preserve">Si une mesure comparative est impossible ou que l'écart se situe entre 5 et 10%, est-ce qu'un </t>
    </r>
    <r>
      <rPr>
        <u/>
        <sz val="10"/>
        <color rgb="FF7030A0"/>
        <rFont val="Arial"/>
        <family val="2"/>
      </rPr>
      <t>contrôle électronique</t>
    </r>
    <r>
      <rPr>
        <sz val="10"/>
        <color rgb="FF7030A0"/>
        <rFont val="Arial"/>
        <family val="2"/>
      </rPr>
      <t xml:space="preserve"> du débitmètre est réalisé et le rapport atteste-t-il d'un bon fonctionnement ?</t>
    </r>
  </si>
  <si>
    <r>
      <t xml:space="preserve">Si une mesure comparative est impossible ou que l'écart se situe entre 5 et 10%, est-ce qu'un </t>
    </r>
    <r>
      <rPr>
        <u/>
        <sz val="10"/>
        <color rgb="FF7030A0"/>
        <rFont val="Arial"/>
        <family val="2"/>
      </rPr>
      <t>étalonnage</t>
    </r>
    <r>
      <rPr>
        <sz val="10"/>
        <color rgb="FF7030A0"/>
        <rFont val="Arial"/>
        <family val="2"/>
      </rPr>
      <t xml:space="preserve"> du débitmètre par un laboratoire accrédité est réalisé et le rapport atteste-t-il d'un bon fonctionnement ?</t>
    </r>
  </si>
  <si>
    <t>Simulation d'une hauteur d'eau (leurre)</t>
  </si>
  <si>
    <r>
      <t xml:space="preserve">Est-ce que le contrôle des </t>
    </r>
    <r>
      <rPr>
        <b/>
        <u/>
        <sz val="12"/>
        <rFont val="Calibri"/>
        <family val="2"/>
        <scheme val="minor"/>
      </rPr>
      <t>échantillonneurs</t>
    </r>
    <r>
      <rPr>
        <sz val="12"/>
        <color theme="1"/>
        <rFont val="Calibri"/>
        <family val="2"/>
        <scheme val="minor"/>
      </rPr>
      <t xml:space="preserve"> est réalisé selon les procédures décrites dans le manuel d'autosurveillance ?</t>
    </r>
  </si>
  <si>
    <r>
      <t xml:space="preserve">Est-ce que le contrôle des </t>
    </r>
    <r>
      <rPr>
        <b/>
        <u/>
        <sz val="12"/>
        <rFont val="Calibri"/>
        <family val="2"/>
        <scheme val="minor"/>
      </rPr>
      <t>thermomètres</t>
    </r>
    <r>
      <rPr>
        <sz val="12"/>
        <color theme="1"/>
        <rFont val="Calibri"/>
        <family val="2"/>
        <scheme val="minor"/>
      </rPr>
      <t xml:space="preserve"> est réalisé selon les procédures décrites dans le manuel d'autosurveillance ?</t>
    </r>
  </si>
  <si>
    <r>
      <t xml:space="preserve">Est-ce que le contrôle des </t>
    </r>
    <r>
      <rPr>
        <b/>
        <u/>
        <sz val="12"/>
        <rFont val="Calibri"/>
        <family val="2"/>
        <scheme val="minor"/>
      </rPr>
      <t>pluviomètres</t>
    </r>
    <r>
      <rPr>
        <sz val="12"/>
        <color theme="1"/>
        <rFont val="Calibri"/>
        <family val="2"/>
        <scheme val="minor"/>
      </rPr>
      <t xml:space="preserve"> est réalisé selon les procédures décrites dans le manuel d'autosurveillance ?</t>
    </r>
  </si>
  <si>
    <r>
      <t xml:space="preserve">Est-ce que le contrôle des </t>
    </r>
    <r>
      <rPr>
        <b/>
        <u/>
        <sz val="12"/>
        <rFont val="Calibri"/>
        <family val="2"/>
        <scheme val="minor"/>
      </rPr>
      <t>balances</t>
    </r>
    <r>
      <rPr>
        <sz val="12"/>
        <color theme="1"/>
        <rFont val="Calibri"/>
        <family val="2"/>
        <scheme val="minor"/>
      </rPr>
      <t xml:space="preserve"> est réalisé selon les procédures décrites dans le manuel d'autosurveillance ?</t>
    </r>
  </si>
  <si>
    <r>
      <t xml:space="preserve">Est-ce que le contrôle des </t>
    </r>
    <r>
      <rPr>
        <b/>
        <u/>
        <sz val="12"/>
        <rFont val="Calibri"/>
        <family val="2"/>
        <scheme val="minor"/>
      </rPr>
      <t>chronomètres</t>
    </r>
    <r>
      <rPr>
        <sz val="12"/>
        <color theme="1"/>
        <rFont val="Calibri"/>
        <family val="2"/>
        <scheme val="minor"/>
      </rPr>
      <t xml:space="preserve"> est réalisé selon les procédures décrites dans le manuel d'autosurveillance ?</t>
    </r>
  </si>
  <si>
    <r>
      <t xml:space="preserve">Les </t>
    </r>
    <r>
      <rPr>
        <b/>
        <u/>
        <sz val="12"/>
        <rFont val="Calibri"/>
        <family val="2"/>
        <scheme val="minor"/>
      </rPr>
      <t>contrôles internes</t>
    </r>
    <r>
      <rPr>
        <sz val="12"/>
        <color theme="1"/>
        <rFont val="Calibri"/>
        <family val="2"/>
        <scheme val="minor"/>
      </rPr>
      <t xml:space="preserve"> sont-ils tous tracés, formalisés et suivis (fiches de vie, cartes de contrôle...) ?</t>
    </r>
  </si>
  <si>
    <r>
      <t xml:space="preserve">Des fiches de </t>
    </r>
    <r>
      <rPr>
        <b/>
        <u/>
        <sz val="12"/>
        <rFont val="Calibri"/>
        <family val="2"/>
        <scheme val="minor"/>
      </rPr>
      <t>non-conformité</t>
    </r>
    <r>
      <rPr>
        <sz val="12"/>
        <color theme="1"/>
        <rFont val="Calibri"/>
        <family val="2"/>
        <scheme val="minor"/>
      </rPr>
      <t xml:space="preserve"> et d'</t>
    </r>
    <r>
      <rPr>
        <b/>
        <u/>
        <sz val="12"/>
        <rFont val="Calibri"/>
        <family val="2"/>
        <scheme val="minor"/>
      </rPr>
      <t>action d'amélioration</t>
    </r>
    <r>
      <rPr>
        <sz val="12"/>
        <color theme="1"/>
        <rFont val="Calibri"/>
        <family val="2"/>
        <scheme val="minor"/>
      </rPr>
      <t xml:space="preserve"> ont-elles été produites ?</t>
    </r>
  </si>
  <si>
    <r>
      <t xml:space="preserve">Existe-il un </t>
    </r>
    <r>
      <rPr>
        <b/>
        <u/>
        <sz val="12"/>
        <rFont val="Calibri"/>
        <family val="2"/>
        <scheme val="minor"/>
      </rPr>
      <t>système qualité performant</t>
    </r>
    <r>
      <rPr>
        <b/>
        <sz val="12"/>
        <rFont val="Calibri"/>
        <family val="2"/>
        <scheme val="minor"/>
      </rPr>
      <t xml:space="preserve"> </t>
    </r>
    <r>
      <rPr>
        <sz val="12"/>
        <color theme="1"/>
        <rFont val="Calibri"/>
        <family val="2"/>
        <scheme val="minor"/>
      </rPr>
      <t>?</t>
    </r>
  </si>
  <si>
    <t>LISTE_6</t>
  </si>
  <si>
    <t>Mixte</t>
  </si>
  <si>
    <t>Unitaire</t>
  </si>
  <si>
    <t>Séparatif</t>
  </si>
  <si>
    <t>Liste des équipements du système de collecte pour chaque point d’autosurveillance</t>
  </si>
  <si>
    <t>Liste des équipements du système de traitement pour chaque point d’autosurveillance</t>
  </si>
  <si>
    <t>LISTE_7</t>
  </si>
  <si>
    <t>Code du point 
(cf MAS)</t>
  </si>
  <si>
    <t>J</t>
  </si>
  <si>
    <t>point</t>
  </si>
  <si>
    <t>Le capteur de mesure de hauteur d'eau est-il adapté au type d'effluent et à l'environnement rencontrés (mousses, températures, déchets, etc...) et présente t-il un état de fonctionnement satisfaisant ?</t>
  </si>
  <si>
    <t xml:space="preserve">NOM DU SYSTÈME D'ASSAINISSEMENT : </t>
  </si>
  <si>
    <t xml:space="preserve">EXPLOITANT DE LA STATION : </t>
  </si>
  <si>
    <t xml:space="preserve">CODE SANDRE DE LA STATION : </t>
  </si>
  <si>
    <t xml:space="preserve">TYPE DE TRAITEMENT : </t>
  </si>
  <si>
    <t xml:space="preserve">ORGANISME DE CONTRÔLE : </t>
  </si>
  <si>
    <t xml:space="preserve">NOM(S) CONTROLEUR(S) : </t>
  </si>
  <si>
    <t xml:space="preserve">DATE(S) D'INTERVENTION : </t>
  </si>
  <si>
    <t xml:space="preserve">CONDITION(S) METEO : </t>
  </si>
  <si>
    <t xml:space="preserve">NOM DU SYSTÈME DE TRAITEMENT : </t>
  </si>
  <si>
    <t xml:space="preserve">NOM DU SYSTÈME DE COLLECTE : </t>
  </si>
  <si>
    <t xml:space="preserve">NOM(S) DU(ES) CONTROLEUR(S) : </t>
  </si>
  <si>
    <r>
      <t>CODE SANDRE DE L'AGGLOM</t>
    </r>
    <r>
      <rPr>
        <b/>
        <sz val="11"/>
        <color theme="4"/>
        <rFont val="Calibri"/>
        <family val="2"/>
      </rPr>
      <t>É</t>
    </r>
    <r>
      <rPr>
        <b/>
        <sz val="11"/>
        <color theme="4"/>
        <rFont val="Calibri"/>
        <family val="2"/>
        <scheme val="minor"/>
      </rPr>
      <t xml:space="preserve">RATION : </t>
    </r>
  </si>
  <si>
    <r>
      <t>CAPACIT</t>
    </r>
    <r>
      <rPr>
        <b/>
        <sz val="11"/>
        <color theme="4"/>
        <rFont val="Calibri"/>
        <family val="2"/>
      </rPr>
      <t>É</t>
    </r>
    <r>
      <rPr>
        <b/>
        <sz val="11"/>
        <color theme="4"/>
        <rFont val="Calibri"/>
        <family val="2"/>
        <scheme val="minor"/>
      </rPr>
      <t xml:space="preserve"> DE LA STATION : </t>
    </r>
  </si>
  <si>
    <r>
      <t>TYPE DE R</t>
    </r>
    <r>
      <rPr>
        <b/>
        <sz val="11"/>
        <color theme="4"/>
        <rFont val="Calibri"/>
        <family val="2"/>
      </rPr>
      <t>É</t>
    </r>
    <r>
      <rPr>
        <b/>
        <sz val="11"/>
        <color theme="4"/>
        <rFont val="Calibri"/>
        <family val="2"/>
        <scheme val="minor"/>
      </rPr>
      <t xml:space="preserve">SEAU : </t>
    </r>
  </si>
  <si>
    <r>
      <t>EXPLOITANT DU R</t>
    </r>
    <r>
      <rPr>
        <b/>
        <sz val="11"/>
        <color theme="4"/>
        <rFont val="Calibri"/>
        <family val="2"/>
      </rPr>
      <t>É</t>
    </r>
    <r>
      <rPr>
        <b/>
        <sz val="11"/>
        <color theme="4"/>
        <rFont val="Calibri"/>
        <family val="2"/>
        <scheme val="minor"/>
      </rPr>
      <t xml:space="preserve">SEAU : </t>
    </r>
  </si>
  <si>
    <r>
      <t>CODE SANDRE DU R</t>
    </r>
    <r>
      <rPr>
        <b/>
        <sz val="11"/>
        <color theme="4"/>
        <rFont val="Calibri"/>
        <family val="2"/>
      </rPr>
      <t>É</t>
    </r>
    <r>
      <rPr>
        <b/>
        <sz val="11"/>
        <color theme="4"/>
        <rFont val="Calibri"/>
        <family val="2"/>
        <scheme val="minor"/>
      </rPr>
      <t xml:space="preserve">SEAU : </t>
    </r>
  </si>
  <si>
    <r>
      <t>CONDITION(S) M</t>
    </r>
    <r>
      <rPr>
        <b/>
        <sz val="11"/>
        <color theme="4"/>
        <rFont val="Calibri"/>
        <family val="2"/>
      </rPr>
      <t>É</t>
    </r>
    <r>
      <rPr>
        <b/>
        <sz val="11"/>
        <color theme="4"/>
        <rFont val="Calibri"/>
        <family val="2"/>
        <scheme val="minor"/>
      </rPr>
      <t>T</t>
    </r>
    <r>
      <rPr>
        <b/>
        <sz val="11"/>
        <color theme="4"/>
        <rFont val="Calibri"/>
        <family val="2"/>
      </rPr>
      <t>É</t>
    </r>
    <r>
      <rPr>
        <b/>
        <sz val="11"/>
        <color theme="4"/>
        <rFont val="Calibri"/>
        <family val="2"/>
        <scheme val="minor"/>
      </rPr>
      <t xml:space="preserve">O : </t>
    </r>
  </si>
  <si>
    <t xml:space="preserve">STATION : </t>
  </si>
  <si>
    <t>Si certains points ne sont pas équipés, veuillez les indiquer en commentaire :</t>
  </si>
  <si>
    <t xml:space="preserve">CODE SANDRE : </t>
  </si>
  <si>
    <t xml:space="preserve">MAITRE D'OUVRAGE : </t>
  </si>
  <si>
    <t xml:space="preserve">EXPLOITANT : </t>
  </si>
  <si>
    <t xml:space="preserve">Le guide AQUAREF est-il respecté pour le prélèvement des échantillons SDE ? </t>
  </si>
  <si>
    <t xml:space="preserve">Les échantillons sont-ils fractionnés selon la norme FDT 90-523-2 ? </t>
  </si>
  <si>
    <t xml:space="preserve">La conservation pendant le transport des échantillons est-elle assurée à 5°C ± 3°C ? </t>
  </si>
  <si>
    <t xml:space="preserve">Les conditions de transport permettent-elles 
l'acheminement et la réception des échantillons dans les 24 h ? </t>
  </si>
  <si>
    <t xml:space="preserve">Préleveur : </t>
  </si>
  <si>
    <t xml:space="preserve">Date du comparatif : </t>
  </si>
  <si>
    <t xml:space="preserve">Nom du(des) laboratoire(s) réalisant les analyses de la matrice eau : </t>
  </si>
  <si>
    <t xml:space="preserve">Le(s) laboratoire(s) est/sont-il(s) agréé(s) au titre du code de l’environnement pour l'ensemble des paramètres de la matrice eau résiduaire ? </t>
  </si>
  <si>
    <t xml:space="preserve">A défaut, est ce que le laboratoire réalise un exercice concluant d’intercalibration avec un laboratoire agréé ? </t>
  </si>
  <si>
    <t xml:space="preserve">NOM DE L'ORGANISME DE CONTRÔLE : </t>
  </si>
  <si>
    <t xml:space="preserve">MAITRE D'OUVRAGE DE LA STATION : </t>
  </si>
  <si>
    <t xml:space="preserve">RÉSEAU : </t>
  </si>
  <si>
    <t>Le manuel d’autosurveillance n’est pas à jour si :
     * date du MAS ≤ 2015 ;
     * changement du maitre d’ouvrage ou de l’exploitant ;
     * construction d’une nouvelle STEU ou la réhabilitation d’une STEU ;
     * modification des points du système de collecte, de la station de traitement et des points de déversement au milieu ;
     * modification du référentiel et du schéma SANDRE (ajout ou suppression d’un point d’autosurveillance ou toute autre modification impactant le calcul du rendement) ;
     * évolutions techniques ou travaux importants sur le système d'assainissement impactant les points d'autosurveillance ;
     * modifications réglementaires telles que l’adoption d’un nouvel arrêté si impact sur le référentiel, le schéma SANDRE et le matériel d’autosurveillance ;
     * modifications significatives du suivi métrologique des dispositifs d'autosurveillance ;
     *modifications significatives concernant la réalisation des analyses d'autosurveillance.</t>
  </si>
  <si>
    <r>
      <t>CONDITION(S) M</t>
    </r>
    <r>
      <rPr>
        <b/>
        <sz val="11"/>
        <color theme="4"/>
        <rFont val="Calibri"/>
        <family val="2"/>
      </rPr>
      <t>É</t>
    </r>
    <r>
      <rPr>
        <b/>
        <sz val="11"/>
        <color theme="4"/>
        <rFont val="Calibri"/>
        <family val="2"/>
        <scheme val="minor"/>
      </rPr>
      <t>TÉO :</t>
    </r>
  </si>
  <si>
    <t>EXPLOITANT DU RÉSEAU :</t>
  </si>
  <si>
    <t xml:space="preserve">TYPE DE RÉSEAU : </t>
  </si>
  <si>
    <t xml:space="preserve">CAPACITÉ DE LA STATION : </t>
  </si>
  <si>
    <r>
      <t>ENTR</t>
    </r>
    <r>
      <rPr>
        <b/>
        <sz val="12"/>
        <rFont val="Calibri"/>
        <family val="2"/>
      </rPr>
      <t>É</t>
    </r>
    <r>
      <rPr>
        <b/>
        <sz val="12"/>
        <rFont val="Calibri"/>
        <family val="2"/>
        <scheme val="minor"/>
      </rPr>
      <t>E et SORTIE</t>
    </r>
  </si>
  <si>
    <t>DTS ET BY-PASS</t>
  </si>
  <si>
    <r>
      <t>BOUES ET APPORTS EXT</t>
    </r>
    <r>
      <rPr>
        <b/>
        <sz val="12"/>
        <rFont val="Calibri"/>
        <family val="2"/>
      </rPr>
      <t>É</t>
    </r>
    <r>
      <rPr>
        <b/>
        <sz val="12"/>
        <rFont val="Calibri"/>
        <family val="2"/>
        <scheme val="minor"/>
      </rPr>
      <t>RIEURS</t>
    </r>
  </si>
  <si>
    <t>Commentaires sur l'évaluation :</t>
  </si>
  <si>
    <r>
      <rPr>
        <b/>
        <sz val="16"/>
        <color theme="0"/>
        <rFont val="Calibri"/>
        <family val="2"/>
      </rPr>
      <t>É</t>
    </r>
    <r>
      <rPr>
        <b/>
        <sz val="16"/>
        <color theme="0"/>
        <rFont val="Calibri"/>
        <family val="2"/>
        <scheme val="minor"/>
      </rPr>
      <t>valuation des points règlementaires</t>
    </r>
  </si>
  <si>
    <t>Évaluation documentaire</t>
  </si>
  <si>
    <t>Coefficient Qualité</t>
  </si>
  <si>
    <t xml:space="preserve">Existe-t-il un système Qualité performant ? </t>
  </si>
  <si>
    <t xml:space="preserve">Manuel autosurveillance à jour, validé ou en cours d'expertise ? </t>
  </si>
  <si>
    <t>Est-ce que le manuel autosurveillance est à jour, validé ou en cours d'expertise ?</t>
  </si>
  <si>
    <r>
      <t>SYNTH</t>
    </r>
    <r>
      <rPr>
        <b/>
        <sz val="18"/>
        <color theme="0"/>
        <rFont val="Calibri"/>
        <family val="2"/>
      </rPr>
      <t>È</t>
    </r>
    <r>
      <rPr>
        <b/>
        <sz val="18"/>
        <color theme="0"/>
        <rFont val="Calibri"/>
        <family val="2"/>
        <scheme val="minor"/>
      </rPr>
      <t xml:space="preserve">SE DES </t>
    </r>
    <r>
      <rPr>
        <b/>
        <sz val="18"/>
        <color theme="0"/>
        <rFont val="Calibri"/>
        <family val="2"/>
      </rPr>
      <t>CONTRÔLES RÉALISÉS</t>
    </r>
    <r>
      <rPr>
        <b/>
        <sz val="18"/>
        <color theme="0"/>
        <rFont val="Calibri"/>
        <family val="2"/>
        <scheme val="minor"/>
      </rPr>
      <t xml:space="preserve"> SUR LES DISPOSITIFS AUTOSURVEILLANCE</t>
    </r>
  </si>
  <si>
    <r>
      <t>D</t>
    </r>
    <r>
      <rPr>
        <b/>
        <sz val="18"/>
        <color theme="0"/>
        <rFont val="Calibri"/>
        <family val="2"/>
      </rPr>
      <t>É</t>
    </r>
    <r>
      <rPr>
        <b/>
        <sz val="18"/>
        <color theme="0"/>
        <rFont val="Calibri"/>
        <family val="2"/>
        <scheme val="minor"/>
      </rPr>
      <t xml:space="preserve">TAIL DES </t>
    </r>
    <r>
      <rPr>
        <b/>
        <sz val="18"/>
        <color theme="0"/>
        <rFont val="Calibri"/>
        <family val="2"/>
      </rPr>
      <t>CONTRÔLES RÉALISÉS PAR ÉQUIPEMENT</t>
    </r>
    <r>
      <rPr>
        <b/>
        <sz val="18"/>
        <color theme="0"/>
        <rFont val="Calibri"/>
        <family val="2"/>
        <scheme val="minor"/>
      </rPr>
      <t xml:space="preserve"> D'AUTOSURVEILLANCE</t>
    </r>
  </si>
  <si>
    <t>Code Point</t>
  </si>
  <si>
    <t>R53</t>
  </si>
  <si>
    <t>Une attention particulière devra être apportée en cas de modification significative des débits, de l'ajout d'un stabilisateur d'écoulement, d'un clapet ou d'un filet à l'exutoire, etc...).
Les traces de mises en charges peuvent être un indice pour évaluer ce critère.
En l'absence d'écoulement saisir "Non contrôlé"</t>
  </si>
  <si>
    <t>Une attention particulière devra être apportée en cas de modification significative des débits, de l'ajout d'un clapet ou d'un filet à l'exutoire, etc...).
Les traces de mises en charges peuvent être un indice pour évaluer ce critère.
En l'absence d'écoulement saisir "Non contrôlé".  Cette question n'est pas rédhibitoire et il n'est pas demandé de faire une seconde visite, avec écoulement, pour y répondre</t>
  </si>
  <si>
    <t>Une attention particulière devra être apportée en cas de modification significative des débits, de l'ajout d'un clapet ou d'un filet à l'exutoire, etc...).
Les traces de mises en charges peuvent être un indice pour évaluer ce critère.
En l'absence d'écoulement saisir "Non contrôlé"</t>
  </si>
  <si>
    <t>Tolérance de validation à 4 prélèvements par heure de rejet (soit 96 prélèvements/jour), sur justification d'un évènement exceptionnel.</t>
  </si>
  <si>
    <t>Exporter en Word</t>
  </si>
  <si>
    <t>Mesure comparative en parallèle</t>
  </si>
  <si>
    <t>EMT</t>
  </si>
  <si>
    <t>Évaluation des pratiques de fractionnement et de transport des échantillons</t>
  </si>
  <si>
    <t>Eaux résiduaires</t>
  </si>
  <si>
    <t>Penalité</t>
  </si>
  <si>
    <r>
      <t xml:space="preserve">FRACTIONNEMENT, TEMPÉRATURE ET DÉLAIS DE TRANSPORT DES </t>
    </r>
    <r>
      <rPr>
        <b/>
        <sz val="18"/>
        <color theme="0"/>
        <rFont val="Calibri"/>
        <family val="2"/>
      </rPr>
      <t>É</t>
    </r>
    <r>
      <rPr>
        <b/>
        <sz val="18"/>
        <color theme="0"/>
        <rFont val="Calibri"/>
        <family val="2"/>
        <scheme val="minor"/>
      </rPr>
      <t>CHANTILLONS</t>
    </r>
  </si>
  <si>
    <t>Coefficient Analytique</t>
  </si>
  <si>
    <t>Nombre d'analyses
réalisées</t>
  </si>
  <si>
    <t>Nombre d'analyses
conformes</t>
  </si>
  <si>
    <t xml:space="preserve">Dans l'affirmative, préciser la station : </t>
  </si>
  <si>
    <t>Informations sur le comparatif analytique</t>
  </si>
  <si>
    <t>Résultats du comparatif analytique</t>
  </si>
  <si>
    <t>(Dupliquer ce bloc en cas de comparatif multiple en utilisant le bouton du bas)</t>
  </si>
  <si>
    <t>Laboratoire du
Maître d'Ouvrage/exploitant</t>
  </si>
  <si>
    <t>Laboratoire de
contrôle</t>
  </si>
  <si>
    <t>Point</t>
  </si>
  <si>
    <t>nb ana</t>
  </si>
  <si>
    <t>nb conforme</t>
  </si>
  <si>
    <t>L'inclinomètre est-il adapté à l'environnement rencontré et présente t-il un état de fonctionnement satisfaisant ?</t>
  </si>
  <si>
    <r>
      <t xml:space="preserve">Le capteur de mesure de </t>
    </r>
    <r>
      <rPr>
        <u/>
        <sz val="10"/>
        <color theme="1"/>
        <rFont val="Arial"/>
        <family val="2"/>
      </rPr>
      <t>hauteur</t>
    </r>
    <r>
      <rPr>
        <sz val="10"/>
        <color theme="1"/>
        <rFont val="Arial"/>
        <family val="2"/>
      </rPr>
      <t xml:space="preserve"> d'eau est-il adapté au type d'effluent et à l'environnement rencontrés (mousses, températures, déchets, etc...) et présente t-il un état de fonctionnement satisfaisant ?
L'implantation du capteur de hauteur respecte t-elle les normes en vigueur et/ou les prescriptions du constructeur, ou celles définies dans l'étude spécifique ?</t>
    </r>
  </si>
  <si>
    <t>Organe déprimogène (pito...)</t>
  </si>
  <si>
    <t>Compteur mécanique</t>
  </si>
  <si>
    <t>Point A8</t>
  </si>
  <si>
    <t>RÉUTILISATION DES EAUX TRAITÉES</t>
  </si>
  <si>
    <t>Réserve</t>
  </si>
  <si>
    <t>D25</t>
  </si>
  <si>
    <r>
      <rPr>
        <b/>
        <sz val="16"/>
        <color theme="0"/>
        <rFont val="Calibri"/>
        <family val="2"/>
      </rPr>
      <t>É</t>
    </r>
    <r>
      <rPr>
        <b/>
        <sz val="16"/>
        <color theme="0"/>
        <rFont val="Calibri"/>
        <family val="2"/>
        <scheme val="minor"/>
      </rPr>
      <t>valuation des points règlementaires du réseau</t>
    </r>
  </si>
  <si>
    <t>TODO: aller chercher la liste des point Réseau</t>
  </si>
  <si>
    <t>Les estimations et les apports par camion ne rentrent pas dans le CDA</t>
  </si>
  <si>
    <t>Q en charge boues</t>
  </si>
  <si>
    <t>-</t>
  </si>
  <si>
    <t>Non applicable</t>
  </si>
  <si>
    <t>L'organe de mesure, y compris les canaux d'approche et de fuite, sont-ils installés conformément aux normes en vigueur et/ou aux prescriptions du constructeur ?
L'organe de mesure, y compris les canaux d'approche et de fuite, sont-ils exempts de déformation ayant un impact significatif sur la mesure de débit ?</t>
  </si>
  <si>
    <t>CONTRÔLE DES DISPOSITIFS D'AUTOSURVEILLANCE 
DES SYSTÈMES D'ASSAINISSEMENT COLLECTIF</t>
  </si>
  <si>
    <t>CONTRÔLE DES DISPOSITIFS D'AUTOSURVEILLANCE DES SYSTÈMES D'ASSAINISSEMENT COLLECTIF</t>
  </si>
  <si>
    <t>CODE_SANDRE_STEU</t>
  </si>
  <si>
    <t>CODE_SANDRE_SCL</t>
  </si>
  <si>
    <t>CODE_SANDRE_3</t>
  </si>
  <si>
    <t>Déversoir d'orage</t>
  </si>
  <si>
    <t>Déversoir en tête de station</t>
  </si>
  <si>
    <t>Entrée Station</t>
  </si>
  <si>
    <t>Sortie Station</t>
  </si>
  <si>
    <t>By-pass</t>
  </si>
  <si>
    <t>Boue produite</t>
  </si>
  <si>
    <t>Apport extérieur file(s) « eau »</t>
  </si>
  <si>
    <t>Sortie station pour utilisation des eaux usées traitées</t>
  </si>
  <si>
    <t>Déversoir du système de collecte non soumis à autosurveillance réglementaire</t>
  </si>
  <si>
    <t>Point caractéristique du système de collecte</t>
  </si>
  <si>
    <t>Effluent non domestique arrivant dans le système de collecte</t>
  </si>
  <si>
    <t>Entrée station (effluent « eau »)</t>
  </si>
  <si>
    <t>Sortie Station (effluent « eau »)</t>
  </si>
  <si>
    <t>Boue extraite de la file « eau » avant traitement</t>
  </si>
  <si>
    <t>Apport extérieur de boue</t>
  </si>
  <si>
    <t>S6</t>
  </si>
  <si>
    <t>S7</t>
  </si>
  <si>
    <t>S8</t>
  </si>
  <si>
    <t>S9</t>
  </si>
  <si>
    <t>S10</t>
  </si>
  <si>
    <t>S11</t>
  </si>
  <si>
    <t>Boue évacuée après traitement</t>
  </si>
  <si>
    <t>Apport extérieur en huiles/graisses</t>
  </si>
  <si>
    <t>Huiles / graisses produites avant traitement</t>
  </si>
  <si>
    <t>Huiles / graisses produites et évacuées sans traitement</t>
  </si>
  <si>
    <t>Sable évacué</t>
  </si>
  <si>
    <t>Refus de dégrillage évacué</t>
  </si>
  <si>
    <t>S14</t>
  </si>
  <si>
    <t>S15</t>
  </si>
  <si>
    <t>S17</t>
  </si>
  <si>
    <t>S18</t>
  </si>
  <si>
    <t>Réactifs utilisés (file « eau »)</t>
  </si>
  <si>
    <t>Apport extérieur de matières de vidange</t>
  </si>
  <si>
    <t>Apport extérieur de produits de curage</t>
  </si>
  <si>
    <t>Réactifs utilisés (file « boue »)</t>
  </si>
  <si>
    <t>Boue évacuée sans traitement</t>
  </si>
  <si>
    <t>Autre apport extérieur file(s) « eau »</t>
  </si>
  <si>
    <t>Sortie de station pour utilisation des eaux usées traitées</t>
  </si>
  <si>
    <t>NB réponse / 10</t>
  </si>
  <si>
    <t>Score total</t>
  </si>
  <si>
    <r>
      <t>PROC</t>
    </r>
    <r>
      <rPr>
        <b/>
        <sz val="18"/>
        <color theme="0"/>
        <rFont val="Calibri"/>
        <family val="2"/>
      </rPr>
      <t>É</t>
    </r>
    <r>
      <rPr>
        <b/>
        <sz val="18"/>
        <color theme="0"/>
        <rFont val="Calibri"/>
        <family val="2"/>
        <scheme val="minor"/>
      </rPr>
      <t>DURES DE CONTR</t>
    </r>
    <r>
      <rPr>
        <b/>
        <sz val="18"/>
        <color theme="0"/>
        <rFont val="Calibri"/>
        <family val="2"/>
      </rPr>
      <t>Ô</t>
    </r>
    <r>
      <rPr>
        <b/>
        <sz val="18"/>
        <color theme="0"/>
        <rFont val="Calibri"/>
        <family val="2"/>
        <scheme val="minor"/>
      </rPr>
      <t>LES INTERNES DES MAT</t>
    </r>
    <r>
      <rPr>
        <b/>
        <sz val="18"/>
        <color theme="0"/>
        <rFont val="Calibri"/>
        <family val="2"/>
      </rPr>
      <t>É</t>
    </r>
    <r>
      <rPr>
        <b/>
        <sz val="18"/>
        <color theme="0"/>
        <rFont val="Calibri"/>
        <family val="2"/>
        <scheme val="minor"/>
      </rPr>
      <t>RIELS D'AUTOSURVEILLANCE</t>
    </r>
  </si>
  <si>
    <t xml:space="preserve"> COMPARATIF ANALYTIQUE : DÉFINITION DES ÉCARTS MAXIMUM TOLÉRÉS (EMT)</t>
  </si>
  <si>
    <t xml:space="preserve">Remarques : </t>
  </si>
  <si>
    <t>L'implantation du capteur respecte t-elle les normes en vigueur et/ou les prescriptions du constructeur, ainsi que les prescriptions propres à la loi ?</t>
  </si>
  <si>
    <t xml:space="preserve">Les conditions limites d'application de la loi, sont-elles conformes aux conditions propres à la loi (pente, influences amont / aval, …) ?
</t>
  </si>
  <si>
    <t>L'implantation du capteur respecte t-elle les normes en vigueur et/ou les prescriptions du constructeur, ainsi que les prescriptions définies dans l'étude de modélisation ?</t>
  </si>
  <si>
    <t>Autre loi Hauteur / Débit (COACHs, Manning Strickler, …)</t>
  </si>
  <si>
    <t>CONTRÔLE DES DISPOSITIFS D'AUTOSURVEILLANCE 
DU SYSTÈME DE COLLECTE</t>
  </si>
  <si>
    <t>CONTRÔLE DES DISPOSITIFS D'AUTOSURVEILLANCE 
DU SYSTÈME DE TRAITEMENT</t>
  </si>
  <si>
    <t>Canaux Venturi :</t>
  </si>
  <si>
    <t>feuilledecontrole_v7.0_locked.xlsx</t>
  </si>
  <si>
    <t>Débitmètres en charge :</t>
  </si>
  <si>
    <t>Vitesse mini
en m/s</t>
  </si>
  <si>
    <r>
      <t>Débit mini
en m</t>
    </r>
    <r>
      <rPr>
        <vertAlign val="superscript"/>
        <sz val="10"/>
        <color theme="1"/>
        <rFont val="Arial"/>
        <family val="2"/>
      </rPr>
      <t>3</t>
    </r>
    <r>
      <rPr>
        <sz val="10"/>
        <color theme="1"/>
        <rFont val="Arial"/>
        <family val="2"/>
      </rPr>
      <t>/h</t>
    </r>
  </si>
  <si>
    <t>Vitesse maxi
en m/s</t>
  </si>
  <si>
    <t>Diamètre nominal
en mm</t>
  </si>
  <si>
    <r>
      <t>Débit maxi
en m</t>
    </r>
    <r>
      <rPr>
        <vertAlign val="superscript"/>
        <sz val="10"/>
        <color theme="1"/>
        <rFont val="Arial"/>
        <family val="2"/>
      </rPr>
      <t>3</t>
    </r>
    <r>
      <rPr>
        <sz val="10"/>
        <color theme="1"/>
        <rFont val="Arial"/>
        <family val="2"/>
      </rPr>
      <t>/h</t>
    </r>
  </si>
  <si>
    <t>Version grille CDA</t>
  </si>
  <si>
    <t>Version module</t>
  </si>
  <si>
    <t>Documentation de la grille</t>
  </si>
  <si>
    <t>Instructions pour la réalisation du CDA</t>
  </si>
  <si>
    <t>Présentation</t>
  </si>
  <si>
    <t>Les fichiers sources dans leur dernières version sont disponibles à cette adresse : https://github.com/ndhuygelaere/autosurveillance_steu_excel</t>
  </si>
  <si>
    <t>Crédits</t>
  </si>
  <si>
    <t xml:space="preserve">Le comparatif est-il effectué à partir des prélèvements d'une autre station ? </t>
  </si>
  <si>
    <t xml:space="preserve">Nom du(des) laboratoire(s) réalisant l'analyse de la siccité des boues et des matières sèches : </t>
  </si>
  <si>
    <r>
      <t xml:space="preserve">Est-ce que le contrôle des </t>
    </r>
    <r>
      <rPr>
        <b/>
        <u/>
        <sz val="12"/>
        <rFont val="Calibri"/>
        <family val="2"/>
        <scheme val="minor"/>
      </rPr>
      <t>débitmètres</t>
    </r>
    <r>
      <rPr>
        <sz val="12"/>
        <color theme="4"/>
        <rFont val="Calibri"/>
        <family val="2"/>
        <scheme val="minor"/>
      </rPr>
      <t xml:space="preserve"> </t>
    </r>
    <r>
      <rPr>
        <sz val="12"/>
        <color theme="1"/>
        <rFont val="Calibri"/>
        <family val="2"/>
        <scheme val="minor"/>
      </rPr>
      <t>est réalisé selon les procédures décrites dans le manuel d'autosurveillance ?</t>
    </r>
  </si>
  <si>
    <t>Sur une surface horizontale, entre 0,5 et 2 mètres du sol (1 mètre recommandé), à une distance supérieure à 4 fois la hauteur d'obstacles (mur, arbres, etc…).</t>
  </si>
  <si>
    <t>Le contrôle consiste à vérifier le paramétrage exact de la loi telle que décrite dans la norme, ou pour les autres cas, celle indiquée dans le manuel d'autosurveillance.
Le nombre de points paramétrés de la courbe de conversion doit également être cohérent avec la gamme des valeurs mesurées.</t>
  </si>
  <si>
    <r>
      <t xml:space="preserve">sous la direction du </t>
    </r>
    <r>
      <rPr>
        <b/>
        <sz val="11"/>
        <color theme="1"/>
        <rFont val="Calibri"/>
        <family val="2"/>
        <scheme val="minor"/>
      </rPr>
      <t>GT Autosurveillance des Agences de l'Eau</t>
    </r>
  </si>
  <si>
    <r>
      <t xml:space="preserve">Le </t>
    </r>
    <r>
      <rPr>
        <b/>
        <sz val="11"/>
        <color theme="1"/>
        <rFont val="Calibri"/>
        <family val="2"/>
        <scheme val="minor"/>
      </rPr>
      <t>Contrôle Annuel des dispositifs d’Autosurveillance (CDA)</t>
    </r>
    <r>
      <rPr>
        <sz val="11"/>
        <color theme="1"/>
        <rFont val="Calibri"/>
        <family val="2"/>
        <scheme val="minor"/>
      </rPr>
      <t xml:space="preserve"> constitue une étape réglementaire majeure dans la gestion des systèmes d'assainissement collectif.
Ce diagnostic technique a pour fonction de vérifier la fiabilité et la conformité des données d'autosurveillance produites par les exploitants de Stations de Traitement des Eaux Usées (STEU) et deSystème de Collecte (SCL).</t>
    </r>
  </si>
  <si>
    <t>L’autosurveillance repose sur la mesure en continue des débits et la réalisation de prélèvements d'échantillons représentatifs des rejets.
Le CDA intervient comme un audit externe visant à :
     • Valider la métrologie : Vérifier l’étalonnage et la précision des débitmètres et des préleveurs automatiques.
     • Certifier les données : Garantir que les volumes et les charges polluantes déclarés aux agences de l’eau et aux services de l’État sont exacts.
     • Assurer la conformité : Vérifier le respect des prescriptions techniques de l’arrêté d'autorisation de l’ouvrage.</t>
  </si>
  <si>
    <t>Le contrôle doit être réalisé par un organisme tiers indépendant et compétant (bureaux d’études spécialisés ou services d’assistance technique départementaux : SATESE). Il donne lieu à un rapport technique détaillé (dont une trame est exportable depuis cette feuille Excel) qui consigne les écarts de mesure, l'état de l'instrumentation et la qualité de la chaîne d'acquisition des données des stations de traitement et de leur système de collecte.</t>
  </si>
  <si>
    <t>Afin de structurer cette collecte et de sécuriser la transmission des informations, le formulaire Excel permet une saisie directe et standardisée des données de contrôle. Cet outil vise à harmoniser les rapports, à réduire les risques d’erreurs de retranscription et à faciliter le suivi  des dispositifs d’autosurveillance.</t>
  </si>
  <si>
    <t>Le formulaire pourra être à terme être pré-généré et déposé sur la plateforme « Port'Aus » mise à disposition par les Agences de l’Eau.</t>
  </si>
  <si>
    <r>
      <t xml:space="preserve">Développments réalisés par </t>
    </r>
    <r>
      <rPr>
        <b/>
        <sz val="11"/>
        <color theme="1"/>
        <rFont val="Calibri"/>
        <family val="2"/>
        <scheme val="minor"/>
      </rPr>
      <t>Nicolas DHUYGELAERE</t>
    </r>
    <r>
      <rPr>
        <sz val="11"/>
        <color theme="1"/>
        <rFont val="Calibri"/>
        <family val="2"/>
        <scheme val="minor"/>
      </rPr>
      <t xml:space="preserve"> (Datalime), </t>
    </r>
    <r>
      <rPr>
        <b/>
        <sz val="11"/>
        <color theme="1"/>
        <rFont val="Calibri"/>
        <family val="2"/>
        <scheme val="minor"/>
      </rPr>
      <t>Georges GOLLA</t>
    </r>
    <r>
      <rPr>
        <sz val="11"/>
        <color theme="1"/>
        <rFont val="Calibri"/>
        <family val="2"/>
        <scheme val="minor"/>
      </rPr>
      <t xml:space="preserve"> (IGA Tours), </t>
    </r>
    <r>
      <rPr>
        <b/>
        <sz val="11"/>
        <color theme="1"/>
        <rFont val="Calibri"/>
        <family val="2"/>
        <scheme val="minor"/>
      </rPr>
      <t>Jéremi JAMBON</t>
    </r>
    <r>
      <rPr>
        <sz val="11"/>
        <color theme="1"/>
        <rFont val="Calibri"/>
        <family val="2"/>
        <scheme val="minor"/>
      </rPr>
      <t xml:space="preserve"> (SATESE 03)</t>
    </r>
  </si>
  <si>
    <t>Base de données sur les plages optimales et recommandées de mesure des débitmètres</t>
  </si>
  <si>
    <t>PLAGES DE MESURE OPTIMALES</t>
  </si>
  <si>
    <t>PLAGES DE MESURE RECOMMANDÉES</t>
  </si>
  <si>
    <t>BASE DE DONNÉES SUR LES PLAGES OPTIMALES ET RECOMMANDÉES DES DEBITMÈTRES</t>
  </si>
  <si>
    <r>
      <t xml:space="preserve">Les écarts entre d’une part les résultats de mesure </t>
    </r>
    <r>
      <rPr>
        <u/>
        <sz val="10"/>
        <color theme="1"/>
        <rFont val="Arial"/>
        <family val="2"/>
      </rPr>
      <t>d’angle</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t>
    </r>
    <r>
      <rPr>
        <sz val="10"/>
        <color theme="1"/>
        <rFont val="Arial"/>
        <family val="2"/>
      </rPr>
      <t>1°) ?</t>
    </r>
  </si>
  <si>
    <r>
      <t xml:space="preserve">La loi hydraulique Q = f(angle) utilisée est-elle correctement paramétrée et cohérente avec les caractéristiques de l’organe de mesure ?
Les écarts entre d’une part les résultats de mesure </t>
    </r>
    <r>
      <rPr>
        <u/>
        <sz val="10"/>
        <color theme="1"/>
        <rFont val="Arial"/>
        <family val="2"/>
      </rPr>
      <t>débit</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±10</t>
    </r>
    <r>
      <rPr>
        <sz val="10"/>
        <color theme="1"/>
        <rFont val="Arial"/>
        <family val="2"/>
      </rPr>
      <t>%)°?</t>
    </r>
  </si>
  <si>
    <t>Le contrôle consiste à vérifier le paramétrage exacte de la loi telle que décrite dans le manuel d'autosurveillance.
Le nombre de points paramétrés de la courbe de conversion doit également être cohérent avec la gamme des valeurs mesurées.</t>
  </si>
  <si>
    <t>Existe t-il un dispositif de contrôle adapté et un afficheur de proximité (Angle + Débit + Volume) ?</t>
  </si>
  <si>
    <t>Existe-t-il un afficheur de proximité (Volume) ?</t>
  </si>
  <si>
    <t>Le caisson et les capteurs associés, sont-ils installés conformément aux prescriptions en vigueur ?
Le caisson est-il exempt de déformation ayant un impact significatif sur la mesure de débit ?</t>
  </si>
  <si>
    <r>
      <t xml:space="preserve">Si une mesure comparative est impossible ou que l'écart se situe entre 10 et 20%, est-ce qu'un </t>
    </r>
    <r>
      <rPr>
        <u/>
        <sz val="10"/>
        <color rgb="FF7030A0"/>
        <rFont val="Arial"/>
        <family val="2"/>
      </rPr>
      <t>contrôle électronique</t>
    </r>
    <r>
      <rPr>
        <sz val="10"/>
        <color rgb="FF7030A0"/>
        <rFont val="Arial"/>
        <family val="2"/>
      </rPr>
      <t xml:space="preserve"> du débitmètre est réalisé et le rapport atteste-t-il d'un bon fonctionnement ?</t>
    </r>
  </si>
  <si>
    <r>
      <t>Si une mesure comparative est impossible ou que l'écart se situe entre 10 et 20%, est-ce qu'un</t>
    </r>
    <r>
      <rPr>
        <u/>
        <sz val="10"/>
        <color rgb="FF7030A0"/>
        <rFont val="Arial"/>
        <family val="2"/>
      </rPr>
      <t xml:space="preserve"> étalonnage</t>
    </r>
    <r>
      <rPr>
        <sz val="10"/>
        <color rgb="FF7030A0"/>
        <rFont val="Arial"/>
        <family val="2"/>
      </rPr>
      <t xml:space="preserve"> du débitmètre par un laboratoire accrédité est réalisé et le rapport atteste-t-il d'un bon fonctionnement ?</t>
    </r>
  </si>
  <si>
    <t>La vanne de prélèvement est-elle asservie au débit, ou au volume écoulé, et assure-t-elle un nombre de prélèvements égal, en moyenne, à au moins à 6 par heure de rejet effectif ? soit 144 prélèvements unitaires par 24h de rejet.</t>
  </si>
  <si>
    <t>question non applicable</t>
  </si>
  <si>
    <t>Autres équipements</t>
  </si>
  <si>
    <t>Statut</t>
  </si>
  <si>
    <t>Liste des statuts équipements</t>
  </si>
  <si>
    <t>Contrôlé</t>
  </si>
  <si>
    <t>Supprimé</t>
  </si>
  <si>
    <t>Pluviomètre de référence</t>
  </si>
  <si>
    <t xml:space="preserve">L'archive est constituée:
     • de la grille CDA (fichier GRILLES_CDA_Vxxx.xlsx)
     • d'un module complémentaire à Excel (fichier autosurveillanceSTEU.xlam)
     • de fichiers de modèle dans le répertoire "AutosurveillanceTemplates"
     • de la documentation d'installation
Pour chaque mise à jour de la grille, il vous faudra suivre les instructions du manuel d'installation afin de vous assurez d'utiliser la nouvelle version de la grille et du module.
</t>
  </si>
  <si>
    <t>La réalisation du CDA et les modalités de remplissage de la grille conrrespondante doivent respecter les consignes suivantes :
     • Une grille CDA ne peut au maximum contenir que les inforations pour un système de collecte et une station. Pour les agglomerations disposant de plusieurs système de traitement, il est impératif de générer une grille par système de traitement.
     • Il est recommandé de faire un CDA distinct pour la partie système de collecte et pour la partie système de traitement.
     • Dans le cas ou le contrôle s'effectue sur plusieurs jours, une seule grille peut être renseigné les jours sont consécutifs et si les conditions météorologiques sont stables pendant le contrôle. A défaut il faudra fournir plusieurs plusieurs grilles CDA.</t>
  </si>
  <si>
    <t>Entre 10 et 20%</t>
  </si>
  <si>
    <t>Non validé (&gt;20%)</t>
  </si>
  <si>
    <t>1.17.5</t>
  </si>
  <si>
    <t>1.beta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</si>
</sst>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
  </numFmts>
  <fonts count="113"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0"/>
      <name val="Arial"/>
      <family val="2"/>
    </font>
    <font>
      <b/>
      <sz val="10"/>
      <color theme="1"/>
      <name val="Arial"/>
      <family val="2"/>
    </font>
    <font>
      <sz val="10"/>
      <color theme="0"/>
      <name val="Arial"/>
      <family val="2"/>
    </font>
    <font>
      <b/>
      <sz val="10"/>
      <name val="Arial"/>
      <family val="2"/>
    </font>
    <font>
      <sz val="8"/>
      <name val="Arial"/>
      <family val="2"/>
    </font>
    <font>
      <b/>
      <sz val="8"/>
      <color theme="0"/>
      <name val="Arial"/>
      <family val="2"/>
    </font>
    <font>
      <sz val="9"/>
      <name val="Arial"/>
      <family val="2"/>
    </font>
    <font>
      <sz val="10"/>
      <name val="Arial"/>
      <family val="2"/>
    </font>
    <font>
      <sz val="8"/>
      <color theme="1"/>
      <name val="Arial"/>
      <family val="2"/>
    </font>
    <font>
      <b/>
      <sz val="18"/>
      <color theme="1"/>
      <name val="Arial"/>
      <family val="2"/>
    </font>
    <font>
      <sz val="10"/>
      <color theme="1"/>
      <name val="Arial"/>
      <family val="2"/>
    </font>
    <font>
      <sz val="9"/>
      <color theme="1"/>
      <name val="Arial"/>
      <family val="2"/>
    </font>
    <font>
      <b/>
      <sz val="12"/>
      <color indexed="9"/>
      <name val="Arial"/>
      <family val="2"/>
    </font>
    <font>
      <b/>
      <sz val="10"/>
      <color rgb="FFFF0000"/>
      <name val="Arial"/>
      <family val="2"/>
    </font>
    <font>
      <b/>
      <sz val="10"/>
      <color indexed="9"/>
      <name val="Arial"/>
      <family val="2"/>
    </font>
    <font>
      <b/>
      <sz val="12"/>
      <color theme="0"/>
      <name val="Arial"/>
      <family val="2"/>
    </font>
    <font>
      <sz val="10"/>
      <color indexed="9"/>
      <name val="Arial"/>
      <family val="2"/>
    </font>
    <font>
      <vertAlign val="subscript"/>
      <sz val="10"/>
      <name val="Arial"/>
      <family val="2"/>
    </font>
    <font>
      <sz val="10"/>
      <color indexed="8"/>
      <name val="Arial"/>
      <family val="2"/>
    </font>
    <font>
      <vertAlign val="superscript"/>
      <sz val="10"/>
      <name val="Arial"/>
      <family val="2"/>
    </font>
    <font>
      <sz val="11"/>
      <name val="Calibri"/>
      <family val="2"/>
      <scheme val="minor"/>
    </font>
    <font>
      <b/>
      <sz val="12"/>
      <name val="Calibri"/>
      <family val="2"/>
      <scheme val="minor"/>
    </font>
    <font>
      <b/>
      <sz val="20"/>
      <color theme="0"/>
      <name val="Calibri"/>
      <family val="2"/>
      <scheme val="minor"/>
    </font>
    <font>
      <sz val="12"/>
      <name val="Calibri"/>
      <family val="2"/>
      <scheme val="minor"/>
    </font>
    <font>
      <b/>
      <sz val="18"/>
      <color theme="0"/>
      <name val="Calibri"/>
      <family val="2"/>
      <scheme val="minor"/>
    </font>
    <font>
      <sz val="10"/>
      <color rgb="FFFF0000"/>
      <name val="Arial"/>
      <family val="2"/>
    </font>
    <font>
      <b/>
      <sz val="17"/>
      <color rgb="FFFFFFFF"/>
      <name val="Arial"/>
      <family val="2"/>
    </font>
    <font>
      <b/>
      <sz val="17"/>
      <color theme="0"/>
      <name val="Arial"/>
      <family val="2"/>
    </font>
    <font>
      <b/>
      <sz val="17"/>
      <color rgb="FFFF0000"/>
      <name val="Arial"/>
      <family val="2"/>
    </font>
    <font>
      <b/>
      <sz val="12"/>
      <color rgb="FFFFFFFF"/>
      <name val="Arial"/>
      <family val="2"/>
    </font>
    <font>
      <u/>
      <sz val="10"/>
      <color theme="1"/>
      <name val="Arial"/>
      <family val="2"/>
    </font>
    <font>
      <sz val="10"/>
      <color rgb="FF7030A0"/>
      <name val="Arial"/>
      <family val="2"/>
    </font>
    <font>
      <u/>
      <sz val="10"/>
      <color rgb="FF7030A0"/>
      <name val="Arial"/>
      <family val="2"/>
    </font>
    <font>
      <sz val="10"/>
      <color theme="1"/>
      <name val="Aptos Narrow"/>
      <family val="2"/>
    </font>
    <font>
      <sz val="9"/>
      <color theme="1"/>
      <name val="Aptos Narrow"/>
      <family val="2"/>
    </font>
    <font>
      <sz val="10"/>
      <color rgb="FF7030A0"/>
      <name val="Aptos Narrow"/>
      <family val="2"/>
    </font>
    <font>
      <sz val="8"/>
      <color rgb="FF7030A0"/>
      <name val="Arial"/>
      <family val="2"/>
    </font>
    <font>
      <vertAlign val="superscript"/>
      <sz val="10"/>
      <color theme="1"/>
      <name val="Arial"/>
      <family val="2"/>
    </font>
    <font>
      <sz val="10"/>
      <color theme="1"/>
      <name val="Calibri"/>
      <family val="2"/>
      <scheme val="minor"/>
    </font>
    <font>
      <b/>
      <sz val="10"/>
      <name val="Calibri"/>
      <family val="2"/>
      <scheme val="minor"/>
    </font>
    <font>
      <sz val="10"/>
      <name val="Calibri"/>
      <family val="2"/>
      <scheme val="minor"/>
    </font>
    <font>
      <sz val="12"/>
      <color theme="1"/>
      <name val="Calibri"/>
      <family val="2"/>
      <scheme val="minor"/>
    </font>
    <font>
      <b/>
      <sz val="11"/>
      <color theme="4"/>
      <name val="Calibri"/>
      <family val="2"/>
      <scheme val="minor"/>
    </font>
    <font>
      <b/>
      <sz val="16"/>
      <color theme="0"/>
      <name val="Calibri"/>
      <family val="2"/>
      <scheme val="minor"/>
    </font>
    <font>
      <sz val="9"/>
      <color theme="1"/>
      <name val="Calibri"/>
      <family val="2"/>
      <scheme val="minor"/>
    </font>
    <font>
      <sz val="12"/>
      <color theme="4"/>
      <name val="Calibri"/>
      <family val="2"/>
      <scheme val="minor"/>
    </font>
    <font>
      <i/>
      <sz val="12"/>
      <color theme="3"/>
      <name val="Calibri"/>
      <family val="2"/>
      <scheme val="minor"/>
    </font>
    <font>
      <i/>
      <sz val="11"/>
      <color theme="3"/>
      <name val="Calibri"/>
      <family val="2"/>
      <scheme val="minor"/>
    </font>
    <font>
      <sz val="11"/>
      <color theme="4"/>
      <name val="Calibri"/>
      <family val="2"/>
      <scheme val="minor"/>
    </font>
    <font>
      <b/>
      <sz val="16"/>
      <color indexed="9"/>
      <name val="Calibri"/>
      <family val="2"/>
      <scheme val="minor"/>
    </font>
    <font>
      <b/>
      <sz val="18"/>
      <color rgb="FFFF0000"/>
      <name val="Calibri"/>
      <family val="2"/>
      <scheme val="minor"/>
    </font>
    <font>
      <b/>
      <sz val="18"/>
      <name val="Calibri"/>
      <family val="2"/>
      <scheme val="minor"/>
    </font>
    <font>
      <b/>
      <sz val="10"/>
      <color theme="1"/>
      <name val="Calibri"/>
      <family val="2"/>
      <scheme val="minor"/>
    </font>
    <font>
      <sz val="10"/>
      <color rgb="FFFF0000"/>
      <name val="Calibri"/>
      <family val="2"/>
      <scheme val="minor"/>
    </font>
    <font>
      <b/>
      <sz val="10"/>
      <color rgb="FFFF0000"/>
      <name val="Calibri"/>
      <family val="2"/>
      <scheme val="minor"/>
    </font>
    <font>
      <b/>
      <sz val="14"/>
      <color rgb="FFFF0000"/>
      <name val="Calibri"/>
      <family val="2"/>
      <scheme val="minor"/>
    </font>
    <font>
      <sz val="10"/>
      <color rgb="FFC00000"/>
      <name val="Calibri"/>
      <family val="2"/>
      <scheme val="minor"/>
    </font>
    <font>
      <b/>
      <sz val="10"/>
      <color rgb="FFC00000"/>
      <name val="Calibri"/>
      <family val="2"/>
      <scheme val="minor"/>
    </font>
    <font>
      <i/>
      <sz val="10"/>
      <name val="Calibri"/>
      <family val="2"/>
      <scheme val="minor"/>
    </font>
    <font>
      <sz val="9"/>
      <color rgb="FFFF0000"/>
      <name val="Calibri"/>
      <family val="2"/>
      <scheme val="minor"/>
    </font>
    <font>
      <b/>
      <sz val="9"/>
      <color rgb="FFFF0000"/>
      <name val="Calibri"/>
      <family val="2"/>
      <scheme val="minor"/>
    </font>
    <font>
      <i/>
      <sz val="9"/>
      <color rgb="FFFF0000"/>
      <name val="Calibri"/>
      <family val="2"/>
      <scheme val="minor"/>
    </font>
    <font>
      <sz val="9"/>
      <name val="Calibri"/>
      <family val="2"/>
      <scheme val="minor"/>
    </font>
    <font>
      <sz val="8"/>
      <color theme="1"/>
      <name val="Calibri"/>
      <family val="2"/>
      <scheme val="minor"/>
    </font>
    <font>
      <sz val="8"/>
      <name val="Calibri"/>
      <family val="2"/>
      <scheme val="minor"/>
    </font>
    <font>
      <b/>
      <sz val="11"/>
      <color theme="1"/>
      <name val="Calibri"/>
      <family val="2"/>
      <scheme val="minor"/>
    </font>
    <font>
      <b/>
      <sz val="14"/>
      <color theme="0"/>
      <name val="Calibri"/>
      <family val="2"/>
      <scheme val="minor"/>
    </font>
    <font>
      <sz val="10"/>
      <color theme="2"/>
      <name val="Calibri"/>
      <family val="2"/>
      <scheme val="minor"/>
    </font>
    <font>
      <b/>
      <sz val="12"/>
      <color theme="1"/>
      <name val="Calibri"/>
      <family val="2"/>
      <scheme val="minor"/>
    </font>
    <font>
      <b/>
      <sz val="10"/>
      <color theme="2"/>
      <name val="Calibri"/>
      <family val="2"/>
      <scheme val="minor"/>
    </font>
    <font>
      <b/>
      <i/>
      <sz val="12"/>
      <color theme="0"/>
      <name val="Calibri"/>
      <family val="2"/>
      <scheme val="minor"/>
    </font>
    <font>
      <b/>
      <sz val="26"/>
      <color theme="1"/>
      <name val="Arial"/>
      <family val="2"/>
    </font>
    <font>
      <i/>
      <sz val="9"/>
      <color theme="1"/>
      <name val="Calibri"/>
      <family val="2"/>
      <scheme val="minor"/>
    </font>
    <font>
      <i/>
      <sz val="10"/>
      <color theme="1"/>
      <name val="Calibri"/>
      <family val="2"/>
      <scheme val="minor"/>
    </font>
    <font>
      <i/>
      <sz val="10"/>
      <color rgb="FFFF0000"/>
      <name val="Calibri"/>
      <family val="2"/>
      <scheme val="minor"/>
    </font>
    <font>
      <b/>
      <u/>
      <sz val="12"/>
      <name val="Calibri"/>
      <family val="2"/>
      <scheme val="minor"/>
    </font>
    <font>
      <i/>
      <sz val="12"/>
      <name val="Calibri"/>
      <family val="2"/>
      <scheme val="minor"/>
    </font>
    <font>
      <b/>
      <sz val="14"/>
      <name val="Calibri"/>
      <family val="2"/>
      <scheme val="minor"/>
    </font>
    <font>
      <b/>
      <sz val="10"/>
      <color theme="0"/>
      <name val="Calibri"/>
      <family val="2"/>
      <scheme val="minor"/>
    </font>
    <font>
      <i/>
      <sz val="12"/>
      <color theme="1"/>
      <name val="Calibri"/>
      <family val="2"/>
      <scheme val="minor"/>
    </font>
    <font>
      <b/>
      <sz val="12"/>
      <color theme="2"/>
      <name val="Calibri"/>
      <family val="2"/>
      <scheme val="minor"/>
    </font>
    <font>
      <b/>
      <sz val="18"/>
      <color theme="2"/>
      <name val="Calibri"/>
      <family val="2"/>
      <scheme val="minor"/>
    </font>
    <font>
      <sz val="12"/>
      <color theme="2"/>
      <name val="Calibri"/>
      <family val="2"/>
      <scheme val="minor"/>
    </font>
    <font>
      <b/>
      <sz val="11"/>
      <color theme="4"/>
      <name val="Calibri"/>
      <family val="2"/>
    </font>
    <font>
      <b/>
      <sz val="18"/>
      <color theme="0"/>
      <name val="Calibri"/>
      <family val="2"/>
    </font>
    <font>
      <b/>
      <sz val="12"/>
      <name val="Calibri"/>
      <family val="2"/>
    </font>
    <font>
      <b/>
      <sz val="16"/>
      <color theme="0"/>
      <name val="Calibri"/>
      <family val="2"/>
    </font>
    <font>
      <b/>
      <i/>
      <sz val="12"/>
      <name val="Calibri"/>
      <family val="2"/>
      <scheme val="minor"/>
    </font>
    <font>
      <sz val="20"/>
      <color theme="4"/>
      <name val="Calibri"/>
      <family val="2"/>
      <scheme val="minor"/>
    </font>
    <font>
      <b/>
      <i/>
      <sz val="12"/>
      <color theme="1"/>
      <name val="Calibri"/>
      <family val="2"/>
      <scheme val="minor"/>
    </font>
    <font>
      <b/>
      <sz val="14"/>
      <color theme="1"/>
      <name val="Calibri"/>
      <family val="2"/>
      <scheme val="minor"/>
    </font>
    <font>
      <u/>
      <sz val="10"/>
      <color theme="1"/>
      <name val="Calibri"/>
      <family val="2"/>
      <scheme val="minor"/>
    </font>
    <font>
      <b/>
      <sz val="12"/>
      <color theme="1"/>
      <name val="Arial"/>
      <family val="2"/>
    </font>
    <font>
      <u/>
      <sz val="10"/>
      <color theme="10"/>
      <name val="Arial"/>
      <family val="2"/>
    </font>
    <font>
      <b/>
      <sz val="14"/>
      <color theme="0"/>
      <name val="Arial"/>
      <family val="2"/>
    </font>
    <font>
      <b/>
      <sz val="16"/>
      <color theme="0"/>
      <name val="Arial"/>
      <family val="2"/>
    </font>
    <font>
      <b/>
      <sz val="11"/>
      <name val="Calibri"/>
      <family val="2"/>
      <scheme val="minor"/>
    </font>
    <font>
      <b/>
      <sz val="16"/>
      <name val="Calibri"/>
      <family val="2"/>
      <scheme val="minor"/>
    </font>
  </fonts>
  <fills count="4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indexed="21"/>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6" tint="0.79998168889431442"/>
        <bgColor indexed="64"/>
      </patternFill>
    </fill>
    <fill>
      <patternFill patternType="solid">
        <fgColor indexed="22"/>
        <bgColor indexed="64"/>
      </patternFill>
    </fill>
    <fill>
      <patternFill patternType="solid">
        <fgColor rgb="FF009FE3"/>
        <bgColor indexed="64"/>
      </patternFill>
    </fill>
    <fill>
      <patternFill patternType="solid">
        <fgColor rgb="FFF2F2F2"/>
        <bgColor indexed="64"/>
      </patternFill>
    </fill>
    <fill>
      <patternFill patternType="solid">
        <fgColor rgb="FF8FC5EC"/>
        <bgColor indexed="64"/>
      </patternFill>
    </fill>
    <fill>
      <patternFill patternType="solid">
        <fgColor theme="3"/>
        <bgColor indexed="64"/>
      </patternFill>
    </fill>
    <fill>
      <patternFill patternType="solid">
        <fgColor theme="1" tint="0.499984740745262"/>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2"/>
        <bgColor indexed="64"/>
      </patternFill>
    </fill>
    <fill>
      <patternFill patternType="solid">
        <fgColor theme="5"/>
        <bgColor indexed="64"/>
      </patternFill>
    </fill>
    <fill>
      <patternFill patternType="solid">
        <fgColor theme="6"/>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rgb="FFFFFFFF"/>
        <bgColor indexed="64"/>
      </patternFill>
    </fill>
    <fill>
      <patternFill patternType="solid">
        <fgColor indexed="65"/>
        <bgColor indexed="64"/>
      </patternFill>
    </fill>
    <fill>
      <patternFill patternType="solid">
        <fgColor rgb="FFFF9966"/>
        <bgColor indexed="64"/>
      </patternFill>
    </fill>
    <fill>
      <patternFill patternType="solid">
        <fgColor rgb="FF7AB51C"/>
        <bgColor indexed="64"/>
      </patternFill>
    </fill>
    <fill>
      <patternFill patternType="solid">
        <fgColor rgb="FFD57A44"/>
        <bgColor indexed="64"/>
      </patternFill>
    </fill>
    <fill>
      <patternFill patternType="solid">
        <fgColor rgb="FFB896EF"/>
        <bgColor indexed="64"/>
      </patternFill>
    </fill>
    <fill>
      <patternFill patternType="solid">
        <fgColor rgb="FF8FC4E6"/>
        <bgColor indexed="64"/>
      </patternFill>
    </fill>
    <fill>
      <patternFill patternType="solid">
        <fgColor rgb="FFC6EEFF"/>
        <bgColor indexed="64"/>
      </patternFill>
    </fill>
    <fill>
      <patternFill patternType="solid">
        <fgColor theme="7"/>
        <bgColor indexed="64"/>
      </patternFill>
    </fill>
    <fill>
      <patternFill patternType="solid">
        <fgColor theme="9" tint="0.59999389629810485"/>
        <bgColor indexed="64"/>
      </patternFill>
    </fill>
    <fill>
      <patternFill patternType="solid">
        <fgColor theme="0" tint="-0.499984740745262"/>
        <bgColor indexed="64"/>
      </patternFill>
    </fill>
    <fill>
      <patternFill patternType="solid">
        <fgColor rgb="FFFFFFB9"/>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rgb="FF92D050"/>
        <bgColor indexed="64"/>
      </patternFill>
    </fill>
    <fill>
      <patternFill patternType="solid">
        <fgColor theme="1"/>
        <bgColor indexed="64"/>
      </patternFill>
    </fill>
  </fills>
  <borders count="44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hair">
        <color auto="1"/>
      </right>
      <top style="hair">
        <color auto="1"/>
      </top>
      <bottom style="hair">
        <color auto="1"/>
      </bottom>
      <diagonal/>
    </border>
    <border>
      <left style="medium">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right/>
      <top style="hair">
        <color indexed="64"/>
      </top>
      <bottom style="hair">
        <color indexed="64"/>
      </bottom>
      <diagonal/>
    </border>
    <border>
      <left style="thin">
        <color indexed="64"/>
      </left>
      <right style="thin">
        <color indexed="64"/>
      </right>
      <top/>
      <bottom/>
      <diagonal/>
    </border>
    <border>
      <left/>
      <right style="thin">
        <color indexed="64"/>
      </right>
      <top style="hair">
        <color auto="1"/>
      </top>
      <bottom style="hair">
        <color auto="1"/>
      </bottom>
      <diagonal/>
    </border>
    <border>
      <left/>
      <right/>
      <top style="thick">
        <color rgb="FF000000"/>
      </top>
      <bottom/>
      <diagonal/>
    </border>
    <border>
      <left/>
      <right style="thick">
        <color rgb="FF000000"/>
      </right>
      <top style="thick">
        <color rgb="FF000000"/>
      </top>
      <bottom/>
      <diagonal/>
    </border>
    <border>
      <left style="thick">
        <color rgb="FF000000"/>
      </left>
      <right/>
      <top style="thick">
        <color rgb="FF000000"/>
      </top>
      <bottom/>
      <diagonal/>
    </border>
    <border>
      <left style="medium">
        <color indexed="64"/>
      </left>
      <right style="medium">
        <color indexed="64"/>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style="medium">
        <color indexed="64"/>
      </left>
      <right style="medium">
        <color indexed="64"/>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ck">
        <color rgb="FF000000"/>
      </top>
      <bottom style="thin">
        <color rgb="FF000000"/>
      </bottom>
      <diagonal/>
    </border>
    <border>
      <left style="medium">
        <color indexed="64"/>
      </left>
      <right style="medium">
        <color indexed="64"/>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medium">
        <color indexed="64"/>
      </left>
      <right style="thin">
        <color indexed="64"/>
      </right>
      <top style="thin">
        <color rgb="FF000000"/>
      </top>
      <bottom style="thin">
        <color rgb="FF000000"/>
      </bottom>
      <diagonal/>
    </border>
    <border>
      <left style="medium">
        <color indexed="64"/>
      </left>
      <right style="medium">
        <color indexed="64"/>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ck">
        <color rgb="FF000000"/>
      </left>
      <right style="thin">
        <color rgb="FF000000"/>
      </right>
      <top style="thin">
        <color rgb="FF000000"/>
      </top>
      <bottom/>
      <diagonal/>
    </border>
    <border>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style="thick">
        <color rgb="FF000000"/>
      </right>
      <top style="thin">
        <color indexed="64"/>
      </top>
      <bottom style="medium">
        <color indexed="64"/>
      </bottom>
      <diagonal/>
    </border>
    <border>
      <left style="thick">
        <color rgb="FF000000"/>
      </left>
      <right style="thin">
        <color rgb="FF000000"/>
      </right>
      <top style="thin">
        <color indexed="64"/>
      </top>
      <bottom style="medium">
        <color indexed="64"/>
      </bottom>
      <diagonal/>
    </border>
    <border>
      <left style="thick">
        <color rgb="FF009DE0"/>
      </left>
      <right style="thin">
        <color rgb="FF009DE0"/>
      </right>
      <top style="thick">
        <color rgb="FF009DE0"/>
      </top>
      <bottom style="thin">
        <color rgb="FF009DE0"/>
      </bottom>
      <diagonal/>
    </border>
    <border>
      <left style="thin">
        <color rgb="FF009DE0"/>
      </left>
      <right style="thin">
        <color rgb="FF009DE0"/>
      </right>
      <top style="thick">
        <color rgb="FF009DE0"/>
      </top>
      <bottom style="thin">
        <color rgb="FF009DE0"/>
      </bottom>
      <diagonal/>
    </border>
    <border>
      <left style="thin">
        <color rgb="FF009DE0"/>
      </left>
      <right style="thick">
        <color rgb="FF009DE0"/>
      </right>
      <top style="thick">
        <color rgb="FF009DE0"/>
      </top>
      <bottom style="thin">
        <color rgb="FF009DE0"/>
      </bottom>
      <diagonal/>
    </border>
    <border>
      <left style="thick">
        <color rgb="FF009DE0"/>
      </left>
      <right/>
      <top style="thin">
        <color rgb="FF009DE0"/>
      </top>
      <bottom style="thin">
        <color rgb="FF009DE0"/>
      </bottom>
      <diagonal/>
    </border>
    <border>
      <left/>
      <right/>
      <top style="thin">
        <color rgb="FF009DE0"/>
      </top>
      <bottom style="thin">
        <color rgb="FF009DE0"/>
      </bottom>
      <diagonal/>
    </border>
    <border>
      <left/>
      <right style="thin">
        <color rgb="FF009DE0"/>
      </right>
      <top style="thin">
        <color rgb="FF009DE0"/>
      </top>
      <bottom style="thin">
        <color rgb="FF009DE0"/>
      </bottom>
      <diagonal/>
    </border>
    <border>
      <left style="thick">
        <color rgb="FF009DE0"/>
      </left>
      <right/>
      <top style="thin">
        <color rgb="FF009DE0"/>
      </top>
      <bottom style="thick">
        <color rgb="FF009DE0"/>
      </bottom>
      <diagonal/>
    </border>
    <border>
      <left/>
      <right/>
      <top style="thin">
        <color rgb="FF009DE0"/>
      </top>
      <bottom style="thick">
        <color rgb="FF009DE0"/>
      </bottom>
      <diagonal/>
    </border>
    <border>
      <left/>
      <right style="thin">
        <color rgb="FF009DE0"/>
      </right>
      <top style="thin">
        <color rgb="FF009DE0"/>
      </top>
      <bottom style="thick">
        <color rgb="FF009DE0"/>
      </bottom>
      <diagonal/>
    </border>
    <border>
      <left style="thin">
        <color rgb="FF009DE0"/>
      </left>
      <right/>
      <top style="thin">
        <color rgb="FF009DE0"/>
      </top>
      <bottom style="thin">
        <color rgb="FF009DE0"/>
      </bottom>
      <diagonal/>
    </border>
    <border>
      <left style="thin">
        <color rgb="FF009DE0"/>
      </left>
      <right/>
      <top style="thin">
        <color rgb="FF009DE0"/>
      </top>
      <bottom style="thick">
        <color rgb="FF009DE0"/>
      </bottom>
      <diagonal/>
    </border>
    <border>
      <left/>
      <right style="thick">
        <color rgb="FF009DE0"/>
      </right>
      <top style="thin">
        <color rgb="FF009DE0"/>
      </top>
      <bottom style="thin">
        <color rgb="FF009DE0"/>
      </bottom>
      <diagonal/>
    </border>
    <border>
      <left/>
      <right style="thick">
        <color rgb="FF009DE0"/>
      </right>
      <top style="thin">
        <color rgb="FF009DE0"/>
      </top>
      <bottom style="thick">
        <color rgb="FF009DE0"/>
      </bottom>
      <diagonal/>
    </border>
    <border>
      <left style="thick">
        <color theme="9" tint="-0.24994659260841701"/>
      </left>
      <right/>
      <top style="thick">
        <color theme="9" tint="-0.24994659260841701"/>
      </top>
      <bottom style="thick">
        <color theme="9" tint="-0.24994659260841701"/>
      </bottom>
      <diagonal/>
    </border>
    <border>
      <left/>
      <right/>
      <top style="thick">
        <color theme="9" tint="-0.24994659260841701"/>
      </top>
      <bottom style="thick">
        <color theme="9" tint="-0.24994659260841701"/>
      </bottom>
      <diagonal/>
    </border>
    <border>
      <left/>
      <right style="thick">
        <color theme="9" tint="-0.24994659260841701"/>
      </right>
      <top style="thick">
        <color theme="9" tint="-0.24994659260841701"/>
      </top>
      <bottom style="thick">
        <color theme="9" tint="-0.24994659260841701"/>
      </bottom>
      <diagonal/>
    </border>
    <border>
      <left style="thick">
        <color theme="9" tint="-0.24994659260841701"/>
      </left>
      <right/>
      <top/>
      <bottom/>
      <diagonal/>
    </border>
    <border>
      <left/>
      <right style="thick">
        <color theme="9" tint="-0.24994659260841701"/>
      </right>
      <top/>
      <bottom/>
      <diagonal/>
    </border>
    <border>
      <left style="thick">
        <color theme="9" tint="-0.24994659260841701"/>
      </left>
      <right/>
      <top/>
      <bottom style="thick">
        <color theme="9" tint="-0.24994659260841701"/>
      </bottom>
      <diagonal/>
    </border>
    <border>
      <left/>
      <right/>
      <top/>
      <bottom style="thick">
        <color theme="9" tint="-0.24994659260841701"/>
      </bottom>
      <diagonal/>
    </border>
    <border>
      <left/>
      <right style="thick">
        <color theme="9" tint="-0.24994659260841701"/>
      </right>
      <top/>
      <bottom style="thick">
        <color theme="9" tint="-0.24994659260841701"/>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thick">
        <color theme="6"/>
      </left>
      <right/>
      <top/>
      <bottom/>
      <diagonal/>
    </border>
    <border>
      <left/>
      <right style="thick">
        <color theme="6"/>
      </right>
      <top/>
      <bottom/>
      <diagonal/>
    </border>
    <border>
      <left style="thick">
        <color theme="6"/>
      </left>
      <right/>
      <top/>
      <bottom style="thick">
        <color theme="6"/>
      </bottom>
      <diagonal/>
    </border>
    <border>
      <left/>
      <right/>
      <top/>
      <bottom style="thick">
        <color theme="6"/>
      </bottom>
      <diagonal/>
    </border>
    <border>
      <left/>
      <right style="thick">
        <color theme="6"/>
      </right>
      <top/>
      <bottom style="thick">
        <color theme="6"/>
      </bottom>
      <diagonal/>
    </border>
    <border>
      <left style="thin">
        <color theme="3"/>
      </left>
      <right/>
      <top style="thin">
        <color theme="3"/>
      </top>
      <bottom style="thin">
        <color theme="3"/>
      </bottom>
      <diagonal/>
    </border>
    <border>
      <left/>
      <right/>
      <top style="thin">
        <color theme="3"/>
      </top>
      <bottom style="thin">
        <color theme="3"/>
      </bottom>
      <diagonal/>
    </border>
    <border>
      <left/>
      <right style="thin">
        <color theme="3"/>
      </right>
      <top style="thin">
        <color theme="3"/>
      </top>
      <bottom style="thin">
        <color theme="3"/>
      </bottom>
      <diagonal/>
    </border>
    <border>
      <left/>
      <right style="thin">
        <color theme="0" tint="-0.34998626667073579"/>
      </right>
      <top/>
      <bottom/>
      <diagonal/>
    </border>
    <border>
      <left style="thin">
        <color theme="0" tint="-0.34998626667073579"/>
      </left>
      <right/>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ck">
        <color theme="6"/>
      </left>
      <right/>
      <top style="thick">
        <color theme="6"/>
      </top>
      <bottom style="thick">
        <color theme="6"/>
      </bottom>
      <diagonal/>
    </border>
    <border>
      <left/>
      <right/>
      <top style="thick">
        <color theme="6"/>
      </top>
      <bottom style="thick">
        <color theme="6"/>
      </bottom>
      <diagonal/>
    </border>
    <border>
      <left/>
      <right style="thick">
        <color theme="6"/>
      </right>
      <top style="thick">
        <color theme="6"/>
      </top>
      <bottom style="thick">
        <color theme="6"/>
      </bottom>
      <diagonal/>
    </border>
    <border>
      <left/>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medium">
        <color theme="3"/>
      </left>
      <right/>
      <top style="medium">
        <color theme="3"/>
      </top>
      <bottom/>
      <diagonal/>
    </border>
    <border>
      <left/>
      <right style="medium">
        <color theme="3"/>
      </right>
      <top style="medium">
        <color theme="3"/>
      </top>
      <bottom/>
      <diagonal/>
    </border>
    <border>
      <left/>
      <right/>
      <top style="medium">
        <color theme="3"/>
      </top>
      <bottom/>
      <diagonal/>
    </border>
    <border>
      <left style="medium">
        <color theme="3"/>
      </left>
      <right/>
      <top/>
      <bottom/>
      <diagonal/>
    </border>
    <border>
      <left/>
      <right style="medium">
        <color theme="3"/>
      </right>
      <top/>
      <bottom/>
      <diagonal/>
    </border>
    <border>
      <left style="medium">
        <color theme="3"/>
      </left>
      <right/>
      <top/>
      <bottom style="medium">
        <color theme="3"/>
      </bottom>
      <diagonal/>
    </border>
    <border>
      <left/>
      <right style="medium">
        <color theme="3"/>
      </right>
      <top/>
      <bottom style="medium">
        <color theme="3"/>
      </bottom>
      <diagonal/>
    </border>
    <border>
      <left/>
      <right/>
      <top/>
      <bottom style="medium">
        <color theme="3"/>
      </bottom>
      <diagonal/>
    </border>
    <border>
      <left style="hair">
        <color indexed="64"/>
      </left>
      <right/>
      <top style="hair">
        <color indexed="64"/>
      </top>
      <bottom style="hair">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theme="0"/>
      </left>
      <right/>
      <top/>
      <bottom/>
      <diagonal/>
    </border>
    <border>
      <left style="thin">
        <color theme="0"/>
      </left>
      <right style="thin">
        <color theme="0"/>
      </right>
      <top style="thin">
        <color theme="0"/>
      </top>
      <bottom/>
      <diagonal/>
    </border>
    <border>
      <left/>
      <right style="thick">
        <color rgb="FF000000"/>
      </right>
      <top/>
      <bottom/>
      <diagonal/>
    </border>
    <border>
      <left style="thin">
        <color rgb="FF009DE0"/>
      </left>
      <right style="thin">
        <color rgb="FF009DE0"/>
      </right>
      <top style="thick">
        <color rgb="FF009DE0"/>
      </top>
      <bottom/>
      <diagonal/>
    </border>
    <border>
      <left style="thin">
        <color rgb="FF009DE0"/>
      </left>
      <right style="thick">
        <color rgb="FF009DE0"/>
      </right>
      <top style="thick">
        <color rgb="FF009DE0"/>
      </top>
      <bottom/>
      <diagonal/>
    </border>
    <border>
      <left style="thick">
        <color rgb="FF009DE0"/>
      </left>
      <right/>
      <top style="thick">
        <color rgb="FF009DE0"/>
      </top>
      <bottom style="thin">
        <color rgb="FF009DE0"/>
      </bottom>
      <diagonal/>
    </border>
    <border>
      <left/>
      <right/>
      <top style="thick">
        <color rgb="FF009DE0"/>
      </top>
      <bottom style="thin">
        <color rgb="FF009DE0"/>
      </bottom>
      <diagonal/>
    </border>
    <border>
      <left/>
      <right style="thin">
        <color rgb="FF009DE0"/>
      </right>
      <top style="thick">
        <color rgb="FF009DE0"/>
      </top>
      <bottom style="thin">
        <color rgb="FF009DE0"/>
      </bottom>
      <diagonal/>
    </border>
    <border>
      <left style="thin">
        <color rgb="FF009DE0"/>
      </left>
      <right/>
      <top style="thick">
        <color rgb="FF009DE0"/>
      </top>
      <bottom style="thin">
        <color rgb="FF009DE0"/>
      </bottom>
      <diagonal/>
    </border>
    <border>
      <left/>
      <right style="thick">
        <color rgb="FF009DE0"/>
      </right>
      <top style="thick">
        <color rgb="FF009DE0"/>
      </top>
      <bottom style="thin">
        <color rgb="FF009DE0"/>
      </bottom>
      <diagonal/>
    </border>
    <border>
      <left style="thin">
        <color rgb="FF009DE0"/>
      </left>
      <right style="thin">
        <color rgb="FF009DE0"/>
      </right>
      <top style="thin">
        <color rgb="FF009DE0"/>
      </top>
      <bottom style="thin">
        <color rgb="FF009DE0"/>
      </bottom>
      <diagonal/>
    </border>
    <border>
      <left style="thin">
        <color rgb="FF009DE0"/>
      </left>
      <right style="thick">
        <color rgb="FF009DE0"/>
      </right>
      <top style="thin">
        <color rgb="FF009DE0"/>
      </top>
      <bottom style="thin">
        <color rgb="FF009DE0"/>
      </bottom>
      <diagonal/>
    </border>
    <border>
      <left style="thin">
        <color rgb="FF009DE0"/>
      </left>
      <right style="thin">
        <color rgb="FF009DE0"/>
      </right>
      <top style="thin">
        <color rgb="FF009DE0"/>
      </top>
      <bottom style="thick">
        <color rgb="FF009DE0"/>
      </bottom>
      <diagonal/>
    </border>
    <border>
      <left style="thin">
        <color rgb="FF009DE0"/>
      </left>
      <right style="thick">
        <color rgb="FF009DE0"/>
      </right>
      <top style="thin">
        <color rgb="FF009DE0"/>
      </top>
      <bottom style="thick">
        <color rgb="FF009DE0"/>
      </bottom>
      <diagonal/>
    </border>
    <border>
      <left style="thick">
        <color rgb="FF009DE0"/>
      </left>
      <right style="thin">
        <color rgb="FF009DE0"/>
      </right>
      <top style="thin">
        <color rgb="FF009DE0"/>
      </top>
      <bottom style="thin">
        <color rgb="FF009DE0"/>
      </bottom>
      <diagonal/>
    </border>
    <border>
      <left style="thick">
        <color rgb="FF009DE0"/>
      </left>
      <right style="thin">
        <color rgb="FF009DE0"/>
      </right>
      <top style="thin">
        <color rgb="FF009DE0"/>
      </top>
      <bottom style="thick">
        <color rgb="FF009DE0"/>
      </bottom>
      <diagonal/>
    </border>
    <border>
      <left/>
      <right/>
      <top style="hair">
        <color indexed="64"/>
      </top>
      <bottom/>
      <diagonal/>
    </border>
    <border>
      <left style="thick">
        <color rgb="FF009DE0"/>
      </left>
      <right/>
      <top style="thick">
        <color rgb="FF009DE0"/>
      </top>
      <bottom style="thick">
        <color rgb="FF009DE0"/>
      </bottom>
      <diagonal/>
    </border>
    <border>
      <left/>
      <right/>
      <top style="thick">
        <color rgb="FF009DE0"/>
      </top>
      <bottom style="thick">
        <color rgb="FF009DE0"/>
      </bottom>
      <diagonal/>
    </border>
    <border>
      <left/>
      <right style="thin">
        <color rgb="FF009DE0"/>
      </right>
      <top style="thick">
        <color rgb="FF009DE0"/>
      </top>
      <bottom style="thick">
        <color rgb="FF009DE0"/>
      </bottom>
      <diagonal/>
    </border>
    <border>
      <left style="thin">
        <color rgb="FF009DE0"/>
      </left>
      <right/>
      <top/>
      <bottom style="thin">
        <color rgb="FF009DE0"/>
      </bottom>
      <diagonal/>
    </border>
    <border>
      <left/>
      <right/>
      <top/>
      <bottom style="thin">
        <color rgb="FF009DE0"/>
      </bottom>
      <diagonal/>
    </border>
    <border>
      <left/>
      <right/>
      <top style="thin">
        <color rgb="FF009DE0"/>
      </top>
      <bottom/>
      <diagonal/>
    </border>
    <border>
      <left/>
      <right style="thin">
        <color rgb="FF009DE0"/>
      </right>
      <top style="thin">
        <color rgb="FF009DE0"/>
      </top>
      <bottom/>
      <diagonal/>
    </border>
    <border>
      <left/>
      <right style="thin">
        <color rgb="FF009DE0"/>
      </right>
      <top/>
      <bottom/>
      <diagonal/>
    </border>
    <border>
      <left style="thick">
        <color rgb="FF009DE0"/>
      </left>
      <right/>
      <top style="thin">
        <color rgb="FF009DE0"/>
      </top>
      <bottom/>
      <diagonal/>
    </border>
    <border>
      <left style="thick">
        <color rgb="FF009DE0"/>
      </left>
      <right/>
      <top/>
      <bottom/>
      <diagonal/>
    </border>
    <border>
      <left style="thick">
        <color rgb="FF009DE0"/>
      </left>
      <right/>
      <top/>
      <bottom style="thick">
        <color rgb="FF009DE0"/>
      </bottom>
      <diagonal/>
    </border>
    <border>
      <left/>
      <right/>
      <top/>
      <bottom style="thick">
        <color rgb="FF009DE0"/>
      </bottom>
      <diagonal/>
    </border>
    <border>
      <left/>
      <right style="thin">
        <color rgb="FF009DE0"/>
      </right>
      <top/>
      <bottom style="thick">
        <color rgb="FF009DE0"/>
      </bottom>
      <diagonal/>
    </border>
    <border>
      <left/>
      <right style="medium">
        <color rgb="FF1F497D"/>
      </right>
      <top style="hair">
        <color auto="1"/>
      </top>
      <bottom style="hair">
        <color auto="1"/>
      </bottom>
      <diagonal/>
    </border>
    <border>
      <left style="medium">
        <color rgb="FF1F497D"/>
      </left>
      <right/>
      <top style="hair">
        <color indexed="64"/>
      </top>
      <bottom style="hair">
        <color indexed="64"/>
      </bottom>
      <diagonal/>
    </border>
    <border>
      <left style="medium">
        <color rgb="FF1F497D"/>
      </left>
      <right/>
      <top style="hair">
        <color indexed="64"/>
      </top>
      <bottom style="medium">
        <color rgb="FF1F497D"/>
      </bottom>
      <diagonal/>
    </border>
    <border>
      <left/>
      <right style="medium">
        <color rgb="FF1F497D"/>
      </right>
      <top style="hair">
        <color indexed="64"/>
      </top>
      <bottom style="medium">
        <color rgb="FF1F497D"/>
      </bottom>
      <diagonal/>
    </border>
    <border>
      <left/>
      <right/>
      <top/>
      <bottom style="hair">
        <color indexed="64"/>
      </bottom>
      <diagonal/>
    </border>
    <border>
      <left style="medium">
        <color rgb="FF1F497D"/>
      </left>
      <right/>
      <top style="medium">
        <color rgb="FF1F497D"/>
      </top>
      <bottom/>
      <diagonal/>
    </border>
    <border>
      <left/>
      <right/>
      <top style="medium">
        <color rgb="FF1F497D"/>
      </top>
      <bottom/>
      <diagonal/>
    </border>
    <border>
      <left/>
      <right/>
      <top style="hair">
        <color indexed="64"/>
      </top>
      <bottom style="medium">
        <color rgb="FF1F497D"/>
      </bottom>
      <diagonal/>
    </border>
    <border>
      <left style="thin">
        <color rgb="FF1F497D"/>
      </left>
      <right style="thin">
        <color rgb="FF1F497D"/>
      </right>
      <top/>
      <bottom style="hair">
        <color indexed="64"/>
      </bottom>
      <diagonal/>
    </border>
    <border>
      <left style="thin">
        <color rgb="FF1F497D"/>
      </left>
      <right style="thin">
        <color rgb="FF1F497D"/>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style="hair">
        <color auto="1"/>
      </right>
      <top/>
      <bottom style="hair">
        <color auto="1"/>
      </bottom>
      <diagonal/>
    </border>
    <border>
      <left/>
      <right style="medium">
        <color rgb="FF1F497D"/>
      </right>
      <top/>
      <bottom style="hair">
        <color auto="1"/>
      </bottom>
      <diagonal/>
    </border>
    <border>
      <left style="medium">
        <color rgb="FF002060"/>
      </left>
      <right/>
      <top style="thin">
        <color indexed="64"/>
      </top>
      <bottom style="thin">
        <color indexed="64"/>
      </bottom>
      <diagonal/>
    </border>
    <border>
      <left style="thin">
        <color indexed="64"/>
      </left>
      <right style="medium">
        <color rgb="FF002060"/>
      </right>
      <top style="hair">
        <color indexed="64"/>
      </top>
      <bottom style="hair">
        <color indexed="64"/>
      </bottom>
      <diagonal/>
    </border>
    <border>
      <left style="medium">
        <color rgb="FF002060"/>
      </left>
      <right/>
      <top style="thin">
        <color indexed="64"/>
      </top>
      <bottom style="medium">
        <color rgb="FF002060"/>
      </bottom>
      <diagonal/>
    </border>
    <border>
      <left/>
      <right/>
      <top style="thin">
        <color indexed="64"/>
      </top>
      <bottom style="medium">
        <color rgb="FF002060"/>
      </bottom>
      <diagonal/>
    </border>
    <border>
      <left style="hair">
        <color indexed="64"/>
      </left>
      <right style="thin">
        <color indexed="64"/>
      </right>
      <top style="hair">
        <color indexed="64"/>
      </top>
      <bottom style="medium">
        <color rgb="FF002060"/>
      </bottom>
      <diagonal/>
    </border>
    <border>
      <left style="thin">
        <color indexed="64"/>
      </left>
      <right style="medium">
        <color rgb="FF002060"/>
      </right>
      <top style="hair">
        <color indexed="64"/>
      </top>
      <bottom style="medium">
        <color rgb="FF002060"/>
      </bottom>
      <diagonal/>
    </border>
    <border>
      <left style="medium">
        <color rgb="FF1F497D"/>
      </left>
      <right/>
      <top style="medium">
        <color rgb="FF1F497D"/>
      </top>
      <bottom style="thin">
        <color indexed="64"/>
      </bottom>
      <diagonal/>
    </border>
    <border>
      <left/>
      <right/>
      <top style="medium">
        <color rgb="FF1F497D"/>
      </top>
      <bottom style="thin">
        <color indexed="64"/>
      </bottom>
      <diagonal/>
    </border>
    <border>
      <left style="thin">
        <color indexed="64"/>
      </left>
      <right style="medium">
        <color rgb="FF1F497D"/>
      </right>
      <top style="hair">
        <color indexed="64"/>
      </top>
      <bottom style="hair">
        <color indexed="64"/>
      </bottom>
      <diagonal/>
    </border>
    <border>
      <left style="thin">
        <color indexed="64"/>
      </left>
      <right style="medium">
        <color rgb="FF1F497D"/>
      </right>
      <top style="hair">
        <color indexed="64"/>
      </top>
      <bottom style="medium">
        <color rgb="FF1F497D"/>
      </bottom>
      <diagonal/>
    </border>
    <border>
      <left/>
      <right style="medium">
        <color rgb="FF1F497D"/>
      </right>
      <top style="medium">
        <color rgb="FF1F497D"/>
      </top>
      <bottom style="thin">
        <color indexed="64"/>
      </bottom>
      <diagonal/>
    </border>
    <border>
      <left style="medium">
        <color rgb="FF1F497D"/>
      </left>
      <right/>
      <top style="thin">
        <color indexed="64"/>
      </top>
      <bottom style="hair">
        <color indexed="64"/>
      </bottom>
      <diagonal/>
    </border>
    <border>
      <left/>
      <right style="medium">
        <color rgb="FF1F497D"/>
      </right>
      <top style="thin">
        <color indexed="64"/>
      </top>
      <bottom style="hair">
        <color indexed="64"/>
      </bottom>
      <diagonal/>
    </border>
    <border>
      <left style="medium">
        <color rgb="FF1F497D"/>
      </left>
      <right/>
      <top style="thin">
        <color indexed="64"/>
      </top>
      <bottom style="thin">
        <color indexed="64"/>
      </bottom>
      <diagonal/>
    </border>
    <border>
      <left/>
      <right style="medium">
        <color rgb="FF1F497D"/>
      </right>
      <top style="thin">
        <color indexed="64"/>
      </top>
      <bottom style="thin">
        <color indexed="64"/>
      </bottom>
      <diagonal/>
    </border>
    <border>
      <left style="medium">
        <color rgb="FF1F497D"/>
      </left>
      <right/>
      <top style="thin">
        <color indexed="64"/>
      </top>
      <bottom style="medium">
        <color rgb="FF1F497D"/>
      </bottom>
      <diagonal/>
    </border>
    <border>
      <left/>
      <right/>
      <top style="thin">
        <color indexed="64"/>
      </top>
      <bottom style="medium">
        <color rgb="FF1F497D"/>
      </bottom>
      <diagonal/>
    </border>
    <border>
      <left/>
      <right style="medium">
        <color rgb="FF1F497D"/>
      </right>
      <top style="thin">
        <color indexed="64"/>
      </top>
      <bottom style="medium">
        <color rgb="FF1F497D"/>
      </bottom>
      <diagonal/>
    </border>
    <border>
      <left/>
      <right style="medium">
        <color rgb="FF1F497D"/>
      </right>
      <top style="medium">
        <color rgb="FF1F497D"/>
      </top>
      <bottom/>
      <diagonal/>
    </border>
    <border>
      <left/>
      <right style="medium">
        <color rgb="FF1F497D"/>
      </right>
      <top style="hair">
        <color indexed="64"/>
      </top>
      <bottom/>
      <diagonal/>
    </border>
    <border>
      <left style="medium">
        <color rgb="FF1F497D"/>
      </left>
      <right/>
      <top/>
      <bottom style="hair">
        <color indexed="64"/>
      </bottom>
      <diagonal/>
    </border>
    <border>
      <left style="medium">
        <color rgb="FF1F497D"/>
      </left>
      <right/>
      <top style="medium">
        <color rgb="FF1F497D"/>
      </top>
      <bottom style="medium">
        <color rgb="FF1F497D"/>
      </bottom>
      <diagonal/>
    </border>
    <border>
      <left/>
      <right/>
      <top style="medium">
        <color rgb="FF1F497D"/>
      </top>
      <bottom style="medium">
        <color rgb="FF1F497D"/>
      </bottom>
      <diagonal/>
    </border>
    <border>
      <left/>
      <right style="medium">
        <color rgb="FF1F497D"/>
      </right>
      <top style="medium">
        <color rgb="FF1F497D"/>
      </top>
      <bottom style="medium">
        <color rgb="FF1F497D"/>
      </bottom>
      <diagonal/>
    </border>
    <border>
      <left style="medium">
        <color rgb="FF1F497D"/>
      </left>
      <right/>
      <top style="hair">
        <color indexed="64"/>
      </top>
      <bottom/>
      <diagonal/>
    </border>
    <border>
      <left/>
      <right style="thin">
        <color indexed="64"/>
      </right>
      <top style="hair">
        <color indexed="64"/>
      </top>
      <bottom style="medium">
        <color rgb="FF002060"/>
      </bottom>
      <diagonal/>
    </border>
    <border>
      <left style="thin">
        <color indexed="64"/>
      </left>
      <right style="thin">
        <color rgb="FF002060"/>
      </right>
      <top style="hair">
        <color indexed="64"/>
      </top>
      <bottom style="hair">
        <color indexed="64"/>
      </bottom>
      <diagonal/>
    </border>
    <border>
      <left style="thin">
        <color indexed="64"/>
      </left>
      <right style="thin">
        <color rgb="FF002060"/>
      </right>
      <top style="hair">
        <color indexed="64"/>
      </top>
      <bottom style="medium">
        <color rgb="FF002060"/>
      </bottom>
      <diagonal/>
    </border>
    <border>
      <left/>
      <right style="thin">
        <color indexed="64"/>
      </right>
      <top style="hair">
        <color indexed="64"/>
      </top>
      <bottom style="medium">
        <color rgb="FF1F497D"/>
      </bottom>
      <diagonal/>
    </border>
    <border>
      <left style="medium">
        <color rgb="FF002060"/>
      </left>
      <right/>
      <top/>
      <bottom/>
      <diagonal/>
    </border>
    <border>
      <left/>
      <right style="thin">
        <color rgb="FF002060"/>
      </right>
      <top style="hair">
        <color indexed="64"/>
      </top>
      <bottom style="hair">
        <color indexed="64"/>
      </bottom>
      <diagonal/>
    </border>
    <border>
      <left style="medium">
        <color rgb="FF002060"/>
      </left>
      <right/>
      <top/>
      <bottom style="medium">
        <color rgb="FF002060"/>
      </bottom>
      <diagonal/>
    </border>
    <border>
      <left/>
      <right/>
      <top/>
      <bottom style="medium">
        <color rgb="FF002060"/>
      </bottom>
      <diagonal/>
    </border>
    <border>
      <left style="hair">
        <color indexed="64"/>
      </left>
      <right/>
      <top style="hair">
        <color indexed="64"/>
      </top>
      <bottom style="medium">
        <color rgb="FF002060"/>
      </bottom>
      <diagonal/>
    </border>
    <border>
      <left/>
      <right style="thin">
        <color rgb="FF002060"/>
      </right>
      <top style="hair">
        <color indexed="64"/>
      </top>
      <bottom style="medium">
        <color rgb="FF002060"/>
      </bottom>
      <diagonal/>
    </border>
    <border>
      <left style="thin">
        <color rgb="FF1F497D"/>
      </left>
      <right style="thin">
        <color rgb="FF1F497D"/>
      </right>
      <top style="medium">
        <color rgb="FF1F497D"/>
      </top>
      <bottom style="thin">
        <color indexed="64"/>
      </bottom>
      <diagonal/>
    </border>
    <border>
      <left style="medium">
        <color rgb="FF002060"/>
      </left>
      <right/>
      <top/>
      <bottom style="thin">
        <color indexed="64"/>
      </bottom>
      <diagonal/>
    </border>
    <border>
      <left style="medium">
        <color rgb="FF1F497D"/>
      </left>
      <right/>
      <top style="medium">
        <color rgb="FF1F497D"/>
      </top>
      <bottom style="thin">
        <color rgb="FF1F497D"/>
      </bottom>
      <diagonal/>
    </border>
    <border>
      <left/>
      <right/>
      <top style="medium">
        <color rgb="FF1F497D"/>
      </top>
      <bottom style="thin">
        <color rgb="FF1F497D"/>
      </bottom>
      <diagonal/>
    </border>
    <border>
      <left style="thin">
        <color rgb="FF000000"/>
      </left>
      <right/>
      <top style="thin">
        <color rgb="FF000000"/>
      </top>
      <bottom style="thin">
        <color rgb="FF000000"/>
      </bottom>
      <diagonal/>
    </border>
    <border>
      <left style="medium">
        <color indexed="64"/>
      </left>
      <right/>
      <top/>
      <bottom style="thick">
        <color rgb="FF000000"/>
      </bottom>
      <diagonal/>
    </border>
    <border>
      <left/>
      <right style="medium">
        <color indexed="64"/>
      </right>
      <top/>
      <bottom style="thick">
        <color rgb="FF000000"/>
      </bottom>
      <diagonal/>
    </border>
    <border>
      <left style="thin">
        <color rgb="FF000000"/>
      </left>
      <right/>
      <top style="thick">
        <color rgb="FF000000"/>
      </top>
      <bottom style="thin">
        <color rgb="FF000000"/>
      </bottom>
      <diagonal/>
    </border>
    <border>
      <left style="medium">
        <color indexed="64"/>
      </left>
      <right style="thin">
        <color rgb="FF000000"/>
      </right>
      <top style="thick">
        <color rgb="FF000000"/>
      </top>
      <bottom style="thin">
        <color rgb="FF000000"/>
      </bottom>
      <diagonal/>
    </border>
    <border>
      <left style="thin">
        <color rgb="FF000000"/>
      </left>
      <right style="medium">
        <color indexed="64"/>
      </right>
      <top style="thick">
        <color rgb="FF000000"/>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indexed="64"/>
      </top>
      <bottom style="medium">
        <color indexed="64"/>
      </bottom>
      <diagonal/>
    </border>
    <border>
      <left style="medium">
        <color rgb="FF1F497D"/>
      </left>
      <right/>
      <top style="medium">
        <color rgb="FF1F497D"/>
      </top>
      <bottom style="hair">
        <color indexed="64"/>
      </bottom>
      <diagonal/>
    </border>
    <border>
      <left/>
      <right/>
      <top style="medium">
        <color rgb="FF1F497D"/>
      </top>
      <bottom style="hair">
        <color indexed="64"/>
      </bottom>
      <diagonal/>
    </border>
    <border>
      <left/>
      <right style="medium">
        <color rgb="FF1F497D"/>
      </right>
      <top style="medium">
        <color rgb="FF1F497D"/>
      </top>
      <bottom style="hair">
        <color indexed="64"/>
      </bottom>
      <diagonal/>
    </border>
    <border>
      <left style="hair">
        <color rgb="FF1F497D"/>
      </left>
      <right/>
      <top style="thin">
        <color rgb="FF1F497D"/>
      </top>
      <bottom style="thin">
        <color indexed="64"/>
      </bottom>
      <diagonal/>
    </border>
    <border>
      <left style="hair">
        <color rgb="FF1F497D"/>
      </left>
      <right/>
      <top style="thin">
        <color indexed="64"/>
      </top>
      <bottom style="medium">
        <color rgb="FF002060"/>
      </bottom>
      <diagonal/>
    </border>
    <border>
      <left style="thin">
        <color rgb="FF1F497D"/>
      </left>
      <right style="thin">
        <color rgb="FF1F497D"/>
      </right>
      <top style="thin">
        <color rgb="FF1F497D"/>
      </top>
      <bottom style="medium">
        <color rgb="FF1F497D"/>
      </bottom>
      <diagonal/>
    </border>
    <border>
      <left style="thin">
        <color rgb="FF1F497D"/>
      </left>
      <right style="thin">
        <color rgb="FF1F497D"/>
      </right>
      <top style="thin">
        <color indexed="64"/>
      </top>
      <bottom/>
      <diagonal/>
    </border>
    <border>
      <left style="thin">
        <color rgb="FF1F497D"/>
      </left>
      <right/>
      <top style="thin">
        <color rgb="FF1F497D"/>
      </top>
      <bottom style="thin">
        <color rgb="FF1F497D"/>
      </bottom>
      <diagonal/>
    </border>
    <border>
      <left/>
      <right/>
      <top style="thin">
        <color rgb="FF1F497D"/>
      </top>
      <bottom style="thin">
        <color rgb="FF1F497D"/>
      </bottom>
      <diagonal/>
    </border>
    <border>
      <left/>
      <right style="medium">
        <color rgb="FF1F497D"/>
      </right>
      <top style="thin">
        <color rgb="FF1F497D"/>
      </top>
      <bottom style="thin">
        <color rgb="FF1F497D"/>
      </bottom>
      <diagonal/>
    </border>
    <border>
      <left style="thin">
        <color rgb="FF1F497D"/>
      </left>
      <right/>
      <top style="thin">
        <color rgb="FF1F497D"/>
      </top>
      <bottom style="medium">
        <color rgb="FF1F497D"/>
      </bottom>
      <diagonal/>
    </border>
    <border>
      <left/>
      <right/>
      <top style="thin">
        <color rgb="FF1F497D"/>
      </top>
      <bottom style="medium">
        <color rgb="FF1F497D"/>
      </bottom>
      <diagonal/>
    </border>
    <border>
      <left/>
      <right style="medium">
        <color rgb="FF1F497D"/>
      </right>
      <top style="thin">
        <color rgb="FF1F497D"/>
      </top>
      <bottom style="medium">
        <color rgb="FF1F497D"/>
      </bottom>
      <diagonal/>
    </border>
    <border>
      <left style="medium">
        <color rgb="FF002060"/>
      </left>
      <right/>
      <top style="medium">
        <color rgb="FF002060"/>
      </top>
      <bottom/>
      <diagonal/>
    </border>
    <border>
      <left/>
      <right/>
      <top style="medium">
        <color rgb="FF002060"/>
      </top>
      <bottom/>
      <diagonal/>
    </border>
    <border>
      <left/>
      <right style="thin">
        <color rgb="FF002060"/>
      </right>
      <top style="medium">
        <color rgb="FF002060"/>
      </top>
      <bottom/>
      <diagonal/>
    </border>
    <border>
      <left/>
      <right style="thin">
        <color rgb="FF002060"/>
      </right>
      <top/>
      <bottom style="hair">
        <color indexed="64"/>
      </bottom>
      <diagonal/>
    </border>
    <border>
      <left style="medium">
        <color rgb="FF002060"/>
      </left>
      <right/>
      <top style="thin">
        <color rgb="FF002060"/>
      </top>
      <bottom style="thin">
        <color rgb="FF002060"/>
      </bottom>
      <diagonal/>
    </border>
    <border>
      <left/>
      <right/>
      <top style="thin">
        <color rgb="FF002060"/>
      </top>
      <bottom style="thin">
        <color rgb="FF002060"/>
      </bottom>
      <diagonal/>
    </border>
    <border>
      <left style="hair">
        <color indexed="64"/>
      </left>
      <right/>
      <top style="thin">
        <color rgb="FF002060"/>
      </top>
      <bottom style="thin">
        <color rgb="FF002060"/>
      </bottom>
      <diagonal/>
    </border>
    <border>
      <left/>
      <right style="thin">
        <color rgb="FF002060"/>
      </right>
      <top style="thin">
        <color rgb="FF002060"/>
      </top>
      <bottom style="thin">
        <color rgb="FF002060"/>
      </bottom>
      <diagonal/>
    </border>
    <border>
      <left/>
      <right style="medium">
        <color rgb="FF1F497D"/>
      </right>
      <top style="thin">
        <color rgb="FF002060"/>
      </top>
      <bottom style="thin">
        <color rgb="FF002060"/>
      </bottom>
      <diagonal/>
    </border>
    <border>
      <left style="hair">
        <color indexed="64"/>
      </left>
      <right style="thin">
        <color indexed="64"/>
      </right>
      <top/>
      <bottom style="hair">
        <color indexed="64"/>
      </bottom>
      <diagonal/>
    </border>
    <border>
      <left style="thin">
        <color indexed="64"/>
      </left>
      <right style="thin">
        <color rgb="FF002060"/>
      </right>
      <top/>
      <bottom style="hair">
        <color indexed="64"/>
      </bottom>
      <diagonal/>
    </border>
    <border>
      <left/>
      <right style="thin">
        <color indexed="64"/>
      </right>
      <top/>
      <bottom style="hair">
        <color indexed="64"/>
      </bottom>
      <diagonal/>
    </border>
    <border>
      <left style="thin">
        <color indexed="64"/>
      </left>
      <right style="medium">
        <color rgb="FF002060"/>
      </right>
      <top/>
      <bottom style="hair">
        <color indexed="64"/>
      </bottom>
      <diagonal/>
    </border>
    <border>
      <left style="medium">
        <color rgb="FF002060"/>
      </left>
      <right/>
      <top style="medium">
        <color rgb="FF002060"/>
      </top>
      <bottom style="thin">
        <color rgb="FF002060"/>
      </bottom>
      <diagonal/>
    </border>
    <border>
      <left/>
      <right/>
      <top style="medium">
        <color rgb="FF002060"/>
      </top>
      <bottom style="thin">
        <color rgb="FF002060"/>
      </bottom>
      <diagonal/>
    </border>
    <border>
      <left/>
      <right style="thin">
        <color rgb="FF002060"/>
      </right>
      <top style="medium">
        <color rgb="FF002060"/>
      </top>
      <bottom style="thin">
        <color rgb="FF002060"/>
      </bottom>
      <diagonal/>
    </border>
    <border>
      <left/>
      <right style="thin">
        <color indexed="64"/>
      </right>
      <top style="medium">
        <color rgb="FF002060"/>
      </top>
      <bottom style="thin">
        <color rgb="FF002060"/>
      </bottom>
      <diagonal/>
    </border>
    <border>
      <left style="thin">
        <color indexed="64"/>
      </left>
      <right style="medium">
        <color rgb="FF002060"/>
      </right>
      <top style="medium">
        <color rgb="FF002060"/>
      </top>
      <bottom style="thin">
        <color rgb="FF002060"/>
      </bottom>
      <diagonal/>
    </border>
    <border>
      <left style="thin">
        <color indexed="64"/>
      </left>
      <right style="medium">
        <color rgb="FF1F497D"/>
      </right>
      <top/>
      <bottom style="hair">
        <color indexed="64"/>
      </bottom>
      <diagonal/>
    </border>
    <border>
      <left style="thin">
        <color rgb="FF1F497D"/>
      </left>
      <right style="thin">
        <color rgb="FF1F497D"/>
      </right>
      <top style="medium">
        <color rgb="FF002060"/>
      </top>
      <bottom/>
      <diagonal/>
    </border>
    <border>
      <left/>
      <right/>
      <top style="medium">
        <color rgb="FF002060"/>
      </top>
      <bottom style="hair">
        <color indexed="64"/>
      </bottom>
      <diagonal/>
    </border>
    <border>
      <left/>
      <right style="medium">
        <color rgb="FF002060"/>
      </right>
      <top style="medium">
        <color rgb="FF002060"/>
      </top>
      <bottom style="hair">
        <color indexed="64"/>
      </bottom>
      <diagonal/>
    </border>
    <border>
      <left style="medium">
        <color rgb="FF002060"/>
      </left>
      <right style="hair">
        <color indexed="64"/>
      </right>
      <top/>
      <bottom style="hair">
        <color indexed="64"/>
      </bottom>
      <diagonal/>
    </border>
    <border>
      <left/>
      <right style="medium">
        <color rgb="FF002060"/>
      </right>
      <top/>
      <bottom style="hair">
        <color auto="1"/>
      </bottom>
      <diagonal/>
    </border>
    <border>
      <left style="medium">
        <color rgb="FF002060"/>
      </left>
      <right/>
      <top style="hair">
        <color indexed="64"/>
      </top>
      <bottom style="hair">
        <color indexed="64"/>
      </bottom>
      <diagonal/>
    </border>
    <border>
      <left/>
      <right style="medium">
        <color rgb="FF002060"/>
      </right>
      <top style="hair">
        <color indexed="64"/>
      </top>
      <bottom style="hair">
        <color indexed="64"/>
      </bottom>
      <diagonal/>
    </border>
    <border>
      <left style="medium">
        <color rgb="FF002060"/>
      </left>
      <right/>
      <top style="hair">
        <color indexed="64"/>
      </top>
      <bottom style="medium">
        <color rgb="FF002060"/>
      </bottom>
      <diagonal/>
    </border>
    <border>
      <left/>
      <right style="hair">
        <color auto="1"/>
      </right>
      <top style="hair">
        <color auto="1"/>
      </top>
      <bottom style="medium">
        <color rgb="FF002060"/>
      </bottom>
      <diagonal/>
    </border>
    <border>
      <left style="hair">
        <color indexed="64"/>
      </left>
      <right style="hair">
        <color indexed="64"/>
      </right>
      <top style="hair">
        <color indexed="64"/>
      </top>
      <bottom style="medium">
        <color rgb="FF002060"/>
      </bottom>
      <diagonal/>
    </border>
    <border>
      <left/>
      <right/>
      <top style="hair">
        <color indexed="64"/>
      </top>
      <bottom style="medium">
        <color rgb="FF002060"/>
      </bottom>
      <diagonal/>
    </border>
    <border>
      <left style="thin">
        <color rgb="FF1F497D"/>
      </left>
      <right style="thin">
        <color rgb="FF1F497D"/>
      </right>
      <top style="hair">
        <color indexed="64"/>
      </top>
      <bottom style="medium">
        <color rgb="FF002060"/>
      </bottom>
      <diagonal/>
    </border>
    <border>
      <left/>
      <right style="medium">
        <color rgb="FF002060"/>
      </right>
      <top style="hair">
        <color indexed="64"/>
      </top>
      <bottom style="medium">
        <color rgb="FF002060"/>
      </bottom>
      <diagonal/>
    </border>
    <border>
      <left style="medium">
        <color rgb="FF002060"/>
      </left>
      <right style="hair">
        <color indexed="64"/>
      </right>
      <top style="hair">
        <color indexed="64"/>
      </top>
      <bottom style="thin">
        <color rgb="FF002060"/>
      </bottom>
      <diagonal/>
    </border>
    <border>
      <left style="hair">
        <color indexed="64"/>
      </left>
      <right style="hair">
        <color indexed="64"/>
      </right>
      <top style="hair">
        <color indexed="64"/>
      </top>
      <bottom style="thin">
        <color rgb="FF002060"/>
      </bottom>
      <diagonal/>
    </border>
    <border>
      <left style="hair">
        <color indexed="64"/>
      </left>
      <right/>
      <top style="hair">
        <color indexed="64"/>
      </top>
      <bottom style="thin">
        <color rgb="FF002060"/>
      </bottom>
      <diagonal/>
    </border>
    <border>
      <left/>
      <right style="hair">
        <color auto="1"/>
      </right>
      <top style="hair">
        <color auto="1"/>
      </top>
      <bottom style="thin">
        <color rgb="FF002060"/>
      </bottom>
      <diagonal/>
    </border>
    <border>
      <left/>
      <right/>
      <top style="hair">
        <color indexed="64"/>
      </top>
      <bottom style="thin">
        <color rgb="FF002060"/>
      </bottom>
      <diagonal/>
    </border>
    <border>
      <left style="thin">
        <color rgb="FF1F497D"/>
      </left>
      <right style="thin">
        <color rgb="FF1F497D"/>
      </right>
      <top/>
      <bottom style="thin">
        <color rgb="FF002060"/>
      </bottom>
      <diagonal/>
    </border>
    <border>
      <left style="hair">
        <color indexed="64"/>
      </left>
      <right style="medium">
        <color rgb="FF002060"/>
      </right>
      <top style="hair">
        <color indexed="64"/>
      </top>
      <bottom style="thin">
        <color rgb="FF002060"/>
      </bottom>
      <diagonal/>
    </border>
    <border>
      <left/>
      <right/>
      <top/>
      <bottom style="thin">
        <color rgb="FF1F497D"/>
      </bottom>
      <diagonal/>
    </border>
    <border>
      <left style="hair">
        <color rgb="FF1F497D"/>
      </left>
      <right style="thin">
        <color rgb="FF1F497D"/>
      </right>
      <top style="thin">
        <color rgb="FF1F497D"/>
      </top>
      <bottom style="thin">
        <color rgb="FF1F497D"/>
      </bottom>
      <diagonal/>
    </border>
    <border>
      <left style="thin">
        <color rgb="FF1F497D"/>
      </left>
      <right style="thin">
        <color rgb="FF1F497D"/>
      </right>
      <top style="thin">
        <color indexed="64"/>
      </top>
      <bottom style="thin">
        <color rgb="FF1F497D"/>
      </bottom>
      <diagonal/>
    </border>
    <border>
      <left style="hair">
        <color rgb="FF002060"/>
      </left>
      <right style="hair">
        <color rgb="FF002060"/>
      </right>
      <top style="hair">
        <color rgb="FF002060"/>
      </top>
      <bottom style="hair">
        <color rgb="FF002060"/>
      </bottom>
      <diagonal/>
    </border>
    <border>
      <left/>
      <right style="hair">
        <color rgb="FF002060"/>
      </right>
      <top style="hair">
        <color rgb="FF002060"/>
      </top>
      <bottom style="hair">
        <color rgb="FF002060"/>
      </bottom>
      <diagonal/>
    </border>
    <border>
      <left/>
      <right style="medium">
        <color theme="3"/>
      </right>
      <top style="medium">
        <color theme="3"/>
      </top>
      <bottom style="medium">
        <color theme="3"/>
      </bottom>
      <diagonal/>
    </border>
    <border>
      <left style="medium">
        <color theme="3"/>
      </left>
      <right/>
      <top style="medium">
        <color theme="3"/>
      </top>
      <bottom style="thin">
        <color rgb="FF002060"/>
      </bottom>
      <diagonal/>
    </border>
    <border>
      <left/>
      <right/>
      <top style="medium">
        <color theme="3"/>
      </top>
      <bottom style="thin">
        <color rgb="FF002060"/>
      </bottom>
      <diagonal/>
    </border>
    <border>
      <left/>
      <right style="thin">
        <color rgb="FF002060"/>
      </right>
      <top style="medium">
        <color theme="3"/>
      </top>
      <bottom style="thin">
        <color rgb="FF002060"/>
      </bottom>
      <diagonal/>
    </border>
    <border>
      <left/>
      <right style="thin">
        <color indexed="64"/>
      </right>
      <top style="medium">
        <color theme="3"/>
      </top>
      <bottom style="thin">
        <color rgb="FF002060"/>
      </bottom>
      <diagonal/>
    </border>
    <border>
      <left style="thin">
        <color indexed="64"/>
      </left>
      <right style="medium">
        <color theme="3"/>
      </right>
      <top style="medium">
        <color theme="3"/>
      </top>
      <bottom style="thin">
        <color rgb="FF002060"/>
      </bottom>
      <diagonal/>
    </border>
    <border>
      <left style="thin">
        <color indexed="64"/>
      </left>
      <right style="medium">
        <color theme="3"/>
      </right>
      <top/>
      <bottom style="hair">
        <color indexed="64"/>
      </bottom>
      <diagonal/>
    </border>
    <border>
      <left style="thin">
        <color indexed="64"/>
      </left>
      <right style="medium">
        <color theme="3"/>
      </right>
      <top style="hair">
        <color indexed="64"/>
      </top>
      <bottom style="hair">
        <color indexed="64"/>
      </bottom>
      <diagonal/>
    </border>
    <border>
      <left style="hair">
        <color indexed="64"/>
      </left>
      <right/>
      <top style="hair">
        <color indexed="64"/>
      </top>
      <bottom style="medium">
        <color theme="3"/>
      </bottom>
      <diagonal/>
    </border>
    <border>
      <left/>
      <right style="thin">
        <color rgb="FF002060"/>
      </right>
      <top style="hair">
        <color indexed="64"/>
      </top>
      <bottom style="medium">
        <color theme="3"/>
      </bottom>
      <diagonal/>
    </border>
    <border>
      <left/>
      <right style="thin">
        <color indexed="64"/>
      </right>
      <top style="hair">
        <color indexed="64"/>
      </top>
      <bottom style="medium">
        <color theme="3"/>
      </bottom>
      <diagonal/>
    </border>
    <border>
      <left style="thin">
        <color indexed="64"/>
      </left>
      <right style="medium">
        <color theme="3"/>
      </right>
      <top style="hair">
        <color indexed="64"/>
      </top>
      <bottom style="medium">
        <color theme="3"/>
      </bottom>
      <diagonal/>
    </border>
    <border>
      <left style="medium">
        <color theme="3"/>
      </left>
      <right/>
      <top/>
      <bottom style="thin">
        <color indexed="64"/>
      </bottom>
      <diagonal/>
    </border>
    <border>
      <left style="medium">
        <color theme="3"/>
      </left>
      <right/>
      <top style="thin">
        <color indexed="64"/>
      </top>
      <bottom style="thin">
        <color indexed="64"/>
      </bottom>
      <diagonal/>
    </border>
    <border>
      <left style="medium">
        <color theme="3"/>
      </left>
      <right/>
      <top style="thin">
        <color indexed="64"/>
      </top>
      <bottom style="medium">
        <color theme="3"/>
      </bottom>
      <diagonal/>
    </border>
    <border>
      <left/>
      <right/>
      <top style="thin">
        <color indexed="64"/>
      </top>
      <bottom style="medium">
        <color theme="3"/>
      </bottom>
      <diagonal/>
    </border>
    <border>
      <left style="medium">
        <color theme="3"/>
      </left>
      <right/>
      <top style="medium">
        <color theme="3"/>
      </top>
      <bottom style="thin">
        <color rgb="FF1F497D"/>
      </bottom>
      <diagonal/>
    </border>
    <border>
      <left/>
      <right/>
      <top style="medium">
        <color theme="3"/>
      </top>
      <bottom style="thin">
        <color rgb="FF1F497D"/>
      </bottom>
      <diagonal/>
    </border>
    <border>
      <left/>
      <right style="medium">
        <color theme="3"/>
      </right>
      <top style="medium">
        <color theme="3"/>
      </top>
      <bottom style="thin">
        <color rgb="FF1F497D"/>
      </bottom>
      <diagonal/>
    </border>
    <border>
      <left style="medium">
        <color theme="3"/>
      </left>
      <right/>
      <top/>
      <bottom style="hair">
        <color indexed="64"/>
      </bottom>
      <diagonal/>
    </border>
    <border>
      <left/>
      <right style="medium">
        <color theme="3"/>
      </right>
      <top/>
      <bottom style="hair">
        <color auto="1"/>
      </bottom>
      <diagonal/>
    </border>
    <border>
      <left style="medium">
        <color theme="3"/>
      </left>
      <right/>
      <top style="hair">
        <color indexed="64"/>
      </top>
      <bottom style="hair">
        <color indexed="64"/>
      </bottom>
      <diagonal/>
    </border>
    <border>
      <left/>
      <right style="medium">
        <color theme="3"/>
      </right>
      <top style="hair">
        <color auto="1"/>
      </top>
      <bottom style="hair">
        <color auto="1"/>
      </bottom>
      <diagonal/>
    </border>
    <border>
      <left style="medium">
        <color theme="3"/>
      </left>
      <right/>
      <top style="hair">
        <color indexed="64"/>
      </top>
      <bottom style="medium">
        <color theme="3"/>
      </bottom>
      <diagonal/>
    </border>
    <border>
      <left/>
      <right/>
      <top style="hair">
        <color indexed="64"/>
      </top>
      <bottom style="medium">
        <color theme="3"/>
      </bottom>
      <diagonal/>
    </border>
    <border>
      <left/>
      <right style="medium">
        <color theme="3"/>
      </right>
      <top style="hair">
        <color indexed="64"/>
      </top>
      <bottom style="medium">
        <color theme="3"/>
      </bottom>
      <diagonal/>
    </border>
    <border>
      <left/>
      <right style="thin">
        <color rgb="FF002060"/>
      </right>
      <top style="medium">
        <color theme="3"/>
      </top>
      <bottom/>
      <diagonal/>
    </border>
    <border>
      <left style="medium">
        <color theme="3"/>
      </left>
      <right/>
      <top style="thin">
        <color rgb="FF002060"/>
      </top>
      <bottom style="thin">
        <color rgb="FF002060"/>
      </bottom>
      <diagonal/>
    </border>
    <border>
      <left/>
      <right style="medium">
        <color theme="3"/>
      </right>
      <top style="thin">
        <color rgb="FF002060"/>
      </top>
      <bottom style="thin">
        <color rgb="FF002060"/>
      </bottom>
      <diagonal/>
    </border>
    <border>
      <left/>
      <right style="medium">
        <color theme="3"/>
      </right>
      <top/>
      <bottom style="thin">
        <color indexed="64"/>
      </bottom>
      <diagonal/>
    </border>
    <border>
      <left/>
      <right style="medium">
        <color theme="3"/>
      </right>
      <top style="thin">
        <color indexed="64"/>
      </top>
      <bottom style="thin">
        <color indexed="64"/>
      </bottom>
      <diagonal/>
    </border>
    <border>
      <left/>
      <right style="medium">
        <color theme="3"/>
      </right>
      <top style="thin">
        <color indexed="64"/>
      </top>
      <bottom style="medium">
        <color theme="3"/>
      </bottom>
      <diagonal/>
    </border>
    <border>
      <left/>
      <right style="thin">
        <color rgb="FF1F497D"/>
      </right>
      <top style="medium">
        <color theme="3"/>
      </top>
      <bottom style="thin">
        <color rgb="FF1F497D"/>
      </bottom>
      <diagonal/>
    </border>
    <border>
      <left style="thin">
        <color rgb="FF1F497D"/>
      </left>
      <right style="thin">
        <color rgb="FF1F497D"/>
      </right>
      <top style="medium">
        <color theme="3"/>
      </top>
      <bottom style="thin">
        <color indexed="64"/>
      </bottom>
      <diagonal/>
    </border>
    <border>
      <left style="thin">
        <color rgb="FF1F497D"/>
      </left>
      <right/>
      <top style="medium">
        <color theme="3"/>
      </top>
      <bottom style="thin">
        <color rgb="FF1F497D"/>
      </bottom>
      <diagonal/>
    </border>
    <border>
      <left style="medium">
        <color theme="3"/>
      </left>
      <right/>
      <top/>
      <bottom style="thin">
        <color rgb="FF1F497D"/>
      </bottom>
      <diagonal/>
    </border>
    <border>
      <left/>
      <right style="medium">
        <color theme="3"/>
      </right>
      <top style="thin">
        <color rgb="FF1F497D"/>
      </top>
      <bottom style="thin">
        <color rgb="FF1F497D"/>
      </bottom>
      <diagonal/>
    </border>
    <border>
      <left style="hair">
        <color rgb="FF1F497D"/>
      </left>
      <right style="thin">
        <color rgb="FF1F497D"/>
      </right>
      <top/>
      <bottom style="medium">
        <color theme="3"/>
      </bottom>
      <diagonal/>
    </border>
    <border>
      <left style="thin">
        <color rgb="FF1F497D"/>
      </left>
      <right style="thin">
        <color rgb="FF1F497D"/>
      </right>
      <top/>
      <bottom style="medium">
        <color theme="3"/>
      </bottom>
      <diagonal/>
    </border>
    <border>
      <left style="thin">
        <color rgb="FF1F497D"/>
      </left>
      <right/>
      <top style="thin">
        <color rgb="FF1F497D"/>
      </top>
      <bottom style="medium">
        <color theme="3"/>
      </bottom>
      <diagonal/>
    </border>
    <border>
      <left/>
      <right/>
      <top style="thin">
        <color rgb="FF1F497D"/>
      </top>
      <bottom style="medium">
        <color theme="3"/>
      </bottom>
      <diagonal/>
    </border>
    <border>
      <left/>
      <right style="medium">
        <color theme="3"/>
      </right>
      <top style="thin">
        <color rgb="FF1F497D"/>
      </top>
      <bottom style="medium">
        <color theme="3"/>
      </bottom>
      <diagonal/>
    </border>
    <border>
      <left style="thin">
        <color rgb="FF1F497D"/>
      </left>
      <right style="thin">
        <color rgb="FF1F497D"/>
      </right>
      <top style="medium">
        <color theme="3"/>
      </top>
      <bottom/>
      <diagonal/>
    </border>
    <border>
      <left/>
      <right/>
      <top style="medium">
        <color theme="3"/>
      </top>
      <bottom style="hair">
        <color indexed="64"/>
      </bottom>
      <diagonal/>
    </border>
    <border>
      <left/>
      <right style="medium">
        <color theme="3"/>
      </right>
      <top style="medium">
        <color theme="3"/>
      </top>
      <bottom style="hair">
        <color indexed="64"/>
      </bottom>
      <diagonal/>
    </border>
    <border>
      <left style="medium">
        <color theme="3"/>
      </left>
      <right style="hair">
        <color indexed="64"/>
      </right>
      <top/>
      <bottom style="hair">
        <color indexed="64"/>
      </bottom>
      <diagonal/>
    </border>
    <border>
      <left style="medium">
        <color theme="3"/>
      </left>
      <right style="hair">
        <color indexed="64"/>
      </right>
      <top/>
      <bottom style="medium">
        <color theme="3"/>
      </bottom>
      <diagonal/>
    </border>
    <border>
      <left style="hair">
        <color indexed="64"/>
      </left>
      <right style="hair">
        <color indexed="64"/>
      </right>
      <top/>
      <bottom style="medium">
        <color theme="3"/>
      </bottom>
      <diagonal/>
    </border>
    <border>
      <left style="hair">
        <color indexed="64"/>
      </left>
      <right/>
      <top/>
      <bottom style="medium">
        <color theme="3"/>
      </bottom>
      <diagonal/>
    </border>
    <border>
      <left/>
      <right style="hair">
        <color auto="1"/>
      </right>
      <top/>
      <bottom style="medium">
        <color theme="3"/>
      </bottom>
      <diagonal/>
    </border>
    <border>
      <left style="medium">
        <color theme="3"/>
      </left>
      <right style="hair">
        <color indexed="64"/>
      </right>
      <top style="hair">
        <color indexed="64"/>
      </top>
      <bottom style="thin">
        <color theme="3"/>
      </bottom>
      <diagonal/>
    </border>
    <border>
      <left style="hair">
        <color indexed="64"/>
      </left>
      <right style="hair">
        <color indexed="64"/>
      </right>
      <top style="hair">
        <color indexed="64"/>
      </top>
      <bottom style="thin">
        <color theme="3"/>
      </bottom>
      <diagonal/>
    </border>
    <border>
      <left style="hair">
        <color indexed="64"/>
      </left>
      <right/>
      <top style="hair">
        <color indexed="64"/>
      </top>
      <bottom style="thin">
        <color theme="3"/>
      </bottom>
      <diagonal/>
    </border>
    <border>
      <left/>
      <right style="hair">
        <color auto="1"/>
      </right>
      <top style="hair">
        <color auto="1"/>
      </top>
      <bottom style="thin">
        <color theme="3"/>
      </bottom>
      <diagonal/>
    </border>
    <border>
      <left/>
      <right/>
      <top style="hair">
        <color indexed="64"/>
      </top>
      <bottom style="thin">
        <color theme="3"/>
      </bottom>
      <diagonal/>
    </border>
    <border>
      <left style="thin">
        <color rgb="FF1F497D"/>
      </left>
      <right style="thin">
        <color rgb="FF1F497D"/>
      </right>
      <top/>
      <bottom style="thin">
        <color theme="3"/>
      </bottom>
      <diagonal/>
    </border>
    <border>
      <left style="hair">
        <color indexed="64"/>
      </left>
      <right style="medium">
        <color theme="3"/>
      </right>
      <top style="hair">
        <color indexed="64"/>
      </top>
      <bottom style="thin">
        <color theme="3"/>
      </bottom>
      <diagonal/>
    </border>
    <border>
      <left/>
      <right/>
      <top style="medium">
        <color theme="3"/>
      </top>
      <bottom style="thick">
        <color rgb="FFD57A44"/>
      </bottom>
      <diagonal/>
    </border>
    <border>
      <left style="thick">
        <color rgb="FFD57A44"/>
      </left>
      <right/>
      <top/>
      <bottom/>
      <diagonal/>
    </border>
    <border>
      <left/>
      <right style="thick">
        <color rgb="FFD57A44"/>
      </right>
      <top/>
      <bottom/>
      <diagonal/>
    </border>
    <border>
      <left style="thick">
        <color rgb="FFD57A44"/>
      </left>
      <right/>
      <top/>
      <bottom style="thick">
        <color rgb="FFD57A44"/>
      </bottom>
      <diagonal/>
    </border>
    <border>
      <left/>
      <right/>
      <top/>
      <bottom style="thick">
        <color rgb="FFD57A44"/>
      </bottom>
      <diagonal/>
    </border>
    <border>
      <left/>
      <right style="thick">
        <color rgb="FFD57A44"/>
      </right>
      <top/>
      <bottom style="thick">
        <color rgb="FFD57A44"/>
      </bottom>
      <diagonal/>
    </border>
    <border>
      <left style="thick">
        <color rgb="FFD57A44"/>
      </left>
      <right/>
      <top style="thick">
        <color rgb="FFD57A44"/>
      </top>
      <bottom style="thick">
        <color rgb="FFD57A44"/>
      </bottom>
      <diagonal/>
    </border>
    <border>
      <left/>
      <right/>
      <top style="thick">
        <color rgb="FFD57A44"/>
      </top>
      <bottom style="thick">
        <color rgb="FFD57A44"/>
      </bottom>
      <diagonal/>
    </border>
    <border>
      <left/>
      <right style="thick">
        <color rgb="FFD57A44"/>
      </right>
      <top style="thick">
        <color rgb="FFD57A44"/>
      </top>
      <bottom style="thick">
        <color rgb="FFD57A44"/>
      </bottom>
      <diagonal/>
    </border>
    <border>
      <left style="medium">
        <color theme="3"/>
      </left>
      <right/>
      <top style="medium">
        <color theme="3"/>
      </top>
      <bottom style="medium">
        <color theme="3"/>
      </bottom>
      <diagonal/>
    </border>
    <border>
      <left style="thin">
        <color indexed="64"/>
      </left>
      <right/>
      <top style="medium">
        <color theme="3"/>
      </top>
      <bottom style="medium">
        <color theme="3"/>
      </bottom>
      <diagonal/>
    </border>
    <border>
      <left/>
      <right/>
      <top style="medium">
        <color theme="3"/>
      </top>
      <bottom style="medium">
        <color theme="3"/>
      </bottom>
      <diagonal/>
    </border>
    <border>
      <left style="thin">
        <color indexed="64"/>
      </left>
      <right style="thin">
        <color indexed="64"/>
      </right>
      <top style="medium">
        <color theme="3"/>
      </top>
      <bottom style="medium">
        <color theme="3"/>
      </bottom>
      <diagonal/>
    </border>
    <border>
      <left style="medium">
        <color theme="3"/>
      </left>
      <right style="thin">
        <color theme="3"/>
      </right>
      <top style="hair">
        <color indexed="64"/>
      </top>
      <bottom style="hair">
        <color indexed="64"/>
      </bottom>
      <diagonal/>
    </border>
    <border>
      <left style="thin">
        <color theme="3"/>
      </left>
      <right style="thin">
        <color theme="3"/>
      </right>
      <top style="hair">
        <color indexed="64"/>
      </top>
      <bottom style="hair">
        <color indexed="64"/>
      </bottom>
      <diagonal/>
    </border>
    <border>
      <left style="medium">
        <color theme="3"/>
      </left>
      <right style="thin">
        <color theme="3"/>
      </right>
      <top style="medium">
        <color theme="3"/>
      </top>
      <bottom style="hair">
        <color theme="3"/>
      </bottom>
      <diagonal/>
    </border>
    <border>
      <left style="thin">
        <color theme="3"/>
      </left>
      <right style="thin">
        <color theme="3"/>
      </right>
      <top style="medium">
        <color theme="3"/>
      </top>
      <bottom style="hair">
        <color theme="3"/>
      </bottom>
      <diagonal/>
    </border>
    <border>
      <left style="thin">
        <color theme="3"/>
      </left>
      <right style="medium">
        <color theme="3"/>
      </right>
      <top style="medium">
        <color theme="3"/>
      </top>
      <bottom style="hair">
        <color theme="3"/>
      </bottom>
      <diagonal/>
    </border>
    <border>
      <left style="medium">
        <color theme="3"/>
      </left>
      <right style="thin">
        <color theme="3"/>
      </right>
      <top style="hair">
        <color theme="3"/>
      </top>
      <bottom style="hair">
        <color theme="3"/>
      </bottom>
      <diagonal/>
    </border>
    <border>
      <left style="thin">
        <color theme="3"/>
      </left>
      <right style="thin">
        <color theme="3"/>
      </right>
      <top style="hair">
        <color theme="3"/>
      </top>
      <bottom style="hair">
        <color theme="3"/>
      </bottom>
      <diagonal/>
    </border>
    <border>
      <left style="thin">
        <color theme="3"/>
      </left>
      <right style="medium">
        <color theme="3"/>
      </right>
      <top style="hair">
        <color theme="3"/>
      </top>
      <bottom style="hair">
        <color theme="3"/>
      </bottom>
      <diagonal/>
    </border>
    <border>
      <left style="medium">
        <color theme="3"/>
      </left>
      <right style="thin">
        <color theme="3"/>
      </right>
      <top style="hair">
        <color theme="3"/>
      </top>
      <bottom/>
      <diagonal/>
    </border>
    <border>
      <left style="thin">
        <color theme="3"/>
      </left>
      <right style="thin">
        <color theme="3"/>
      </right>
      <top style="hair">
        <color theme="3"/>
      </top>
      <bottom/>
      <diagonal/>
    </border>
    <border>
      <left style="thin">
        <color theme="3"/>
      </left>
      <right style="medium">
        <color theme="3"/>
      </right>
      <top style="hair">
        <color theme="3"/>
      </top>
      <bottom/>
      <diagonal/>
    </border>
    <border>
      <left style="medium">
        <color theme="3"/>
      </left>
      <right style="thin">
        <color theme="3"/>
      </right>
      <top style="medium">
        <color theme="3"/>
      </top>
      <bottom style="medium">
        <color theme="3"/>
      </bottom>
      <diagonal/>
    </border>
    <border>
      <left style="thin">
        <color theme="3"/>
      </left>
      <right style="thin">
        <color theme="3"/>
      </right>
      <top style="medium">
        <color theme="3"/>
      </top>
      <bottom style="medium">
        <color theme="3"/>
      </bottom>
      <diagonal/>
    </border>
    <border>
      <left style="thin">
        <color theme="3"/>
      </left>
      <right style="medium">
        <color theme="3"/>
      </right>
      <top style="medium">
        <color theme="3"/>
      </top>
      <bottom style="medium">
        <color theme="3"/>
      </bottom>
      <diagonal/>
    </border>
    <border>
      <left style="hair">
        <color indexed="64"/>
      </left>
      <right style="medium">
        <color theme="3"/>
      </right>
      <top/>
      <bottom style="hair">
        <color indexed="64"/>
      </bottom>
      <diagonal/>
    </border>
    <border>
      <left style="hair">
        <color indexed="64"/>
      </left>
      <right style="medium">
        <color theme="3"/>
      </right>
      <top style="hair">
        <color indexed="64"/>
      </top>
      <bottom style="hair">
        <color indexed="64"/>
      </bottom>
      <diagonal/>
    </border>
    <border>
      <left style="hair">
        <color indexed="64"/>
      </left>
      <right style="medium">
        <color theme="3"/>
      </right>
      <top style="hair">
        <color indexed="64"/>
      </top>
      <bottom/>
      <diagonal/>
    </border>
    <border>
      <left style="hair">
        <color indexed="64"/>
      </left>
      <right style="medium">
        <color theme="3"/>
      </right>
      <top style="thin">
        <color theme="3"/>
      </top>
      <bottom style="medium">
        <color theme="3"/>
      </bottom>
      <diagonal/>
    </border>
    <border>
      <left/>
      <right style="hair">
        <color indexed="64"/>
      </right>
      <top style="hair">
        <color indexed="64"/>
      </top>
      <bottom/>
      <diagonal/>
    </border>
    <border>
      <left/>
      <right style="hair">
        <color indexed="64"/>
      </right>
      <top style="thin">
        <color theme="3"/>
      </top>
      <bottom style="medium">
        <color theme="3"/>
      </bottom>
      <diagonal/>
    </border>
    <border>
      <left style="medium">
        <color theme="3"/>
      </left>
      <right style="thin">
        <color theme="3"/>
      </right>
      <top style="hair">
        <color indexed="64"/>
      </top>
      <bottom/>
      <diagonal/>
    </border>
    <border>
      <left style="thin">
        <color theme="3"/>
      </left>
      <right style="thin">
        <color theme="3"/>
      </right>
      <top style="hair">
        <color indexed="64"/>
      </top>
      <bottom/>
      <diagonal/>
    </border>
    <border>
      <left style="medium">
        <color theme="3"/>
      </left>
      <right style="thin">
        <color theme="3"/>
      </right>
      <top style="thin">
        <color theme="3"/>
      </top>
      <bottom style="medium">
        <color theme="3"/>
      </bottom>
      <diagonal/>
    </border>
    <border>
      <left style="thin">
        <color theme="3"/>
      </left>
      <right style="thin">
        <color theme="3"/>
      </right>
      <top style="thin">
        <color theme="3"/>
      </top>
      <bottom style="medium">
        <color theme="3"/>
      </bottom>
      <diagonal/>
    </border>
    <border>
      <left style="hair">
        <color indexed="64"/>
      </left>
      <right style="thin">
        <color theme="3"/>
      </right>
      <top style="medium">
        <color theme="3"/>
      </top>
      <bottom style="medium">
        <color theme="3"/>
      </bottom>
      <diagonal/>
    </border>
    <border>
      <left style="hair">
        <color indexed="64"/>
      </left>
      <right style="thin">
        <color theme="3"/>
      </right>
      <top style="hair">
        <color indexed="64"/>
      </top>
      <bottom style="hair">
        <color indexed="64"/>
      </bottom>
      <diagonal/>
    </border>
    <border>
      <left style="hair">
        <color indexed="64"/>
      </left>
      <right style="thin">
        <color theme="3"/>
      </right>
      <top style="hair">
        <color indexed="64"/>
      </top>
      <bottom/>
      <diagonal/>
    </border>
    <border>
      <left style="hair">
        <color indexed="64"/>
      </left>
      <right style="thin">
        <color theme="3"/>
      </right>
      <top style="thin">
        <color theme="3"/>
      </top>
      <bottom style="medium">
        <color theme="3"/>
      </bottom>
      <diagonal/>
    </border>
    <border>
      <left style="medium">
        <color theme="3"/>
      </left>
      <right style="thin">
        <color theme="3"/>
      </right>
      <top/>
      <bottom style="hair">
        <color indexed="64"/>
      </bottom>
      <diagonal/>
    </border>
    <border>
      <left style="thin">
        <color theme="3"/>
      </left>
      <right style="thin">
        <color theme="3"/>
      </right>
      <top/>
      <bottom style="hair">
        <color indexed="64"/>
      </bottom>
      <diagonal/>
    </border>
    <border>
      <left style="hair">
        <color indexed="64"/>
      </left>
      <right style="thin">
        <color theme="3"/>
      </right>
      <top/>
      <bottom style="hair">
        <color indexed="64"/>
      </bottom>
      <diagonal/>
    </border>
    <border>
      <left/>
      <right style="hair">
        <color indexed="64"/>
      </right>
      <top style="medium">
        <color theme="3"/>
      </top>
      <bottom style="medium">
        <color theme="3"/>
      </bottom>
      <diagonal/>
    </border>
    <border>
      <left style="hair">
        <color indexed="64"/>
      </left>
      <right style="medium">
        <color theme="3"/>
      </right>
      <top style="medium">
        <color theme="3"/>
      </top>
      <bottom style="medium">
        <color theme="3"/>
      </bottom>
      <diagonal/>
    </border>
    <border>
      <left style="thin">
        <color theme="3"/>
      </left>
      <right style="thin">
        <color theme="3"/>
      </right>
      <top style="thin">
        <color theme="3"/>
      </top>
      <bottom style="thin">
        <color theme="3"/>
      </bottom>
      <diagonal/>
    </border>
    <border>
      <left/>
      <right style="thin">
        <color theme="3"/>
      </right>
      <top style="thin">
        <color theme="3"/>
      </top>
      <bottom/>
      <diagonal/>
    </border>
    <border>
      <left style="thin">
        <color theme="3"/>
      </left>
      <right/>
      <top style="thin">
        <color theme="3"/>
      </top>
      <bottom/>
      <diagonal/>
    </border>
    <border>
      <left/>
      <right/>
      <top style="thin">
        <color theme="3"/>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style="thin">
        <color theme="3"/>
      </left>
      <right style="thin">
        <color theme="3"/>
      </right>
      <top style="thin">
        <color theme="3"/>
      </top>
      <bottom style="hair">
        <color theme="3"/>
      </bottom>
      <diagonal/>
    </border>
    <border>
      <left style="thin">
        <color theme="3"/>
      </left>
      <right style="thin">
        <color theme="3"/>
      </right>
      <top style="hair">
        <color theme="3"/>
      </top>
      <bottom style="thin">
        <color theme="3"/>
      </bottom>
      <diagonal/>
    </border>
    <border>
      <left style="thin">
        <color theme="3"/>
      </left>
      <right/>
      <top/>
      <bottom/>
      <diagonal/>
    </border>
    <border>
      <left/>
      <right style="thin">
        <color theme="3"/>
      </right>
      <top/>
      <bottom/>
      <diagonal/>
    </border>
    <border>
      <left style="thin">
        <color theme="3"/>
      </left>
      <right style="hair">
        <color indexed="64"/>
      </right>
      <top style="thin">
        <color theme="3"/>
      </top>
      <bottom style="hair">
        <color theme="3"/>
      </bottom>
      <diagonal/>
    </border>
    <border>
      <left style="hair">
        <color indexed="64"/>
      </left>
      <right style="hair">
        <color indexed="64"/>
      </right>
      <top style="thin">
        <color theme="3"/>
      </top>
      <bottom style="hair">
        <color theme="3"/>
      </bottom>
      <diagonal/>
    </border>
    <border>
      <left style="hair">
        <color indexed="64"/>
      </left>
      <right style="thin">
        <color theme="3"/>
      </right>
      <top style="thin">
        <color theme="3"/>
      </top>
      <bottom style="hair">
        <color theme="3"/>
      </bottom>
      <diagonal/>
    </border>
    <border>
      <left/>
      <right style="hair">
        <color indexed="64"/>
      </right>
      <top style="thin">
        <color theme="3"/>
      </top>
      <bottom style="hair">
        <color theme="3"/>
      </bottom>
      <diagonal/>
    </border>
    <border>
      <left style="thin">
        <color theme="3"/>
      </left>
      <right style="hair">
        <color indexed="64"/>
      </right>
      <top style="hair">
        <color theme="3"/>
      </top>
      <bottom style="hair">
        <color theme="3"/>
      </bottom>
      <diagonal/>
    </border>
    <border>
      <left style="hair">
        <color indexed="64"/>
      </left>
      <right style="hair">
        <color indexed="64"/>
      </right>
      <top style="hair">
        <color theme="3"/>
      </top>
      <bottom style="hair">
        <color theme="3"/>
      </bottom>
      <diagonal/>
    </border>
    <border>
      <left style="hair">
        <color indexed="64"/>
      </left>
      <right style="thin">
        <color theme="3"/>
      </right>
      <top style="hair">
        <color theme="3"/>
      </top>
      <bottom style="hair">
        <color theme="3"/>
      </bottom>
      <diagonal/>
    </border>
    <border>
      <left/>
      <right style="hair">
        <color auto="1"/>
      </right>
      <top style="hair">
        <color theme="3"/>
      </top>
      <bottom style="hair">
        <color theme="3"/>
      </bottom>
      <diagonal/>
    </border>
    <border>
      <left style="thin">
        <color theme="3"/>
      </left>
      <right style="hair">
        <color indexed="64"/>
      </right>
      <top style="hair">
        <color theme="3"/>
      </top>
      <bottom style="thin">
        <color theme="3"/>
      </bottom>
      <diagonal/>
    </border>
    <border>
      <left style="hair">
        <color indexed="64"/>
      </left>
      <right style="hair">
        <color indexed="64"/>
      </right>
      <top style="hair">
        <color theme="3"/>
      </top>
      <bottom style="thin">
        <color theme="3"/>
      </bottom>
      <diagonal/>
    </border>
    <border>
      <left style="hair">
        <color indexed="64"/>
      </left>
      <right style="thin">
        <color theme="3"/>
      </right>
      <top style="hair">
        <color theme="3"/>
      </top>
      <bottom style="thin">
        <color theme="3"/>
      </bottom>
      <diagonal/>
    </border>
    <border>
      <left/>
      <right style="hair">
        <color auto="1"/>
      </right>
      <top style="hair">
        <color theme="3"/>
      </top>
      <bottom style="thin">
        <color theme="3"/>
      </bottom>
      <diagonal/>
    </border>
    <border>
      <left style="thin">
        <color indexed="64"/>
      </left>
      <right style="thin">
        <color indexed="64"/>
      </right>
      <top/>
      <bottom style="thin">
        <color indexed="64"/>
      </bottom>
      <diagonal/>
    </border>
    <border>
      <left style="thin">
        <color indexed="64"/>
      </left>
      <right style="dotted">
        <color indexed="64"/>
      </right>
      <top style="thin">
        <color indexed="64"/>
      </top>
      <bottom/>
      <diagonal/>
    </border>
    <border>
      <left style="dotted">
        <color indexed="64"/>
      </left>
      <right style="dotted">
        <color indexed="64"/>
      </right>
      <top style="thin">
        <color indexed="64"/>
      </top>
      <bottom/>
      <diagonal/>
    </border>
    <border>
      <left style="dotted">
        <color indexed="64"/>
      </left>
      <right style="thin">
        <color indexed="64"/>
      </right>
      <top style="thin">
        <color indexed="64"/>
      </top>
      <bottom/>
      <diagonal/>
    </border>
    <border>
      <left style="thin">
        <color indexed="64"/>
      </left>
      <right style="dotted">
        <color indexed="64"/>
      </right>
      <top/>
      <bottom style="thin">
        <color indexed="64"/>
      </bottom>
      <diagonal/>
    </border>
    <border>
      <left style="dotted">
        <color indexed="64"/>
      </left>
      <right style="dotted">
        <color indexed="64"/>
      </right>
      <top/>
      <bottom style="thin">
        <color indexed="64"/>
      </bottom>
      <diagonal/>
    </border>
    <border>
      <left style="dotted">
        <color indexed="64"/>
      </left>
      <right style="thin">
        <color indexed="64"/>
      </right>
      <top/>
      <bottom style="thin">
        <color indexed="64"/>
      </bottom>
      <diagonal/>
    </border>
    <border>
      <left style="thin">
        <color indexed="64"/>
      </left>
      <right style="dotted">
        <color indexed="64"/>
      </right>
      <top/>
      <bottom/>
      <diagonal/>
    </border>
    <border>
      <left style="dotted">
        <color indexed="64"/>
      </left>
      <right style="dotted">
        <color indexed="64"/>
      </right>
      <top/>
      <bottom/>
      <diagonal/>
    </border>
    <border>
      <left style="dotted">
        <color indexed="64"/>
      </left>
      <right style="thin">
        <color indexed="64"/>
      </right>
      <top/>
      <bottom/>
      <diagonal/>
    </border>
    <border>
      <left style="thin">
        <color indexed="64"/>
      </left>
      <right/>
      <top style="thin">
        <color indexed="64"/>
      </top>
      <bottom style="thick">
        <color theme="9" tint="-0.24994659260841701"/>
      </bottom>
      <diagonal/>
    </border>
    <border>
      <left/>
      <right/>
      <top style="thin">
        <color indexed="64"/>
      </top>
      <bottom style="thick">
        <color theme="9" tint="-0.24994659260841701"/>
      </bottom>
      <diagonal/>
    </border>
    <border>
      <left/>
      <right style="thin">
        <color indexed="64"/>
      </right>
      <top style="thin">
        <color indexed="64"/>
      </top>
      <bottom style="thick">
        <color theme="9" tint="-0.24994659260841701"/>
      </bottom>
      <diagonal/>
    </border>
    <border>
      <left style="medium">
        <color indexed="64"/>
      </left>
      <right style="thin">
        <color rgb="FF000000"/>
      </right>
      <top style="thin">
        <color rgb="FF000000"/>
      </top>
      <bottom/>
      <diagonal/>
    </border>
    <border>
      <left style="medium">
        <color indexed="64"/>
      </left>
      <right style="thin">
        <color rgb="FF000000"/>
      </right>
      <top style="thin">
        <color indexed="64"/>
      </top>
      <bottom style="medium">
        <color indexed="64"/>
      </bottom>
      <diagonal/>
    </border>
    <border>
      <left style="thin">
        <color rgb="FF000000"/>
      </left>
      <right style="medium">
        <color indexed="64"/>
      </right>
      <top style="thin">
        <color indexed="64"/>
      </top>
      <bottom style="medium">
        <color indexed="64"/>
      </bottom>
      <diagonal/>
    </border>
    <border>
      <left style="thin">
        <color rgb="FF000000"/>
      </left>
      <right style="thick">
        <color rgb="FF000000"/>
      </right>
      <top style="thin">
        <color indexed="64"/>
      </top>
      <bottom/>
      <diagonal/>
    </border>
    <border>
      <left style="thin">
        <color rgb="FF000000"/>
      </left>
      <right style="thick">
        <color rgb="FF000000"/>
      </right>
      <top/>
      <bottom/>
      <diagonal/>
    </border>
    <border>
      <left style="thin">
        <color rgb="FF000000"/>
      </left>
      <right style="thick">
        <color rgb="FF000000"/>
      </right>
      <top/>
      <bottom style="medium">
        <color indexed="64"/>
      </bottom>
      <diagonal/>
    </border>
    <border>
      <left style="thin">
        <color rgb="FF000000"/>
      </left>
      <right style="thick">
        <color rgb="FF000000"/>
      </right>
      <top style="thin">
        <color indexed="64"/>
      </top>
      <bottom style="thin">
        <color rgb="FF000000"/>
      </bottom>
      <diagonal/>
    </border>
    <border>
      <left style="hair">
        <color indexed="64"/>
      </left>
      <right style="hair">
        <color indexed="64"/>
      </right>
      <top style="hair">
        <color rgb="FF002060"/>
      </top>
      <bottom style="hair">
        <color rgb="FF002060"/>
      </bottom>
      <diagonal/>
    </border>
    <border>
      <left style="thin">
        <color indexed="64"/>
      </left>
      <right/>
      <top style="thin">
        <color indexed="64"/>
      </top>
      <bottom style="hair">
        <color rgb="FF002060"/>
      </bottom>
      <diagonal/>
    </border>
    <border>
      <left style="hair">
        <color indexed="64"/>
      </left>
      <right style="hair">
        <color indexed="64"/>
      </right>
      <top style="thin">
        <color indexed="64"/>
      </top>
      <bottom style="hair">
        <color rgb="FF002060"/>
      </bottom>
      <diagonal/>
    </border>
    <border>
      <left/>
      <right style="hair">
        <color rgb="FF002060"/>
      </right>
      <top style="thin">
        <color indexed="64"/>
      </top>
      <bottom style="hair">
        <color rgb="FF002060"/>
      </bottom>
      <diagonal/>
    </border>
    <border>
      <left style="hair">
        <color rgb="FF002060"/>
      </left>
      <right style="hair">
        <color rgb="FF002060"/>
      </right>
      <top style="thin">
        <color indexed="64"/>
      </top>
      <bottom style="hair">
        <color rgb="FF002060"/>
      </bottom>
      <diagonal/>
    </border>
    <border>
      <left style="hair">
        <color rgb="FF002060"/>
      </left>
      <right style="thin">
        <color indexed="64"/>
      </right>
      <top style="thin">
        <color indexed="64"/>
      </top>
      <bottom style="hair">
        <color rgb="FF002060"/>
      </bottom>
      <diagonal/>
    </border>
    <border>
      <left style="thin">
        <color indexed="64"/>
      </left>
      <right/>
      <top style="hair">
        <color rgb="FF002060"/>
      </top>
      <bottom style="hair">
        <color rgb="FF002060"/>
      </bottom>
      <diagonal/>
    </border>
    <border>
      <left style="hair">
        <color rgb="FF002060"/>
      </left>
      <right style="thin">
        <color indexed="64"/>
      </right>
      <top style="hair">
        <color rgb="FF002060"/>
      </top>
      <bottom style="hair">
        <color rgb="FF002060"/>
      </bottom>
      <diagonal/>
    </border>
    <border>
      <left style="thin">
        <color indexed="64"/>
      </left>
      <right style="thin">
        <color rgb="FF002060"/>
      </right>
      <top style="thin">
        <color indexed="64"/>
      </top>
      <bottom/>
      <diagonal/>
    </border>
    <border>
      <left style="thin">
        <color rgb="FF002060"/>
      </left>
      <right style="thin">
        <color rgb="FF002060"/>
      </right>
      <top style="thin">
        <color indexed="64"/>
      </top>
      <bottom/>
      <diagonal/>
    </border>
    <border>
      <left style="thin">
        <color rgb="FF002060"/>
      </left>
      <right/>
      <top style="thin">
        <color indexed="64"/>
      </top>
      <bottom/>
      <diagonal/>
    </border>
  </borders>
  <cellStyleXfs count="8">
    <xf numFmtId="0" fontId="0" fillId="0" borderId="0"/>
    <xf numFmtId="0" fontId="22" fillId="0" borderId="0"/>
    <xf numFmtId="9" fontId="22" fillId="0" borderId="0" applyFont="0" applyFill="0" applyBorder="0" applyAlignment="0" applyProtection="0"/>
    <xf numFmtId="0" fontId="14" fillId="0" borderId="0"/>
    <xf numFmtId="0" fontId="13" fillId="0" borderId="0"/>
    <xf numFmtId="0" fontId="12" fillId="0" borderId="0"/>
    <xf numFmtId="0" fontId="11" fillId="0" borderId="0"/>
    <xf numFmtId="0" fontId="108" fillId="0" borderId="0" applyNumberFormat="0" applyFill="0" applyBorder="0" applyAlignment="0" applyProtection="0"/>
  </cellStyleXfs>
  <cellXfs count="1204">
    <xf numFmtId="0" fontId="0" fillId="0" borderId="0" xfId="0"/>
    <xf numFmtId="0" fontId="0" fillId="2" borderId="0" xfId="0" applyFill="1"/>
    <xf numFmtId="0" fontId="22" fillId="0" borderId="0" xfId="0" applyFont="1" applyAlignment="1">
      <alignment horizontal="center"/>
    </xf>
    <xf numFmtId="0" fontId="22" fillId="0" borderId="0" xfId="0" applyFont="1" applyAlignment="1">
      <alignment horizontal="center" vertical="center"/>
    </xf>
    <xf numFmtId="0" fontId="22" fillId="0" borderId="0" xfId="1" applyAlignment="1" applyProtection="1">
      <alignment vertical="center"/>
      <protection hidden="1"/>
    </xf>
    <xf numFmtId="0" fontId="22" fillId="0" borderId="0" xfId="1" applyAlignment="1" applyProtection="1">
      <alignment vertical="center" wrapText="1"/>
      <protection hidden="1"/>
    </xf>
    <xf numFmtId="0" fontId="22" fillId="0" borderId="0" xfId="1" applyAlignment="1" applyProtection="1">
      <alignment horizontal="center" vertical="center"/>
      <protection hidden="1"/>
    </xf>
    <xf numFmtId="0" fontId="18" fillId="0" borderId="0" xfId="1" applyFont="1" applyAlignment="1" applyProtection="1">
      <alignment vertical="center"/>
      <protection hidden="1"/>
    </xf>
    <xf numFmtId="3" fontId="22" fillId="0" borderId="0" xfId="1" applyNumberFormat="1" applyAlignment="1" applyProtection="1">
      <alignment vertical="center"/>
      <protection hidden="1"/>
    </xf>
    <xf numFmtId="0" fontId="0" fillId="0" borderId="0" xfId="0" applyAlignment="1">
      <alignment vertical="center"/>
    </xf>
    <xf numFmtId="0" fontId="0" fillId="3" borderId="4" xfId="0" applyFill="1" applyBorder="1" applyAlignment="1">
      <alignment horizontal="center"/>
    </xf>
    <xf numFmtId="0" fontId="0" fillId="8" borderId="0" xfId="0" applyFill="1" applyAlignment="1">
      <alignment vertical="top" wrapText="1"/>
    </xf>
    <xf numFmtId="0" fontId="0" fillId="0" borderId="0" xfId="0" applyAlignment="1">
      <alignment horizontal="center" vertical="center" wrapText="1"/>
    </xf>
    <xf numFmtId="0" fontId="24" fillId="0" borderId="0" xfId="0" applyFont="1" applyAlignment="1">
      <alignment horizontal="left" vertical="center"/>
    </xf>
    <xf numFmtId="0" fontId="24" fillId="0" borderId="0" xfId="0" applyFont="1" applyAlignment="1">
      <alignment horizontal="center" vertical="center"/>
    </xf>
    <xf numFmtId="0" fontId="0" fillId="0" borderId="0" xfId="0" applyAlignment="1">
      <alignment wrapText="1"/>
    </xf>
    <xf numFmtId="0" fontId="0" fillId="0" borderId="0" xfId="0" applyAlignment="1">
      <alignment horizontal="center" wrapText="1"/>
    </xf>
    <xf numFmtId="0" fontId="0" fillId="4" borderId="0" xfId="0" applyFill="1" applyAlignment="1">
      <alignment vertical="top" wrapText="1"/>
    </xf>
    <xf numFmtId="0" fontId="0" fillId="0" borderId="0" xfId="0" applyAlignment="1">
      <alignment vertical="top" wrapText="1"/>
    </xf>
    <xf numFmtId="0" fontId="16" fillId="5" borderId="31" xfId="0" applyFont="1" applyFill="1" applyBorder="1"/>
    <xf numFmtId="0" fontId="22" fillId="10" borderId="0" xfId="1" applyFill="1" applyAlignment="1" applyProtection="1">
      <alignment vertical="center"/>
      <protection hidden="1"/>
    </xf>
    <xf numFmtId="0" fontId="28" fillId="10" borderId="0" xfId="1" applyFont="1" applyFill="1" applyAlignment="1" applyProtection="1">
      <alignment vertical="center"/>
      <protection hidden="1"/>
    </xf>
    <xf numFmtId="0" fontId="41" fillId="9" borderId="19" xfId="0" applyFont="1" applyFill="1" applyBorder="1" applyAlignment="1">
      <alignment horizontal="center" vertical="center"/>
    </xf>
    <xf numFmtId="0" fontId="41" fillId="9" borderId="50" xfId="0" applyFont="1" applyFill="1" applyBorder="1" applyAlignment="1">
      <alignment vertical="center"/>
    </xf>
    <xf numFmtId="0" fontId="41" fillId="9" borderId="50" xfId="0" applyFont="1" applyFill="1" applyBorder="1" applyAlignment="1">
      <alignment horizontal="center" vertical="center"/>
    </xf>
    <xf numFmtId="0" fontId="41" fillId="9" borderId="51" xfId="0" applyFont="1" applyFill="1" applyBorder="1" applyAlignment="1">
      <alignment horizontal="center" vertical="center"/>
    </xf>
    <xf numFmtId="0" fontId="41" fillId="9" borderId="52" xfId="0" applyFont="1" applyFill="1" applyBorder="1" applyAlignment="1">
      <alignment vertical="center"/>
    </xf>
    <xf numFmtId="0" fontId="42" fillId="9" borderId="50" xfId="0" applyFont="1" applyFill="1" applyBorder="1" applyAlignment="1">
      <alignment vertical="center"/>
    </xf>
    <xf numFmtId="0" fontId="43" fillId="9" borderId="50" xfId="0" applyFont="1" applyFill="1" applyBorder="1" applyAlignment="1">
      <alignment vertical="center"/>
    </xf>
    <xf numFmtId="0" fontId="43" fillId="9" borderId="50" xfId="0" applyFont="1" applyFill="1" applyBorder="1" applyAlignment="1">
      <alignment horizontal="center" vertical="center"/>
    </xf>
    <xf numFmtId="0" fontId="43" fillId="9" borderId="51" xfId="0" applyFont="1" applyFill="1" applyBorder="1" applyAlignment="1">
      <alignment horizontal="center" vertical="center"/>
    </xf>
    <xf numFmtId="0" fontId="41" fillId="9" borderId="53" xfId="0" applyFont="1" applyFill="1" applyBorder="1" applyAlignment="1">
      <alignment horizontal="center" vertical="center" wrapText="1"/>
    </xf>
    <xf numFmtId="0" fontId="44" fillId="9" borderId="54" xfId="0" applyFont="1" applyFill="1" applyBorder="1" applyAlignment="1">
      <alignment horizontal="center" vertical="center" wrapText="1"/>
    </xf>
    <xf numFmtId="0" fontId="44" fillId="9" borderId="55" xfId="0" applyFont="1" applyFill="1" applyBorder="1" applyAlignment="1">
      <alignment horizontal="center" vertical="center" wrapText="1"/>
    </xf>
    <xf numFmtId="0" fontId="44" fillId="9" borderId="56" xfId="0" applyFont="1" applyFill="1" applyBorder="1" applyAlignment="1">
      <alignment horizontal="center" vertical="center" wrapText="1"/>
    </xf>
    <xf numFmtId="0" fontId="16" fillId="11" borderId="62" xfId="0" applyFont="1" applyFill="1" applyBorder="1" applyAlignment="1">
      <alignment horizontal="center" vertical="center" wrapText="1"/>
    </xf>
    <xf numFmtId="0" fontId="0" fillId="11" borderId="63" xfId="0" applyFill="1" applyBorder="1" applyAlignment="1">
      <alignment vertical="top" wrapText="1"/>
    </xf>
    <xf numFmtId="0" fontId="0" fillId="11" borderId="64" xfId="0" applyFill="1" applyBorder="1" applyAlignment="1">
      <alignment vertical="top" wrapText="1"/>
    </xf>
    <xf numFmtId="0" fontId="0" fillId="11" borderId="64" xfId="0" applyFill="1" applyBorder="1" applyAlignment="1">
      <alignment horizontal="center" vertical="top" wrapText="1"/>
    </xf>
    <xf numFmtId="0" fontId="0" fillId="11" borderId="65" xfId="0" applyFill="1" applyBorder="1" applyAlignment="1">
      <alignment horizontal="center" vertical="top" wrapText="1"/>
    </xf>
    <xf numFmtId="0" fontId="0" fillId="11" borderId="66" xfId="0" applyFill="1" applyBorder="1" applyAlignment="1">
      <alignment vertical="top" wrapText="1"/>
    </xf>
    <xf numFmtId="0" fontId="40" fillId="11" borderId="64" xfId="0" applyFont="1" applyFill="1" applyBorder="1" applyAlignment="1">
      <alignment vertical="top" wrapText="1"/>
    </xf>
    <xf numFmtId="0" fontId="0" fillId="11" borderId="0" xfId="0" applyFill="1" applyAlignment="1">
      <alignment vertical="top" wrapText="1"/>
    </xf>
    <xf numFmtId="0" fontId="46" fillId="11" borderId="63" xfId="0" applyFont="1" applyFill="1" applyBorder="1" applyAlignment="1">
      <alignment vertical="top" wrapText="1"/>
    </xf>
    <xf numFmtId="0" fontId="46" fillId="11" borderId="64" xfId="0" applyFont="1" applyFill="1" applyBorder="1" applyAlignment="1">
      <alignment vertical="top" wrapText="1"/>
    </xf>
    <xf numFmtId="0" fontId="46" fillId="11" borderId="64" xfId="0" applyFont="1" applyFill="1" applyBorder="1" applyAlignment="1">
      <alignment horizontal="center" vertical="top" wrapText="1"/>
    </xf>
    <xf numFmtId="0" fontId="46" fillId="11" borderId="65" xfId="0" applyFont="1" applyFill="1" applyBorder="1" applyAlignment="1">
      <alignment horizontal="center" vertical="top" wrapText="1"/>
    </xf>
    <xf numFmtId="0" fontId="0" fillId="11" borderId="67" xfId="0" applyFill="1" applyBorder="1" applyAlignment="1">
      <alignment vertical="top" wrapText="1"/>
    </xf>
    <xf numFmtId="0" fontId="16" fillId="11" borderId="44" xfId="0" applyFont="1" applyFill="1" applyBorder="1" applyAlignment="1">
      <alignment horizontal="center" vertical="center" wrapText="1"/>
    </xf>
    <xf numFmtId="0" fontId="0" fillId="11" borderId="73" xfId="0" applyFill="1" applyBorder="1" applyAlignment="1">
      <alignment vertical="top" wrapText="1"/>
    </xf>
    <xf numFmtId="0" fontId="0" fillId="11" borderId="74" xfId="0" applyFill="1" applyBorder="1" applyAlignment="1">
      <alignment vertical="top" wrapText="1"/>
    </xf>
    <xf numFmtId="0" fontId="0" fillId="11" borderId="74" xfId="0" applyFill="1" applyBorder="1" applyAlignment="1">
      <alignment horizontal="center" vertical="top" wrapText="1"/>
    </xf>
    <xf numFmtId="0" fontId="0" fillId="11" borderId="75" xfId="0" applyFill="1" applyBorder="1" applyAlignment="1">
      <alignment horizontal="center" vertical="top" wrapText="1"/>
    </xf>
    <xf numFmtId="0" fontId="0" fillId="11" borderId="76" xfId="0" applyFill="1" applyBorder="1" applyAlignment="1">
      <alignment vertical="top" wrapText="1"/>
    </xf>
    <xf numFmtId="3" fontId="22" fillId="10" borderId="0" xfId="1" applyNumberFormat="1" applyFill="1" applyAlignment="1" applyProtection="1">
      <alignment vertical="center"/>
      <protection hidden="1"/>
    </xf>
    <xf numFmtId="0" fontId="29" fillId="10" borderId="0" xfId="1" applyFont="1" applyFill="1" applyAlignment="1" applyProtection="1">
      <alignment vertical="center"/>
      <protection hidden="1"/>
    </xf>
    <xf numFmtId="0" fontId="22" fillId="10" borderId="0" xfId="1" applyFill="1" applyAlignment="1" applyProtection="1">
      <alignment vertical="center" wrapText="1"/>
      <protection hidden="1"/>
    </xf>
    <xf numFmtId="0" fontId="31" fillId="9" borderId="37" xfId="1" applyFont="1" applyFill="1" applyBorder="1" applyAlignment="1" applyProtection="1">
      <alignment horizontal="center" vertical="center" wrapText="1"/>
      <protection hidden="1"/>
    </xf>
    <xf numFmtId="0" fontId="31" fillId="9" borderId="38" xfId="1" applyFont="1" applyFill="1" applyBorder="1" applyAlignment="1" applyProtection="1">
      <alignment horizontal="center" vertical="center" wrapText="1"/>
      <protection hidden="1"/>
    </xf>
    <xf numFmtId="3" fontId="31" fillId="9" borderId="7" xfId="1" applyNumberFormat="1" applyFont="1" applyFill="1" applyBorder="1" applyAlignment="1" applyProtection="1">
      <alignment horizontal="center" vertical="center" wrapText="1"/>
      <protection hidden="1"/>
    </xf>
    <xf numFmtId="0" fontId="22" fillId="11" borderId="11" xfId="1" applyFill="1" applyBorder="1" applyAlignment="1" applyProtection="1">
      <alignment horizontal="center" vertical="center"/>
      <protection hidden="1"/>
    </xf>
    <xf numFmtId="0" fontId="22" fillId="11" borderId="12" xfId="1" applyFill="1" applyBorder="1" applyAlignment="1" applyProtection="1">
      <alignment horizontal="center" vertical="center"/>
      <protection hidden="1"/>
    </xf>
    <xf numFmtId="0" fontId="25" fillId="11" borderId="12" xfId="1" applyFont="1" applyFill="1" applyBorder="1" applyAlignment="1" applyProtection="1">
      <alignment horizontal="center" vertical="center"/>
      <protection hidden="1"/>
    </xf>
    <xf numFmtId="3" fontId="22" fillId="11" borderId="13" xfId="1" applyNumberFormat="1" applyFill="1" applyBorder="1" applyAlignment="1" applyProtection="1">
      <alignment horizontal="center" vertical="center"/>
      <protection hidden="1"/>
    </xf>
    <xf numFmtId="0" fontId="22" fillId="11" borderId="33" xfId="1" applyFill="1" applyBorder="1" applyAlignment="1" applyProtection="1">
      <alignment horizontal="center" vertical="center"/>
      <protection hidden="1"/>
    </xf>
    <xf numFmtId="0" fontId="22" fillId="11" borderId="4" xfId="1" applyFill="1" applyBorder="1" applyAlignment="1" applyProtection="1">
      <alignment horizontal="center" vertical="center"/>
      <protection hidden="1"/>
    </xf>
    <xf numFmtId="0" fontId="25" fillId="11" borderId="4" xfId="1" applyFont="1" applyFill="1" applyBorder="1" applyAlignment="1" applyProtection="1">
      <alignment horizontal="center" vertical="center"/>
      <protection hidden="1"/>
    </xf>
    <xf numFmtId="3" fontId="22" fillId="11" borderId="32" xfId="1" applyNumberFormat="1" applyFill="1" applyBorder="1" applyAlignment="1" applyProtection="1">
      <alignment horizontal="center" vertical="center"/>
      <protection hidden="1"/>
    </xf>
    <xf numFmtId="0" fontId="22" fillId="11" borderId="33" xfId="1" applyFill="1" applyBorder="1" applyAlignment="1" applyProtection="1">
      <alignment horizontal="center" vertical="center" wrapText="1"/>
      <protection hidden="1"/>
    </xf>
    <xf numFmtId="0" fontId="22" fillId="11" borderId="4" xfId="1" applyFill="1" applyBorder="1" applyAlignment="1" applyProtection="1">
      <alignment horizontal="center" vertical="center" wrapText="1"/>
      <protection hidden="1"/>
    </xf>
    <xf numFmtId="0" fontId="18" fillId="10" borderId="0" xfId="1" applyFont="1" applyFill="1" applyAlignment="1" applyProtection="1">
      <alignment vertical="center"/>
      <protection hidden="1"/>
    </xf>
    <xf numFmtId="0" fontId="22" fillId="11" borderId="34" xfId="1" applyFill="1" applyBorder="1" applyAlignment="1" applyProtection="1">
      <alignment horizontal="center" vertical="center" wrapText="1"/>
      <protection hidden="1"/>
    </xf>
    <xf numFmtId="0" fontId="22" fillId="11" borderId="15" xfId="1" applyFill="1" applyBorder="1" applyAlignment="1" applyProtection="1">
      <alignment horizontal="center" vertical="center" wrapText="1"/>
      <protection hidden="1"/>
    </xf>
    <xf numFmtId="0" fontId="22" fillId="11" borderId="15" xfId="1" applyFill="1" applyBorder="1" applyAlignment="1" applyProtection="1">
      <alignment horizontal="center" vertical="center"/>
      <protection hidden="1"/>
    </xf>
    <xf numFmtId="3" fontId="22" fillId="11" borderId="8" xfId="1" applyNumberFormat="1" applyFill="1" applyBorder="1" applyAlignment="1" applyProtection="1">
      <alignment horizontal="center" vertical="center"/>
      <protection hidden="1"/>
    </xf>
    <xf numFmtId="0" fontId="22" fillId="10" borderId="0" xfId="1" applyFill="1" applyAlignment="1" applyProtection="1">
      <alignment horizontal="left" vertical="center"/>
      <protection hidden="1"/>
    </xf>
    <xf numFmtId="0" fontId="22" fillId="10" borderId="0" xfId="1" applyFill="1" applyAlignment="1" applyProtection="1">
      <alignment horizontal="center" vertical="center"/>
      <protection hidden="1"/>
    </xf>
    <xf numFmtId="3" fontId="22" fillId="10" borderId="0" xfId="1" applyNumberFormat="1" applyFill="1" applyAlignment="1" applyProtection="1">
      <alignment horizontal="center" vertical="center"/>
      <protection hidden="1"/>
    </xf>
    <xf numFmtId="49" fontId="0" fillId="0" borderId="0" xfId="0" applyNumberFormat="1" applyAlignment="1">
      <alignment vertical="top"/>
    </xf>
    <xf numFmtId="49" fontId="0" fillId="0" borderId="0" xfId="0" applyNumberFormat="1" applyAlignment="1">
      <alignment horizontal="left" vertical="top"/>
    </xf>
    <xf numFmtId="0" fontId="0" fillId="2" borderId="30" xfId="0" applyFill="1" applyBorder="1"/>
    <xf numFmtId="0" fontId="0" fillId="0" borderId="4" xfId="0" applyBorder="1"/>
    <xf numFmtId="0" fontId="0" fillId="2" borderId="4" xfId="0" applyFill="1" applyBorder="1"/>
    <xf numFmtId="0" fontId="0" fillId="3" borderId="4" xfId="0" applyFill="1" applyBorder="1"/>
    <xf numFmtId="0" fontId="0" fillId="9" borderId="0" xfId="0" applyFill="1"/>
    <xf numFmtId="0" fontId="30" fillId="9" borderId="0" xfId="0" applyFont="1" applyFill="1" applyAlignment="1">
      <alignment vertical="center"/>
    </xf>
    <xf numFmtId="0" fontId="0" fillId="12" borderId="0" xfId="0" applyFill="1"/>
    <xf numFmtId="0" fontId="30" fillId="12" borderId="0" xfId="0" applyFont="1" applyFill="1" applyAlignment="1">
      <alignment vertical="center"/>
    </xf>
    <xf numFmtId="0" fontId="21" fillId="5" borderId="3" xfId="0" applyFont="1" applyFill="1" applyBorder="1" applyAlignment="1">
      <alignment horizontal="center" vertical="center"/>
    </xf>
    <xf numFmtId="0" fontId="21" fillId="5" borderId="27" xfId="0" applyFont="1" applyFill="1" applyBorder="1" applyAlignment="1">
      <alignment horizontal="center" vertical="center"/>
    </xf>
    <xf numFmtId="0" fontId="0" fillId="3" borderId="12" xfId="0" applyFill="1" applyBorder="1" applyAlignment="1">
      <alignment horizontal="center"/>
    </xf>
    <xf numFmtId="0" fontId="0" fillId="3" borderId="13" xfId="0" applyFill="1" applyBorder="1" applyAlignment="1">
      <alignment horizontal="center"/>
    </xf>
    <xf numFmtId="0" fontId="0" fillId="3" borderId="32" xfId="0" applyFill="1" applyBorder="1" applyAlignment="1">
      <alignment horizontal="center"/>
    </xf>
    <xf numFmtId="0" fontId="21" fillId="5" borderId="14" xfId="0" applyFont="1" applyFill="1" applyBorder="1" applyAlignment="1">
      <alignment horizontal="center" vertical="center"/>
    </xf>
    <xf numFmtId="0" fontId="0" fillId="3" borderId="15" xfId="0" applyFill="1" applyBorder="1"/>
    <xf numFmtId="0" fontId="0" fillId="3" borderId="8" xfId="0" applyFill="1" applyBorder="1"/>
    <xf numFmtId="0" fontId="0" fillId="3" borderId="15" xfId="0" applyFill="1" applyBorder="1" applyAlignment="1">
      <alignment horizontal="center"/>
    </xf>
    <xf numFmtId="0" fontId="0" fillId="3" borderId="8" xfId="0" applyFill="1" applyBorder="1" applyAlignment="1">
      <alignment horizontal="center"/>
    </xf>
    <xf numFmtId="0" fontId="16" fillId="0" borderId="0" xfId="0" applyFont="1" applyAlignment="1">
      <alignment vertical="center"/>
    </xf>
    <xf numFmtId="0" fontId="16" fillId="0" borderId="4" xfId="0" applyFont="1" applyBorder="1" applyAlignment="1">
      <alignment horizontal="right" vertical="center"/>
    </xf>
    <xf numFmtId="0" fontId="23" fillId="0" borderId="4" xfId="0" applyFont="1" applyBorder="1" applyAlignment="1">
      <alignment horizontal="center" vertical="center"/>
    </xf>
    <xf numFmtId="0" fontId="15" fillId="9" borderId="4" xfId="0" applyFont="1" applyFill="1" applyBorder="1" applyAlignment="1">
      <alignment vertical="center"/>
    </xf>
    <xf numFmtId="0" fontId="15" fillId="9" borderId="1" xfId="0" applyFont="1" applyFill="1" applyBorder="1" applyAlignment="1">
      <alignment vertical="center"/>
    </xf>
    <xf numFmtId="0" fontId="15" fillId="13" borderId="5" xfId="0" applyFont="1" applyFill="1" applyBorder="1" applyAlignment="1">
      <alignment horizontal="center" vertical="center"/>
    </xf>
    <xf numFmtId="0" fontId="20" fillId="13" borderId="6" xfId="0" applyFont="1" applyFill="1" applyBorder="1" applyAlignment="1">
      <alignment horizontal="center" vertical="center"/>
    </xf>
    <xf numFmtId="0" fontId="17" fillId="13" borderId="5" xfId="0" applyFont="1" applyFill="1" applyBorder="1" applyAlignment="1">
      <alignment vertical="center"/>
    </xf>
    <xf numFmtId="0" fontId="17" fillId="13" borderId="6" xfId="0" applyFont="1" applyFill="1" applyBorder="1" applyAlignment="1">
      <alignment vertical="center"/>
    </xf>
    <xf numFmtId="0" fontId="17" fillId="13" borderId="6" xfId="0" applyFont="1" applyFill="1" applyBorder="1" applyAlignment="1">
      <alignment horizontal="center" vertical="center"/>
    </xf>
    <xf numFmtId="0" fontId="17" fillId="13" borderId="18" xfId="0" applyFont="1" applyFill="1" applyBorder="1" applyAlignment="1">
      <alignment horizontal="center" vertical="center"/>
    </xf>
    <xf numFmtId="0" fontId="15" fillId="13" borderId="9" xfId="0" applyFont="1" applyFill="1" applyBorder="1" applyAlignment="1">
      <alignment horizontal="center" vertical="center"/>
    </xf>
    <xf numFmtId="0" fontId="20" fillId="13" borderId="28" xfId="0" applyFont="1" applyFill="1" applyBorder="1" applyAlignment="1">
      <alignment horizontal="center" vertical="center"/>
    </xf>
    <xf numFmtId="0" fontId="0" fillId="14" borderId="4" xfId="0" applyFill="1" applyBorder="1" applyAlignment="1">
      <alignment horizontal="center"/>
    </xf>
    <xf numFmtId="0" fontId="0" fillId="14" borderId="32" xfId="0" applyFill="1" applyBorder="1" applyAlignment="1">
      <alignment horizontal="center"/>
    </xf>
    <xf numFmtId="0" fontId="17" fillId="13" borderId="28" xfId="0" applyFont="1" applyFill="1" applyBorder="1" applyAlignment="1">
      <alignment horizontal="center" vertical="center"/>
    </xf>
    <xf numFmtId="0" fontId="17" fillId="13" borderId="29" xfId="0" applyFont="1" applyFill="1" applyBorder="1" applyAlignment="1">
      <alignment horizontal="center" vertical="center"/>
    </xf>
    <xf numFmtId="0" fontId="17" fillId="13" borderId="9" xfId="0" applyFont="1" applyFill="1" applyBorder="1" applyAlignment="1">
      <alignment vertical="center"/>
    </xf>
    <xf numFmtId="0" fontId="15" fillId="13" borderId="28" xfId="0" applyFont="1" applyFill="1" applyBorder="1" applyAlignment="1">
      <alignment horizontal="center" vertical="center"/>
    </xf>
    <xf numFmtId="0" fontId="21" fillId="5" borderId="4" xfId="0" applyFont="1" applyFill="1" applyBorder="1" applyAlignment="1">
      <alignment horizontal="center" vertical="center"/>
    </xf>
    <xf numFmtId="0" fontId="21" fillId="5" borderId="12" xfId="0" applyFont="1" applyFill="1" applyBorder="1" applyAlignment="1">
      <alignment horizontal="center" vertical="center"/>
    </xf>
    <xf numFmtId="0" fontId="21" fillId="5" borderId="15" xfId="0" applyFont="1" applyFill="1" applyBorder="1" applyAlignment="1">
      <alignment horizontal="center" vertical="center"/>
    </xf>
    <xf numFmtId="0" fontId="0" fillId="3" borderId="27" xfId="0" applyFill="1" applyBorder="1" applyAlignment="1">
      <alignment horizontal="center"/>
    </xf>
    <xf numFmtId="0" fontId="0" fillId="3" borderId="3" xfId="0" applyFill="1" applyBorder="1" applyAlignment="1">
      <alignment horizontal="center"/>
    </xf>
    <xf numFmtId="0" fontId="0" fillId="14" borderId="3" xfId="0" applyFill="1" applyBorder="1" applyAlignment="1">
      <alignment horizontal="center"/>
    </xf>
    <xf numFmtId="0" fontId="0" fillId="3" borderId="14" xfId="0" applyFill="1" applyBorder="1" applyAlignment="1">
      <alignment horizontal="center"/>
    </xf>
    <xf numFmtId="0" fontId="17" fillId="13" borderId="28" xfId="0" applyFont="1" applyFill="1" applyBorder="1" applyAlignment="1">
      <alignment vertical="center"/>
    </xf>
    <xf numFmtId="0" fontId="21" fillId="5" borderId="13" xfId="0" applyFont="1" applyFill="1" applyBorder="1" applyAlignment="1">
      <alignment horizontal="center" vertical="center"/>
    </xf>
    <xf numFmtId="0" fontId="21" fillId="5" borderId="32" xfId="0" applyFont="1" applyFill="1" applyBorder="1" applyAlignment="1">
      <alignment horizontal="center" vertical="center"/>
    </xf>
    <xf numFmtId="0" fontId="21" fillId="5" borderId="8" xfId="0" applyFont="1" applyFill="1" applyBorder="1" applyAlignment="1">
      <alignment horizontal="center" vertical="center"/>
    </xf>
    <xf numFmtId="0" fontId="15" fillId="13" borderId="28" xfId="0" applyFont="1" applyFill="1" applyBorder="1" applyAlignment="1">
      <alignment vertical="center"/>
    </xf>
    <xf numFmtId="0" fontId="0" fillId="15" borderId="0" xfId="0" applyFill="1"/>
    <xf numFmtId="0" fontId="16" fillId="15" borderId="0" xfId="0" applyFont="1" applyFill="1" applyAlignment="1">
      <alignment vertical="center"/>
    </xf>
    <xf numFmtId="0" fontId="15" fillId="12" borderId="45" xfId="0" applyFont="1" applyFill="1" applyBorder="1" applyAlignment="1">
      <alignment vertical="center"/>
    </xf>
    <xf numFmtId="0" fontId="17" fillId="12" borderId="0" xfId="0" applyFont="1" applyFill="1"/>
    <xf numFmtId="0" fontId="15" fillId="12" borderId="0" xfId="0" applyFont="1" applyFill="1" applyAlignment="1">
      <alignment vertical="center"/>
    </xf>
    <xf numFmtId="0" fontId="0" fillId="2" borderId="31" xfId="0" applyFill="1" applyBorder="1"/>
    <xf numFmtId="0" fontId="15" fillId="9" borderId="9" xfId="0" applyFont="1" applyFill="1" applyBorder="1" applyAlignment="1">
      <alignment horizontal="center" vertical="center"/>
    </xf>
    <xf numFmtId="0" fontId="0" fillId="15" borderId="30" xfId="0" applyFill="1" applyBorder="1" applyAlignment="1">
      <alignment horizontal="center"/>
    </xf>
    <xf numFmtId="0" fontId="0" fillId="15" borderId="31" xfId="0" applyFill="1" applyBorder="1" applyAlignment="1">
      <alignment horizontal="center"/>
    </xf>
    <xf numFmtId="0" fontId="16" fillId="15" borderId="30" xfId="0" applyFont="1" applyFill="1" applyBorder="1" applyAlignment="1">
      <alignment vertical="center"/>
    </xf>
    <xf numFmtId="0" fontId="16" fillId="5" borderId="30" xfId="0" applyFont="1" applyFill="1" applyBorder="1"/>
    <xf numFmtId="0" fontId="0" fillId="16" borderId="0" xfId="0" applyFill="1"/>
    <xf numFmtId="0" fontId="0" fillId="16" borderId="30" xfId="0" applyFill="1" applyBorder="1"/>
    <xf numFmtId="0" fontId="16" fillId="15" borderId="0" xfId="0" applyFont="1" applyFill="1" applyAlignment="1">
      <alignment horizontal="center" vertical="center"/>
    </xf>
    <xf numFmtId="0" fontId="16" fillId="15" borderId="30" xfId="0" applyFont="1" applyFill="1" applyBorder="1" applyAlignment="1">
      <alignment horizontal="center" vertical="center"/>
    </xf>
    <xf numFmtId="0" fontId="16" fillId="15" borderId="31" xfId="0" applyFont="1" applyFill="1" applyBorder="1" applyAlignment="1">
      <alignment horizontal="center" vertical="center"/>
    </xf>
    <xf numFmtId="0" fontId="0" fillId="7" borderId="30" xfId="0" applyFill="1" applyBorder="1"/>
    <xf numFmtId="0" fontId="0" fillId="7" borderId="0" xfId="0" applyFill="1"/>
    <xf numFmtId="0" fontId="0" fillId="7" borderId="31" xfId="0" applyFill="1" applyBorder="1"/>
    <xf numFmtId="0" fontId="0" fillId="17" borderId="0" xfId="0" applyFill="1"/>
    <xf numFmtId="0" fontId="0" fillId="18" borderId="0" xfId="0" applyFill="1"/>
    <xf numFmtId="0" fontId="56" fillId="19" borderId="0" xfId="0" applyFont="1" applyFill="1" applyProtection="1">
      <protection hidden="1"/>
    </xf>
    <xf numFmtId="0" fontId="53" fillId="0" borderId="0" xfId="0" applyFont="1"/>
    <xf numFmtId="0" fontId="53" fillId="19" borderId="0" xfId="0" applyFont="1" applyFill="1"/>
    <xf numFmtId="0" fontId="53" fillId="19" borderId="0" xfId="0" applyFont="1" applyFill="1" applyProtection="1">
      <protection hidden="1"/>
    </xf>
    <xf numFmtId="0" fontId="53" fillId="19" borderId="0" xfId="0" applyFont="1" applyFill="1" applyAlignment="1" applyProtection="1">
      <alignment horizontal="center" vertical="center"/>
      <protection locked="0" hidden="1"/>
    </xf>
    <xf numFmtId="0" fontId="54" fillId="0" borderId="0" xfId="0" applyFont="1" applyAlignment="1">
      <alignment vertical="center" wrapText="1"/>
    </xf>
    <xf numFmtId="0" fontId="36" fillId="0" borderId="0" xfId="0" applyFont="1" applyAlignment="1">
      <alignment vertical="center" wrapText="1"/>
    </xf>
    <xf numFmtId="0" fontId="68" fillId="0" borderId="0" xfId="0" applyFont="1"/>
    <xf numFmtId="0" fontId="68" fillId="0" borderId="0" xfId="0" applyFont="1" applyAlignment="1">
      <alignment horizontal="center" vertical="center"/>
    </xf>
    <xf numFmtId="0" fontId="70" fillId="0" borderId="0" xfId="0" applyFont="1" applyAlignment="1">
      <alignment vertical="center"/>
    </xf>
    <xf numFmtId="0" fontId="74" fillId="0" borderId="0" xfId="0" applyFont="1"/>
    <xf numFmtId="0" fontId="74" fillId="0" borderId="0" xfId="0" applyFont="1" applyAlignment="1">
      <alignment horizontal="center" vertical="center"/>
    </xf>
    <xf numFmtId="0" fontId="75" fillId="0" borderId="0" xfId="0" applyFont="1"/>
    <xf numFmtId="0" fontId="68" fillId="0" borderId="104" xfId="0" applyFont="1" applyBorder="1"/>
    <xf numFmtId="0" fontId="68" fillId="0" borderId="105" xfId="0" applyFont="1" applyBorder="1"/>
    <xf numFmtId="0" fontId="53" fillId="0" borderId="104" xfId="0" applyFont="1" applyBorder="1"/>
    <xf numFmtId="0" fontId="74" fillId="0" borderId="105" xfId="0" applyFont="1" applyBorder="1"/>
    <xf numFmtId="0" fontId="74" fillId="0" borderId="104" xfId="0" applyFont="1" applyBorder="1"/>
    <xf numFmtId="0" fontId="74" fillId="0" borderId="106" xfId="0" applyFont="1" applyBorder="1"/>
    <xf numFmtId="0" fontId="74" fillId="0" borderId="107" xfId="0" applyFont="1" applyBorder="1" applyAlignment="1">
      <alignment horizontal="center"/>
    </xf>
    <xf numFmtId="0" fontId="75" fillId="0" borderId="107" xfId="0" applyFont="1" applyBorder="1"/>
    <xf numFmtId="0" fontId="74" fillId="0" borderId="107" xfId="0" applyFont="1" applyBorder="1"/>
    <xf numFmtId="0" fontId="75" fillId="0" borderId="107" xfId="0" applyFont="1" applyBorder="1" applyAlignment="1">
      <alignment horizontal="center" vertical="center"/>
    </xf>
    <xf numFmtId="0" fontId="74" fillId="0" borderId="108" xfId="0" applyFont="1" applyBorder="1"/>
    <xf numFmtId="0" fontId="53" fillId="0" borderId="114" xfId="0" applyFont="1" applyBorder="1"/>
    <xf numFmtId="0" fontId="53" fillId="0" borderId="115" xfId="0" applyFont="1" applyBorder="1"/>
    <xf numFmtId="0" fontId="64" fillId="0" borderId="115" xfId="0" applyFont="1" applyBorder="1" applyAlignment="1">
      <alignment vertical="center" wrapText="1"/>
    </xf>
    <xf numFmtId="0" fontId="64" fillId="0" borderId="116" xfId="0" applyFont="1" applyBorder="1" applyAlignment="1">
      <alignment vertical="center" wrapText="1"/>
    </xf>
    <xf numFmtId="0" fontId="53" fillId="0" borderId="113" xfId="0" applyFont="1" applyBorder="1"/>
    <xf numFmtId="0" fontId="65" fillId="0" borderId="112" xfId="0" applyFont="1" applyBorder="1" applyAlignment="1" applyProtection="1">
      <alignment vertical="center"/>
      <protection locked="0"/>
    </xf>
    <xf numFmtId="0" fontId="66" fillId="0" borderId="112" xfId="0" applyFont="1" applyBorder="1" applyAlignment="1" applyProtection="1">
      <alignment vertical="center"/>
      <protection locked="0"/>
    </xf>
    <xf numFmtId="0" fontId="36" fillId="0" borderId="112" xfId="0" applyFont="1" applyBorder="1" applyAlignment="1">
      <alignment vertical="center" wrapText="1"/>
    </xf>
    <xf numFmtId="0" fontId="53" fillId="0" borderId="112" xfId="0" applyFont="1" applyBorder="1"/>
    <xf numFmtId="0" fontId="71" fillId="0" borderId="112" xfId="0" applyFont="1" applyBorder="1"/>
    <xf numFmtId="0" fontId="72" fillId="0" borderId="112" xfId="0" applyFont="1" applyBorder="1"/>
    <xf numFmtId="0" fontId="53" fillId="0" borderId="117" xfId="0" applyFont="1" applyBorder="1"/>
    <xf numFmtId="0" fontId="53" fillId="0" borderId="118" xfId="0" applyFont="1" applyBorder="1"/>
    <xf numFmtId="0" fontId="55" fillId="0" borderId="118" xfId="1" applyFont="1" applyBorder="1" applyAlignment="1">
      <alignment vertical="center"/>
    </xf>
    <xf numFmtId="0" fontId="69" fillId="0" borderId="118" xfId="1" applyFont="1" applyBorder="1" applyAlignment="1">
      <alignment vertical="center"/>
    </xf>
    <xf numFmtId="9" fontId="73" fillId="0" borderId="118" xfId="2" applyFont="1" applyFill="1" applyBorder="1" applyAlignment="1" applyProtection="1">
      <alignment horizontal="center" vertical="center"/>
    </xf>
    <xf numFmtId="0" fontId="53" fillId="0" borderId="119" xfId="0" applyFont="1" applyBorder="1"/>
    <xf numFmtId="0" fontId="59" fillId="20" borderId="98" xfId="0" applyFont="1" applyFill="1" applyBorder="1" applyAlignment="1">
      <alignment horizontal="center" vertical="center" wrapText="1"/>
    </xf>
    <xf numFmtId="0" fontId="69" fillId="0" borderId="0" xfId="0" applyFont="1" applyAlignment="1">
      <alignment horizontal="center" vertical="center"/>
    </xf>
    <xf numFmtId="0" fontId="74" fillId="0" borderId="0" xfId="0" applyFont="1" applyAlignment="1">
      <alignment horizontal="center"/>
    </xf>
    <xf numFmtId="0" fontId="75" fillId="0" borderId="0" xfId="0" applyFont="1" applyAlignment="1">
      <alignment horizontal="center" vertical="center"/>
    </xf>
    <xf numFmtId="0" fontId="74" fillId="0" borderId="0" xfId="0" applyFont="1" applyAlignment="1">
      <alignment vertical="center"/>
    </xf>
    <xf numFmtId="0" fontId="58" fillId="0" borderId="0" xfId="0" applyFont="1" applyAlignment="1">
      <alignment horizontal="center" vertical="center"/>
    </xf>
    <xf numFmtId="0" fontId="53" fillId="0" borderId="0" xfId="0" applyFont="1" applyAlignment="1">
      <alignment horizontal="center" vertical="center"/>
    </xf>
    <xf numFmtId="0" fontId="58" fillId="0" borderId="98" xfId="0" applyFont="1" applyBorder="1" applyAlignment="1">
      <alignment horizontal="center" vertical="center"/>
    </xf>
    <xf numFmtId="0" fontId="58" fillId="0" borderId="104" xfId="0" applyFont="1" applyBorder="1" applyAlignment="1">
      <alignment horizontal="center" vertical="center"/>
    </xf>
    <xf numFmtId="0" fontId="58" fillId="0" borderId="105" xfId="0" applyFont="1" applyBorder="1" applyAlignment="1">
      <alignment horizontal="center" vertical="center"/>
    </xf>
    <xf numFmtId="0" fontId="74" fillId="0" borderId="105" xfId="0" applyFont="1" applyBorder="1" applyAlignment="1">
      <alignment horizontal="center" vertical="center"/>
    </xf>
    <xf numFmtId="0" fontId="76" fillId="0" borderId="104" xfId="0" applyFont="1" applyBorder="1" applyAlignment="1">
      <alignment horizontal="center" vertical="center"/>
    </xf>
    <xf numFmtId="0" fontId="74" fillId="0" borderId="104" xfId="0" applyFont="1" applyBorder="1" applyAlignment="1">
      <alignment horizontal="center" vertical="center"/>
    </xf>
    <xf numFmtId="0" fontId="74" fillId="0" borderId="106" xfId="0" applyFont="1" applyBorder="1" applyAlignment="1">
      <alignment horizontal="center" vertical="center"/>
    </xf>
    <xf numFmtId="0" fontId="74" fillId="0" borderId="107" xfId="0" applyFont="1" applyBorder="1" applyAlignment="1">
      <alignment horizontal="center" vertical="center"/>
    </xf>
    <xf numFmtId="0" fontId="74" fillId="0" borderId="107" xfId="0" applyFont="1" applyBorder="1" applyAlignment="1">
      <alignment vertical="center"/>
    </xf>
    <xf numFmtId="0" fontId="74" fillId="0" borderId="108" xfId="0" applyFont="1" applyBorder="1" applyAlignment="1">
      <alignment horizontal="center" vertical="center"/>
    </xf>
    <xf numFmtId="0" fontId="68" fillId="0" borderId="93" xfId="0" applyFont="1" applyBorder="1"/>
    <xf numFmtId="0" fontId="53" fillId="0" borderId="94" xfId="0" applyFont="1" applyBorder="1"/>
    <xf numFmtId="0" fontId="53" fillId="0" borderId="94" xfId="0" applyFont="1" applyBorder="1" applyAlignment="1">
      <alignment horizontal="center" vertical="center"/>
    </xf>
    <xf numFmtId="0" fontId="68" fillId="0" borderId="95" xfId="0" applyFont="1" applyBorder="1"/>
    <xf numFmtId="0" fontId="74" fillId="0" borderId="96" xfId="0" applyFont="1" applyBorder="1" applyAlignment="1">
      <alignment horizontal="center" vertical="center"/>
    </xf>
    <xf numFmtId="0" fontId="75" fillId="0" borderId="96" xfId="0" applyFont="1" applyBorder="1" applyAlignment="1">
      <alignment horizontal="center" vertical="center"/>
    </xf>
    <xf numFmtId="0" fontId="53" fillId="0" borderId="97" xfId="0" applyFont="1" applyBorder="1" applyAlignment="1">
      <alignment horizontal="center" vertical="center"/>
    </xf>
    <xf numFmtId="0" fontId="59" fillId="0" borderId="98" xfId="0" applyFont="1" applyBorder="1" applyAlignment="1">
      <alignment vertical="center" wrapText="1"/>
    </xf>
    <xf numFmtId="0" fontId="78" fillId="20" borderId="98" xfId="0" applyFont="1" applyFill="1" applyBorder="1" applyAlignment="1">
      <alignment horizontal="center" vertical="center" wrapText="1"/>
    </xf>
    <xf numFmtId="0" fontId="68" fillId="0" borderId="98" xfId="0" applyFont="1" applyBorder="1" applyAlignment="1">
      <alignment horizontal="center" vertical="center"/>
    </xf>
    <xf numFmtId="0" fontId="77" fillId="20" borderId="98" xfId="0" applyFont="1" applyFill="1" applyBorder="1" applyAlignment="1">
      <alignment horizontal="center" vertical="center" wrapText="1"/>
    </xf>
    <xf numFmtId="0" fontId="79" fillId="20" borderId="98" xfId="0" applyFont="1" applyFill="1" applyBorder="1" applyAlignment="1">
      <alignment horizontal="center" vertical="center" wrapText="1"/>
    </xf>
    <xf numFmtId="0" fontId="68" fillId="0" borderId="104" xfId="0" applyFont="1" applyBorder="1" applyAlignment="1">
      <alignment horizontal="center" vertical="center"/>
    </xf>
    <xf numFmtId="0" fontId="69" fillId="0" borderId="105" xfId="0" applyFont="1" applyBorder="1" applyAlignment="1">
      <alignment horizontal="center" vertical="center"/>
    </xf>
    <xf numFmtId="0" fontId="68" fillId="0" borderId="105" xfId="0" applyFont="1" applyBorder="1" applyAlignment="1">
      <alignment horizontal="center" vertical="center"/>
    </xf>
    <xf numFmtId="0" fontId="69" fillId="0" borderId="104" xfId="0" applyFont="1" applyBorder="1" applyAlignment="1">
      <alignment horizontal="center" vertical="center"/>
    </xf>
    <xf numFmtId="0" fontId="69" fillId="0" borderId="106" xfId="0" applyFont="1" applyBorder="1" applyAlignment="1">
      <alignment horizontal="center" vertical="center"/>
    </xf>
    <xf numFmtId="0" fontId="68" fillId="0" borderId="107" xfId="0" applyFont="1" applyBorder="1" applyAlignment="1">
      <alignment vertical="center"/>
    </xf>
    <xf numFmtId="0" fontId="68" fillId="0" borderId="107" xfId="0" applyFont="1" applyBorder="1" applyAlignment="1">
      <alignment horizontal="center" vertical="center"/>
    </xf>
    <xf numFmtId="0" fontId="68" fillId="0" borderId="108" xfId="0" applyFont="1" applyBorder="1" applyAlignment="1">
      <alignment horizontal="center" vertical="center"/>
    </xf>
    <xf numFmtId="0" fontId="68" fillId="0" borderId="106" xfId="0" applyFont="1" applyBorder="1" applyAlignment="1">
      <alignment horizontal="center" vertical="center"/>
    </xf>
    <xf numFmtId="0" fontId="63" fillId="0" borderId="107" xfId="0" applyFont="1" applyBorder="1" applyAlignment="1">
      <alignment horizontal="center" vertical="center"/>
    </xf>
    <xf numFmtId="0" fontId="53" fillId="0" borderId="107" xfId="0" applyFont="1" applyBorder="1"/>
    <xf numFmtId="0" fontId="71" fillId="0" borderId="94" xfId="0" applyFont="1" applyBorder="1" applyAlignment="1">
      <alignment horizontal="center" vertical="center"/>
    </xf>
    <xf numFmtId="0" fontId="72" fillId="0" borderId="94" xfId="0" applyFont="1" applyBorder="1" applyAlignment="1">
      <alignment horizontal="center" vertical="center"/>
    </xf>
    <xf numFmtId="0" fontId="68" fillId="0" borderId="96" xfId="0" applyFont="1" applyBorder="1" applyAlignment="1">
      <alignment horizontal="center" vertical="center"/>
    </xf>
    <xf numFmtId="0" fontId="68" fillId="0" borderId="96" xfId="0" applyFont="1" applyBorder="1" applyAlignment="1">
      <alignment vertical="center"/>
    </xf>
    <xf numFmtId="0" fontId="22" fillId="0" borderId="0" xfId="0" applyFont="1"/>
    <xf numFmtId="0" fontId="58" fillId="21" borderId="120" xfId="0" applyFont="1" applyFill="1" applyBorder="1" applyAlignment="1">
      <alignment vertical="center"/>
    </xf>
    <xf numFmtId="0" fontId="58" fillId="21" borderId="121" xfId="0" applyFont="1" applyFill="1" applyBorder="1" applyAlignment="1">
      <alignment vertical="center"/>
    </xf>
    <xf numFmtId="0" fontId="58" fillId="21" borderId="122" xfId="0" applyFont="1" applyFill="1" applyBorder="1" applyAlignment="1">
      <alignment vertical="center"/>
    </xf>
    <xf numFmtId="0" fontId="82" fillId="19" borderId="0" xfId="0" applyFont="1" applyFill="1" applyAlignment="1">
      <alignment vertical="center"/>
    </xf>
    <xf numFmtId="0" fontId="53" fillId="0" borderId="0" xfId="0" applyFont="1" applyAlignment="1">
      <alignment vertical="center"/>
    </xf>
    <xf numFmtId="0" fontId="53" fillId="19" borderId="0" xfId="0" applyFont="1" applyFill="1" applyAlignment="1">
      <alignment vertical="center"/>
    </xf>
    <xf numFmtId="0" fontId="16" fillId="15" borderId="31" xfId="0" applyFont="1" applyFill="1" applyBorder="1" applyAlignment="1">
      <alignment vertical="center"/>
    </xf>
    <xf numFmtId="49" fontId="0" fillId="2" borderId="0" xfId="0" applyNumberFormat="1" applyFill="1" applyAlignment="1">
      <alignment vertical="top"/>
    </xf>
    <xf numFmtId="0" fontId="82" fillId="19" borderId="0" xfId="0" applyFont="1" applyFill="1"/>
    <xf numFmtId="0" fontId="53" fillId="0" borderId="112" xfId="0" applyFont="1" applyBorder="1" applyAlignment="1">
      <alignment vertical="center"/>
    </xf>
    <xf numFmtId="0" fontId="53" fillId="3" borderId="117" xfId="0" applyFont="1" applyFill="1" applyBorder="1" applyAlignment="1">
      <alignment vertical="center"/>
    </xf>
    <xf numFmtId="0" fontId="53" fillId="3" borderId="118" xfId="0" applyFont="1" applyFill="1" applyBorder="1" applyAlignment="1">
      <alignment vertical="center"/>
    </xf>
    <xf numFmtId="0" fontId="53" fillId="3" borderId="119" xfId="0" applyFont="1" applyFill="1" applyBorder="1" applyAlignment="1">
      <alignment vertical="center"/>
    </xf>
    <xf numFmtId="0" fontId="53" fillId="3" borderId="112" xfId="0" applyFont="1" applyFill="1" applyBorder="1" applyAlignment="1">
      <alignment vertical="center"/>
    </xf>
    <xf numFmtId="0" fontId="53" fillId="3" borderId="114" xfId="0" applyFont="1" applyFill="1" applyBorder="1" applyAlignment="1">
      <alignment vertical="center"/>
    </xf>
    <xf numFmtId="0" fontId="53" fillId="3" borderId="115" xfId="0" applyFont="1" applyFill="1" applyBorder="1" applyAlignment="1">
      <alignment vertical="center"/>
    </xf>
    <xf numFmtId="0" fontId="53" fillId="3" borderId="116" xfId="0" applyFont="1" applyFill="1" applyBorder="1" applyAlignment="1">
      <alignment vertical="center"/>
    </xf>
    <xf numFmtId="0" fontId="53" fillId="3" borderId="113" xfId="0" applyFont="1" applyFill="1" applyBorder="1" applyAlignment="1">
      <alignment vertical="center"/>
    </xf>
    <xf numFmtId="0" fontId="53" fillId="3" borderId="0" xfId="0" applyFont="1" applyFill="1" applyAlignment="1">
      <alignment vertical="center"/>
    </xf>
    <xf numFmtId="0" fontId="53" fillId="0" borderId="113" xfId="0" applyFont="1" applyBorder="1" applyAlignment="1">
      <alignment vertical="center"/>
    </xf>
    <xf numFmtId="0" fontId="53" fillId="0" borderId="93" xfId="0" applyFont="1" applyBorder="1" applyAlignment="1">
      <alignment vertical="center"/>
    </xf>
    <xf numFmtId="0" fontId="53" fillId="0" borderId="94" xfId="0" applyFont="1" applyBorder="1" applyAlignment="1">
      <alignment vertical="center"/>
    </xf>
    <xf numFmtId="0" fontId="53" fillId="0" borderId="128" xfId="0" applyFont="1" applyBorder="1" applyAlignment="1">
      <alignment vertical="center"/>
    </xf>
    <xf numFmtId="0" fontId="53" fillId="0" borderId="133" xfId="0" applyFont="1" applyBorder="1" applyAlignment="1">
      <alignment vertical="center"/>
    </xf>
    <xf numFmtId="0" fontId="53" fillId="0" borderId="125" xfId="0" applyFont="1" applyBorder="1" applyAlignment="1">
      <alignment horizontal="center" vertical="center"/>
    </xf>
    <xf numFmtId="0" fontId="53" fillId="3" borderId="95" xfId="0" applyFont="1" applyFill="1" applyBorder="1" applyAlignment="1">
      <alignment vertical="center"/>
    </xf>
    <xf numFmtId="0" fontId="53" fillId="3" borderId="96" xfId="0" applyFont="1" applyFill="1" applyBorder="1" applyAlignment="1">
      <alignment horizontal="center" vertical="center"/>
    </xf>
    <xf numFmtId="0" fontId="53" fillId="3" borderId="97" xfId="0" applyFont="1" applyFill="1" applyBorder="1" applyAlignment="1">
      <alignment vertical="center"/>
    </xf>
    <xf numFmtId="0" fontId="53" fillId="3" borderId="93" xfId="0" applyFont="1" applyFill="1" applyBorder="1" applyAlignment="1">
      <alignment vertical="center"/>
    </xf>
    <xf numFmtId="0" fontId="53" fillId="3" borderId="94" xfId="0" applyFont="1" applyFill="1" applyBorder="1" applyAlignment="1">
      <alignment vertical="center"/>
    </xf>
    <xf numFmtId="0" fontId="53" fillId="3" borderId="96" xfId="0" applyFont="1" applyFill="1" applyBorder="1" applyAlignment="1">
      <alignment vertical="center"/>
    </xf>
    <xf numFmtId="0" fontId="53" fillId="3" borderId="127" xfId="0" applyFont="1" applyFill="1" applyBorder="1" applyAlignment="1">
      <alignment vertical="center"/>
    </xf>
    <xf numFmtId="0" fontId="53" fillId="3" borderId="130" xfId="0" applyFont="1" applyFill="1" applyBorder="1" applyAlignment="1">
      <alignment vertical="center"/>
    </xf>
    <xf numFmtId="0" fontId="53" fillId="3" borderId="132" xfId="0" applyFont="1" applyFill="1" applyBorder="1" applyAlignment="1">
      <alignment vertical="center"/>
    </xf>
    <xf numFmtId="0" fontId="53" fillId="3" borderId="133" xfId="0" applyFont="1" applyFill="1" applyBorder="1" applyAlignment="1">
      <alignment vertical="center"/>
    </xf>
    <xf numFmtId="0" fontId="53" fillId="3" borderId="128" xfId="0" applyFont="1" applyFill="1" applyBorder="1" applyAlignment="1">
      <alignment vertical="center"/>
    </xf>
    <xf numFmtId="0" fontId="53" fillId="3" borderId="0" xfId="0" applyFont="1" applyFill="1" applyAlignment="1">
      <alignment horizontal="center" vertical="center"/>
    </xf>
    <xf numFmtId="0" fontId="81" fillId="3" borderId="0" xfId="0" applyFont="1" applyFill="1" applyAlignment="1">
      <alignment horizontal="center" vertical="center" wrapText="1"/>
    </xf>
    <xf numFmtId="0" fontId="56" fillId="3" borderId="0" xfId="0" applyFont="1" applyFill="1" applyAlignment="1">
      <alignment horizontal="left" vertical="center"/>
    </xf>
    <xf numFmtId="0" fontId="58" fillId="3" borderId="0" xfId="0" applyFont="1" applyFill="1" applyAlignment="1">
      <alignment horizontal="center" vertical="center" wrapText="1"/>
    </xf>
    <xf numFmtId="0" fontId="15" fillId="9" borderId="28" xfId="0" applyFont="1" applyFill="1" applyBorder="1" applyAlignment="1">
      <alignment horizontal="center" vertical="center"/>
    </xf>
    <xf numFmtId="0" fontId="16" fillId="5" borderId="0" xfId="0" applyFont="1" applyFill="1"/>
    <xf numFmtId="0" fontId="0" fillId="2" borderId="1" xfId="0" applyFill="1" applyBorder="1"/>
    <xf numFmtId="0" fontId="0" fillId="16" borderId="35" xfId="0" applyFill="1" applyBorder="1"/>
    <xf numFmtId="0" fontId="0" fillId="16" borderId="2" xfId="0" applyFill="1" applyBorder="1"/>
    <xf numFmtId="0" fontId="0" fillId="7" borderId="35" xfId="0" applyFill="1" applyBorder="1"/>
    <xf numFmtId="0" fontId="0" fillId="7" borderId="2" xfId="0" applyFill="1" applyBorder="1"/>
    <xf numFmtId="0" fontId="0" fillId="7" borderId="36" xfId="0" applyFill="1" applyBorder="1"/>
    <xf numFmtId="0" fontId="0" fillId="0" borderId="2" xfId="0" applyBorder="1"/>
    <xf numFmtId="0" fontId="15" fillId="9" borderId="2" xfId="0" applyFont="1" applyFill="1" applyBorder="1" applyAlignment="1">
      <alignment vertical="center"/>
    </xf>
    <xf numFmtId="0" fontId="0" fillId="2" borderId="3" xfId="0" applyFill="1" applyBorder="1"/>
    <xf numFmtId="0" fontId="21" fillId="5" borderId="41" xfId="0" applyFont="1" applyFill="1" applyBorder="1" applyAlignment="1">
      <alignment horizontal="center" vertical="center"/>
    </xf>
    <xf numFmtId="0" fontId="0" fillId="3" borderId="10" xfId="0" applyFill="1" applyBorder="1" applyAlignment="1">
      <alignment horizontal="center"/>
    </xf>
    <xf numFmtId="0" fontId="0" fillId="3" borderId="135" xfId="0" applyFill="1" applyBorder="1" applyAlignment="1">
      <alignment horizontal="center"/>
    </xf>
    <xf numFmtId="0" fontId="21" fillId="5" borderId="10" xfId="0" applyFont="1" applyFill="1" applyBorder="1" applyAlignment="1">
      <alignment horizontal="center" vertical="center"/>
    </xf>
    <xf numFmtId="0" fontId="16" fillId="15" borderId="30" xfId="0" applyFont="1" applyFill="1" applyBorder="1" applyAlignment="1">
      <alignment horizontal="center"/>
    </xf>
    <xf numFmtId="0" fontId="16" fillId="15" borderId="0" xfId="0" applyFont="1" applyFill="1" applyAlignment="1">
      <alignment horizontal="center"/>
    </xf>
    <xf numFmtId="0" fontId="16" fillId="15" borderId="31" xfId="0" applyFont="1" applyFill="1" applyBorder="1" applyAlignment="1">
      <alignment horizontal="center"/>
    </xf>
    <xf numFmtId="0" fontId="0" fillId="17" borderId="30" xfId="0" applyFill="1" applyBorder="1" applyAlignment="1">
      <alignment horizontal="center"/>
    </xf>
    <xf numFmtId="0" fontId="0" fillId="17" borderId="0" xfId="0" applyFill="1" applyAlignment="1">
      <alignment horizontal="center"/>
    </xf>
    <xf numFmtId="0" fontId="0" fillId="18" borderId="0" xfId="0" applyFill="1" applyAlignment="1">
      <alignment horizontal="center"/>
    </xf>
    <xf numFmtId="0" fontId="0" fillId="17" borderId="2" xfId="0" applyFill="1" applyBorder="1" applyAlignment="1">
      <alignment horizontal="center"/>
    </xf>
    <xf numFmtId="0" fontId="0" fillId="18" borderId="2" xfId="0" applyFill="1" applyBorder="1" applyAlignment="1">
      <alignment horizontal="center"/>
    </xf>
    <xf numFmtId="0" fontId="68" fillId="24" borderId="0" xfId="0" applyFont="1" applyFill="1" applyAlignment="1">
      <alignment horizontal="center" vertical="center"/>
    </xf>
    <xf numFmtId="0" fontId="89" fillId="0" borderId="0" xfId="0" applyFont="1"/>
    <xf numFmtId="0" fontId="67" fillId="3" borderId="0" xfId="0" applyFont="1" applyFill="1" applyAlignment="1">
      <alignment horizontal="center" vertical="center"/>
    </xf>
    <xf numFmtId="0" fontId="18" fillId="9" borderId="0" xfId="0" applyFont="1" applyFill="1"/>
    <xf numFmtId="0" fontId="18" fillId="9" borderId="0" xfId="0" applyFont="1" applyFill="1" applyAlignment="1">
      <alignment horizontal="center"/>
    </xf>
    <xf numFmtId="0" fontId="22" fillId="11" borderId="0" xfId="0" applyFont="1" applyFill="1"/>
    <xf numFmtId="0" fontId="18" fillId="11" borderId="0" xfId="0" applyFont="1" applyFill="1"/>
    <xf numFmtId="0" fontId="18" fillId="6" borderId="0" xfId="0" applyFont="1" applyFill="1"/>
    <xf numFmtId="0" fontId="22" fillId="3" borderId="0" xfId="0" applyFont="1" applyFill="1"/>
    <xf numFmtId="0" fontId="19" fillId="3" borderId="0" xfId="0" applyFont="1" applyFill="1" applyAlignment="1">
      <alignment horizontal="center" vertical="center"/>
    </xf>
    <xf numFmtId="0" fontId="91" fillId="3" borderId="128" xfId="0" applyFont="1" applyFill="1" applyBorder="1"/>
    <xf numFmtId="0" fontId="38" fillId="3" borderId="128" xfId="0" applyFont="1" applyFill="1" applyBorder="1" applyAlignment="1">
      <alignment vertical="center"/>
    </xf>
    <xf numFmtId="1" fontId="53" fillId="19" borderId="43" xfId="0" applyNumberFormat="1" applyFont="1" applyFill="1" applyBorder="1" applyAlignment="1">
      <alignment horizontal="center" vertical="center"/>
    </xf>
    <xf numFmtId="0" fontId="15" fillId="9" borderId="9" xfId="0" applyFont="1" applyFill="1" applyBorder="1" applyAlignment="1">
      <alignment vertical="center"/>
    </xf>
    <xf numFmtId="0" fontId="15" fillId="9" borderId="28" xfId="0" applyFont="1" applyFill="1" applyBorder="1" applyAlignment="1">
      <alignment vertical="center"/>
    </xf>
    <xf numFmtId="0" fontId="15" fillId="9" borderId="29" xfId="0" applyFont="1" applyFill="1" applyBorder="1" applyAlignment="1">
      <alignment vertical="center"/>
    </xf>
    <xf numFmtId="0" fontId="15" fillId="9" borderId="0" xfId="0" applyFont="1" applyFill="1" applyAlignment="1">
      <alignment horizontal="center" vertical="center"/>
    </xf>
    <xf numFmtId="0" fontId="0" fillId="3" borderId="0" xfId="0" applyFill="1"/>
    <xf numFmtId="0" fontId="0" fillId="0" borderId="139" xfId="0" applyBorder="1" applyAlignment="1">
      <alignment wrapText="1"/>
    </xf>
    <xf numFmtId="0" fontId="55" fillId="19" borderId="0" xfId="0" applyFont="1" applyFill="1" applyAlignment="1">
      <alignment vertical="center"/>
    </xf>
    <xf numFmtId="0" fontId="69" fillId="3" borderId="128" xfId="0" applyFont="1" applyFill="1" applyBorder="1" applyAlignment="1">
      <alignment vertical="center"/>
    </xf>
    <xf numFmtId="0" fontId="96" fillId="19" borderId="0" xfId="0" applyFont="1" applyFill="1" applyAlignment="1" applyProtection="1">
      <alignment vertical="center"/>
      <protection locked="0"/>
    </xf>
    <xf numFmtId="0" fontId="97" fillId="19" borderId="0" xfId="0" applyFont="1" applyFill="1" applyAlignment="1" applyProtection="1">
      <alignment vertical="center"/>
      <protection locked="0"/>
    </xf>
    <xf numFmtId="0" fontId="53" fillId="19" borderId="0" xfId="0" applyFont="1" applyFill="1" applyAlignment="1">
      <alignment horizontal="left" vertical="center"/>
    </xf>
    <xf numFmtId="0" fontId="53" fillId="3" borderId="113" xfId="0" applyFont="1" applyFill="1" applyBorder="1" applyAlignment="1">
      <alignment horizontal="left" vertical="center"/>
    </xf>
    <xf numFmtId="0" fontId="53" fillId="3" borderId="112" xfId="0" applyFont="1" applyFill="1" applyBorder="1" applyAlignment="1">
      <alignment horizontal="left" vertical="center"/>
    </xf>
    <xf numFmtId="0" fontId="53" fillId="3" borderId="125" xfId="0" applyFont="1" applyFill="1" applyBorder="1" applyAlignment="1">
      <alignment horizontal="center" vertical="center"/>
    </xf>
    <xf numFmtId="0" fontId="37" fillId="21" borderId="140" xfId="0" applyFont="1" applyFill="1" applyBorder="1" applyAlignment="1">
      <alignment vertical="center"/>
    </xf>
    <xf numFmtId="0" fontId="37" fillId="21" borderId="141" xfId="0" applyFont="1" applyFill="1" applyBorder="1" applyAlignment="1">
      <alignment vertical="center"/>
    </xf>
    <xf numFmtId="0" fontId="37" fillId="21" borderId="143" xfId="0" applyFont="1" applyFill="1" applyBorder="1" applyAlignment="1">
      <alignment vertical="center" wrapText="1"/>
    </xf>
    <xf numFmtId="0" fontId="37" fillId="21" borderId="146" xfId="0" applyFont="1" applyFill="1" applyBorder="1" applyAlignment="1">
      <alignment vertical="center" wrapText="1"/>
    </xf>
    <xf numFmtId="0" fontId="83" fillId="3" borderId="0" xfId="0" applyFont="1" applyFill="1" applyAlignment="1">
      <alignment vertical="center"/>
    </xf>
    <xf numFmtId="0" fontId="53" fillId="3" borderId="133" xfId="0" applyFont="1" applyFill="1" applyBorder="1" applyAlignment="1">
      <alignment horizontal="center" vertical="center"/>
    </xf>
    <xf numFmtId="1" fontId="53" fillId="0" borderId="176" xfId="0" applyNumberFormat="1" applyFont="1" applyBorder="1" applyAlignment="1">
      <alignment horizontal="center" vertical="center"/>
    </xf>
    <xf numFmtId="0" fontId="53" fillId="0" borderId="177" xfId="0" applyFont="1" applyBorder="1" applyAlignment="1">
      <alignment horizontal="center" vertical="center"/>
    </xf>
    <xf numFmtId="0" fontId="53" fillId="3" borderId="177" xfId="0" applyFont="1" applyFill="1" applyBorder="1" applyAlignment="1">
      <alignment horizontal="center" vertical="center"/>
    </xf>
    <xf numFmtId="1" fontId="53" fillId="0" borderId="175" xfId="0" applyNumberFormat="1" applyFont="1" applyBorder="1" applyAlignment="1">
      <alignment horizontal="center" vertical="center"/>
    </xf>
    <xf numFmtId="1" fontId="53" fillId="19" borderId="179" xfId="0" applyNumberFormat="1" applyFont="1" applyFill="1" applyBorder="1" applyAlignment="1">
      <alignment horizontal="center" vertical="center"/>
    </xf>
    <xf numFmtId="0" fontId="55" fillId="3" borderId="115" xfId="0" applyFont="1" applyFill="1" applyBorder="1" applyAlignment="1">
      <alignment vertical="center"/>
    </xf>
    <xf numFmtId="0" fontId="55" fillId="3" borderId="0" xfId="0" applyFont="1" applyFill="1" applyAlignment="1">
      <alignment vertical="center"/>
    </xf>
    <xf numFmtId="0" fontId="55" fillId="3" borderId="118" xfId="0" applyFont="1" applyFill="1" applyBorder="1" applyAlignment="1">
      <alignment vertical="center"/>
    </xf>
    <xf numFmtId="0" fontId="36" fillId="29" borderId="199" xfId="0" applyFont="1" applyFill="1" applyBorder="1" applyAlignment="1">
      <alignment horizontal="center" vertical="center" wrapText="1"/>
    </xf>
    <xf numFmtId="0" fontId="10" fillId="0" borderId="167" xfId="0" applyFont="1" applyBorder="1" applyAlignment="1">
      <alignment horizontal="center" vertical="center"/>
    </xf>
    <xf numFmtId="0" fontId="10" fillId="0" borderId="200" xfId="0" applyFont="1" applyBorder="1" applyAlignment="1">
      <alignment horizontal="center" vertical="center"/>
    </xf>
    <xf numFmtId="164" fontId="83" fillId="0" borderId="204" xfId="0" applyNumberFormat="1" applyFont="1" applyBorder="1" applyAlignment="1">
      <alignment horizontal="center" vertical="center"/>
    </xf>
    <xf numFmtId="0" fontId="10" fillId="0" borderId="180" xfId="0" applyFont="1" applyBorder="1" applyAlignment="1">
      <alignment horizontal="center" vertical="center"/>
    </xf>
    <xf numFmtId="0" fontId="80" fillId="0" borderId="204" xfId="0" applyFont="1" applyBorder="1" applyAlignment="1">
      <alignment horizontal="center" vertical="center"/>
    </xf>
    <xf numFmtId="0" fontId="83" fillId="0" borderId="204" xfId="0" applyFont="1" applyBorder="1" applyAlignment="1">
      <alignment horizontal="center" vertical="center"/>
    </xf>
    <xf numFmtId="164" fontId="83" fillId="0" borderId="199" xfId="0" applyNumberFormat="1" applyFont="1" applyBorder="1" applyAlignment="1">
      <alignment horizontal="center" vertical="center"/>
    </xf>
    <xf numFmtId="0" fontId="67" fillId="0" borderId="199" xfId="0" applyFont="1" applyBorder="1" applyAlignment="1">
      <alignment horizontal="center" vertical="center"/>
    </xf>
    <xf numFmtId="0" fontId="83" fillId="0" borderId="199" xfId="0" applyFont="1" applyBorder="1" applyAlignment="1">
      <alignment horizontal="center" vertical="center"/>
    </xf>
    <xf numFmtId="0" fontId="53" fillId="0" borderId="0" xfId="0" applyFont="1" applyAlignment="1">
      <alignment horizontal="left" vertical="center"/>
    </xf>
    <xf numFmtId="0" fontId="16" fillId="5" borderId="23" xfId="0" applyFont="1" applyFill="1" applyBorder="1" applyAlignment="1">
      <alignment vertical="center"/>
    </xf>
    <xf numFmtId="0" fontId="16" fillId="5" borderId="48" xfId="0" applyFont="1" applyFill="1" applyBorder="1" applyAlignment="1">
      <alignment vertical="center"/>
    </xf>
    <xf numFmtId="0" fontId="16" fillId="5" borderId="25" xfId="0" applyFont="1" applyFill="1" applyBorder="1" applyAlignment="1">
      <alignment vertical="center"/>
    </xf>
    <xf numFmtId="0" fontId="106" fillId="0" borderId="0" xfId="0" applyFont="1" applyAlignment="1">
      <alignment horizontal="center" vertical="center"/>
    </xf>
    <xf numFmtId="0" fontId="0" fillId="5" borderId="0" xfId="0" applyFill="1"/>
    <xf numFmtId="0" fontId="0" fillId="11" borderId="0" xfId="0" applyFill="1"/>
    <xf numFmtId="0" fontId="42" fillId="9" borderId="9" xfId="0" applyFont="1" applyFill="1" applyBorder="1" applyAlignment="1">
      <alignment vertical="center"/>
    </xf>
    <xf numFmtId="0" fontId="43" fillId="9" borderId="28" xfId="0" applyFont="1" applyFill="1" applyBorder="1" applyAlignment="1">
      <alignment vertical="center"/>
    </xf>
    <xf numFmtId="0" fontId="43" fillId="9" borderId="28" xfId="0" applyFont="1" applyFill="1" applyBorder="1" applyAlignment="1">
      <alignment horizontal="center" vertical="center"/>
    </xf>
    <xf numFmtId="0" fontId="43" fillId="9" borderId="29" xfId="0" applyFont="1" applyFill="1" applyBorder="1" applyAlignment="1">
      <alignment horizontal="center" vertical="center"/>
    </xf>
    <xf numFmtId="0" fontId="44" fillId="9" borderId="221" xfId="0" applyFont="1" applyFill="1" applyBorder="1" applyAlignment="1">
      <alignment horizontal="center" vertical="center" wrapText="1"/>
    </xf>
    <xf numFmtId="0" fontId="44" fillId="9" borderId="222" xfId="0" applyFont="1" applyFill="1" applyBorder="1" applyAlignment="1">
      <alignment horizontal="center" vertical="center" wrapText="1"/>
    </xf>
    <xf numFmtId="0" fontId="0" fillId="11" borderId="220" xfId="0" applyFill="1" applyBorder="1" applyAlignment="1">
      <alignment horizontal="center" vertical="top" wrapText="1"/>
    </xf>
    <xf numFmtId="0" fontId="0" fillId="11" borderId="226" xfId="0" applyFill="1" applyBorder="1" applyAlignment="1">
      <alignment vertical="top" wrapText="1"/>
    </xf>
    <xf numFmtId="0" fontId="0" fillId="11" borderId="227" xfId="0" applyFill="1" applyBorder="1" applyAlignment="1">
      <alignment horizontal="center" vertical="top" wrapText="1"/>
    </xf>
    <xf numFmtId="0" fontId="0" fillId="11" borderId="229" xfId="0" applyFill="1" applyBorder="1" applyAlignment="1">
      <alignment horizontal="center" vertical="top" wrapText="1"/>
    </xf>
    <xf numFmtId="0" fontId="16" fillId="0" borderId="57" xfId="0" applyFont="1" applyBorder="1" applyAlignment="1">
      <alignment horizontal="center" vertical="center" wrapText="1"/>
    </xf>
    <xf numFmtId="0" fontId="0" fillId="0" borderId="58" xfId="0" applyBorder="1" applyAlignment="1">
      <alignment vertical="top" wrapText="1"/>
    </xf>
    <xf numFmtId="0" fontId="0" fillId="0" borderId="59" xfId="0" applyBorder="1" applyAlignment="1">
      <alignment vertical="top" wrapText="1"/>
    </xf>
    <xf numFmtId="0" fontId="0" fillId="0" borderId="59" xfId="0" applyBorder="1" applyAlignment="1">
      <alignment horizontal="center" vertical="top" wrapText="1"/>
    </xf>
    <xf numFmtId="0" fontId="0" fillId="0" borderId="60" xfId="0" applyBorder="1" applyAlignment="1">
      <alignment horizontal="center" vertical="top" wrapText="1"/>
    </xf>
    <xf numFmtId="0" fontId="0" fillId="0" borderId="61" xfId="0" applyBorder="1" applyAlignment="1">
      <alignment vertical="top" wrapText="1"/>
    </xf>
    <xf numFmtId="0" fontId="0" fillId="0" borderId="223" xfId="0" applyBorder="1" applyAlignment="1">
      <alignment horizontal="center" vertical="top" wrapText="1"/>
    </xf>
    <xf numFmtId="0" fontId="0" fillId="0" borderId="224" xfId="0" applyBorder="1" applyAlignment="1">
      <alignment vertical="top" wrapText="1"/>
    </xf>
    <xf numFmtId="0" fontId="0" fillId="0" borderId="225" xfId="0" applyBorder="1" applyAlignment="1">
      <alignment horizontal="center" vertical="top" wrapText="1"/>
    </xf>
    <xf numFmtId="0" fontId="16" fillId="0" borderId="68" xfId="0" applyFont="1" applyBorder="1" applyAlignment="1">
      <alignment horizontal="center" vertical="center" wrapText="1"/>
    </xf>
    <xf numFmtId="0" fontId="0" fillId="0" borderId="69" xfId="0" applyBorder="1" applyAlignment="1">
      <alignment vertical="top" wrapText="1"/>
    </xf>
    <xf numFmtId="0" fontId="0" fillId="0" borderId="70" xfId="0" applyBorder="1" applyAlignment="1">
      <alignment vertical="top" wrapText="1"/>
    </xf>
    <xf numFmtId="0" fontId="0" fillId="0" borderId="70" xfId="0" applyBorder="1" applyAlignment="1">
      <alignment horizontal="center" vertical="top" wrapText="1"/>
    </xf>
    <xf numFmtId="0" fontId="0" fillId="0" borderId="71" xfId="0" applyBorder="1" applyAlignment="1">
      <alignment horizontal="center" vertical="top" wrapText="1"/>
    </xf>
    <xf numFmtId="0" fontId="0" fillId="0" borderId="72" xfId="0" applyBorder="1" applyAlignment="1">
      <alignment vertical="top" wrapText="1"/>
    </xf>
    <xf numFmtId="0" fontId="46" fillId="0" borderId="69" xfId="0" applyFont="1" applyBorder="1" applyAlignment="1">
      <alignment vertical="top" wrapText="1"/>
    </xf>
    <xf numFmtId="0" fontId="46" fillId="0" borderId="70" xfId="0" applyFont="1" applyBorder="1" applyAlignment="1">
      <alignment vertical="top" wrapText="1"/>
    </xf>
    <xf numFmtId="0" fontId="46" fillId="0" borderId="70" xfId="0" applyFont="1" applyBorder="1" applyAlignment="1">
      <alignment horizontal="center" vertical="top" wrapText="1"/>
    </xf>
    <xf numFmtId="0" fontId="0" fillId="0" borderId="63" xfId="0" applyBorder="1" applyAlignment="1">
      <alignment vertical="top" wrapText="1"/>
    </xf>
    <xf numFmtId="0" fontId="40" fillId="0" borderId="70" xfId="0" applyFont="1" applyBorder="1" applyAlignment="1">
      <alignment vertical="top" wrapText="1"/>
    </xf>
    <xf numFmtId="0" fontId="0" fillId="0" borderId="228" xfId="0" applyBorder="1" applyAlignment="1">
      <alignment horizontal="center" vertical="top" wrapText="1"/>
    </xf>
    <xf numFmtId="0" fontId="0" fillId="0" borderId="226" xfId="0" applyBorder="1" applyAlignment="1">
      <alignment vertical="top" wrapText="1"/>
    </xf>
    <xf numFmtId="0" fontId="0" fillId="0" borderId="64" xfId="0" applyBorder="1" applyAlignment="1">
      <alignment vertical="top" wrapText="1"/>
    </xf>
    <xf numFmtId="0" fontId="0" fillId="0" borderId="64" xfId="0" applyBorder="1" applyAlignment="1">
      <alignment horizontal="center" vertical="top" wrapText="1"/>
    </xf>
    <xf numFmtId="0" fontId="0" fillId="0" borderId="227" xfId="0" applyBorder="1" applyAlignment="1">
      <alignment horizontal="center" vertical="top" wrapText="1"/>
    </xf>
    <xf numFmtId="0" fontId="16" fillId="0" borderId="62" xfId="0" applyFont="1" applyBorder="1" applyAlignment="1">
      <alignment horizontal="center" vertical="center" wrapText="1"/>
    </xf>
    <xf numFmtId="0" fontId="46" fillId="0" borderId="63" xfId="0" applyFont="1" applyBorder="1" applyAlignment="1">
      <alignment vertical="top" wrapText="1"/>
    </xf>
    <xf numFmtId="0" fontId="46" fillId="0" borderId="64" xfId="0" applyFont="1" applyBorder="1" applyAlignment="1">
      <alignment vertical="top" wrapText="1"/>
    </xf>
    <xf numFmtId="0" fontId="46" fillId="0" borderId="64" xfId="0" applyFont="1" applyBorder="1" applyAlignment="1">
      <alignment horizontal="center" vertical="top" wrapText="1"/>
    </xf>
    <xf numFmtId="0" fontId="46" fillId="0" borderId="65" xfId="0" applyFont="1" applyBorder="1" applyAlignment="1">
      <alignment horizontal="center" vertical="top" wrapText="1"/>
    </xf>
    <xf numFmtId="0" fontId="0" fillId="0" borderId="66" xfId="0" applyBorder="1" applyAlignment="1">
      <alignment vertical="top" wrapText="1"/>
    </xf>
    <xf numFmtId="0" fontId="0" fillId="0" borderId="65" xfId="0" applyBorder="1" applyAlignment="1">
      <alignment horizontal="center" vertical="top" wrapText="1"/>
    </xf>
    <xf numFmtId="0" fontId="40" fillId="0" borderId="64" xfId="0" applyFont="1" applyBorder="1" applyAlignment="1">
      <alignment vertical="top" wrapText="1"/>
    </xf>
    <xf numFmtId="0" fontId="0" fillId="0" borderId="220" xfId="0" applyBorder="1" applyAlignment="1">
      <alignment horizontal="center" vertical="top" wrapText="1"/>
    </xf>
    <xf numFmtId="0" fontId="22" fillId="0" borderId="64" xfId="0" applyFont="1" applyBorder="1" applyAlignment="1">
      <alignment vertical="top" wrapText="1"/>
    </xf>
    <xf numFmtId="0" fontId="106" fillId="0" borderId="0" xfId="0" applyFont="1" applyAlignment="1">
      <alignment vertical="center"/>
    </xf>
    <xf numFmtId="0" fontId="22" fillId="0" borderId="45" xfId="0" applyFont="1" applyBorder="1" applyAlignment="1">
      <alignment horizontal="center"/>
    </xf>
    <xf numFmtId="0" fontId="22" fillId="0" borderId="46" xfId="0" applyFont="1" applyBorder="1" applyAlignment="1">
      <alignment horizontal="left"/>
    </xf>
    <xf numFmtId="0" fontId="0" fillId="0" borderId="46" xfId="0" applyBorder="1"/>
    <xf numFmtId="0" fontId="22" fillId="2" borderId="45" xfId="0" applyFont="1" applyFill="1" applyBorder="1" applyAlignment="1">
      <alignment horizontal="center"/>
    </xf>
    <xf numFmtId="0" fontId="22" fillId="2" borderId="46" xfId="0" applyFont="1" applyFill="1" applyBorder="1" applyAlignment="1">
      <alignment horizontal="left"/>
    </xf>
    <xf numFmtId="0" fontId="0" fillId="0" borderId="46" xfId="0" applyBorder="1" applyAlignment="1">
      <alignment horizontal="left"/>
    </xf>
    <xf numFmtId="0" fontId="22" fillId="0" borderId="16" xfId="0" applyFont="1" applyBorder="1" applyAlignment="1">
      <alignment horizontal="center"/>
    </xf>
    <xf numFmtId="0" fontId="22" fillId="0" borderId="42" xfId="0" applyFont="1" applyBorder="1" applyAlignment="1">
      <alignment horizontal="left"/>
    </xf>
    <xf numFmtId="0" fontId="0" fillId="33" borderId="0" xfId="0" applyFill="1"/>
    <xf numFmtId="0" fontId="0" fillId="33" borderId="0" xfId="0" applyFill="1" applyAlignment="1">
      <alignment horizontal="center"/>
    </xf>
    <xf numFmtId="0" fontId="0" fillId="32" borderId="0" xfId="0" applyFill="1"/>
    <xf numFmtId="0" fontId="0" fillId="32" borderId="0" xfId="0" applyFill="1" applyAlignment="1">
      <alignment horizontal="center"/>
    </xf>
    <xf numFmtId="0" fontId="10" fillId="0" borderId="232" xfId="0" applyFont="1" applyBorder="1" applyAlignment="1">
      <alignment horizontal="center" vertical="center"/>
    </xf>
    <xf numFmtId="164" fontId="10" fillId="0" borderId="170" xfId="0" applyNumberFormat="1" applyFont="1" applyBorder="1" applyAlignment="1">
      <alignment horizontal="center" vertical="center"/>
    </xf>
    <xf numFmtId="0" fontId="10" fillId="0" borderId="170" xfId="0" applyFont="1" applyBorder="1" applyAlignment="1">
      <alignment horizontal="center" vertical="center"/>
    </xf>
    <xf numFmtId="0" fontId="91" fillId="0" borderId="233" xfId="0" applyFont="1" applyBorder="1" applyAlignment="1">
      <alignment horizontal="center" vertical="center" wrapText="1"/>
    </xf>
    <xf numFmtId="0" fontId="91" fillId="0" borderId="234" xfId="0" applyFont="1" applyBorder="1" applyAlignment="1">
      <alignment horizontal="center" vertical="center" wrapText="1"/>
    </xf>
    <xf numFmtId="164" fontId="67" fillId="27" borderId="235" xfId="0" applyNumberFormat="1" applyFont="1" applyFill="1" applyBorder="1" applyAlignment="1">
      <alignment horizontal="center" vertical="center"/>
    </xf>
    <xf numFmtId="1" fontId="53" fillId="19" borderId="266" xfId="0" applyNumberFormat="1" applyFont="1" applyFill="1" applyBorder="1" applyAlignment="1">
      <alignment horizontal="center" vertical="center"/>
    </xf>
    <xf numFmtId="1" fontId="53" fillId="19" borderId="268" xfId="0" applyNumberFormat="1" applyFont="1" applyFill="1" applyBorder="1" applyAlignment="1">
      <alignment horizontal="center" vertical="center"/>
    </xf>
    <xf numFmtId="0" fontId="53" fillId="0" borderId="271" xfId="0" applyFont="1" applyBorder="1" applyAlignment="1">
      <alignment horizontal="center" vertical="center"/>
    </xf>
    <xf numFmtId="0" fontId="53" fillId="3" borderId="271" xfId="0" applyFont="1" applyFill="1" applyBorder="1" applyAlignment="1">
      <alignment horizontal="center" vertical="center"/>
    </xf>
    <xf numFmtId="1" fontId="53" fillId="0" borderId="273" xfId="0" applyNumberFormat="1" applyFont="1" applyBorder="1" applyAlignment="1">
      <alignment horizontal="center" vertical="center"/>
    </xf>
    <xf numFmtId="1" fontId="53" fillId="19" borderId="270" xfId="0" applyNumberFormat="1" applyFont="1" applyFill="1" applyBorder="1" applyAlignment="1">
      <alignment horizontal="center" vertical="center"/>
    </xf>
    <xf numFmtId="1" fontId="53" fillId="19" borderId="274" xfId="0" applyNumberFormat="1" applyFont="1" applyFill="1" applyBorder="1" applyAlignment="1">
      <alignment horizontal="center" vertical="center"/>
    </xf>
    <xf numFmtId="0" fontId="53" fillId="20" borderId="276" xfId="0" applyFont="1" applyFill="1" applyBorder="1" applyAlignment="1">
      <alignment horizontal="center" vertical="center"/>
    </xf>
    <xf numFmtId="0" fontId="53" fillId="20" borderId="278" xfId="0" applyFont="1" applyFill="1" applyBorder="1" applyAlignment="1">
      <alignment horizontal="center" vertical="center"/>
    </xf>
    <xf numFmtId="0" fontId="53" fillId="20" borderId="281" xfId="0" applyFont="1" applyFill="1" applyBorder="1" applyAlignment="1">
      <alignment horizontal="center" vertical="center"/>
    </xf>
    <xf numFmtId="0" fontId="91" fillId="0" borderId="283" xfId="0" applyFont="1" applyBorder="1" applyAlignment="1">
      <alignment horizontal="center" vertical="center" wrapText="1"/>
    </xf>
    <xf numFmtId="164" fontId="83" fillId="0" borderId="285" xfId="0" applyNumberFormat="1" applyFont="1" applyBorder="1" applyAlignment="1">
      <alignment horizontal="center" vertical="center"/>
    </xf>
    <xf numFmtId="164" fontId="83" fillId="0" borderId="286" xfId="0" applyNumberFormat="1" applyFont="1" applyBorder="1" applyAlignment="1">
      <alignment horizontal="center" vertical="center"/>
    </xf>
    <xf numFmtId="0" fontId="91" fillId="0" borderId="324" xfId="0" applyFont="1" applyBorder="1" applyAlignment="1">
      <alignment horizontal="center" vertical="center" wrapText="1"/>
    </xf>
    <xf numFmtId="164" fontId="67" fillId="27" borderId="325" xfId="0" applyNumberFormat="1" applyFont="1" applyFill="1" applyBorder="1" applyAlignment="1">
      <alignment horizontal="center" vertical="center"/>
    </xf>
    <xf numFmtId="1" fontId="53" fillId="19" borderId="307" xfId="0" applyNumberFormat="1" applyFont="1" applyFill="1" applyBorder="1" applyAlignment="1">
      <alignment horizontal="center" vertical="center"/>
    </xf>
    <xf numFmtId="0" fontId="53" fillId="0" borderId="334" xfId="0" applyFont="1" applyBorder="1" applyAlignment="1">
      <alignment horizontal="center" vertical="center"/>
    </xf>
    <xf numFmtId="0" fontId="53" fillId="3" borderId="334" xfId="0" applyFont="1" applyFill="1" applyBorder="1" applyAlignment="1">
      <alignment horizontal="center" vertical="center"/>
    </xf>
    <xf numFmtId="1" fontId="53" fillId="0" borderId="325" xfId="0" applyNumberFormat="1" applyFont="1" applyBorder="1" applyAlignment="1">
      <alignment horizontal="center" vertical="center"/>
    </xf>
    <xf numFmtId="1" fontId="53" fillId="19" borderId="336" xfId="0" applyNumberFormat="1" applyFont="1" applyFill="1" applyBorder="1" applyAlignment="1">
      <alignment horizontal="center" vertical="center"/>
    </xf>
    <xf numFmtId="1" fontId="53" fillId="19" borderId="132" xfId="0" applyNumberFormat="1" applyFont="1" applyFill="1" applyBorder="1" applyAlignment="1">
      <alignment horizontal="center" vertical="center"/>
    </xf>
    <xf numFmtId="0" fontId="53" fillId="20" borderId="338" xfId="0" applyFont="1" applyFill="1" applyBorder="1" applyAlignment="1">
      <alignment horizontal="center" vertical="center"/>
    </xf>
    <xf numFmtId="0" fontId="53" fillId="20" borderId="340" xfId="0" applyFont="1" applyFill="1" applyBorder="1" applyAlignment="1">
      <alignment horizontal="center" vertical="center"/>
    </xf>
    <xf numFmtId="0" fontId="53" fillId="20" borderId="343" xfId="0" applyFont="1" applyFill="1" applyBorder="1" applyAlignment="1">
      <alignment horizontal="center" vertical="center"/>
    </xf>
    <xf numFmtId="0" fontId="53" fillId="3" borderId="344" xfId="0" applyFont="1" applyFill="1" applyBorder="1" applyAlignment="1">
      <alignment vertical="center"/>
    </xf>
    <xf numFmtId="0" fontId="53" fillId="3" borderId="345" xfId="0" applyFont="1" applyFill="1" applyBorder="1" applyAlignment="1">
      <alignment vertical="center"/>
    </xf>
    <xf numFmtId="0" fontId="53" fillId="3" borderId="346" xfId="0" applyFont="1" applyFill="1" applyBorder="1" applyAlignment="1">
      <alignment vertical="center"/>
    </xf>
    <xf numFmtId="0" fontId="53" fillId="0" borderId="345" xfId="0" applyFont="1" applyBorder="1" applyAlignment="1">
      <alignment vertical="center"/>
    </xf>
    <xf numFmtId="0" fontId="61" fillId="3" borderId="0" xfId="0" applyFont="1" applyFill="1" applyAlignment="1">
      <alignment vertical="center"/>
    </xf>
    <xf numFmtId="0" fontId="56" fillId="3" borderId="0" xfId="0" applyFont="1" applyFill="1" applyAlignment="1">
      <alignment horizontal="left" vertical="top" wrapText="1"/>
    </xf>
    <xf numFmtId="0" fontId="53" fillId="3" borderId="347" xfId="0" applyFont="1" applyFill="1" applyBorder="1" applyAlignment="1">
      <alignment vertical="center"/>
    </xf>
    <xf numFmtId="0" fontId="53" fillId="3" borderId="348" xfId="0" applyFont="1" applyFill="1" applyBorder="1" applyAlignment="1">
      <alignment vertical="center"/>
    </xf>
    <xf numFmtId="0" fontId="53" fillId="3" borderId="349" xfId="0" applyFont="1" applyFill="1" applyBorder="1" applyAlignment="1">
      <alignment vertical="center"/>
    </xf>
    <xf numFmtId="0" fontId="53" fillId="3" borderId="345" xfId="0" applyFont="1" applyFill="1" applyBorder="1" applyAlignment="1">
      <alignment horizontal="left" vertical="center"/>
    </xf>
    <xf numFmtId="0" fontId="53" fillId="3" borderId="346" xfId="0" applyFont="1" applyFill="1" applyBorder="1" applyAlignment="1">
      <alignment horizontal="left" vertical="center"/>
    </xf>
    <xf numFmtId="0" fontId="56" fillId="30" borderId="353" xfId="0" applyFont="1" applyFill="1" applyBorder="1" applyAlignment="1">
      <alignment horizontal="center" vertical="center"/>
    </xf>
    <xf numFmtId="0" fontId="91" fillId="0" borderId="356" xfId="0" applyFont="1" applyBorder="1" applyAlignment="1" applyProtection="1">
      <alignment horizontal="center" vertical="center" wrapText="1"/>
      <protection locked="0"/>
    </xf>
    <xf numFmtId="0" fontId="56" fillId="30" borderId="359" xfId="0" applyFont="1" applyFill="1" applyBorder="1" applyAlignment="1">
      <alignment horizontal="center" vertical="center"/>
    </xf>
    <xf numFmtId="0" fontId="91" fillId="0" borderId="360" xfId="0" applyFont="1" applyBorder="1" applyAlignment="1" applyProtection="1">
      <alignment horizontal="center" vertical="center" wrapText="1"/>
      <protection locked="0"/>
    </xf>
    <xf numFmtId="0" fontId="56" fillId="30" borderId="362" xfId="0" applyFont="1" applyFill="1" applyBorder="1" applyAlignment="1">
      <alignment horizontal="center" vertical="center"/>
    </xf>
    <xf numFmtId="0" fontId="91" fillId="0" borderId="363" xfId="0" applyFont="1" applyBorder="1" applyAlignment="1" applyProtection="1">
      <alignment horizontal="center" vertical="center" wrapText="1"/>
      <protection locked="0"/>
    </xf>
    <xf numFmtId="0" fontId="56" fillId="30" borderId="365" xfId="0" applyFont="1" applyFill="1" applyBorder="1" applyAlignment="1">
      <alignment horizontal="center" vertical="center"/>
    </xf>
    <xf numFmtId="0" fontId="91" fillId="0" borderId="366" xfId="0" applyFont="1" applyBorder="1" applyAlignment="1" applyProtection="1">
      <alignment horizontal="center" vertical="center" wrapText="1"/>
      <protection locked="0"/>
    </xf>
    <xf numFmtId="0" fontId="60" fillId="30" borderId="368" xfId="0" applyFont="1" applyFill="1" applyBorder="1" applyAlignment="1">
      <alignment horizontal="center" vertical="center"/>
    </xf>
    <xf numFmtId="0" fontId="91" fillId="0" borderId="369" xfId="0" applyFont="1" applyBorder="1" applyAlignment="1" applyProtection="1">
      <alignment horizontal="center" vertical="center" wrapText="1"/>
      <protection locked="0"/>
    </xf>
    <xf numFmtId="9" fontId="22" fillId="31" borderId="371" xfId="1" applyNumberFormat="1" applyFill="1" applyBorder="1" applyAlignment="1" applyProtection="1">
      <alignment horizontal="center" vertical="center"/>
      <protection hidden="1"/>
    </xf>
    <xf numFmtId="9" fontId="22" fillId="31" borderId="372" xfId="1" applyNumberFormat="1" applyFill="1" applyBorder="1" applyAlignment="1" applyProtection="1">
      <alignment horizontal="center" vertical="center"/>
      <protection hidden="1"/>
    </xf>
    <xf numFmtId="9" fontId="22" fillId="31" borderId="373" xfId="1" applyNumberFormat="1" applyFill="1" applyBorder="1" applyAlignment="1" applyProtection="1">
      <alignment horizontal="center" vertical="center"/>
      <protection hidden="1"/>
    </xf>
    <xf numFmtId="9" fontId="22" fillId="31" borderId="374" xfId="1" applyNumberFormat="1" applyFill="1" applyBorder="1" applyAlignment="1" applyProtection="1">
      <alignment horizontal="center" vertical="center"/>
      <protection hidden="1"/>
    </xf>
    <xf numFmtId="0" fontId="22" fillId="31" borderId="43" xfId="1" applyFill="1" applyBorder="1" applyAlignment="1" applyProtection="1">
      <alignment horizontal="center" vertical="center"/>
      <protection hidden="1"/>
    </xf>
    <xf numFmtId="0" fontId="22" fillId="31" borderId="43" xfId="1" applyFill="1" applyBorder="1" applyAlignment="1" applyProtection="1">
      <alignment vertical="center"/>
      <protection hidden="1"/>
    </xf>
    <xf numFmtId="0" fontId="22" fillId="31" borderId="375" xfId="1" applyFill="1" applyBorder="1" applyAlignment="1" applyProtection="1">
      <alignment horizontal="center" vertical="center"/>
      <protection hidden="1"/>
    </xf>
    <xf numFmtId="0" fontId="22" fillId="31" borderId="376" xfId="1" applyFill="1" applyBorder="1" applyAlignment="1" applyProtection="1">
      <alignment horizontal="center" vertical="center"/>
      <protection hidden="1"/>
    </xf>
    <xf numFmtId="0" fontId="22" fillId="31" borderId="357" xfId="1" applyFill="1" applyBorder="1" applyAlignment="1" applyProtection="1">
      <alignment horizontal="center" vertical="center"/>
      <protection hidden="1"/>
    </xf>
    <xf numFmtId="0" fontId="22" fillId="31" borderId="358" xfId="1" applyFill="1" applyBorder="1" applyAlignment="1" applyProtection="1">
      <alignment horizontal="center" vertical="center"/>
      <protection hidden="1"/>
    </xf>
    <xf numFmtId="0" fontId="25" fillId="31" borderId="358" xfId="1" applyFont="1" applyFill="1" applyBorder="1" applyAlignment="1" applyProtection="1">
      <alignment horizontal="center" vertical="center"/>
      <protection hidden="1"/>
    </xf>
    <xf numFmtId="0" fontId="33" fillId="31" borderId="357" xfId="1" applyFont="1" applyFill="1" applyBorder="1" applyAlignment="1" applyProtection="1">
      <alignment horizontal="center" vertical="center"/>
      <protection hidden="1"/>
    </xf>
    <xf numFmtId="0" fontId="33" fillId="31" borderId="358" xfId="1" applyFont="1" applyFill="1" applyBorder="1" applyAlignment="1" applyProtection="1">
      <alignment horizontal="center" vertical="center"/>
      <protection hidden="1"/>
    </xf>
    <xf numFmtId="0" fontId="22" fillId="31" borderId="358" xfId="1" applyFill="1" applyBorder="1" applyAlignment="1" applyProtection="1">
      <alignment horizontal="center" vertical="center" wrapText="1"/>
      <protection hidden="1"/>
    </xf>
    <xf numFmtId="0" fontId="22" fillId="31" borderId="377" xfId="1" applyFill="1" applyBorder="1" applyAlignment="1" applyProtection="1">
      <alignment horizontal="center" vertical="center"/>
      <protection hidden="1"/>
    </xf>
    <xf numFmtId="0" fontId="22" fillId="31" borderId="378" xfId="1" applyFill="1" applyBorder="1" applyAlignment="1" applyProtection="1">
      <alignment horizontal="center" vertical="center"/>
      <protection hidden="1"/>
    </xf>
    <xf numFmtId="0" fontId="22" fillId="31" borderId="378" xfId="1" applyFill="1" applyBorder="1" applyAlignment="1" applyProtection="1">
      <alignment horizontal="center" vertical="center" wrapText="1"/>
      <protection hidden="1"/>
    </xf>
    <xf numFmtId="0" fontId="25" fillId="31" borderId="378" xfId="1" applyFont="1" applyFill="1" applyBorder="1" applyAlignment="1" applyProtection="1">
      <alignment horizontal="center" vertical="center"/>
      <protection hidden="1"/>
    </xf>
    <xf numFmtId="0" fontId="22" fillId="31" borderId="379" xfId="1" applyFill="1" applyBorder="1" applyAlignment="1" applyProtection="1">
      <alignment horizontal="center" vertical="center"/>
      <protection hidden="1"/>
    </xf>
    <xf numFmtId="0" fontId="22" fillId="31" borderId="380" xfId="1" applyFill="1" applyBorder="1" applyAlignment="1" applyProtection="1">
      <alignment horizontal="center" vertical="center"/>
      <protection hidden="1"/>
    </xf>
    <xf numFmtId="0" fontId="22" fillId="31" borderId="380" xfId="1" applyFill="1" applyBorder="1" applyAlignment="1" applyProtection="1">
      <alignment horizontal="center" vertical="center" wrapText="1"/>
      <protection hidden="1"/>
    </xf>
    <xf numFmtId="0" fontId="22" fillId="31" borderId="179" xfId="1" applyFill="1" applyBorder="1" applyAlignment="1" applyProtection="1">
      <alignment horizontal="center" vertical="center"/>
      <protection hidden="1"/>
    </xf>
    <xf numFmtId="9" fontId="22" fillId="31" borderId="382" xfId="1" applyNumberFormat="1" applyFill="1" applyBorder="1" applyAlignment="1" applyProtection="1">
      <alignment horizontal="center" vertical="center"/>
      <protection hidden="1"/>
    </xf>
    <xf numFmtId="0" fontId="22" fillId="31" borderId="382" xfId="1" applyFill="1" applyBorder="1" applyAlignment="1" applyProtection="1">
      <alignment vertical="center"/>
      <protection hidden="1"/>
    </xf>
    <xf numFmtId="9" fontId="22" fillId="31" borderId="383" xfId="1" applyNumberFormat="1" applyFill="1" applyBorder="1" applyAlignment="1" applyProtection="1">
      <alignment horizontal="center" vertical="center"/>
      <protection hidden="1"/>
    </xf>
    <xf numFmtId="9" fontId="22" fillId="31" borderId="384" xfId="1" applyNumberFormat="1" applyFill="1" applyBorder="1" applyAlignment="1" applyProtection="1">
      <alignment horizontal="center" vertical="center"/>
      <protection hidden="1"/>
    </xf>
    <xf numFmtId="0" fontId="22" fillId="31" borderId="385" xfId="1" applyFill="1" applyBorder="1" applyAlignment="1" applyProtection="1">
      <alignment horizontal="center" vertical="center"/>
      <protection hidden="1"/>
    </xf>
    <xf numFmtId="0" fontId="22" fillId="31" borderId="386" xfId="1" applyFill="1" applyBorder="1" applyAlignment="1" applyProtection="1">
      <alignment horizontal="center" vertical="center"/>
      <protection hidden="1"/>
    </xf>
    <xf numFmtId="0" fontId="25" fillId="31" borderId="386" xfId="1" applyFont="1" applyFill="1" applyBorder="1" applyAlignment="1" applyProtection="1">
      <alignment horizontal="center" vertical="center"/>
      <protection hidden="1"/>
    </xf>
    <xf numFmtId="9" fontId="22" fillId="31" borderId="387" xfId="1" applyNumberFormat="1" applyFill="1" applyBorder="1" applyAlignment="1" applyProtection="1">
      <alignment horizontal="center" vertical="center"/>
      <protection hidden="1"/>
    </xf>
    <xf numFmtId="0" fontId="25" fillId="20" borderId="368" xfId="1" applyFont="1" applyFill="1" applyBorder="1" applyAlignment="1" applyProtection="1">
      <alignment horizontal="center" vertical="center" wrapText="1"/>
      <protection hidden="1"/>
    </xf>
    <xf numFmtId="0" fontId="25" fillId="20" borderId="369" xfId="1" applyFont="1" applyFill="1" applyBorder="1" applyAlignment="1" applyProtection="1">
      <alignment horizontal="center" vertical="center" wrapText="1"/>
      <protection hidden="1"/>
    </xf>
    <xf numFmtId="0" fontId="25" fillId="20" borderId="388" xfId="1" applyFont="1" applyFill="1" applyBorder="1" applyAlignment="1" applyProtection="1">
      <alignment horizontal="center" vertical="center" wrapText="1"/>
      <protection hidden="1"/>
    </xf>
    <xf numFmtId="0" fontId="25" fillId="20" borderId="381" xfId="1" applyFont="1" applyFill="1" applyBorder="1" applyAlignment="1" applyProtection="1">
      <alignment horizontal="center" vertical="center" wrapText="1"/>
      <protection hidden="1"/>
    </xf>
    <xf numFmtId="0" fontId="25" fillId="20" borderId="389" xfId="1" applyFont="1" applyFill="1" applyBorder="1" applyAlignment="1" applyProtection="1">
      <alignment horizontal="center" vertical="center" wrapText="1"/>
      <protection hidden="1"/>
    </xf>
    <xf numFmtId="0" fontId="55" fillId="3" borderId="346" xfId="0" applyFont="1" applyFill="1" applyBorder="1" applyAlignment="1">
      <alignment vertical="center"/>
    </xf>
    <xf numFmtId="0" fontId="56" fillId="3" borderId="0" xfId="0" applyFont="1" applyFill="1" applyAlignment="1">
      <alignment vertical="center"/>
    </xf>
    <xf numFmtId="0" fontId="38" fillId="3" borderId="0" xfId="0" applyFont="1" applyFill="1" applyAlignment="1">
      <alignment vertical="center"/>
    </xf>
    <xf numFmtId="0" fontId="55" fillId="3" borderId="348" xfId="0" applyFont="1" applyFill="1" applyBorder="1" applyAlignment="1">
      <alignment vertical="center"/>
    </xf>
    <xf numFmtId="0" fontId="55" fillId="3" borderId="349" xfId="0" applyFont="1" applyFill="1" applyBorder="1" applyAlignment="1">
      <alignment vertical="center"/>
    </xf>
    <xf numFmtId="0" fontId="85" fillId="28" borderId="352" xfId="0" applyFont="1" applyFill="1" applyBorder="1" applyAlignment="1">
      <alignment vertical="center"/>
    </xf>
    <xf numFmtId="0" fontId="67" fillId="3" borderId="0" xfId="0" applyFont="1" applyFill="1" applyAlignment="1">
      <alignment vertical="center"/>
    </xf>
    <xf numFmtId="0" fontId="55" fillId="0" borderId="0" xfId="0" applyFont="1" applyAlignment="1">
      <alignment vertical="center"/>
    </xf>
    <xf numFmtId="0" fontId="0" fillId="3" borderId="0" xfId="0" applyFill="1" applyAlignment="1">
      <alignment vertical="center"/>
    </xf>
    <xf numFmtId="0" fontId="22" fillId="3" borderId="0" xfId="0" applyFont="1" applyFill="1" applyAlignment="1">
      <alignment vertical="center"/>
    </xf>
    <xf numFmtId="0" fontId="91" fillId="0" borderId="390" xfId="0" applyFont="1" applyBorder="1" applyAlignment="1" applyProtection="1">
      <alignment horizontal="center" vertical="center" wrapText="1"/>
      <protection locked="0"/>
    </xf>
    <xf numFmtId="0" fontId="91" fillId="25" borderId="390" xfId="0" applyFont="1" applyFill="1" applyBorder="1" applyAlignment="1" applyProtection="1">
      <alignment horizontal="center" vertical="center" wrapText="1"/>
      <protection locked="0"/>
    </xf>
    <xf numFmtId="0" fontId="0" fillId="29" borderId="390" xfId="0" applyFill="1" applyBorder="1" applyAlignment="1">
      <alignment horizontal="center" vertical="center" wrapText="1"/>
    </xf>
    <xf numFmtId="0" fontId="0" fillId="19" borderId="390" xfId="0" applyFill="1" applyBorder="1" applyAlignment="1">
      <alignment horizontal="center" vertical="center"/>
    </xf>
    <xf numFmtId="164" fontId="22" fillId="19" borderId="390" xfId="0" applyNumberFormat="1" applyFont="1" applyFill="1" applyBorder="1" applyAlignment="1">
      <alignment horizontal="center" vertical="center"/>
    </xf>
    <xf numFmtId="0" fontId="22" fillId="29" borderId="390" xfId="0" applyFont="1" applyFill="1" applyBorder="1" applyAlignment="1">
      <alignment horizontal="center" vertical="center"/>
    </xf>
    <xf numFmtId="0" fontId="0" fillId="19" borderId="397" xfId="0" applyFill="1" applyBorder="1" applyAlignment="1">
      <alignment horizontal="center" vertical="center"/>
    </xf>
    <xf numFmtId="0" fontId="0" fillId="0" borderId="397" xfId="0" applyBorder="1" applyAlignment="1" applyProtection="1">
      <alignment horizontal="center" vertical="center"/>
      <protection locked="0"/>
    </xf>
    <xf numFmtId="9" fontId="22" fillId="19" borderId="397" xfId="0" applyNumberFormat="1" applyFont="1" applyFill="1" applyBorder="1" applyAlignment="1">
      <alignment horizontal="center" vertical="center"/>
    </xf>
    <xf numFmtId="0" fontId="0" fillId="19" borderId="363" xfId="0" applyFill="1" applyBorder="1" applyAlignment="1">
      <alignment horizontal="center" vertical="center"/>
    </xf>
    <xf numFmtId="0" fontId="0" fillId="0" borderId="363" xfId="0" applyBorder="1" applyAlignment="1" applyProtection="1">
      <alignment horizontal="center" vertical="center"/>
      <protection locked="0"/>
    </xf>
    <xf numFmtId="9" fontId="22" fillId="19" borderId="363" xfId="0" applyNumberFormat="1" applyFont="1" applyFill="1" applyBorder="1" applyAlignment="1">
      <alignment horizontal="center" vertical="center"/>
    </xf>
    <xf numFmtId="0" fontId="0" fillId="5" borderId="363" xfId="0" applyFill="1" applyBorder="1" applyAlignment="1" applyProtection="1">
      <alignment horizontal="center" vertical="center"/>
      <protection locked="0"/>
    </xf>
    <xf numFmtId="0" fontId="0" fillId="19" borderId="398" xfId="0" applyFill="1" applyBorder="1" applyAlignment="1">
      <alignment horizontal="center" vertical="center"/>
    </xf>
    <xf numFmtId="0" fontId="0" fillId="5" borderId="398" xfId="0" applyFill="1" applyBorder="1" applyAlignment="1" applyProtection="1">
      <alignment horizontal="center" vertical="center"/>
      <protection locked="0"/>
    </xf>
    <xf numFmtId="9" fontId="22" fillId="19" borderId="398" xfId="0" applyNumberFormat="1" applyFont="1" applyFill="1" applyBorder="1" applyAlignment="1">
      <alignment horizontal="center" vertical="center"/>
    </xf>
    <xf numFmtId="0" fontId="0" fillId="5" borderId="390" xfId="0" applyFill="1" applyBorder="1" applyAlignment="1" applyProtection="1">
      <alignment horizontal="center" vertical="center"/>
      <protection locked="0"/>
    </xf>
    <xf numFmtId="9" fontId="22" fillId="19" borderId="390" xfId="0" applyNumberFormat="1" applyFont="1" applyFill="1" applyBorder="1" applyAlignment="1">
      <alignment horizontal="center" vertical="center"/>
    </xf>
    <xf numFmtId="0" fontId="56" fillId="20" borderId="109" xfId="0" applyFont="1" applyFill="1" applyBorder="1" applyAlignment="1">
      <alignment vertical="center"/>
    </xf>
    <xf numFmtId="0" fontId="56" fillId="20" borderId="110" xfId="0" applyFont="1" applyFill="1" applyBorder="1" applyAlignment="1">
      <alignment vertical="center"/>
    </xf>
    <xf numFmtId="0" fontId="56" fillId="20" borderId="111" xfId="0" applyFont="1" applyFill="1" applyBorder="1" applyAlignment="1">
      <alignment vertical="center"/>
    </xf>
    <xf numFmtId="0" fontId="30" fillId="0" borderId="0" xfId="0" applyFont="1" applyAlignment="1">
      <alignment horizontal="center"/>
    </xf>
    <xf numFmtId="0" fontId="108" fillId="0" borderId="0" xfId="7" applyProtection="1"/>
    <xf numFmtId="0" fontId="0" fillId="2" borderId="417" xfId="0" applyFill="1" applyBorder="1" applyAlignment="1">
      <alignment horizontal="center" wrapText="1"/>
    </xf>
    <xf numFmtId="0" fontId="0" fillId="2" borderId="418" xfId="0" applyFill="1" applyBorder="1" applyAlignment="1">
      <alignment horizontal="center" wrapText="1"/>
    </xf>
    <xf numFmtId="0" fontId="0" fillId="2" borderId="419" xfId="0" applyFill="1" applyBorder="1" applyAlignment="1">
      <alignment horizontal="center" wrapText="1"/>
    </xf>
    <xf numFmtId="3" fontId="0" fillId="0" borderId="48" xfId="0" applyNumberFormat="1" applyBorder="1" applyAlignment="1">
      <alignment horizontal="center" vertical="center"/>
    </xf>
    <xf numFmtId="0" fontId="0" fillId="0" borderId="420" xfId="0" applyBorder="1" applyAlignment="1">
      <alignment horizontal="center" vertical="center"/>
    </xf>
    <xf numFmtId="166" fontId="0" fillId="0" borderId="421" xfId="0" applyNumberFormat="1" applyBorder="1" applyAlignment="1">
      <alignment horizontal="center" vertical="center"/>
    </xf>
    <xf numFmtId="0" fontId="0" fillId="0" borderId="421" xfId="0" applyBorder="1" applyAlignment="1">
      <alignment horizontal="center" vertical="center"/>
    </xf>
    <xf numFmtId="166" fontId="0" fillId="0" borderId="422" xfId="0" applyNumberFormat="1" applyBorder="1" applyAlignment="1">
      <alignment horizontal="center" vertical="center"/>
    </xf>
    <xf numFmtId="3" fontId="0" fillId="0" borderId="413" xfId="0" applyNumberFormat="1" applyBorder="1" applyAlignment="1">
      <alignment horizontal="center" vertical="center"/>
    </xf>
    <xf numFmtId="0" fontId="0" fillId="0" borderId="417" xfId="0" applyBorder="1" applyAlignment="1">
      <alignment horizontal="center" vertical="center"/>
    </xf>
    <xf numFmtId="166" fontId="0" fillId="0" borderId="418" xfId="0" applyNumberFormat="1" applyBorder="1" applyAlignment="1">
      <alignment horizontal="center" vertical="center"/>
    </xf>
    <xf numFmtId="0" fontId="0" fillId="0" borderId="418" xfId="0" applyBorder="1" applyAlignment="1">
      <alignment horizontal="center" vertical="center"/>
    </xf>
    <xf numFmtId="166" fontId="0" fillId="0" borderId="419" xfId="0" applyNumberFormat="1" applyBorder="1" applyAlignment="1">
      <alignment horizontal="center" vertical="center"/>
    </xf>
    <xf numFmtId="0" fontId="53" fillId="3" borderId="45" xfId="0" applyFont="1" applyFill="1" applyBorder="1"/>
    <xf numFmtId="0" fontId="53" fillId="3" borderId="0" xfId="0" applyFont="1" applyFill="1"/>
    <xf numFmtId="0" fontId="53" fillId="3" borderId="46" xfId="0" applyFont="1" applyFill="1" applyBorder="1"/>
    <xf numFmtId="0" fontId="4" fillId="3" borderId="45" xfId="0" applyFont="1" applyFill="1" applyBorder="1"/>
    <xf numFmtId="0" fontId="5" fillId="3" borderId="45" xfId="0" applyFont="1" applyFill="1" applyBorder="1"/>
    <xf numFmtId="0" fontId="53" fillId="3" borderId="16" xfId="0" applyFont="1" applyFill="1" applyBorder="1"/>
    <xf numFmtId="0" fontId="53" fillId="3" borderId="17" xfId="0" applyFont="1" applyFill="1" applyBorder="1"/>
    <xf numFmtId="0" fontId="53" fillId="3" borderId="42" xfId="0" applyFont="1" applyFill="1" applyBorder="1"/>
    <xf numFmtId="0" fontId="83" fillId="0" borderId="0" xfId="0" applyFont="1"/>
    <xf numFmtId="0" fontId="56" fillId="0" borderId="0" xfId="0" applyFont="1"/>
    <xf numFmtId="0" fontId="3" fillId="3" borderId="45" xfId="0" applyFont="1" applyFill="1" applyBorder="1"/>
    <xf numFmtId="0" fontId="0" fillId="35" borderId="0" xfId="0" applyFill="1"/>
    <xf numFmtId="0" fontId="0" fillId="11" borderId="427" xfId="0" applyFill="1" applyBorder="1" applyAlignment="1">
      <alignment vertical="top" wrapText="1"/>
    </xf>
    <xf numFmtId="0" fontId="0" fillId="11" borderId="428" xfId="0" applyFill="1" applyBorder="1" applyAlignment="1">
      <alignment horizontal="center" vertical="top" wrapText="1"/>
    </xf>
    <xf numFmtId="0" fontId="0" fillId="0" borderId="429" xfId="0" applyBorder="1" applyAlignment="1">
      <alignment horizontal="center" vertical="top" wrapText="1"/>
    </xf>
    <xf numFmtId="0" fontId="0" fillId="0" borderId="430" xfId="0" applyBorder="1" applyAlignment="1">
      <alignment horizontal="center" vertical="top" wrapText="1"/>
    </xf>
    <xf numFmtId="0" fontId="0" fillId="11" borderId="429" xfId="0" applyFill="1" applyBorder="1" applyAlignment="1">
      <alignment horizontal="center" vertical="top" wrapText="1"/>
    </xf>
    <xf numFmtId="0" fontId="0" fillId="11" borderId="431" xfId="0" applyFill="1" applyBorder="1" applyAlignment="1">
      <alignment horizontal="center" vertical="top" wrapText="1"/>
    </xf>
    <xf numFmtId="0" fontId="0" fillId="11" borderId="430" xfId="0" applyFill="1" applyBorder="1" applyAlignment="1">
      <alignment horizontal="center" vertical="top" wrapText="1"/>
    </xf>
    <xf numFmtId="0" fontId="0" fillId="11" borderId="432" xfId="0" applyFill="1" applyBorder="1" applyAlignment="1">
      <alignment horizontal="center" vertical="top" wrapText="1"/>
    </xf>
    <xf numFmtId="0" fontId="0" fillId="3" borderId="226" xfId="0" applyFill="1" applyBorder="1" applyAlignment="1">
      <alignment vertical="top" wrapText="1"/>
    </xf>
    <xf numFmtId="0" fontId="0" fillId="3" borderId="64" xfId="0" applyFill="1" applyBorder="1" applyAlignment="1">
      <alignment vertical="top" wrapText="1"/>
    </xf>
    <xf numFmtId="0" fontId="0" fillId="3" borderId="64" xfId="0" applyFill="1" applyBorder="1" applyAlignment="1">
      <alignment horizontal="center" vertical="top" wrapText="1"/>
    </xf>
    <xf numFmtId="0" fontId="0" fillId="3" borderId="426" xfId="0" applyFill="1" applyBorder="1" applyAlignment="1">
      <alignment vertical="top" wrapText="1"/>
    </xf>
    <xf numFmtId="0" fontId="0" fillId="3" borderId="70" xfId="0" applyFill="1" applyBorder="1" applyAlignment="1">
      <alignment vertical="top" wrapText="1"/>
    </xf>
    <xf numFmtId="0" fontId="0" fillId="3" borderId="70" xfId="0" applyFill="1" applyBorder="1" applyAlignment="1">
      <alignment horizontal="center" vertical="top" wrapText="1"/>
    </xf>
    <xf numFmtId="0" fontId="0" fillId="37" borderId="0" xfId="0" applyFill="1" applyAlignment="1">
      <alignment horizontal="center" vertical="center" wrapText="1"/>
    </xf>
    <xf numFmtId="0" fontId="0" fillId="37" borderId="0" xfId="0" applyFill="1" applyAlignment="1">
      <alignment wrapText="1"/>
    </xf>
    <xf numFmtId="0" fontId="0" fillId="37" borderId="0" xfId="0" applyFill="1" applyAlignment="1">
      <alignment horizontal="center" wrapText="1"/>
    </xf>
    <xf numFmtId="0" fontId="110" fillId="37" borderId="0" xfId="0" applyFont="1" applyFill="1" applyAlignment="1">
      <alignment horizontal="center" vertical="center" wrapText="1"/>
    </xf>
    <xf numFmtId="0" fontId="0" fillId="28" borderId="0" xfId="0" applyFill="1" applyAlignment="1">
      <alignment wrapText="1"/>
    </xf>
    <xf numFmtId="0" fontId="0" fillId="28" borderId="0" xfId="0" applyFill="1" applyAlignment="1">
      <alignment horizontal="center" wrapText="1"/>
    </xf>
    <xf numFmtId="0" fontId="110" fillId="28" borderId="0" xfId="0" applyFont="1" applyFill="1" applyAlignment="1">
      <alignment horizontal="center" vertical="center" wrapText="1"/>
    </xf>
    <xf numFmtId="0" fontId="0" fillId="38" borderId="0" xfId="0" applyFill="1" applyAlignment="1">
      <alignment wrapText="1"/>
    </xf>
    <xf numFmtId="0" fontId="110" fillId="38" borderId="0" xfId="0" applyFont="1" applyFill="1" applyAlignment="1">
      <alignment horizontal="center" vertical="center" wrapText="1"/>
    </xf>
    <xf numFmtId="0" fontId="0" fillId="15" borderId="0" xfId="0" applyFill="1" applyAlignment="1">
      <alignment wrapText="1"/>
    </xf>
    <xf numFmtId="0" fontId="110" fillId="15" borderId="0" xfId="0" applyFont="1" applyFill="1" applyAlignment="1">
      <alignment horizontal="center" vertical="center" wrapText="1"/>
    </xf>
    <xf numFmtId="0" fontId="0" fillId="39" borderId="0" xfId="0" applyFill="1" applyAlignment="1">
      <alignment horizontal="center" vertical="center" wrapText="1"/>
    </xf>
    <xf numFmtId="164" fontId="83" fillId="0" borderId="433" xfId="0" applyNumberFormat="1" applyFont="1" applyBorder="1" applyAlignment="1">
      <alignment horizontal="center" vertical="center"/>
    </xf>
    <xf numFmtId="0" fontId="55" fillId="7" borderId="434" xfId="0" applyFont="1" applyFill="1" applyBorder="1" applyAlignment="1">
      <alignment horizontal="center" vertical="center"/>
    </xf>
    <xf numFmtId="164" fontId="83" fillId="0" borderId="435" xfId="0" applyNumberFormat="1" applyFont="1" applyBorder="1" applyAlignment="1">
      <alignment horizontal="center" vertical="center"/>
    </xf>
    <xf numFmtId="164" fontId="83" fillId="0" borderId="436" xfId="0" applyNumberFormat="1" applyFont="1" applyBorder="1" applyAlignment="1">
      <alignment horizontal="center" vertical="center"/>
    </xf>
    <xf numFmtId="164" fontId="83" fillId="0" borderId="437" xfId="0" applyNumberFormat="1" applyFont="1" applyBorder="1" applyAlignment="1">
      <alignment horizontal="center" vertical="center"/>
    </xf>
    <xf numFmtId="164" fontId="83" fillId="0" borderId="438" xfId="0" applyNumberFormat="1" applyFont="1" applyBorder="1" applyAlignment="1">
      <alignment horizontal="center" vertical="center"/>
    </xf>
    <xf numFmtId="0" fontId="55" fillId="7" borderId="439" xfId="0" applyFont="1" applyFill="1" applyBorder="1" applyAlignment="1">
      <alignment horizontal="center" vertical="center"/>
    </xf>
    <xf numFmtId="164" fontId="83" fillId="0" borderId="440" xfId="0" applyNumberFormat="1" applyFont="1" applyBorder="1" applyAlignment="1">
      <alignment horizontal="center" vertical="center"/>
    </xf>
    <xf numFmtId="0" fontId="54" fillId="20" borderId="441" xfId="0" applyFont="1" applyFill="1" applyBorder="1" applyAlignment="1">
      <alignment horizontal="center" vertical="center" wrapText="1"/>
    </xf>
    <xf numFmtId="0" fontId="54" fillId="20" borderId="442" xfId="0" applyFont="1" applyFill="1" applyBorder="1" applyAlignment="1">
      <alignment horizontal="center" vertical="center" wrapText="1"/>
    </xf>
    <xf numFmtId="0" fontId="54" fillId="20" borderId="443" xfId="0" applyFont="1" applyFill="1" applyBorder="1" applyAlignment="1">
      <alignment horizontal="center" vertical="center" wrapText="1"/>
    </xf>
    <xf numFmtId="0" fontId="54" fillId="20" borderId="4" xfId="0" applyFont="1" applyFill="1" applyBorder="1" applyAlignment="1">
      <alignment horizontal="center" vertical="center" wrapText="1"/>
    </xf>
    <xf numFmtId="0" fontId="112" fillId="19" borderId="0" xfId="0" applyFont="1" applyFill="1" applyAlignment="1">
      <alignment vertical="center" wrapText="1"/>
    </xf>
    <xf numFmtId="0" fontId="36" fillId="19" borderId="0" xfId="0" applyFont="1" applyFill="1" applyAlignment="1">
      <alignment vertical="center" wrapText="1"/>
    </xf>
    <xf numFmtId="0" fontId="66" fillId="19" borderId="0" xfId="0" applyFont="1" applyFill="1" applyAlignment="1" applyProtection="1">
      <alignment vertical="center"/>
      <protection locked="0"/>
    </xf>
    <xf numFmtId="0" fontId="55" fillId="19" borderId="0" xfId="0" applyFont="1" applyFill="1"/>
    <xf numFmtId="0" fontId="54" fillId="19" borderId="0" xfId="0" applyFont="1" applyFill="1"/>
    <xf numFmtId="167" fontId="112" fillId="19" borderId="0" xfId="0" applyNumberFormat="1" applyFont="1" applyFill="1" applyAlignment="1">
      <alignment vertical="center" wrapText="1"/>
    </xf>
    <xf numFmtId="167" fontId="36" fillId="19" borderId="0" xfId="0" applyNumberFormat="1" applyFont="1" applyFill="1" applyAlignment="1">
      <alignment vertical="center" wrapText="1"/>
    </xf>
    <xf numFmtId="167" fontId="55" fillId="19" borderId="0" xfId="0" applyNumberFormat="1" applyFont="1" applyFill="1"/>
    <xf numFmtId="167" fontId="66" fillId="19" borderId="0" xfId="0" applyNumberFormat="1" applyFont="1" applyFill="1" applyAlignment="1" applyProtection="1">
      <alignment vertical="center"/>
      <protection locked="0"/>
    </xf>
    <xf numFmtId="167" fontId="38" fillId="19" borderId="0" xfId="0" applyNumberFormat="1" applyFont="1" applyFill="1" applyAlignment="1" applyProtection="1">
      <alignment vertical="center"/>
      <protection locked="0"/>
    </xf>
    <xf numFmtId="167" fontId="55" fillId="19" borderId="0" xfId="0" applyNumberFormat="1" applyFont="1" applyFill="1" applyAlignment="1">
      <alignment vertical="center"/>
    </xf>
    <xf numFmtId="167" fontId="36" fillId="19" borderId="0" xfId="0" applyNumberFormat="1" applyFont="1" applyFill="1" applyAlignment="1" applyProtection="1">
      <alignment vertical="center" wrapText="1"/>
      <protection locked="0"/>
    </xf>
    <xf numFmtId="167" fontId="38" fillId="19" borderId="0" xfId="0" applyNumberFormat="1" applyFont="1" applyFill="1" applyAlignment="1" applyProtection="1">
      <alignment vertical="center" wrapText="1"/>
      <protection locked="0"/>
    </xf>
    <xf numFmtId="167" fontId="111" fillId="19" borderId="0" xfId="0" applyNumberFormat="1" applyFont="1" applyFill="1" applyAlignment="1" applyProtection="1">
      <alignment vertical="center" wrapText="1"/>
      <protection locked="0"/>
    </xf>
    <xf numFmtId="167" fontId="54" fillId="19" borderId="0" xfId="0" applyNumberFormat="1" applyFont="1" applyFill="1"/>
    <xf numFmtId="167" fontId="54" fillId="19" borderId="0" xfId="0" applyNumberFormat="1" applyFont="1" applyFill="1" applyAlignment="1">
      <alignment horizontal="center" vertical="center"/>
    </xf>
    <xf numFmtId="167" fontId="53" fillId="19" borderId="0" xfId="0" applyNumberFormat="1" applyFont="1" applyFill="1" applyAlignment="1">
      <alignment vertical="center"/>
    </xf>
    <xf numFmtId="167" fontId="82" fillId="19" borderId="0" xfId="0" applyNumberFormat="1" applyFont="1" applyFill="1" applyAlignment="1">
      <alignment vertical="center"/>
    </xf>
    <xf numFmtId="167" fontId="84" fillId="19" borderId="0" xfId="0" applyNumberFormat="1" applyFont="1" applyFill="1" applyAlignment="1">
      <alignment horizontal="center" vertical="center" wrapText="1"/>
    </xf>
    <xf numFmtId="167" fontId="95" fillId="19" borderId="0" xfId="0" applyNumberFormat="1" applyFont="1" applyFill="1" applyAlignment="1">
      <alignment horizontal="center" vertical="center"/>
    </xf>
    <xf numFmtId="167" fontId="22" fillId="19" borderId="0" xfId="0" applyNumberFormat="1" applyFont="1" applyFill="1" applyAlignment="1">
      <alignment vertical="top"/>
    </xf>
    <xf numFmtId="167" fontId="0" fillId="19" borderId="0" xfId="0" applyNumberFormat="1" applyFill="1" applyAlignment="1">
      <alignment vertical="top"/>
    </xf>
    <xf numFmtId="167" fontId="55" fillId="19" borderId="0" xfId="0" applyNumberFormat="1" applyFont="1" applyFill="1" applyAlignment="1">
      <alignment horizontal="left" vertical="center"/>
    </xf>
    <xf numFmtId="167" fontId="22" fillId="19" borderId="0" xfId="0" applyNumberFormat="1" applyFont="1" applyFill="1" applyAlignment="1">
      <alignment horizontal="left" vertical="top"/>
    </xf>
    <xf numFmtId="167" fontId="0" fillId="19" borderId="0" xfId="0" applyNumberFormat="1" applyFill="1" applyAlignment="1">
      <alignment horizontal="left" vertical="top"/>
    </xf>
    <xf numFmtId="167" fontId="22" fillId="0" borderId="0" xfId="0" applyNumberFormat="1" applyFont="1" applyAlignment="1">
      <alignment vertical="top"/>
    </xf>
    <xf numFmtId="167" fontId="84" fillId="19" borderId="0" xfId="0" applyNumberFormat="1" applyFont="1" applyFill="1" applyAlignment="1">
      <alignment vertical="center"/>
    </xf>
    <xf numFmtId="167" fontId="54" fillId="19" borderId="0" xfId="0" applyNumberFormat="1" applyFont="1" applyFill="1" applyAlignment="1">
      <alignment vertical="center"/>
    </xf>
    <xf numFmtId="167" fontId="84" fillId="19" borderId="0" xfId="0" applyNumberFormat="1" applyFont="1" applyFill="1" applyAlignment="1">
      <alignment horizontal="center" vertical="center"/>
    </xf>
    <xf numFmtId="0" fontId="57" fillId="0" borderId="142" xfId="0" applyFont="1" applyBorder="1" applyAlignment="1">
      <alignment horizontal="right" vertical="center"/>
    </xf>
    <xf numFmtId="0" fontId="57" fillId="0" borderId="143" xfId="0" applyFont="1" applyBorder="1" applyAlignment="1">
      <alignment horizontal="right" vertical="center"/>
    </xf>
    <xf numFmtId="0" fontId="57" fillId="0" borderId="144" xfId="0" applyFont="1" applyBorder="1" applyAlignment="1">
      <alignment horizontal="right" vertical="center"/>
    </xf>
    <xf numFmtId="0" fontId="57" fillId="0" borderId="80" xfId="0" applyFont="1" applyBorder="1" applyAlignment="1">
      <alignment horizontal="right" vertical="center"/>
    </xf>
    <xf numFmtId="0" fontId="57" fillId="0" borderId="81" xfId="0" applyFont="1" applyBorder="1" applyAlignment="1">
      <alignment horizontal="right" vertical="center"/>
    </xf>
    <xf numFmtId="0" fontId="57" fillId="0" borderId="82" xfId="0" applyFont="1" applyBorder="1" applyAlignment="1">
      <alignment horizontal="right" vertical="center"/>
    </xf>
    <xf numFmtId="0" fontId="35" fillId="0" borderId="145" xfId="0" applyFont="1" applyBorder="1" applyAlignment="1" applyProtection="1">
      <alignment horizontal="left" vertical="center" wrapText="1"/>
      <protection locked="0"/>
    </xf>
    <xf numFmtId="0" fontId="35" fillId="0" borderId="143" xfId="0" applyFont="1" applyBorder="1" applyAlignment="1" applyProtection="1">
      <alignment horizontal="left" vertical="center" wrapText="1"/>
      <protection locked="0"/>
    </xf>
    <xf numFmtId="0" fontId="35" fillId="0" borderId="86" xfId="0" quotePrefix="1" applyFont="1" applyBorder="1" applyAlignment="1" applyProtection="1">
      <alignment horizontal="left" vertical="center" wrapText="1"/>
      <protection locked="0"/>
    </xf>
    <xf numFmtId="0" fontId="35" fillId="0" borderId="81" xfId="0" applyFont="1" applyBorder="1" applyAlignment="1" applyProtection="1">
      <alignment horizontal="left" vertical="center" wrapText="1"/>
      <protection locked="0"/>
    </xf>
    <xf numFmtId="0" fontId="57" fillId="0" borderId="145" xfId="0" applyFont="1" applyBorder="1" applyAlignment="1">
      <alignment horizontal="right" vertical="center"/>
    </xf>
    <xf numFmtId="0" fontId="57" fillId="0" borderId="86" xfId="0" applyFont="1" applyBorder="1" applyAlignment="1">
      <alignment horizontal="right" vertical="center"/>
    </xf>
    <xf numFmtId="0" fontId="37" fillId="21" borderId="154" xfId="0" applyFont="1" applyFill="1" applyBorder="1" applyAlignment="1">
      <alignment horizontal="center" vertical="center" wrapText="1"/>
    </xf>
    <xf numFmtId="0" fontId="37" fillId="21" borderId="155" xfId="0" applyFont="1" applyFill="1" applyBorder="1" applyAlignment="1">
      <alignment horizontal="center" vertical="center" wrapText="1"/>
    </xf>
    <xf numFmtId="0" fontId="37" fillId="21" borderId="156" xfId="0" applyFont="1" applyFill="1" applyBorder="1" applyAlignment="1">
      <alignment horizontal="center" vertical="center" wrapText="1"/>
    </xf>
    <xf numFmtId="0" fontId="57" fillId="0" borderId="87" xfId="0" applyFont="1" applyBorder="1" applyAlignment="1">
      <alignment horizontal="right" vertical="center"/>
    </xf>
    <xf numFmtId="0" fontId="57" fillId="0" borderId="84" xfId="0" applyFont="1" applyBorder="1" applyAlignment="1">
      <alignment horizontal="right" vertical="center"/>
    </xf>
    <xf numFmtId="0" fontId="57" fillId="0" borderId="85" xfId="0" applyFont="1" applyBorder="1" applyAlignment="1">
      <alignment horizontal="right" vertical="center"/>
    </xf>
    <xf numFmtId="0" fontId="35" fillId="0" borderId="87" xfId="0" applyFont="1" applyBorder="1" applyAlignment="1" applyProtection="1">
      <alignment horizontal="left" vertical="center" wrapText="1"/>
      <protection locked="0"/>
    </xf>
    <xf numFmtId="0" fontId="35" fillId="0" borderId="84" xfId="0" applyFont="1" applyBorder="1" applyAlignment="1" applyProtection="1">
      <alignment horizontal="left" vertical="center" wrapText="1"/>
      <protection locked="0"/>
    </xf>
    <xf numFmtId="0" fontId="35" fillId="0" borderId="87" xfId="0" applyFont="1" applyBorder="1" applyAlignment="1" applyProtection="1">
      <alignment horizontal="left" vertical="center"/>
      <protection locked="0"/>
    </xf>
    <xf numFmtId="0" fontId="35" fillId="0" borderId="84" xfId="0" applyFont="1" applyBorder="1" applyAlignment="1" applyProtection="1">
      <alignment horizontal="left" vertical="center"/>
      <protection locked="0"/>
    </xf>
    <xf numFmtId="0" fontId="57" fillId="0" borderId="83" xfId="0" applyFont="1" applyBorder="1" applyAlignment="1">
      <alignment horizontal="right" vertical="center"/>
    </xf>
    <xf numFmtId="0" fontId="35" fillId="0" borderId="86" xfId="0" applyFont="1" applyBorder="1" applyAlignment="1" applyProtection="1">
      <alignment horizontal="left" vertical="center" wrapText="1"/>
      <protection locked="0"/>
    </xf>
    <xf numFmtId="0" fontId="35" fillId="0" borderId="145" xfId="0" applyFont="1" applyBorder="1" applyAlignment="1" applyProtection="1">
      <alignment horizontal="left" vertical="center"/>
      <protection locked="0"/>
    </xf>
    <xf numFmtId="0" fontId="35" fillId="0" borderId="143" xfId="0" applyFont="1" applyBorder="1" applyAlignment="1" applyProtection="1">
      <alignment horizontal="left" vertical="center"/>
      <protection locked="0"/>
    </xf>
    <xf numFmtId="0" fontId="35" fillId="0" borderId="86" xfId="0" quotePrefix="1" applyFont="1" applyBorder="1" applyAlignment="1" applyProtection="1">
      <alignment horizontal="left" vertical="center"/>
      <protection locked="0"/>
    </xf>
    <xf numFmtId="0" fontId="35" fillId="0" borderId="81" xfId="0" applyFont="1" applyBorder="1" applyAlignment="1" applyProtection="1">
      <alignment horizontal="left" vertical="center"/>
      <protection locked="0"/>
    </xf>
    <xf numFmtId="0" fontId="57" fillId="3" borderId="87" xfId="0" applyFont="1" applyFill="1" applyBorder="1" applyAlignment="1">
      <alignment horizontal="right" vertical="center"/>
    </xf>
    <xf numFmtId="0" fontId="57" fillId="3" borderId="84" xfId="0" applyFont="1" applyFill="1" applyBorder="1" applyAlignment="1">
      <alignment horizontal="right" vertical="center"/>
    </xf>
    <xf numFmtId="0" fontId="35" fillId="0" borderId="81" xfId="0" quotePrefix="1" applyFont="1" applyBorder="1" applyAlignment="1" applyProtection="1">
      <alignment horizontal="left" vertical="center" wrapText="1"/>
      <protection locked="0"/>
    </xf>
    <xf numFmtId="167" fontId="54" fillId="19" borderId="0" xfId="0" applyNumberFormat="1" applyFont="1" applyFill="1" applyAlignment="1">
      <alignment horizontal="center" vertical="center"/>
    </xf>
    <xf numFmtId="0" fontId="59" fillId="20" borderId="138" xfId="0" applyFont="1" applyFill="1" applyBorder="1" applyAlignment="1">
      <alignment horizontal="center" vertical="center" wrapText="1"/>
    </xf>
    <xf numFmtId="0" fontId="35" fillId="3" borderId="86" xfId="0" applyFont="1" applyFill="1" applyBorder="1" applyAlignment="1" applyProtection="1">
      <alignment horizontal="left" vertical="center"/>
      <protection locked="0"/>
    </xf>
    <xf numFmtId="0" fontId="35" fillId="3" borderId="81" xfId="0" applyFont="1" applyFill="1" applyBorder="1" applyAlignment="1" applyProtection="1">
      <alignment horizontal="left" vertical="center"/>
      <protection locked="0"/>
    </xf>
    <xf numFmtId="0" fontId="39" fillId="22" borderId="90" xfId="0" applyFont="1" applyFill="1" applyBorder="1" applyAlignment="1">
      <alignment horizontal="left" vertical="center"/>
    </xf>
    <xf numFmtId="0" fontId="39" fillId="22" borderId="91" xfId="0" applyFont="1" applyFill="1" applyBorder="1" applyAlignment="1">
      <alignment horizontal="left" vertical="center"/>
    </xf>
    <xf numFmtId="0" fontId="39" fillId="22" borderId="92" xfId="0" applyFont="1" applyFill="1" applyBorder="1" applyAlignment="1">
      <alignment horizontal="left" vertical="center"/>
    </xf>
    <xf numFmtId="0" fontId="54" fillId="0" borderId="0" xfId="0" applyFont="1" applyAlignment="1">
      <alignment horizontal="center" vertical="center" wrapText="1"/>
    </xf>
    <xf numFmtId="14" fontId="54" fillId="0" borderId="0" xfId="0" applyNumberFormat="1" applyFont="1" applyAlignment="1" applyProtection="1">
      <alignment horizontal="center" vertical="center"/>
      <protection locked="0"/>
    </xf>
    <xf numFmtId="0" fontId="54" fillId="0" borderId="0" xfId="0" applyFont="1" applyAlignment="1" applyProtection="1">
      <alignment horizontal="center" vertical="center" wrapText="1"/>
      <protection locked="0"/>
    </xf>
    <xf numFmtId="0" fontId="59" fillId="20" borderId="98" xfId="0" applyFont="1" applyFill="1" applyBorder="1" applyAlignment="1">
      <alignment horizontal="center" vertical="center" wrapText="1"/>
    </xf>
    <xf numFmtId="0" fontId="87" fillId="0" borderId="99" xfId="0" applyFont="1" applyBorder="1" applyAlignment="1">
      <alignment horizontal="left" vertical="center" wrapText="1"/>
    </xf>
    <xf numFmtId="0" fontId="87" fillId="0" borderId="100" xfId="0" applyFont="1" applyBorder="1" applyAlignment="1">
      <alignment horizontal="left" vertical="center" wrapText="1"/>
    </xf>
    <xf numFmtId="0" fontId="62" fillId="0" borderId="0" xfId="0" applyFont="1" applyAlignment="1">
      <alignment horizontal="left"/>
    </xf>
    <xf numFmtId="14" fontId="35" fillId="0" borderId="87" xfId="0" applyNumberFormat="1" applyFont="1" applyBorder="1" applyAlignment="1" applyProtection="1">
      <alignment horizontal="left" vertical="center" wrapText="1"/>
      <protection locked="0"/>
    </xf>
    <xf numFmtId="0" fontId="35" fillId="0" borderId="89" xfId="0" applyFont="1" applyBorder="1" applyAlignment="1" applyProtection="1">
      <alignment horizontal="left" vertical="center" wrapText="1"/>
      <protection locked="0"/>
    </xf>
    <xf numFmtId="0" fontId="56" fillId="19" borderId="109" xfId="0" applyFont="1" applyFill="1" applyBorder="1" applyAlignment="1" applyProtection="1">
      <alignment horizontal="justify" vertical="center" wrapText="1"/>
      <protection locked="0"/>
    </xf>
    <xf numFmtId="0" fontId="56" fillId="19" borderId="110" xfId="0" applyFont="1" applyFill="1" applyBorder="1" applyAlignment="1" applyProtection="1">
      <alignment horizontal="justify" vertical="center" wrapText="1"/>
      <protection locked="0"/>
    </xf>
    <xf numFmtId="0" fontId="56" fillId="19" borderId="111" xfId="0" applyFont="1" applyFill="1" applyBorder="1" applyAlignment="1" applyProtection="1">
      <alignment horizontal="justify" vertical="center" wrapText="1"/>
      <protection locked="0"/>
    </xf>
    <xf numFmtId="0" fontId="60" fillId="23" borderId="101" xfId="0" quotePrefix="1" applyFont="1" applyFill="1" applyBorder="1" applyAlignment="1">
      <alignment horizontal="center" vertical="center"/>
    </xf>
    <xf numFmtId="0" fontId="60" fillId="23" borderId="102" xfId="0" quotePrefix="1" applyFont="1" applyFill="1" applyBorder="1" applyAlignment="1">
      <alignment horizontal="center" vertical="center"/>
    </xf>
    <xf numFmtId="0" fontId="60" fillId="23" borderId="103" xfId="0" quotePrefix="1" applyFont="1" applyFill="1" applyBorder="1" applyAlignment="1">
      <alignment horizontal="center" vertical="center"/>
    </xf>
    <xf numFmtId="0" fontId="88" fillId="0" borderId="137" xfId="0" applyFont="1" applyBorder="1" applyAlignment="1">
      <alignment horizontal="left" wrapText="1"/>
    </xf>
    <xf numFmtId="0" fontId="88" fillId="0" borderId="0" xfId="0" applyFont="1" applyAlignment="1">
      <alignment horizontal="left" wrapText="1"/>
    </xf>
    <xf numFmtId="0" fontId="60" fillId="23" borderId="101" xfId="0" applyFont="1" applyFill="1" applyBorder="1" applyAlignment="1">
      <alignment horizontal="center" vertical="center"/>
    </xf>
    <xf numFmtId="0" fontId="60" fillId="23" borderId="102" xfId="0" applyFont="1" applyFill="1" applyBorder="1" applyAlignment="1">
      <alignment horizontal="center" vertical="center"/>
    </xf>
    <xf numFmtId="0" fontId="60" fillId="23" borderId="103" xfId="0" applyFont="1" applyFill="1" applyBorder="1" applyAlignment="1">
      <alignment horizontal="center" vertical="center"/>
    </xf>
    <xf numFmtId="0" fontId="77" fillId="20" borderId="98" xfId="0" applyFont="1" applyFill="1" applyBorder="1" applyAlignment="1">
      <alignment horizontal="center" vertical="center" wrapText="1"/>
    </xf>
    <xf numFmtId="0" fontId="35" fillId="0" borderId="146" xfId="0" applyFont="1" applyBorder="1" applyAlignment="1" applyProtection="1">
      <alignment horizontal="left" vertical="center" wrapText="1"/>
      <protection locked="0"/>
    </xf>
    <xf numFmtId="0" fontId="35" fillId="0" borderId="88" xfId="0" quotePrefix="1" applyFont="1" applyBorder="1" applyAlignment="1" applyProtection="1">
      <alignment horizontal="left" vertical="center" wrapText="1"/>
      <protection locked="0"/>
    </xf>
    <xf numFmtId="14" fontId="35" fillId="0" borderId="86" xfId="0" applyNumberFormat="1" applyFont="1" applyBorder="1" applyAlignment="1" applyProtection="1">
      <alignment horizontal="left" vertical="center" wrapText="1"/>
      <protection locked="0"/>
    </xf>
    <xf numFmtId="0" fontId="35" fillId="0" borderId="88" xfId="0" applyFont="1" applyBorder="1" applyAlignment="1" applyProtection="1">
      <alignment horizontal="left" vertical="center" wrapText="1"/>
      <protection locked="0"/>
    </xf>
    <xf numFmtId="0" fontId="56" fillId="19" borderId="39" xfId="0" applyFont="1" applyFill="1" applyBorder="1" applyAlignment="1" applyProtection="1">
      <alignment horizontal="justify" vertical="center" wrapText="1"/>
      <protection locked="0"/>
    </xf>
    <xf numFmtId="0" fontId="56" fillId="19" borderId="40" xfId="0" applyFont="1" applyFill="1" applyBorder="1" applyAlignment="1" applyProtection="1">
      <alignment horizontal="justify" vertical="center" wrapText="1"/>
      <protection locked="0"/>
    </xf>
    <xf numFmtId="0" fontId="56" fillId="19" borderId="41" xfId="0" applyFont="1" applyFill="1" applyBorder="1" applyAlignment="1" applyProtection="1">
      <alignment horizontal="justify" vertical="center" wrapText="1"/>
      <protection locked="0"/>
    </xf>
    <xf numFmtId="0" fontId="56" fillId="19" borderId="16" xfId="0" applyFont="1" applyFill="1" applyBorder="1" applyAlignment="1" applyProtection="1">
      <alignment horizontal="justify" vertical="center" wrapText="1"/>
      <protection locked="0"/>
    </xf>
    <xf numFmtId="0" fontId="56" fillId="19" borderId="17" xfId="0" applyFont="1" applyFill="1" applyBorder="1" applyAlignment="1" applyProtection="1">
      <alignment horizontal="justify" vertical="center" wrapText="1"/>
      <protection locked="0"/>
    </xf>
    <xf numFmtId="0" fontId="56" fillId="19" borderId="42" xfId="0" applyFont="1" applyFill="1" applyBorder="1" applyAlignment="1" applyProtection="1">
      <alignment horizontal="justify" vertical="center" wrapText="1"/>
      <protection locked="0"/>
    </xf>
    <xf numFmtId="0" fontId="59" fillId="19" borderId="39" xfId="0" applyFont="1" applyFill="1" applyBorder="1" applyAlignment="1" applyProtection="1">
      <alignment horizontal="justify" vertical="center"/>
      <protection locked="0"/>
    </xf>
    <xf numFmtId="0" fontId="59" fillId="19" borderId="40" xfId="0" applyFont="1" applyFill="1" applyBorder="1" applyAlignment="1" applyProtection="1">
      <alignment horizontal="justify" vertical="center"/>
      <protection locked="0"/>
    </xf>
    <xf numFmtId="0" fontId="59" fillId="19" borderId="41" xfId="0" applyFont="1" applyFill="1" applyBorder="1" applyAlignment="1" applyProtection="1">
      <alignment horizontal="justify" vertical="center"/>
      <protection locked="0"/>
    </xf>
    <xf numFmtId="0" fontId="59" fillId="19" borderId="16" xfId="0" applyFont="1" applyFill="1" applyBorder="1" applyAlignment="1" applyProtection="1">
      <alignment horizontal="justify" vertical="center"/>
      <protection locked="0"/>
    </xf>
    <xf numFmtId="0" fontId="59" fillId="19" borderId="17" xfId="0" applyFont="1" applyFill="1" applyBorder="1" applyAlignment="1" applyProtection="1">
      <alignment horizontal="justify" vertical="center"/>
      <protection locked="0"/>
    </xf>
    <xf numFmtId="0" fontId="59" fillId="19" borderId="42" xfId="0" applyFont="1" applyFill="1" applyBorder="1" applyAlignment="1" applyProtection="1">
      <alignment horizontal="justify" vertical="center"/>
      <protection locked="0"/>
    </xf>
    <xf numFmtId="0" fontId="59" fillId="20" borderId="99" xfId="0" applyFont="1" applyFill="1" applyBorder="1" applyAlignment="1">
      <alignment horizontal="center" vertical="center" wrapText="1"/>
    </xf>
    <xf numFmtId="0" fontId="59" fillId="20" borderId="100" xfId="0" applyFont="1" applyFill="1" applyBorder="1" applyAlignment="1">
      <alignment horizontal="center" vertical="center" wrapText="1"/>
    </xf>
    <xf numFmtId="0" fontId="39" fillId="22" borderId="423" xfId="0" applyFont="1" applyFill="1" applyBorder="1" applyAlignment="1">
      <alignment horizontal="left" vertical="center"/>
    </xf>
    <xf numFmtId="0" fontId="39" fillId="22" borderId="424" xfId="0" applyFont="1" applyFill="1" applyBorder="1" applyAlignment="1">
      <alignment horizontal="left" vertical="center"/>
    </xf>
    <xf numFmtId="0" fontId="39" fillId="22" borderId="425" xfId="0" applyFont="1" applyFill="1" applyBorder="1" applyAlignment="1">
      <alignment horizontal="left" vertical="center"/>
    </xf>
    <xf numFmtId="0" fontId="3" fillId="3" borderId="45" xfId="0" applyFont="1" applyFill="1" applyBorder="1" applyAlignment="1">
      <alignment horizontal="left" vertical="top" wrapText="1"/>
    </xf>
    <xf numFmtId="0" fontId="5" fillId="3" borderId="0" xfId="0" applyFont="1" applyFill="1" applyAlignment="1">
      <alignment horizontal="left" vertical="top" wrapText="1"/>
    </xf>
    <xf numFmtId="0" fontId="5" fillId="3" borderId="46" xfId="0" applyFont="1" applyFill="1" applyBorder="1" applyAlignment="1">
      <alignment horizontal="left" vertical="top" wrapText="1"/>
    </xf>
    <xf numFmtId="0" fontId="53" fillId="3" borderId="16" xfId="0" applyFont="1" applyFill="1" applyBorder="1" applyAlignment="1">
      <alignment horizontal="left"/>
    </xf>
    <xf numFmtId="0" fontId="53" fillId="3" borderId="17" xfId="0" applyFont="1" applyFill="1" applyBorder="1" applyAlignment="1">
      <alignment horizontal="left"/>
    </xf>
    <xf numFmtId="0" fontId="53" fillId="3" borderId="42" xfId="0" applyFont="1" applyFill="1" applyBorder="1" applyAlignment="1">
      <alignment horizontal="left"/>
    </xf>
    <xf numFmtId="0" fontId="2" fillId="3" borderId="45" xfId="0" applyFont="1" applyFill="1" applyBorder="1" applyAlignment="1">
      <alignment horizontal="left" vertical="top" wrapText="1"/>
    </xf>
    <xf numFmtId="0" fontId="2" fillId="3" borderId="16" xfId="0" applyFont="1" applyFill="1" applyBorder="1" applyAlignment="1">
      <alignment horizontal="left" vertical="top" wrapText="1"/>
    </xf>
    <xf numFmtId="0" fontId="5" fillId="3" borderId="17" xfId="0" applyFont="1" applyFill="1" applyBorder="1" applyAlignment="1">
      <alignment horizontal="left" vertical="top" wrapText="1"/>
    </xf>
    <xf numFmtId="0" fontId="5" fillId="3" borderId="42" xfId="0" applyFont="1" applyFill="1" applyBorder="1" applyAlignment="1">
      <alignment horizontal="left" vertical="top" wrapText="1"/>
    </xf>
    <xf numFmtId="0" fontId="5" fillId="3" borderId="45" xfId="0" applyFont="1" applyFill="1" applyBorder="1" applyAlignment="1">
      <alignment horizontal="left"/>
    </xf>
    <xf numFmtId="0" fontId="5" fillId="3" borderId="0" xfId="0" applyFont="1" applyFill="1" applyAlignment="1">
      <alignment horizontal="left"/>
    </xf>
    <xf numFmtId="0" fontId="5" fillId="3" borderId="46" xfId="0" applyFont="1" applyFill="1" applyBorder="1" applyAlignment="1">
      <alignment horizontal="left"/>
    </xf>
    <xf numFmtId="0" fontId="3" fillId="3" borderId="45" xfId="0" applyFont="1" applyFill="1" applyBorder="1" applyAlignment="1">
      <alignment horizontal="left" vertical="center" wrapText="1"/>
    </xf>
    <xf numFmtId="0" fontId="5" fillId="3" borderId="0" xfId="0" applyFont="1" applyFill="1" applyAlignment="1">
      <alignment horizontal="left" vertical="center" wrapText="1"/>
    </xf>
    <xf numFmtId="0" fontId="5" fillId="3" borderId="46" xfId="0" applyFont="1" applyFill="1" applyBorder="1" applyAlignment="1">
      <alignment horizontal="left" vertical="center" wrapText="1"/>
    </xf>
    <xf numFmtId="0" fontId="5" fillId="3" borderId="0" xfId="0" applyFont="1" applyFill="1" applyAlignment="1">
      <alignment horizontal="left" vertical="top"/>
    </xf>
    <xf numFmtId="0" fontId="5" fillId="3" borderId="46" xfId="0" applyFont="1" applyFill="1" applyBorder="1" applyAlignment="1">
      <alignment horizontal="left" vertical="top"/>
    </xf>
    <xf numFmtId="0" fontId="58" fillId="12" borderId="126" xfId="0" applyFont="1" applyFill="1" applyBorder="1" applyAlignment="1">
      <alignment horizontal="center" vertical="center" wrapText="1"/>
    </xf>
    <xf numFmtId="0" fontId="58" fillId="12" borderId="127" xfId="0" applyFont="1" applyFill="1" applyBorder="1" applyAlignment="1">
      <alignment horizontal="center" vertical="center" wrapText="1"/>
    </xf>
    <xf numFmtId="0" fontId="58" fillId="12" borderId="129" xfId="0" applyFont="1" applyFill="1" applyBorder="1" applyAlignment="1">
      <alignment horizontal="center" vertical="center" wrapText="1"/>
    </xf>
    <xf numFmtId="0" fontId="58" fillId="12" borderId="130" xfId="0" applyFont="1" applyFill="1" applyBorder="1" applyAlignment="1">
      <alignment horizontal="center" vertical="center" wrapText="1"/>
    </xf>
    <xf numFmtId="0" fontId="58" fillId="12" borderId="131" xfId="0" applyFont="1" applyFill="1" applyBorder="1" applyAlignment="1">
      <alignment horizontal="center" vertical="center" wrapText="1"/>
    </xf>
    <xf numFmtId="0" fontId="58" fillId="12" borderId="132" xfId="0" applyFont="1" applyFill="1" applyBorder="1" applyAlignment="1">
      <alignment horizontal="center" vertical="center" wrapText="1"/>
    </xf>
    <xf numFmtId="0" fontId="53" fillId="30" borderId="303" xfId="0" applyFont="1" applyFill="1" applyBorder="1" applyAlignment="1">
      <alignment horizontal="center" vertical="center"/>
    </xf>
    <xf numFmtId="0" fontId="53" fillId="30" borderId="304" xfId="0" applyFont="1" applyFill="1" applyBorder="1" applyAlignment="1">
      <alignment horizontal="center" vertical="center"/>
    </xf>
    <xf numFmtId="0" fontId="53" fillId="30" borderId="319" xfId="0" applyFont="1" applyFill="1" applyBorder="1" applyAlignment="1">
      <alignment horizontal="center" vertical="center"/>
    </xf>
    <xf numFmtId="0" fontId="36" fillId="29" borderId="320" xfId="0" applyFont="1" applyFill="1" applyBorder="1" applyAlignment="1">
      <alignment horizontal="center" vertical="center" wrapText="1"/>
    </xf>
    <xf numFmtId="0" fontId="36" fillId="29" borderId="284" xfId="0" applyFont="1" applyFill="1" applyBorder="1" applyAlignment="1">
      <alignment horizontal="center" vertical="center" wrapText="1"/>
    </xf>
    <xf numFmtId="0" fontId="102" fillId="30" borderId="321" xfId="0" applyFont="1" applyFill="1" applyBorder="1" applyAlignment="1">
      <alignment horizontal="center" vertical="center"/>
    </xf>
    <xf numFmtId="0" fontId="102" fillId="30" borderId="304" xfId="0" applyFont="1" applyFill="1" applyBorder="1" applyAlignment="1">
      <alignment horizontal="center" vertical="center"/>
    </xf>
    <xf numFmtId="0" fontId="102" fillId="30" borderId="305" xfId="0" applyFont="1" applyFill="1" applyBorder="1" applyAlignment="1">
      <alignment horizontal="center" vertical="center"/>
    </xf>
    <xf numFmtId="0" fontId="36" fillId="7" borderId="322" xfId="0" applyFont="1" applyFill="1" applyBorder="1" applyAlignment="1">
      <alignment horizontal="right" vertical="center"/>
    </xf>
    <xf numFmtId="0" fontId="36" fillId="7" borderId="282" xfId="0" applyFont="1" applyFill="1" applyBorder="1" applyAlignment="1">
      <alignment horizontal="right" vertical="center"/>
    </xf>
    <xf numFmtId="0" fontId="91" fillId="19" borderId="237" xfId="0" applyFont="1" applyFill="1" applyBorder="1" applyAlignment="1">
      <alignment horizontal="left" vertical="center" wrapText="1"/>
    </xf>
    <xf numFmtId="0" fontId="91" fillId="19" borderId="238" xfId="0" applyFont="1" applyFill="1" applyBorder="1" applyAlignment="1">
      <alignment horizontal="left" vertical="center" wrapText="1"/>
    </xf>
    <xf numFmtId="0" fontId="91" fillId="19" borderId="323" xfId="0" applyFont="1" applyFill="1" applyBorder="1" applyAlignment="1">
      <alignment horizontal="left" vertical="center" wrapText="1"/>
    </xf>
    <xf numFmtId="0" fontId="36" fillId="7" borderId="131" xfId="0" applyFont="1" applyFill="1" applyBorder="1" applyAlignment="1">
      <alignment horizontal="right" vertical="center"/>
    </xf>
    <xf numFmtId="0" fontId="36" fillId="7" borderId="133" xfId="0" applyFont="1" applyFill="1" applyBorder="1" applyAlignment="1">
      <alignment horizontal="right" vertical="center"/>
    </xf>
    <xf numFmtId="0" fontId="91" fillId="19" borderId="326" xfId="0" applyFont="1" applyFill="1" applyBorder="1" applyAlignment="1">
      <alignment horizontal="left" vertical="center" wrapText="1"/>
    </xf>
    <xf numFmtId="0" fontId="91" fillId="19" borderId="327" xfId="0" applyFont="1" applyFill="1" applyBorder="1" applyAlignment="1">
      <alignment horizontal="left" vertical="center" wrapText="1"/>
    </xf>
    <xf numFmtId="0" fontId="91" fillId="19" borderId="328" xfId="0" applyFont="1" applyFill="1" applyBorder="1" applyAlignment="1">
      <alignment horizontal="left" vertical="center" wrapText="1"/>
    </xf>
    <xf numFmtId="0" fontId="53" fillId="3" borderId="96" xfId="0" applyFont="1" applyFill="1" applyBorder="1" applyAlignment="1">
      <alignment horizontal="left" vertical="center"/>
    </xf>
    <xf numFmtId="0" fontId="58" fillId="12" borderId="128" xfId="0" applyFont="1" applyFill="1" applyBorder="1" applyAlignment="1">
      <alignment horizontal="center" vertical="center" wrapText="1"/>
    </xf>
    <xf numFmtId="0" fontId="58" fillId="12" borderId="0" xfId="0" applyFont="1" applyFill="1" applyAlignment="1">
      <alignment horizontal="center" vertical="center" wrapText="1"/>
    </xf>
    <xf numFmtId="0" fontId="58" fillId="12" borderId="133" xfId="0" applyFont="1" applyFill="1" applyBorder="1" applyAlignment="1">
      <alignment horizontal="center" vertical="center" wrapText="1"/>
    </xf>
    <xf numFmtId="0" fontId="53" fillId="7" borderId="332" xfId="0" applyFont="1" applyFill="1" applyBorder="1" applyAlignment="1">
      <alignment horizontal="center" vertical="center"/>
    </xf>
    <xf numFmtId="0" fontId="53" fillId="7" borderId="177" xfId="0" applyFont="1" applyFill="1" applyBorder="1" applyAlignment="1">
      <alignment horizontal="center" vertical="center"/>
    </xf>
    <xf numFmtId="0" fontId="53" fillId="0" borderId="178" xfId="0" applyFont="1" applyBorder="1" applyAlignment="1">
      <alignment horizontal="center" vertical="center"/>
    </xf>
    <xf numFmtId="0" fontId="53" fillId="0" borderId="179" xfId="0" applyFont="1" applyBorder="1" applyAlignment="1">
      <alignment horizontal="center" vertical="center"/>
    </xf>
    <xf numFmtId="0" fontId="53" fillId="0" borderId="171" xfId="0" applyFont="1" applyBorder="1" applyAlignment="1">
      <alignment horizontal="center" vertical="center"/>
    </xf>
    <xf numFmtId="0" fontId="53" fillId="7" borderId="333" xfId="0" applyFont="1" applyFill="1" applyBorder="1" applyAlignment="1">
      <alignment horizontal="center" vertical="center"/>
    </xf>
    <xf numFmtId="0" fontId="53" fillId="7" borderId="334" xfId="0" applyFont="1" applyFill="1" applyBorder="1" applyAlignment="1">
      <alignment horizontal="center" vertical="center"/>
    </xf>
    <xf numFmtId="0" fontId="53" fillId="0" borderId="335" xfId="0" applyFont="1" applyBorder="1" applyAlignment="1">
      <alignment horizontal="center" vertical="center"/>
    </xf>
    <xf numFmtId="0" fontId="53" fillId="0" borderId="336" xfId="0" applyFont="1" applyBorder="1" applyAlignment="1">
      <alignment horizontal="center" vertical="center"/>
    </xf>
    <xf numFmtId="0" fontId="53" fillId="0" borderId="133" xfId="0" applyFont="1" applyBorder="1" applyAlignment="1">
      <alignment horizontal="center" vertical="center"/>
    </xf>
    <xf numFmtId="0" fontId="83" fillId="20" borderId="126" xfId="0" applyFont="1" applyFill="1" applyBorder="1" applyAlignment="1">
      <alignment horizontal="center" vertical="center"/>
    </xf>
    <xf numFmtId="0" fontId="83" fillId="20" borderId="128" xfId="0" applyFont="1" applyFill="1" applyBorder="1" applyAlignment="1">
      <alignment horizontal="center" vertical="center"/>
    </xf>
    <xf numFmtId="0" fontId="83" fillId="29" borderId="329" xfId="0" applyFont="1" applyFill="1" applyBorder="1" applyAlignment="1">
      <alignment horizontal="center" vertical="center" wrapText="1"/>
    </xf>
    <xf numFmtId="0" fontId="83" fillId="29" borderId="342" xfId="0" applyFont="1" applyFill="1" applyBorder="1" applyAlignment="1">
      <alignment horizontal="center" vertical="center" wrapText="1"/>
    </xf>
    <xf numFmtId="0" fontId="83" fillId="20" borderId="330" xfId="0" applyFont="1" applyFill="1" applyBorder="1" applyAlignment="1">
      <alignment horizontal="center" vertical="center"/>
    </xf>
    <xf numFmtId="0" fontId="83" fillId="20" borderId="331" xfId="0" applyFont="1" applyFill="1" applyBorder="1" applyAlignment="1">
      <alignment horizontal="center" vertical="center"/>
    </xf>
    <xf numFmtId="0" fontId="53" fillId="20" borderId="337" xfId="0" applyFont="1" applyFill="1" applyBorder="1" applyAlignment="1">
      <alignment horizontal="center" vertical="center"/>
    </xf>
    <xf numFmtId="0" fontId="53" fillId="20" borderId="338" xfId="0" applyFont="1" applyFill="1" applyBorder="1" applyAlignment="1">
      <alignment horizontal="center" vertical="center"/>
    </xf>
    <xf numFmtId="0" fontId="53" fillId="20" borderId="339" xfId="0" applyFont="1" applyFill="1" applyBorder="1" applyAlignment="1">
      <alignment horizontal="center" vertical="center"/>
    </xf>
    <xf numFmtId="0" fontId="53" fillId="20" borderId="340" xfId="0" applyFont="1" applyFill="1" applyBorder="1" applyAlignment="1">
      <alignment horizontal="center" vertical="center"/>
    </xf>
    <xf numFmtId="0" fontId="53" fillId="20" borderId="341" xfId="0" applyFont="1" applyFill="1" applyBorder="1" applyAlignment="1">
      <alignment horizontal="center" vertical="center"/>
    </xf>
    <xf numFmtId="0" fontId="38" fillId="7" borderId="295" xfId="0" applyFont="1" applyFill="1" applyBorder="1" applyAlignment="1">
      <alignment horizontal="center" vertical="center"/>
    </xf>
    <xf numFmtId="0" fontId="38" fillId="7" borderId="296" xfId="0" applyFont="1" applyFill="1" applyBorder="1" applyAlignment="1">
      <alignment horizontal="center" vertical="center"/>
    </xf>
    <xf numFmtId="0" fontId="56" fillId="19" borderId="126" xfId="0" applyFont="1" applyFill="1" applyBorder="1" applyAlignment="1" applyProtection="1">
      <alignment horizontal="center" vertical="center"/>
      <protection locked="0"/>
    </xf>
    <xf numFmtId="0" fontId="56" fillId="19" borderId="128" xfId="0" applyFont="1" applyFill="1" applyBorder="1" applyAlignment="1" applyProtection="1">
      <alignment horizontal="center" vertical="center"/>
      <protection locked="0"/>
    </xf>
    <xf numFmtId="0" fontId="56" fillId="19" borderId="127" xfId="0" applyFont="1" applyFill="1" applyBorder="1" applyAlignment="1" applyProtection="1">
      <alignment horizontal="center" vertical="center"/>
      <protection locked="0"/>
    </xf>
    <xf numFmtId="0" fontId="56" fillId="19" borderId="129" xfId="0" applyFont="1" applyFill="1" applyBorder="1" applyAlignment="1" applyProtection="1">
      <alignment horizontal="center" vertical="center"/>
      <protection locked="0"/>
    </xf>
    <xf numFmtId="0" fontId="56" fillId="19" borderId="0" xfId="0" applyFont="1" applyFill="1" applyAlignment="1" applyProtection="1">
      <alignment horizontal="center" vertical="center"/>
      <protection locked="0"/>
    </xf>
    <xf numFmtId="0" fontId="56" fillId="19" borderId="130" xfId="0" applyFont="1" applyFill="1" applyBorder="1" applyAlignment="1" applyProtection="1">
      <alignment horizontal="center" vertical="center"/>
      <protection locked="0"/>
    </xf>
    <xf numFmtId="0" fontId="56" fillId="19" borderId="131" xfId="0" applyFont="1" applyFill="1" applyBorder="1" applyAlignment="1" applyProtection="1">
      <alignment horizontal="center" vertical="center"/>
      <protection locked="0"/>
    </xf>
    <xf numFmtId="0" fontId="56" fillId="19" borderId="133" xfId="0" applyFont="1" applyFill="1" applyBorder="1" applyAlignment="1" applyProtection="1">
      <alignment horizontal="center" vertical="center"/>
      <protection locked="0"/>
    </xf>
    <xf numFmtId="0" fontId="56" fillId="19" borderId="132" xfId="0" applyFont="1" applyFill="1" applyBorder="1" applyAlignment="1" applyProtection="1">
      <alignment horizontal="center" vertical="center"/>
      <protection locked="0"/>
    </xf>
    <xf numFmtId="0" fontId="53" fillId="3" borderId="310" xfId="0" applyFont="1" applyFill="1" applyBorder="1" applyAlignment="1">
      <alignment horizontal="center" vertical="center"/>
    </xf>
    <xf numFmtId="0" fontId="53" fillId="3" borderId="311" xfId="0" applyFont="1" applyFill="1" applyBorder="1" applyAlignment="1">
      <alignment horizontal="center" vertical="center"/>
    </xf>
    <xf numFmtId="0" fontId="53" fillId="3" borderId="312" xfId="0" applyFont="1" applyFill="1" applyBorder="1" applyAlignment="1">
      <alignment horizontal="center" vertical="center"/>
    </xf>
    <xf numFmtId="0" fontId="53" fillId="30" borderId="288" xfId="0" applyFont="1" applyFill="1" applyBorder="1" applyAlignment="1">
      <alignment horizontal="center" vertical="center"/>
    </xf>
    <xf numFmtId="0" fontId="53" fillId="30" borderId="289" xfId="0" applyFont="1" applyFill="1" applyBorder="1" applyAlignment="1">
      <alignment horizontal="center" vertical="center"/>
    </xf>
    <xf numFmtId="0" fontId="53" fillId="30" borderId="290" xfId="0" applyFont="1" applyFill="1" applyBorder="1" applyAlignment="1">
      <alignment horizontal="center" vertical="center"/>
    </xf>
    <xf numFmtId="0" fontId="67" fillId="29" borderId="291" xfId="0" applyFont="1" applyFill="1" applyBorder="1" applyAlignment="1">
      <alignment horizontal="center" vertical="center"/>
    </xf>
    <xf numFmtId="0" fontId="67" fillId="29" borderId="292" xfId="0" applyFont="1" applyFill="1" applyBorder="1" applyAlignment="1">
      <alignment horizontal="center" vertical="center"/>
    </xf>
    <xf numFmtId="0" fontId="104" fillId="30" borderId="303" xfId="0" applyFont="1" applyFill="1" applyBorder="1" applyAlignment="1">
      <alignment horizontal="center" vertical="center"/>
    </xf>
    <xf numFmtId="0" fontId="104" fillId="30" borderId="304" xfId="0" applyFont="1" applyFill="1" applyBorder="1" applyAlignment="1">
      <alignment horizontal="center" vertical="center"/>
    </xf>
    <xf numFmtId="0" fontId="104" fillId="30" borderId="305" xfId="0" applyFont="1" applyFill="1" applyBorder="1" applyAlignment="1">
      <alignment horizontal="center" vertical="center"/>
    </xf>
    <xf numFmtId="0" fontId="92" fillId="20" borderId="129" xfId="0" applyFont="1" applyFill="1" applyBorder="1" applyAlignment="1">
      <alignment horizontal="center" vertical="center" wrapText="1"/>
    </xf>
    <xf numFmtId="0" fontId="92" fillId="20" borderId="0" xfId="0" applyFont="1" applyFill="1" applyAlignment="1">
      <alignment horizontal="center" vertical="center" wrapText="1"/>
    </xf>
    <xf numFmtId="0" fontId="92" fillId="20" borderId="131" xfId="0" applyFont="1" applyFill="1" applyBorder="1" applyAlignment="1">
      <alignment horizontal="center" vertical="center" wrapText="1"/>
    </xf>
    <xf numFmtId="0" fontId="92" fillId="20" borderId="133" xfId="0" applyFont="1" applyFill="1" applyBorder="1" applyAlignment="1">
      <alignment horizontal="center" vertical="center" wrapText="1"/>
    </xf>
    <xf numFmtId="0" fontId="56" fillId="7" borderId="178" xfId="0" applyFont="1" applyFill="1" applyBorder="1" applyAlignment="1">
      <alignment horizontal="center" vertical="center"/>
    </xf>
    <xf numFmtId="0" fontId="56" fillId="7" borderId="246" xfId="0" applyFont="1" applyFill="1" applyBorder="1" applyAlignment="1">
      <alignment horizontal="center" vertical="center"/>
    </xf>
    <xf numFmtId="164" fontId="53" fillId="0" borderId="254" xfId="0" applyNumberFormat="1" applyFont="1" applyBorder="1" applyAlignment="1">
      <alignment horizontal="center" vertical="center"/>
    </xf>
    <xf numFmtId="164" fontId="53" fillId="0" borderId="293" xfId="0" applyNumberFormat="1" applyFont="1" applyBorder="1" applyAlignment="1">
      <alignment horizontal="center" vertical="center"/>
    </xf>
    <xf numFmtId="0" fontId="53" fillId="3" borderId="306" xfId="0" applyFont="1" applyFill="1" applyBorder="1" applyAlignment="1">
      <alignment horizontal="center" vertical="center"/>
    </xf>
    <xf numFmtId="0" fontId="53" fillId="3" borderId="171" xfId="0" applyFont="1" applyFill="1" applyBorder="1" applyAlignment="1">
      <alignment horizontal="center" vertical="center"/>
    </xf>
    <xf numFmtId="0" fontId="53" fillId="3" borderId="307" xfId="0" applyFont="1" applyFill="1" applyBorder="1" applyAlignment="1">
      <alignment horizontal="center" vertical="center"/>
    </xf>
    <xf numFmtId="0" fontId="56" fillId="7" borderId="134" xfId="0" applyFont="1" applyFill="1" applyBorder="1" applyAlignment="1">
      <alignment horizontal="center" vertical="center"/>
    </xf>
    <xf numFmtId="0" fontId="56" fillId="7" borderId="211" xfId="0" applyFont="1" applyFill="1" applyBorder="1" applyAlignment="1">
      <alignment horizontal="center" vertical="center"/>
    </xf>
    <xf numFmtId="164" fontId="53" fillId="0" borderId="49" xfId="0" applyNumberFormat="1" applyFont="1" applyBorder="1" applyAlignment="1">
      <alignment horizontal="center" vertical="center"/>
    </xf>
    <xf numFmtId="164" fontId="53" fillId="0" borderId="294" xfId="0" applyNumberFormat="1" applyFont="1" applyBorder="1" applyAlignment="1">
      <alignment horizontal="center" vertical="center"/>
    </xf>
    <xf numFmtId="0" fontId="53" fillId="3" borderId="308" xfId="0" applyFont="1" applyFill="1" applyBorder="1" applyAlignment="1">
      <alignment horizontal="center" vertical="center"/>
    </xf>
    <xf numFmtId="0" fontId="53" fillId="3" borderId="47" xfId="0" applyFont="1" applyFill="1" applyBorder="1" applyAlignment="1">
      <alignment horizontal="center" vertical="center"/>
    </xf>
    <xf numFmtId="0" fontId="53" fillId="3" borderId="309" xfId="0" applyFont="1" applyFill="1" applyBorder="1" applyAlignment="1">
      <alignment horizontal="center" vertical="center"/>
    </xf>
    <xf numFmtId="0" fontId="56" fillId="7" borderId="295" xfId="0" applyFont="1" applyFill="1" applyBorder="1" applyAlignment="1">
      <alignment horizontal="center" vertical="center"/>
    </xf>
    <xf numFmtId="0" fontId="56" fillId="7" borderId="296" xfId="0" applyFont="1" applyFill="1" applyBorder="1" applyAlignment="1">
      <alignment horizontal="center" vertical="center"/>
    </xf>
    <xf numFmtId="164" fontId="53" fillId="0" borderId="297" xfId="0" applyNumberFormat="1" applyFont="1" applyBorder="1" applyAlignment="1">
      <alignment horizontal="center" vertical="center"/>
    </xf>
    <xf numFmtId="164" fontId="53" fillId="0" borderId="298" xfId="0" applyNumberFormat="1" applyFont="1" applyBorder="1" applyAlignment="1">
      <alignment horizontal="center" vertical="center"/>
    </xf>
    <xf numFmtId="9" fontId="56" fillId="27" borderId="311" xfId="0" applyNumberFormat="1" applyFont="1" applyFill="1" applyBorder="1" applyAlignment="1">
      <alignment horizontal="center" vertical="center"/>
    </xf>
    <xf numFmtId="9" fontId="56" fillId="27" borderId="312" xfId="0" applyNumberFormat="1" applyFont="1" applyFill="1" applyBorder="1" applyAlignment="1">
      <alignment horizontal="center" vertical="center"/>
    </xf>
    <xf numFmtId="0" fontId="35" fillId="0" borderId="87" xfId="0" applyFont="1" applyBorder="1" applyAlignment="1">
      <alignment horizontal="left" vertical="center"/>
    </xf>
    <xf numFmtId="0" fontId="35" fillId="0" borderId="84" xfId="0" applyFont="1" applyBorder="1" applyAlignment="1">
      <alignment horizontal="left" vertical="center"/>
    </xf>
    <xf numFmtId="0" fontId="35" fillId="0" borderId="85" xfId="0" applyFont="1" applyBorder="1" applyAlignment="1">
      <alignment horizontal="left" vertical="center"/>
    </xf>
    <xf numFmtId="0" fontId="53" fillId="30" borderId="126" xfId="0" applyFont="1" applyFill="1" applyBorder="1" applyAlignment="1">
      <alignment horizontal="center" vertical="center"/>
    </xf>
    <xf numFmtId="0" fontId="53" fillId="30" borderId="128" xfId="0" applyFont="1" applyFill="1" applyBorder="1" applyAlignment="1">
      <alignment horizontal="center" vertical="center"/>
    </xf>
    <xf numFmtId="0" fontId="53" fillId="30" borderId="313" xfId="0" applyFont="1" applyFill="1" applyBorder="1" applyAlignment="1">
      <alignment horizontal="center" vertical="center"/>
    </xf>
    <xf numFmtId="0" fontId="67" fillId="29" borderId="128" xfId="0" applyFont="1" applyFill="1" applyBorder="1" applyAlignment="1">
      <alignment horizontal="center" vertical="center"/>
    </xf>
    <xf numFmtId="0" fontId="67" fillId="29" borderId="127" xfId="0" applyFont="1" applyFill="1" applyBorder="1" applyAlignment="1">
      <alignment horizontal="center" vertical="center"/>
    </xf>
    <xf numFmtId="0" fontId="92" fillId="20" borderId="299" xfId="0" applyFont="1" applyFill="1" applyBorder="1" applyAlignment="1">
      <alignment horizontal="center" vertical="center" wrapText="1"/>
    </xf>
    <xf numFmtId="0" fontId="92" fillId="20" borderId="17" xfId="0" applyFont="1" applyFill="1" applyBorder="1" applyAlignment="1">
      <alignment horizontal="center" vertical="center" wrapText="1"/>
    </xf>
    <xf numFmtId="0" fontId="92" fillId="20" borderId="300" xfId="0" applyFont="1" applyFill="1" applyBorder="1" applyAlignment="1">
      <alignment horizontal="center" vertical="center" wrapText="1"/>
    </xf>
    <xf numFmtId="0" fontId="92" fillId="20" borderId="2" xfId="0" applyFont="1" applyFill="1" applyBorder="1" applyAlignment="1">
      <alignment horizontal="center" vertical="center" wrapText="1"/>
    </xf>
    <xf numFmtId="0" fontId="92" fillId="20" borderId="301" xfId="0" applyFont="1" applyFill="1" applyBorder="1" applyAlignment="1">
      <alignment horizontal="center" vertical="center" wrapText="1"/>
    </xf>
    <xf numFmtId="0" fontId="92" fillId="20" borderId="302" xfId="0" applyFont="1" applyFill="1" applyBorder="1" applyAlignment="1">
      <alignment horizontal="center" vertical="center" wrapText="1"/>
    </xf>
    <xf numFmtId="0" fontId="56" fillId="7" borderId="252" xfId="0" applyFont="1" applyFill="1" applyBorder="1" applyAlignment="1">
      <alignment horizontal="center" vertical="center"/>
    </xf>
    <xf numFmtId="0" fontId="56" fillId="7" borderId="253" xfId="0" applyFont="1" applyFill="1" applyBorder="1" applyAlignment="1">
      <alignment horizontal="center" vertical="center"/>
    </xf>
    <xf numFmtId="0" fontId="102" fillId="30" borderId="303" xfId="0" applyFont="1" applyFill="1" applyBorder="1" applyAlignment="1">
      <alignment horizontal="center" vertical="center"/>
    </xf>
    <xf numFmtId="0" fontId="92" fillId="20" borderId="314" xfId="0" applyFont="1" applyFill="1" applyBorder="1" applyAlignment="1">
      <alignment horizontal="center" vertical="center"/>
    </xf>
    <xf numFmtId="0" fontId="92" fillId="20" borderId="248" xfId="0" applyFont="1" applyFill="1" applyBorder="1" applyAlignment="1">
      <alignment horizontal="center" vertical="center"/>
    </xf>
    <xf numFmtId="0" fontId="38" fillId="7" borderId="249" xfId="0" applyFont="1" applyFill="1" applyBorder="1" applyAlignment="1">
      <alignment horizontal="center" vertical="center"/>
    </xf>
    <xf numFmtId="0" fontId="38" fillId="7" borderId="250" xfId="0" applyFont="1" applyFill="1" applyBorder="1" applyAlignment="1">
      <alignment horizontal="center" vertical="center"/>
    </xf>
    <xf numFmtId="9" fontId="56" fillId="27" borderId="248" xfId="0" applyNumberFormat="1" applyFont="1" applyFill="1" applyBorder="1" applyAlignment="1">
      <alignment horizontal="center" vertical="center"/>
    </xf>
    <xf numFmtId="9" fontId="56" fillId="27" borderId="315" xfId="0" applyNumberFormat="1" applyFont="1" applyFill="1" applyBorder="1" applyAlignment="1">
      <alignment horizontal="center" vertical="center"/>
    </xf>
    <xf numFmtId="0" fontId="38" fillId="19" borderId="299" xfId="0" applyFont="1" applyFill="1" applyBorder="1" applyAlignment="1">
      <alignment horizontal="center" vertical="center" wrapText="1"/>
    </xf>
    <xf numFmtId="0" fontId="38" fillId="19" borderId="17" xfId="0" applyFont="1" applyFill="1" applyBorder="1" applyAlignment="1">
      <alignment horizontal="center" vertical="center" wrapText="1"/>
    </xf>
    <xf numFmtId="0" fontId="38" fillId="19" borderId="316" xfId="0" applyFont="1" applyFill="1" applyBorder="1" applyAlignment="1">
      <alignment horizontal="center" vertical="center" wrapText="1"/>
    </xf>
    <xf numFmtId="0" fontId="38" fillId="19" borderId="300" xfId="0" applyFont="1" applyFill="1" applyBorder="1" applyAlignment="1">
      <alignment horizontal="center" vertical="center" wrapText="1"/>
    </xf>
    <xf numFmtId="0" fontId="38" fillId="19" borderId="2" xfId="0" applyFont="1" applyFill="1" applyBorder="1" applyAlignment="1">
      <alignment horizontal="center" vertical="center" wrapText="1"/>
    </xf>
    <xf numFmtId="0" fontId="38" fillId="19" borderId="317" xfId="0" applyFont="1" applyFill="1" applyBorder="1" applyAlignment="1">
      <alignment horizontal="center" vertical="center" wrapText="1"/>
    </xf>
    <xf numFmtId="0" fontId="38" fillId="19" borderId="301" xfId="0" applyFont="1" applyFill="1" applyBorder="1" applyAlignment="1">
      <alignment horizontal="center" vertical="center" wrapText="1"/>
    </xf>
    <xf numFmtId="0" fontId="38" fillId="19" borderId="302" xfId="0" applyFont="1" applyFill="1" applyBorder="1" applyAlignment="1">
      <alignment horizontal="center" vertical="center" wrapText="1"/>
    </xf>
    <xf numFmtId="0" fontId="38" fillId="19" borderId="318" xfId="0" applyFont="1" applyFill="1" applyBorder="1" applyAlignment="1">
      <alignment horizontal="center" vertical="center" wrapText="1"/>
    </xf>
    <xf numFmtId="0" fontId="92" fillId="20" borderId="129" xfId="0" applyFont="1" applyFill="1" applyBorder="1" applyAlignment="1">
      <alignment horizontal="center" vertical="center"/>
    </xf>
    <xf numFmtId="0" fontId="92" fillId="20" borderId="0" xfId="0" applyFont="1" applyFill="1" applyAlignment="1">
      <alignment horizontal="center" vertical="center"/>
    </xf>
    <xf numFmtId="0" fontId="92" fillId="20" borderId="131" xfId="0" applyFont="1" applyFill="1" applyBorder="1" applyAlignment="1">
      <alignment horizontal="center" vertical="center"/>
    </xf>
    <xf numFmtId="0" fontId="92" fillId="20" borderId="133" xfId="0" applyFont="1" applyFill="1" applyBorder="1" applyAlignment="1">
      <alignment horizontal="center" vertical="center"/>
    </xf>
    <xf numFmtId="0" fontId="38" fillId="7" borderId="178" xfId="0" applyFont="1" applyFill="1" applyBorder="1" applyAlignment="1">
      <alignment horizontal="center" vertical="center"/>
    </xf>
    <xf numFmtId="0" fontId="38" fillId="7" borderId="246" xfId="0" applyFont="1" applyFill="1" applyBorder="1" applyAlignment="1">
      <alignment horizontal="center" vertical="center"/>
    </xf>
    <xf numFmtId="9" fontId="56" fillId="27" borderId="171" xfId="0" applyNumberFormat="1" applyFont="1" applyFill="1" applyBorder="1" applyAlignment="1">
      <alignment horizontal="center" vertical="center"/>
    </xf>
    <xf numFmtId="9" fontId="56" fillId="27" borderId="307" xfId="0" applyNumberFormat="1" applyFont="1" applyFill="1" applyBorder="1" applyAlignment="1">
      <alignment horizontal="center" vertical="center"/>
    </xf>
    <xf numFmtId="0" fontId="38" fillId="7" borderId="134" xfId="0" applyFont="1" applyFill="1" applyBorder="1" applyAlignment="1">
      <alignment horizontal="center" vertical="center"/>
    </xf>
    <xf numFmtId="0" fontId="38" fillId="7" borderId="211" xfId="0" applyFont="1" applyFill="1" applyBorder="1" applyAlignment="1">
      <alignment horizontal="center" vertical="center"/>
    </xf>
    <xf numFmtId="9" fontId="56" fillId="27" borderId="47" xfId="0" applyNumberFormat="1" applyFont="1" applyFill="1" applyBorder="1" applyAlignment="1">
      <alignment horizontal="center" vertical="center"/>
    </xf>
    <xf numFmtId="9" fontId="56" fillId="27" borderId="309" xfId="0" applyNumberFormat="1" applyFont="1" applyFill="1" applyBorder="1" applyAlignment="1">
      <alignment horizontal="center" vertical="center"/>
    </xf>
    <xf numFmtId="0" fontId="57" fillId="3" borderId="85" xfId="0" applyFont="1" applyFill="1" applyBorder="1" applyAlignment="1">
      <alignment horizontal="right" vertical="center"/>
    </xf>
    <xf numFmtId="14" fontId="35" fillId="0" borderId="87" xfId="0" applyNumberFormat="1" applyFont="1" applyBorder="1" applyAlignment="1">
      <alignment horizontal="left" vertical="center"/>
    </xf>
    <xf numFmtId="14" fontId="35" fillId="0" borderId="84" xfId="0" applyNumberFormat="1" applyFont="1" applyBorder="1" applyAlignment="1">
      <alignment horizontal="left" vertical="center"/>
    </xf>
    <xf numFmtId="14" fontId="35" fillId="0" borderId="89" xfId="0" applyNumberFormat="1" applyFont="1" applyBorder="1" applyAlignment="1">
      <alignment horizontal="left" vertical="center"/>
    </xf>
    <xf numFmtId="0" fontId="57" fillId="0" borderId="164" xfId="0" applyFont="1" applyBorder="1" applyAlignment="1">
      <alignment horizontal="right" vertical="center"/>
    </xf>
    <xf numFmtId="0" fontId="57" fillId="0" borderId="165" xfId="0" applyFont="1" applyBorder="1" applyAlignment="1">
      <alignment horizontal="right" vertical="center"/>
    </xf>
    <xf numFmtId="0" fontId="57" fillId="0" borderId="166" xfId="0" applyFont="1" applyBorder="1" applyAlignment="1">
      <alignment horizontal="right" vertical="center"/>
    </xf>
    <xf numFmtId="0" fontId="35" fillId="0" borderId="86" xfId="0" applyFont="1" applyBorder="1" applyAlignment="1">
      <alignment horizontal="left" vertical="center"/>
    </xf>
    <xf numFmtId="0" fontId="35" fillId="0" borderId="81" xfId="0" applyFont="1" applyBorder="1" applyAlignment="1">
      <alignment horizontal="left" vertical="center"/>
    </xf>
    <xf numFmtId="0" fontId="35" fillId="0" borderId="88" xfId="0" applyFont="1" applyBorder="1" applyAlignment="1">
      <alignment horizontal="left" vertical="center"/>
    </xf>
    <xf numFmtId="0" fontId="57" fillId="0" borderId="163" xfId="0" applyFont="1" applyBorder="1" applyAlignment="1">
      <alignment horizontal="right" vertical="center"/>
    </xf>
    <xf numFmtId="0" fontId="57" fillId="0" borderId="0" xfId="0" applyFont="1" applyAlignment="1">
      <alignment horizontal="right" vertical="center"/>
    </xf>
    <xf numFmtId="0" fontId="57" fillId="0" borderId="161" xfId="0" applyFont="1" applyBorder="1" applyAlignment="1">
      <alignment horizontal="right" vertical="center"/>
    </xf>
    <xf numFmtId="0" fontId="35" fillId="0" borderId="82" xfId="0" applyFont="1" applyBorder="1" applyAlignment="1">
      <alignment horizontal="left" vertical="center"/>
    </xf>
    <xf numFmtId="14" fontId="35" fillId="0" borderId="86" xfId="0" applyNumberFormat="1" applyFont="1" applyBorder="1" applyAlignment="1">
      <alignment horizontal="left" vertical="center"/>
    </xf>
    <xf numFmtId="14" fontId="35" fillId="0" borderId="81" xfId="0" applyNumberFormat="1" applyFont="1" applyBorder="1" applyAlignment="1">
      <alignment horizontal="left" vertical="center"/>
    </xf>
    <xf numFmtId="14" fontId="35" fillId="0" borderId="88" xfId="0" applyNumberFormat="1" applyFont="1" applyBorder="1" applyAlignment="1">
      <alignment horizontal="left" vertical="center"/>
    </xf>
    <xf numFmtId="0" fontId="37" fillId="21" borderId="142" xfId="0" applyFont="1" applyFill="1" applyBorder="1" applyAlignment="1">
      <alignment horizontal="center" vertical="center" wrapText="1"/>
    </xf>
    <xf numFmtId="0" fontId="37" fillId="21" borderId="143" xfId="0" applyFont="1" applyFill="1" applyBorder="1" applyAlignment="1">
      <alignment horizontal="center" vertical="center" wrapText="1"/>
    </xf>
    <xf numFmtId="0" fontId="103" fillId="23" borderId="5" xfId="0" applyFont="1" applyFill="1" applyBorder="1" applyAlignment="1">
      <alignment horizontal="center" vertical="center" wrapText="1"/>
    </xf>
    <xf numFmtId="0" fontId="103" fillId="23" borderId="18" xfId="0" applyFont="1" applyFill="1" applyBorder="1" applyAlignment="1">
      <alignment horizontal="center" vertical="center" wrapText="1"/>
    </xf>
    <xf numFmtId="0" fontId="57" fillId="0" borderId="162" xfId="0" applyFont="1" applyBorder="1" applyAlignment="1">
      <alignment horizontal="right" vertical="center"/>
    </xf>
    <xf numFmtId="0" fontId="57" fillId="0" borderId="159" xfId="0" applyFont="1" applyBorder="1" applyAlignment="1">
      <alignment horizontal="right" vertical="center"/>
    </xf>
    <xf numFmtId="0" fontId="57" fillId="0" borderId="160" xfId="0" applyFont="1" applyBorder="1" applyAlignment="1">
      <alignment horizontal="right" vertical="center"/>
    </xf>
    <xf numFmtId="0" fontId="35" fillId="0" borderId="157" xfId="0" applyFont="1" applyBorder="1" applyAlignment="1">
      <alignment horizontal="left" vertical="center"/>
    </xf>
    <xf numFmtId="0" fontId="35" fillId="0" borderId="158" xfId="0" applyFont="1" applyBorder="1" applyAlignment="1">
      <alignment horizontal="left" vertical="center"/>
    </xf>
    <xf numFmtId="0" fontId="53" fillId="7" borderId="267" xfId="0" applyFont="1" applyFill="1" applyBorder="1" applyAlignment="1">
      <alignment horizontal="center" vertical="center"/>
    </xf>
    <xf numFmtId="0" fontId="53" fillId="7" borderId="43" xfId="0" applyFont="1" applyFill="1" applyBorder="1" applyAlignment="1">
      <alignment horizontal="center" vertical="center"/>
    </xf>
    <xf numFmtId="0" fontId="53" fillId="0" borderId="134" xfId="0" applyFont="1" applyBorder="1" applyAlignment="1">
      <alignment horizontal="center" vertical="center"/>
    </xf>
    <xf numFmtId="0" fontId="53" fillId="0" borderId="43" xfId="0" applyFont="1" applyBorder="1" applyAlignment="1">
      <alignment horizontal="center" vertical="center"/>
    </xf>
    <xf numFmtId="0" fontId="53" fillId="0" borderId="47" xfId="0" applyFont="1" applyBorder="1" applyAlignment="1">
      <alignment horizontal="center" vertical="center"/>
    </xf>
    <xf numFmtId="0" fontId="36" fillId="20" borderId="172" xfId="0" applyFont="1" applyFill="1" applyBorder="1" applyAlignment="1">
      <alignment horizontal="center" vertical="center"/>
    </xf>
    <xf numFmtId="0" fontId="36" fillId="20" borderId="173" xfId="0" applyFont="1" applyFill="1" applyBorder="1" applyAlignment="1">
      <alignment horizontal="center" vertical="center"/>
    </xf>
    <xf numFmtId="0" fontId="83" fillId="7" borderId="172" xfId="0" applyFont="1" applyFill="1" applyBorder="1" applyAlignment="1">
      <alignment horizontal="center" vertical="center"/>
    </xf>
    <xf numFmtId="0" fontId="83" fillId="7" borderId="173" xfId="0" applyFont="1" applyFill="1" applyBorder="1" applyAlignment="1">
      <alignment horizontal="center" vertical="center"/>
    </xf>
    <xf numFmtId="0" fontId="56" fillId="19" borderId="230" xfId="0" applyFont="1" applyFill="1" applyBorder="1" applyAlignment="1">
      <alignment horizontal="center" vertical="center"/>
    </xf>
    <xf numFmtId="0" fontId="56" fillId="19" borderId="231" xfId="0" applyFont="1" applyFill="1" applyBorder="1" applyAlignment="1">
      <alignment horizontal="center" vertical="center"/>
    </xf>
    <xf numFmtId="0" fontId="56" fillId="19" borderId="168" xfId="0" applyFont="1" applyFill="1" applyBorder="1" applyAlignment="1">
      <alignment horizontal="center" vertical="center"/>
    </xf>
    <xf numFmtId="0" fontId="56" fillId="19" borderId="47" xfId="0" applyFont="1" applyFill="1" applyBorder="1" applyAlignment="1">
      <alignment horizontal="center" vertical="center"/>
    </xf>
    <xf numFmtId="0" fontId="56" fillId="19" borderId="169" xfId="0" applyFont="1" applyFill="1" applyBorder="1" applyAlignment="1">
      <alignment horizontal="center" vertical="center"/>
    </xf>
    <xf numFmtId="0" fontId="56" fillId="19" borderId="174" xfId="0" applyFont="1" applyFill="1" applyBorder="1" applyAlignment="1">
      <alignment horizontal="center" vertical="center"/>
    </xf>
    <xf numFmtId="0" fontId="104" fillId="30" borderId="187" xfId="0" applyFont="1" applyFill="1" applyBorder="1" applyAlignment="1">
      <alignment horizontal="center" vertical="center"/>
    </xf>
    <xf numFmtId="0" fontId="104" fillId="30" borderId="188" xfId="0" applyFont="1" applyFill="1" applyBorder="1" applyAlignment="1">
      <alignment horizontal="center" vertical="center"/>
    </xf>
    <xf numFmtId="0" fontId="104" fillId="30" borderId="191" xfId="0" applyFont="1" applyFill="1" applyBorder="1" applyAlignment="1">
      <alignment horizontal="center" vertical="center"/>
    </xf>
    <xf numFmtId="0" fontId="53" fillId="3" borderId="192" xfId="0" applyFont="1" applyFill="1" applyBorder="1" applyAlignment="1">
      <alignment horizontal="center" vertical="center"/>
    </xf>
    <xf numFmtId="0" fontId="53" fillId="3" borderId="123" xfId="0" applyFont="1" applyFill="1" applyBorder="1" applyAlignment="1">
      <alignment horizontal="center" vertical="center"/>
    </xf>
    <xf numFmtId="0" fontId="53" fillId="3" borderId="193" xfId="0" applyFont="1" applyFill="1" applyBorder="1" applyAlignment="1">
      <alignment horizontal="center" vertical="center"/>
    </xf>
    <xf numFmtId="0" fontId="53" fillId="3" borderId="168" xfId="0" applyFont="1" applyFill="1" applyBorder="1" applyAlignment="1">
      <alignment horizontal="center" vertical="center"/>
    </xf>
    <xf numFmtId="0" fontId="53" fillId="3" borderId="167" xfId="0" applyFont="1" applyFill="1" applyBorder="1" applyAlignment="1">
      <alignment horizontal="center" vertical="center"/>
    </xf>
    <xf numFmtId="0" fontId="53" fillId="3" borderId="169" xfId="0" applyFont="1" applyFill="1" applyBorder="1" applyAlignment="1">
      <alignment horizontal="center" vertical="center"/>
    </xf>
    <xf numFmtId="0" fontId="53" fillId="3" borderId="174" xfId="0" applyFont="1" applyFill="1" applyBorder="1" applyAlignment="1">
      <alignment horizontal="center" vertical="center"/>
    </xf>
    <xf numFmtId="0" fontId="53" fillId="3" borderId="170" xfId="0" applyFont="1" applyFill="1" applyBorder="1" applyAlignment="1">
      <alignment horizontal="center" vertical="center"/>
    </xf>
    <xf numFmtId="0" fontId="10" fillId="19" borderId="230" xfId="0" applyFont="1" applyFill="1" applyBorder="1" applyAlignment="1">
      <alignment horizontal="center" vertical="center"/>
    </xf>
    <xf numFmtId="0" fontId="10" fillId="19" borderId="231" xfId="0" applyFont="1" applyFill="1" applyBorder="1" applyAlignment="1">
      <alignment horizontal="center" vertical="center"/>
    </xf>
    <xf numFmtId="0" fontId="10" fillId="19" borderId="168" xfId="0" applyFont="1" applyFill="1" applyBorder="1" applyAlignment="1">
      <alignment horizontal="center" vertical="center"/>
    </xf>
    <xf numFmtId="0" fontId="10" fillId="19" borderId="47" xfId="0" applyFont="1" applyFill="1" applyBorder="1" applyAlignment="1">
      <alignment horizontal="center" vertical="center"/>
    </xf>
    <xf numFmtId="0" fontId="10" fillId="19" borderId="169" xfId="0" applyFont="1" applyFill="1" applyBorder="1" applyAlignment="1">
      <alignment horizontal="center" vertical="center"/>
    </xf>
    <xf numFmtId="0" fontId="10" fillId="19" borderId="174" xfId="0" applyFont="1" applyFill="1" applyBorder="1" applyAlignment="1">
      <alignment horizontal="center" vertical="center"/>
    </xf>
    <xf numFmtId="0" fontId="83" fillId="7" borderId="202" xfId="0" applyFont="1" applyFill="1" applyBorder="1" applyAlignment="1">
      <alignment horizontal="center" vertical="center"/>
    </xf>
    <xf numFmtId="0" fontId="83" fillId="7" borderId="203" xfId="0" applyFont="1" applyFill="1" applyBorder="1" applyAlignment="1">
      <alignment horizontal="center" vertical="center"/>
    </xf>
    <xf numFmtId="0" fontId="56" fillId="19" borderId="201" xfId="0" applyFont="1" applyFill="1" applyBorder="1" applyAlignment="1">
      <alignment horizontal="center" vertical="center"/>
    </xf>
    <xf numFmtId="0" fontId="56" fillId="19" borderId="171" xfId="0" applyFont="1" applyFill="1" applyBorder="1" applyAlignment="1">
      <alignment horizontal="center" vertical="center"/>
    </xf>
    <xf numFmtId="0" fontId="56" fillId="19" borderId="205" xfId="0" applyFont="1" applyFill="1" applyBorder="1" applyAlignment="1">
      <alignment horizontal="center" vertical="center"/>
    </xf>
    <xf numFmtId="0" fontId="56" fillId="19" borderId="153" xfId="0" applyFont="1" applyFill="1" applyBorder="1" applyAlignment="1">
      <alignment horizontal="center" vertical="center"/>
    </xf>
    <xf numFmtId="0" fontId="53" fillId="30" borderId="218" xfId="0" applyFont="1" applyFill="1" applyBorder="1" applyAlignment="1">
      <alignment horizontal="center" vertical="center"/>
    </xf>
    <xf numFmtId="0" fontId="53" fillId="30" borderId="219" xfId="0" applyFont="1" applyFill="1" applyBorder="1" applyAlignment="1">
      <alignment horizontal="center" vertical="center"/>
    </xf>
    <xf numFmtId="0" fontId="53" fillId="30" borderId="243" xfId="0" applyFont="1" applyFill="1" applyBorder="1" applyAlignment="1">
      <alignment horizontal="center" vertical="center"/>
    </xf>
    <xf numFmtId="0" fontId="53" fillId="30" borderId="244" xfId="0" applyFont="1" applyFill="1" applyBorder="1" applyAlignment="1">
      <alignment horizontal="center" vertical="center"/>
    </xf>
    <xf numFmtId="0" fontId="53" fillId="30" borderId="245" xfId="0" applyFont="1" applyFill="1" applyBorder="1" applyAlignment="1">
      <alignment horizontal="center" vertical="center"/>
    </xf>
    <xf numFmtId="0" fontId="53" fillId="30" borderId="256" xfId="0" applyFont="1" applyFill="1" applyBorder="1" applyAlignment="1">
      <alignment horizontal="center" vertical="center"/>
    </xf>
    <xf numFmtId="0" fontId="53" fillId="30" borderId="257" xfId="0" applyFont="1" applyFill="1" applyBorder="1" applyAlignment="1">
      <alignment horizontal="center" vertical="center"/>
    </xf>
    <xf numFmtId="0" fontId="53" fillId="30" borderId="258" xfId="0" applyFont="1" applyFill="1" applyBorder="1" applyAlignment="1">
      <alignment horizontal="center" vertical="center"/>
    </xf>
    <xf numFmtId="9" fontId="56" fillId="27" borderId="180" xfId="0" applyNumberFormat="1" applyFont="1" applyFill="1" applyBorder="1" applyAlignment="1">
      <alignment horizontal="center" vertical="center"/>
    </xf>
    <xf numFmtId="0" fontId="92" fillId="20" borderId="247" xfId="0" applyFont="1" applyFill="1" applyBorder="1" applyAlignment="1">
      <alignment horizontal="center" vertical="center"/>
    </xf>
    <xf numFmtId="9" fontId="56" fillId="27" borderId="251" xfId="0" applyNumberFormat="1" applyFont="1" applyFill="1" applyBorder="1" applyAlignment="1">
      <alignment horizontal="center" vertical="center"/>
    </xf>
    <xf numFmtId="0" fontId="92" fillId="20" borderId="210" xfId="0" applyFont="1" applyFill="1" applyBorder="1" applyAlignment="1">
      <alignment horizontal="center" vertical="center"/>
    </xf>
    <xf numFmtId="0" fontId="92" fillId="20" borderId="212" xfId="0" applyFont="1" applyFill="1" applyBorder="1" applyAlignment="1">
      <alignment horizontal="center" vertical="center"/>
    </xf>
    <xf numFmtId="0" fontId="92" fillId="20" borderId="213" xfId="0" applyFont="1" applyFill="1" applyBorder="1" applyAlignment="1">
      <alignment horizontal="center" vertical="center"/>
    </xf>
    <xf numFmtId="0" fontId="56" fillId="7" borderId="214" xfId="0" applyFont="1" applyFill="1" applyBorder="1" applyAlignment="1">
      <alignment horizontal="center" vertical="center"/>
    </xf>
    <xf numFmtId="0" fontId="56" fillId="7" borderId="215" xfId="0" applyFont="1" applyFill="1" applyBorder="1" applyAlignment="1">
      <alignment horizontal="center" vertical="center"/>
    </xf>
    <xf numFmtId="0" fontId="53" fillId="0" borderId="214" xfId="0" applyFont="1" applyBorder="1" applyAlignment="1">
      <alignment horizontal="center" vertical="center"/>
    </xf>
    <xf numFmtId="0" fontId="53" fillId="0" borderId="272" xfId="0" applyFont="1" applyBorder="1" applyAlignment="1">
      <alignment horizontal="center" vertical="center"/>
    </xf>
    <xf numFmtId="0" fontId="36" fillId="7" borderId="217" xfId="0" applyFont="1" applyFill="1" applyBorder="1" applyAlignment="1">
      <alignment horizontal="right" vertical="center"/>
    </xf>
    <xf numFmtId="0" fontId="36" fillId="7" borderId="17" xfId="0" applyFont="1" applyFill="1" applyBorder="1" applyAlignment="1">
      <alignment horizontal="right" vertical="center"/>
    </xf>
    <xf numFmtId="0" fontId="36" fillId="7" borderId="183" xfId="0" applyFont="1" applyFill="1" applyBorder="1" applyAlignment="1">
      <alignment horizontal="right" vertical="center"/>
    </xf>
    <xf numFmtId="0" fontId="36" fillId="7" borderId="184" xfId="0" applyFont="1" applyFill="1" applyBorder="1" applyAlignment="1">
      <alignment horizontal="right" vertical="center"/>
    </xf>
    <xf numFmtId="0" fontId="91" fillId="19" borderId="239" xfId="0" applyFont="1" applyFill="1" applyBorder="1" applyAlignment="1">
      <alignment horizontal="left" vertical="center" wrapText="1"/>
    </xf>
    <xf numFmtId="0" fontId="91" fillId="19" borderId="240" xfId="0" applyFont="1" applyFill="1" applyBorder="1" applyAlignment="1">
      <alignment horizontal="left" vertical="center" wrapText="1"/>
    </xf>
    <xf numFmtId="0" fontId="91" fillId="19" borderId="241" xfId="0" applyFont="1" applyFill="1" applyBorder="1" applyAlignment="1">
      <alignment horizontal="left" vertical="center" wrapText="1"/>
    </xf>
    <xf numFmtId="0" fontId="91" fillId="19" borderId="242" xfId="0" applyFont="1" applyFill="1" applyBorder="1" applyAlignment="1">
      <alignment horizontal="left" vertical="center" wrapText="1"/>
    </xf>
    <xf numFmtId="0" fontId="38" fillId="19" borderId="194" xfId="0" applyFont="1" applyFill="1" applyBorder="1" applyAlignment="1">
      <alignment horizontal="center" vertical="center" wrapText="1"/>
    </xf>
    <xf numFmtId="0" fontId="38" fillId="19" borderId="195" xfId="0" applyFont="1" applyFill="1" applyBorder="1" applyAlignment="1">
      <alignment horizontal="center" vertical="center" wrapText="1"/>
    </xf>
    <xf numFmtId="0" fontId="38" fillId="19" borderId="196" xfId="0" applyFont="1" applyFill="1" applyBorder="1" applyAlignment="1">
      <alignment horizontal="center" vertical="center" wrapText="1"/>
    </xf>
    <xf numFmtId="0" fontId="38" fillId="19" borderId="197" xfId="0" applyFont="1" applyFill="1" applyBorder="1" applyAlignment="1">
      <alignment horizontal="center" vertical="center" wrapText="1"/>
    </xf>
    <xf numFmtId="0" fontId="38" fillId="19" borderId="198" xfId="0" applyFont="1" applyFill="1" applyBorder="1" applyAlignment="1">
      <alignment horizontal="center" vertical="center" wrapText="1"/>
    </xf>
    <xf numFmtId="0" fontId="102" fillId="30" borderId="187" xfId="0" applyFont="1" applyFill="1" applyBorder="1" applyAlignment="1">
      <alignment horizontal="center" vertical="center"/>
    </xf>
    <xf numFmtId="0" fontId="102" fillId="30" borderId="188" xfId="0" applyFont="1" applyFill="1" applyBorder="1" applyAlignment="1">
      <alignment horizontal="center" vertical="center"/>
    </xf>
    <xf numFmtId="0" fontId="102" fillId="30" borderId="191" xfId="0" applyFont="1" applyFill="1" applyBorder="1" applyAlignment="1">
      <alignment horizontal="center" vertical="center"/>
    </xf>
    <xf numFmtId="0" fontId="36" fillId="29" borderId="216" xfId="0" applyFont="1" applyFill="1" applyBorder="1" applyAlignment="1">
      <alignment horizontal="center" vertical="center" wrapText="1"/>
    </xf>
    <xf numFmtId="0" fontId="36" fillId="29" borderId="236" xfId="0" applyFont="1" applyFill="1" applyBorder="1" applyAlignment="1">
      <alignment horizontal="center" vertical="center" wrapText="1"/>
    </xf>
    <xf numFmtId="0" fontId="92" fillId="20" borderId="217" xfId="0" applyFont="1" applyFill="1" applyBorder="1" applyAlignment="1">
      <alignment horizontal="center" vertical="center" wrapText="1"/>
    </xf>
    <xf numFmtId="0" fontId="92" fillId="20" borderId="181" xfId="0" applyFont="1" applyFill="1" applyBorder="1" applyAlignment="1">
      <alignment horizontal="center" vertical="center" wrapText="1"/>
    </xf>
    <xf numFmtId="0" fontId="92" fillId="20" borderId="183" xfId="0" applyFont="1" applyFill="1" applyBorder="1" applyAlignment="1">
      <alignment horizontal="center" vertical="center" wrapText="1"/>
    </xf>
    <xf numFmtId="0" fontId="92" fillId="20" borderId="184" xfId="0" applyFont="1" applyFill="1" applyBorder="1" applyAlignment="1">
      <alignment horizontal="center" vertical="center" wrapText="1"/>
    </xf>
    <xf numFmtId="164" fontId="53" fillId="0" borderId="209" xfId="0" applyNumberFormat="1" applyFont="1" applyBorder="1" applyAlignment="1">
      <alignment horizontal="center" vertical="center"/>
    </xf>
    <xf numFmtId="164" fontId="53" fillId="0" borderId="190" xfId="0" applyNumberFormat="1" applyFont="1" applyBorder="1" applyAlignment="1">
      <alignment horizontal="center" vertical="center"/>
    </xf>
    <xf numFmtId="0" fontId="102" fillId="30" borderId="173" xfId="0" applyFont="1" applyFill="1" applyBorder="1" applyAlignment="1">
      <alignment horizontal="center" vertical="center"/>
    </xf>
    <xf numFmtId="0" fontId="102" fillId="30" borderId="199" xfId="0" applyFont="1" applyFill="1" applyBorder="1" applyAlignment="1">
      <alignment horizontal="center" vertical="center"/>
    </xf>
    <xf numFmtId="164" fontId="53" fillId="0" borderId="255" xfId="0" applyNumberFormat="1" applyFont="1" applyBorder="1" applyAlignment="1">
      <alignment horizontal="center" vertical="center"/>
    </xf>
    <xf numFmtId="9" fontId="56" fillId="27" borderId="167" xfId="0" applyNumberFormat="1" applyFont="1" applyFill="1" applyBorder="1" applyAlignment="1">
      <alignment horizontal="center" vertical="center"/>
    </xf>
    <xf numFmtId="0" fontId="83" fillId="20" borderId="243" xfId="0" applyFont="1" applyFill="1" applyBorder="1" applyAlignment="1">
      <alignment horizontal="center" vertical="center"/>
    </xf>
    <xf numFmtId="0" fontId="83" fillId="20" borderId="244" xfId="0" applyFont="1" applyFill="1" applyBorder="1" applyAlignment="1">
      <alignment horizontal="center" vertical="center"/>
    </xf>
    <xf numFmtId="0" fontId="53" fillId="20" borderId="277" xfId="0" applyFont="1" applyFill="1" applyBorder="1" applyAlignment="1">
      <alignment horizontal="center" vertical="center"/>
    </xf>
    <xf numFmtId="0" fontId="53" fillId="20" borderId="279" xfId="0" applyFont="1" applyFill="1" applyBorder="1" applyAlignment="1">
      <alignment horizontal="center" vertical="center"/>
    </xf>
    <xf numFmtId="0" fontId="53" fillId="7" borderId="265" xfId="0" applyFont="1" applyFill="1" applyBorder="1" applyAlignment="1">
      <alignment horizontal="center" vertical="center"/>
    </xf>
    <xf numFmtId="0" fontId="53" fillId="20" borderId="278" xfId="0" applyFont="1" applyFill="1" applyBorder="1" applyAlignment="1">
      <alignment horizontal="center" vertical="center"/>
    </xf>
    <xf numFmtId="0" fontId="53" fillId="7" borderId="269" xfId="0" applyFont="1" applyFill="1" applyBorder="1" applyAlignment="1">
      <alignment horizontal="center" vertical="center"/>
    </xf>
    <xf numFmtId="0" fontId="53" fillId="7" borderId="270" xfId="0" applyFont="1" applyFill="1" applyBorder="1" applyAlignment="1">
      <alignment horizontal="center" vertical="center"/>
    </xf>
    <xf numFmtId="0" fontId="67" fillId="29" borderId="259" xfId="0" applyFont="1" applyFill="1" applyBorder="1" applyAlignment="1">
      <alignment horizontal="center" vertical="center"/>
    </xf>
    <xf numFmtId="0" fontId="67" fillId="29" borderId="260" xfId="0" applyFont="1" applyFill="1" applyBorder="1" applyAlignment="1">
      <alignment horizontal="center" vertical="center"/>
    </xf>
    <xf numFmtId="0" fontId="56" fillId="7" borderId="185" xfId="0" applyFont="1" applyFill="1" applyBorder="1" applyAlignment="1">
      <alignment horizontal="center" vertical="center"/>
    </xf>
    <xf numFmtId="0" fontId="56" fillId="7" borderId="208" xfId="0" applyFont="1" applyFill="1" applyBorder="1" applyAlignment="1">
      <alignment horizontal="center" vertical="center"/>
    </xf>
    <xf numFmtId="164" fontId="53" fillId="0" borderId="206" xfId="0" applyNumberFormat="1" applyFont="1" applyBorder="1" applyAlignment="1">
      <alignment horizontal="center" vertical="center"/>
    </xf>
    <xf numFmtId="164" fontId="53" fillId="0" borderId="186" xfId="0" applyNumberFormat="1" applyFont="1" applyBorder="1" applyAlignment="1">
      <alignment horizontal="center" vertical="center"/>
    </xf>
    <xf numFmtId="0" fontId="56" fillId="7" borderId="124" xfId="0" applyFont="1" applyFill="1" applyBorder="1" applyAlignment="1">
      <alignment horizontal="center" vertical="center"/>
    </xf>
    <xf numFmtId="0" fontId="56" fillId="7" borderId="207" xfId="0" applyFont="1" applyFill="1" applyBorder="1" applyAlignment="1">
      <alignment horizontal="center" vertical="center"/>
    </xf>
    <xf numFmtId="164" fontId="53" fillId="0" borderId="182" xfId="0" applyNumberFormat="1" applyFont="1" applyBorder="1" applyAlignment="1">
      <alignment horizontal="center" vertical="center"/>
    </xf>
    <xf numFmtId="164" fontId="53" fillId="0" borderId="261" xfId="0" applyNumberFormat="1" applyFont="1" applyBorder="1" applyAlignment="1">
      <alignment horizontal="center" vertical="center"/>
    </xf>
    <xf numFmtId="0" fontId="92" fillId="20" borderId="210" xfId="0" applyFont="1" applyFill="1" applyBorder="1" applyAlignment="1">
      <alignment horizontal="center" vertical="center" wrapText="1"/>
    </xf>
    <xf numFmtId="0" fontId="92" fillId="20" borderId="212" xfId="0" applyFont="1" applyFill="1" applyBorder="1" applyAlignment="1">
      <alignment horizontal="center" vertical="center" wrapText="1"/>
    </xf>
    <xf numFmtId="0" fontId="92" fillId="20" borderId="213" xfId="0" applyFont="1" applyFill="1" applyBorder="1" applyAlignment="1">
      <alignment horizontal="center" vertical="center" wrapText="1"/>
    </xf>
    <xf numFmtId="0" fontId="53" fillId="0" borderId="270" xfId="0" applyFont="1" applyBorder="1" applyAlignment="1">
      <alignment horizontal="center" vertical="center"/>
    </xf>
    <xf numFmtId="0" fontId="83" fillId="29" borderId="262" xfId="0" applyFont="1" applyFill="1" applyBorder="1" applyAlignment="1">
      <alignment horizontal="center" vertical="center" wrapText="1"/>
    </xf>
    <xf numFmtId="0" fontId="83" fillId="29" borderId="280" xfId="0" applyFont="1" applyFill="1" applyBorder="1" applyAlignment="1">
      <alignment horizontal="center" vertical="center" wrapText="1"/>
    </xf>
    <xf numFmtId="0" fontId="83" fillId="31" borderId="202" xfId="0" applyFont="1" applyFill="1" applyBorder="1" applyAlignment="1">
      <alignment horizontal="center" vertical="center"/>
    </xf>
    <xf numFmtId="0" fontId="83" fillId="31" borderId="203" xfId="0" applyFont="1" applyFill="1" applyBorder="1" applyAlignment="1">
      <alignment horizontal="center" vertical="center"/>
    </xf>
    <xf numFmtId="0" fontId="93" fillId="27" borderId="0" xfId="0" applyFont="1" applyFill="1" applyAlignment="1">
      <alignment horizontal="center" vertical="center"/>
    </xf>
    <xf numFmtId="0" fontId="67" fillId="26" borderId="0" xfId="0" applyFont="1" applyFill="1" applyAlignment="1">
      <alignment horizontal="center" vertical="center"/>
    </xf>
    <xf numFmtId="0" fontId="10" fillId="19" borderId="201" xfId="0" applyFont="1" applyFill="1" applyBorder="1" applyAlignment="1">
      <alignment horizontal="center" vertical="center"/>
    </xf>
    <xf numFmtId="0" fontId="10" fillId="19" borderId="171" xfId="0" applyFont="1" applyFill="1" applyBorder="1" applyAlignment="1">
      <alignment horizontal="center" vertical="center"/>
    </xf>
    <xf numFmtId="0" fontId="10" fillId="19" borderId="205" xfId="0" applyFont="1" applyFill="1" applyBorder="1" applyAlignment="1">
      <alignment horizontal="center" vertical="center"/>
    </xf>
    <xf numFmtId="0" fontId="10" fillId="19" borderId="153" xfId="0" applyFont="1" applyFill="1" applyBorder="1" applyAlignment="1">
      <alignment horizontal="center" vertical="center"/>
    </xf>
    <xf numFmtId="0" fontId="93" fillId="28" borderId="0" xfId="0" applyFont="1" applyFill="1" applyAlignment="1">
      <alignment horizontal="center" vertical="center"/>
    </xf>
    <xf numFmtId="0" fontId="36" fillId="30" borderId="172" xfId="0" applyFont="1" applyFill="1" applyBorder="1" applyAlignment="1">
      <alignment horizontal="center" vertical="center"/>
    </xf>
    <xf numFmtId="0" fontId="36" fillId="30" borderId="173" xfId="0" applyFont="1" applyFill="1" applyBorder="1" applyAlignment="1">
      <alignment horizontal="center" vertical="center"/>
    </xf>
    <xf numFmtId="0" fontId="53" fillId="20" borderId="275" xfId="0" applyFont="1" applyFill="1" applyBorder="1" applyAlignment="1">
      <alignment horizontal="center" vertical="center"/>
    </xf>
    <xf numFmtId="0" fontId="53" fillId="20" borderId="276" xfId="0" applyFont="1" applyFill="1" applyBorder="1" applyAlignment="1">
      <alignment horizontal="center" vertical="center"/>
    </xf>
    <xf numFmtId="164" fontId="53" fillId="0" borderId="189" xfId="0" applyNumberFormat="1" applyFont="1" applyBorder="1" applyAlignment="1">
      <alignment horizontal="center" vertical="center"/>
    </xf>
    <xf numFmtId="0" fontId="83" fillId="20" borderId="263" xfId="0" applyFont="1" applyFill="1" applyBorder="1" applyAlignment="1">
      <alignment horizontal="center" vertical="center"/>
    </xf>
    <xf numFmtId="0" fontId="83" fillId="20" borderId="264" xfId="0" applyFont="1" applyFill="1" applyBorder="1" applyAlignment="1">
      <alignment horizontal="center" vertical="center"/>
    </xf>
    <xf numFmtId="0" fontId="67" fillId="29" borderId="173" xfId="0" applyFont="1" applyFill="1" applyBorder="1" applyAlignment="1">
      <alignment horizontal="center" vertical="center"/>
    </xf>
    <xf numFmtId="0" fontId="67" fillId="29" borderId="199" xfId="0" applyFont="1" applyFill="1" applyBorder="1" applyAlignment="1">
      <alignment horizontal="center" vertical="center"/>
    </xf>
    <xf numFmtId="0" fontId="38" fillId="7" borderId="214" xfId="0" applyFont="1" applyFill="1" applyBorder="1" applyAlignment="1">
      <alignment horizontal="center" vertical="center"/>
    </xf>
    <xf numFmtId="0" fontId="38" fillId="7" borderId="215" xfId="0" applyFont="1" applyFill="1" applyBorder="1" applyAlignment="1">
      <alignment horizontal="center" vertical="center"/>
    </xf>
    <xf numFmtId="9" fontId="56" fillId="27" borderId="174" xfId="0" applyNumberFormat="1" applyFont="1" applyFill="1" applyBorder="1" applyAlignment="1">
      <alignment horizontal="center" vertical="center"/>
    </xf>
    <xf numFmtId="9" fontId="56" fillId="27" borderId="170" xfId="0" applyNumberFormat="1" applyFont="1" applyFill="1" applyBorder="1" applyAlignment="1">
      <alignment horizontal="center" vertical="center"/>
    </xf>
    <xf numFmtId="0" fontId="35" fillId="0" borderId="149" xfId="0" applyFont="1" applyBorder="1" applyAlignment="1">
      <alignment horizontal="left" vertical="center" wrapText="1"/>
    </xf>
    <xf numFmtId="0" fontId="57" fillId="0" borderId="149" xfId="0" applyFont="1" applyBorder="1" applyAlignment="1">
      <alignment horizontal="right" vertical="center"/>
    </xf>
    <xf numFmtId="14" fontId="35" fillId="0" borderId="149" xfId="0" applyNumberFormat="1" applyFont="1" applyBorder="1" applyAlignment="1">
      <alignment horizontal="left" vertical="center" wrapText="1"/>
    </xf>
    <xf numFmtId="14" fontId="35" fillId="0" borderId="150" xfId="0" applyNumberFormat="1" applyFont="1" applyBorder="1" applyAlignment="1">
      <alignment horizontal="left" vertical="center" wrapText="1"/>
    </xf>
    <xf numFmtId="0" fontId="91" fillId="0" borderId="363" xfId="0" applyFont="1" applyBorder="1" applyAlignment="1" applyProtection="1">
      <alignment vertical="center" wrapText="1"/>
      <protection locked="0"/>
    </xf>
    <xf numFmtId="0" fontId="91" fillId="0" borderId="364" xfId="0" applyFont="1" applyBorder="1" applyAlignment="1" applyProtection="1">
      <alignment vertical="center" wrapText="1"/>
      <protection locked="0"/>
    </xf>
    <xf numFmtId="0" fontId="56" fillId="31" borderId="366" xfId="0" applyFont="1" applyFill="1" applyBorder="1" applyAlignment="1">
      <alignment horizontal="left" vertical="center" wrapText="1"/>
    </xf>
    <xf numFmtId="0" fontId="91" fillId="0" borderId="366" xfId="0" applyFont="1" applyBorder="1" applyAlignment="1" applyProtection="1">
      <alignment vertical="center" wrapText="1"/>
      <protection locked="0"/>
    </xf>
    <xf numFmtId="0" fontId="91" fillId="0" borderId="367" xfId="0" applyFont="1" applyBorder="1" applyAlignment="1" applyProtection="1">
      <alignment vertical="center" wrapText="1"/>
      <protection locked="0"/>
    </xf>
    <xf numFmtId="0" fontId="56" fillId="19" borderId="353" xfId="0" applyFont="1" applyFill="1" applyBorder="1" applyAlignment="1" applyProtection="1">
      <alignment horizontal="left" vertical="top" wrapText="1"/>
      <protection locked="0"/>
    </xf>
    <xf numFmtId="0" fontId="56" fillId="19" borderId="355" xfId="0" applyFont="1" applyFill="1" applyBorder="1" applyAlignment="1" applyProtection="1">
      <alignment horizontal="left" vertical="top" wrapText="1"/>
      <protection locked="0"/>
    </xf>
    <xf numFmtId="0" fontId="56" fillId="19" borderId="287" xfId="0" applyFont="1" applyFill="1" applyBorder="1" applyAlignment="1" applyProtection="1">
      <alignment horizontal="left" vertical="top" wrapText="1"/>
      <protection locked="0"/>
    </xf>
    <xf numFmtId="0" fontId="56" fillId="31" borderId="363" xfId="0" applyFont="1" applyFill="1" applyBorder="1" applyAlignment="1">
      <alignment horizontal="left" vertical="center" wrapText="1"/>
    </xf>
    <xf numFmtId="0" fontId="56" fillId="20" borderId="369" xfId="0" applyFont="1" applyFill="1" applyBorder="1" applyAlignment="1">
      <alignment horizontal="center" vertical="center" wrapText="1"/>
    </xf>
    <xf numFmtId="0" fontId="91" fillId="0" borderId="369" xfId="0" applyFont="1" applyBorder="1" applyAlignment="1" applyProtection="1">
      <alignment vertical="center" wrapText="1"/>
      <protection locked="0"/>
    </xf>
    <xf numFmtId="0" fontId="91" fillId="0" borderId="370" xfId="0" applyFont="1" applyBorder="1" applyAlignment="1" applyProtection="1">
      <alignment vertical="center" wrapText="1"/>
      <protection locked="0"/>
    </xf>
    <xf numFmtId="0" fontId="56" fillId="31" borderId="360" xfId="0" applyFont="1" applyFill="1" applyBorder="1" applyAlignment="1">
      <alignment horizontal="left" vertical="center" wrapText="1"/>
    </xf>
    <xf numFmtId="0" fontId="91" fillId="0" borderId="360" xfId="0" applyFont="1" applyBorder="1" applyAlignment="1" applyProtection="1">
      <alignment vertical="center" wrapText="1"/>
      <protection locked="0"/>
    </xf>
    <xf numFmtId="0" fontId="91" fillId="0" borderId="361" xfId="0" applyFont="1" applyBorder="1" applyAlignment="1" applyProtection="1">
      <alignment vertical="center" wrapText="1"/>
      <protection locked="0"/>
    </xf>
    <xf numFmtId="0" fontId="39" fillId="28" borderId="350" xfId="0" applyFont="1" applyFill="1" applyBorder="1" applyAlignment="1">
      <alignment horizontal="left" vertical="center"/>
    </xf>
    <xf numFmtId="0" fontId="39" fillId="28" borderId="351" xfId="0" applyFont="1" applyFill="1" applyBorder="1" applyAlignment="1">
      <alignment horizontal="left" vertical="center"/>
    </xf>
    <xf numFmtId="0" fontId="39" fillId="28" borderId="352" xfId="0" applyFont="1" applyFill="1" applyBorder="1" applyAlignment="1">
      <alignment horizontal="left" vertical="center"/>
    </xf>
    <xf numFmtId="0" fontId="94" fillId="3" borderId="0" xfId="0" applyFont="1" applyFill="1" applyAlignment="1">
      <alignment horizontal="left" vertical="top" wrapText="1"/>
    </xf>
    <xf numFmtId="0" fontId="37" fillId="21" borderId="77" xfId="0" applyFont="1" applyFill="1" applyBorder="1" applyAlignment="1">
      <alignment horizontal="center" vertical="center"/>
    </xf>
    <xf numFmtId="0" fontId="37" fillId="21" borderId="78" xfId="0" applyFont="1" applyFill="1" applyBorder="1" applyAlignment="1">
      <alignment horizontal="center" vertical="center"/>
    </xf>
    <xf numFmtId="0" fontId="37" fillId="21" borderId="79" xfId="0" applyFont="1" applyFill="1" applyBorder="1" applyAlignment="1">
      <alignment horizontal="center" vertical="center"/>
    </xf>
    <xf numFmtId="0" fontId="57" fillId="0" borderId="151" xfId="0" applyFont="1" applyBorder="1" applyAlignment="1">
      <alignment horizontal="right" vertical="center"/>
    </xf>
    <xf numFmtId="0" fontId="57" fillId="0" borderId="147" xfId="0" applyFont="1" applyBorder="1" applyAlignment="1">
      <alignment horizontal="right" vertical="center"/>
    </xf>
    <xf numFmtId="0" fontId="35" fillId="0" borderId="147" xfId="0" applyFont="1" applyBorder="1" applyAlignment="1">
      <alignment horizontal="left" vertical="center" wrapText="1"/>
    </xf>
    <xf numFmtId="0" fontId="35" fillId="0" borderId="148" xfId="0" applyFont="1" applyBorder="1" applyAlignment="1">
      <alignment horizontal="left" vertical="center" wrapText="1"/>
    </xf>
    <xf numFmtId="0" fontId="36" fillId="31" borderId="354" xfId="0" applyFont="1" applyFill="1" applyBorder="1" applyAlignment="1">
      <alignment horizontal="center" vertical="center"/>
    </xf>
    <xf numFmtId="0" fontId="36" fillId="31" borderId="355" xfId="0" applyFont="1" applyFill="1" applyBorder="1" applyAlignment="1">
      <alignment horizontal="center" vertical="center"/>
    </xf>
    <xf numFmtId="0" fontId="91" fillId="0" borderId="354" xfId="0" applyFont="1" applyBorder="1" applyAlignment="1" applyProtection="1">
      <alignment horizontal="left" vertical="center" wrapText="1"/>
      <protection locked="0"/>
    </xf>
    <xf numFmtId="0" fontId="91" fillId="0" borderId="355" xfId="0" applyFont="1" applyBorder="1" applyAlignment="1" applyProtection="1">
      <alignment horizontal="left" vertical="center" wrapText="1"/>
      <protection locked="0"/>
    </xf>
    <xf numFmtId="0" fontId="91" fillId="0" borderId="287" xfId="0" applyFont="1" applyBorder="1" applyAlignment="1" applyProtection="1">
      <alignment horizontal="left" vertical="center" wrapText="1"/>
      <protection locked="0"/>
    </xf>
    <xf numFmtId="14" fontId="35" fillId="0" borderId="147" xfId="0" applyNumberFormat="1" applyFont="1" applyBorder="1" applyAlignment="1">
      <alignment horizontal="left" vertical="center" wrapText="1"/>
    </xf>
    <xf numFmtId="14" fontId="35" fillId="0" borderId="148" xfId="0" applyNumberFormat="1" applyFont="1" applyBorder="1" applyAlignment="1">
      <alignment horizontal="left" vertical="center" wrapText="1"/>
    </xf>
    <xf numFmtId="0" fontId="57" fillId="0" borderId="152" xfId="0" applyFont="1" applyBorder="1" applyAlignment="1">
      <alignment horizontal="right" vertical="center"/>
    </xf>
    <xf numFmtId="0" fontId="53" fillId="19" borderId="392" xfId="0" applyFont="1" applyFill="1" applyBorder="1" applyAlignment="1" applyProtection="1">
      <alignment horizontal="center" vertical="center" wrapText="1"/>
      <protection locked="0"/>
    </xf>
    <xf numFmtId="0" fontId="53" fillId="19" borderId="393" xfId="0" applyFont="1" applyFill="1" applyBorder="1" applyAlignment="1" applyProtection="1">
      <alignment horizontal="center" vertical="center" wrapText="1"/>
      <protection locked="0"/>
    </xf>
    <xf numFmtId="0" fontId="53" fillId="19" borderId="391" xfId="0" applyFont="1" applyFill="1" applyBorder="1" applyAlignment="1" applyProtection="1">
      <alignment horizontal="center" vertical="center" wrapText="1"/>
      <protection locked="0"/>
    </xf>
    <xf numFmtId="0" fontId="53" fillId="19" borderId="394" xfId="0" applyFont="1" applyFill="1" applyBorder="1" applyAlignment="1" applyProtection="1">
      <alignment horizontal="center" vertical="center" wrapText="1"/>
      <protection locked="0"/>
    </xf>
    <xf numFmtId="0" fontId="53" fillId="19" borderId="395" xfId="0" applyFont="1" applyFill="1" applyBorder="1" applyAlignment="1" applyProtection="1">
      <alignment horizontal="center" vertical="center" wrapText="1"/>
      <protection locked="0"/>
    </xf>
    <xf numFmtId="0" fontId="53" fillId="19" borderId="396" xfId="0" applyFont="1" applyFill="1" applyBorder="1" applyAlignment="1" applyProtection="1">
      <alignment horizontal="center" vertical="center" wrapText="1"/>
      <protection locked="0"/>
    </xf>
    <xf numFmtId="0" fontId="0" fillId="0" borderId="363" xfId="0" applyBorder="1" applyAlignment="1" applyProtection="1">
      <alignment horizontal="center" vertical="center"/>
      <protection locked="0"/>
    </xf>
    <xf numFmtId="10" fontId="0" fillId="0" borderId="363" xfId="0" applyNumberFormat="1" applyBorder="1" applyAlignment="1">
      <alignment horizontal="center" vertical="center"/>
    </xf>
    <xf numFmtId="0" fontId="91" fillId="0" borderId="363" xfId="0" applyFont="1" applyBorder="1" applyAlignment="1">
      <alignment horizontal="center" vertical="center" wrapText="1"/>
    </xf>
    <xf numFmtId="0" fontId="0" fillId="19" borderId="363" xfId="0" applyFill="1" applyBorder="1" applyAlignment="1">
      <alignment horizontal="center" vertical="center"/>
    </xf>
    <xf numFmtId="0" fontId="0" fillId="19" borderId="397" xfId="0" applyFill="1" applyBorder="1" applyAlignment="1">
      <alignment horizontal="center" vertical="center"/>
    </xf>
    <xf numFmtId="0" fontId="105" fillId="20" borderId="109" xfId="0" applyFont="1" applyFill="1" applyBorder="1" applyAlignment="1">
      <alignment horizontal="center" vertical="center"/>
    </xf>
    <xf numFmtId="0" fontId="105" fillId="20" borderId="110" xfId="0" applyFont="1" applyFill="1" applyBorder="1" applyAlignment="1">
      <alignment horizontal="center" vertical="center"/>
    </xf>
    <xf numFmtId="0" fontId="105" fillId="20" borderId="111" xfId="0" applyFont="1" applyFill="1" applyBorder="1" applyAlignment="1">
      <alignment horizontal="center" vertical="center"/>
    </xf>
    <xf numFmtId="14" fontId="55" fillId="0" borderId="390" xfId="0" applyNumberFormat="1" applyFont="1" applyBorder="1" applyAlignment="1" applyProtection="1">
      <alignment horizontal="center" vertical="center"/>
      <protection locked="0"/>
    </xf>
    <xf numFmtId="0" fontId="55" fillId="3" borderId="390" xfId="0" applyFont="1" applyFill="1" applyBorder="1" applyAlignment="1" applyProtection="1">
      <alignment horizontal="center" vertical="center"/>
      <protection locked="0"/>
    </xf>
    <xf numFmtId="0" fontId="60" fillId="23" borderId="1" xfId="0" applyFont="1" applyFill="1" applyBorder="1" applyAlignment="1">
      <alignment horizontal="center" vertical="center"/>
    </xf>
    <xf numFmtId="0" fontId="60" fillId="23" borderId="2" xfId="0" applyFont="1" applyFill="1" applyBorder="1" applyAlignment="1">
      <alignment horizontal="center" vertical="center"/>
    </xf>
    <xf numFmtId="0" fontId="60" fillId="23" borderId="3" xfId="0" applyFont="1" applyFill="1" applyBorder="1" applyAlignment="1">
      <alignment horizontal="center" vertical="center"/>
    </xf>
    <xf numFmtId="0" fontId="61" fillId="3" borderId="0" xfId="0" applyFont="1" applyFill="1" applyAlignment="1">
      <alignment horizontal="left" vertical="center"/>
    </xf>
    <xf numFmtId="0" fontId="35" fillId="3" borderId="390" xfId="0" applyFont="1" applyFill="1" applyBorder="1" applyAlignment="1" applyProtection="1">
      <alignment horizontal="center" vertical="center"/>
      <protection locked="0"/>
    </xf>
    <xf numFmtId="0" fontId="7" fillId="31" borderId="390" xfId="0" applyFont="1" applyFill="1" applyBorder="1" applyAlignment="1">
      <alignment horizontal="right" vertical="center" wrapText="1"/>
    </xf>
    <xf numFmtId="0" fontId="8" fillId="31" borderId="390" xfId="0" applyFont="1" applyFill="1" applyBorder="1" applyAlignment="1">
      <alignment horizontal="right" vertical="center" wrapText="1"/>
    </xf>
    <xf numFmtId="0" fontId="80" fillId="25" borderId="390" xfId="0" applyFont="1" applyFill="1" applyBorder="1" applyAlignment="1" applyProtection="1">
      <alignment horizontal="center" vertical="center"/>
      <protection locked="0"/>
    </xf>
    <xf numFmtId="0" fontId="0" fillId="19" borderId="390" xfId="0" applyFill="1" applyBorder="1" applyAlignment="1">
      <alignment horizontal="center" vertical="center"/>
    </xf>
    <xf numFmtId="0" fontId="0" fillId="5" borderId="390" xfId="0" applyFill="1" applyBorder="1" applyAlignment="1" applyProtection="1">
      <alignment horizontal="center" vertical="center"/>
      <protection locked="0"/>
    </xf>
    <xf numFmtId="10" fontId="0" fillId="5" borderId="390" xfId="0" applyNumberFormat="1" applyFill="1" applyBorder="1" applyAlignment="1">
      <alignment horizontal="center" vertical="center"/>
    </xf>
    <xf numFmtId="0" fontId="91" fillId="5" borderId="390" xfId="0" applyFont="1" applyFill="1" applyBorder="1" applyAlignment="1">
      <alignment horizontal="center" vertical="center" wrapText="1"/>
    </xf>
    <xf numFmtId="0" fontId="0" fillId="5" borderId="363" xfId="0" applyFill="1" applyBorder="1" applyAlignment="1" applyProtection="1">
      <alignment horizontal="center" vertical="center"/>
      <protection locked="0"/>
    </xf>
    <xf numFmtId="10" fontId="0" fillId="5" borderId="363" xfId="0" applyNumberFormat="1" applyFill="1" applyBorder="1" applyAlignment="1">
      <alignment horizontal="center" vertical="center"/>
    </xf>
    <xf numFmtId="0" fontId="91" fillId="5" borderId="363" xfId="0" applyFont="1" applyFill="1" applyBorder="1" applyAlignment="1">
      <alignment horizontal="center" vertical="center" wrapText="1"/>
    </xf>
    <xf numFmtId="0" fontId="0" fillId="19" borderId="398" xfId="0" applyFill="1" applyBorder="1" applyAlignment="1">
      <alignment horizontal="center" vertical="center"/>
    </xf>
    <xf numFmtId="0" fontId="0" fillId="5" borderId="398" xfId="0" applyFill="1" applyBorder="1" applyAlignment="1" applyProtection="1">
      <alignment horizontal="center" vertical="center"/>
      <protection locked="0"/>
    </xf>
    <xf numFmtId="10" fontId="0" fillId="5" borderId="398" xfId="0" applyNumberFormat="1" applyFill="1" applyBorder="1" applyAlignment="1">
      <alignment horizontal="center" vertical="center"/>
    </xf>
    <xf numFmtId="0" fontId="91" fillId="5" borderId="398" xfId="0" applyFont="1" applyFill="1" applyBorder="1" applyAlignment="1">
      <alignment horizontal="center" vertical="center" wrapText="1"/>
    </xf>
    <xf numFmtId="0" fontId="55" fillId="0" borderId="390" xfId="0" applyFont="1" applyBorder="1" applyAlignment="1" applyProtection="1">
      <alignment horizontal="center" vertical="center"/>
      <protection locked="0"/>
    </xf>
    <xf numFmtId="0" fontId="0" fillId="7" borderId="390" xfId="0" applyFill="1" applyBorder="1" applyAlignment="1">
      <alignment horizontal="center" vertical="center"/>
    </xf>
    <xf numFmtId="0" fontId="0" fillId="7" borderId="390" xfId="0" applyFill="1" applyBorder="1" applyAlignment="1">
      <alignment horizontal="center" vertical="center" wrapText="1"/>
    </xf>
    <xf numFmtId="0" fontId="35" fillId="31" borderId="401" xfId="0" applyFont="1" applyFill="1" applyBorder="1" applyAlignment="1">
      <alignment horizontal="right" vertical="center"/>
    </xf>
    <xf numFmtId="0" fontId="35" fillId="31" borderId="402" xfId="0" applyFont="1" applyFill="1" applyBorder="1" applyAlignment="1">
      <alignment horizontal="right" vertical="center"/>
    </xf>
    <xf numFmtId="0" fontId="35" fillId="31" borderId="403" xfId="0" applyFont="1" applyFill="1" applyBorder="1" applyAlignment="1">
      <alignment horizontal="right" vertical="center"/>
    </xf>
    <xf numFmtId="0" fontId="91" fillId="0" borderId="401" xfId="0" applyFont="1" applyBorder="1" applyAlignment="1" applyProtection="1">
      <alignment horizontal="center" vertical="center" wrapText="1"/>
      <protection locked="0"/>
    </xf>
    <xf numFmtId="0" fontId="91" fillId="0" borderId="403" xfId="0" applyFont="1" applyBorder="1" applyAlignment="1" applyProtection="1">
      <alignment horizontal="center" vertical="center" wrapText="1"/>
      <protection locked="0"/>
    </xf>
    <xf numFmtId="0" fontId="36" fillId="29" borderId="110" xfId="0" applyFont="1" applyFill="1" applyBorder="1" applyAlignment="1">
      <alignment horizontal="center" vertical="center"/>
    </xf>
    <xf numFmtId="0" fontId="36" fillId="29" borderId="111" xfId="0" applyFont="1" applyFill="1" applyBorder="1" applyAlignment="1">
      <alignment horizontal="center" vertical="center"/>
    </xf>
    <xf numFmtId="9" fontId="56" fillId="19" borderId="404" xfId="0" applyNumberFormat="1" applyFont="1" applyFill="1" applyBorder="1" applyAlignment="1">
      <alignment horizontal="center" vertical="center"/>
    </xf>
    <xf numFmtId="9" fontId="56" fillId="19" borderId="402" xfId="0" applyNumberFormat="1" applyFont="1" applyFill="1" applyBorder="1" applyAlignment="1">
      <alignment horizontal="center" vertical="center"/>
    </xf>
    <xf numFmtId="9" fontId="56" fillId="19" borderId="403" xfId="0" applyNumberFormat="1" applyFont="1" applyFill="1" applyBorder="1" applyAlignment="1">
      <alignment horizontal="center" vertical="center"/>
    </xf>
    <xf numFmtId="9" fontId="56" fillId="19" borderId="408" xfId="0" applyNumberFormat="1" applyFont="1" applyFill="1" applyBorder="1" applyAlignment="1">
      <alignment horizontal="center" vertical="center"/>
    </xf>
    <xf numFmtId="9" fontId="56" fillId="19" borderId="406" xfId="0" applyNumberFormat="1" applyFont="1" applyFill="1" applyBorder="1" applyAlignment="1">
      <alignment horizontal="center" vertical="center"/>
    </xf>
    <xf numFmtId="9" fontId="56" fillId="19" borderId="407" xfId="0" applyNumberFormat="1" applyFont="1" applyFill="1" applyBorder="1" applyAlignment="1">
      <alignment horizontal="center" vertical="center"/>
    </xf>
    <xf numFmtId="0" fontId="0" fillId="0" borderId="397" xfId="0" applyBorder="1" applyAlignment="1" applyProtection="1">
      <alignment horizontal="center" vertical="center"/>
      <protection locked="0"/>
    </xf>
    <xf numFmtId="165" fontId="0" fillId="0" borderId="397" xfId="0" applyNumberFormat="1" applyBorder="1" applyAlignment="1">
      <alignment horizontal="center" vertical="center"/>
    </xf>
    <xf numFmtId="0" fontId="91" fillId="0" borderId="397" xfId="0" applyFont="1" applyBorder="1" applyAlignment="1">
      <alignment horizontal="center" vertical="center" wrapText="1"/>
    </xf>
    <xf numFmtId="0" fontId="0" fillId="29" borderId="390" xfId="0" applyFill="1" applyBorder="1" applyAlignment="1">
      <alignment horizontal="center" vertical="center" wrapText="1"/>
    </xf>
    <xf numFmtId="0" fontId="0" fillId="29" borderId="390" xfId="0" applyFill="1" applyBorder="1" applyAlignment="1">
      <alignment horizontal="center" vertical="center"/>
    </xf>
    <xf numFmtId="0" fontId="35" fillId="7" borderId="390" xfId="0" applyFont="1" applyFill="1" applyBorder="1" applyAlignment="1">
      <alignment horizontal="right" vertical="center" wrapText="1"/>
    </xf>
    <xf numFmtId="0" fontId="6" fillId="7" borderId="390" xfId="0" applyFont="1" applyFill="1" applyBorder="1" applyAlignment="1">
      <alignment horizontal="right" vertical="center"/>
    </xf>
    <xf numFmtId="0" fontId="105" fillId="20" borderId="390" xfId="0" applyFont="1" applyFill="1" applyBorder="1" applyAlignment="1">
      <alignment horizontal="center" vertical="center"/>
    </xf>
    <xf numFmtId="0" fontId="7" fillId="31" borderId="390" xfId="0" applyFont="1" applyFill="1" applyBorder="1" applyAlignment="1">
      <alignment horizontal="right" vertical="center"/>
    </xf>
    <xf numFmtId="0" fontId="9" fillId="31" borderId="390" xfId="0" applyFont="1" applyFill="1" applyBorder="1" applyAlignment="1">
      <alignment horizontal="right" vertical="center"/>
    </xf>
    <xf numFmtId="0" fontId="5" fillId="31" borderId="390" xfId="0" applyFont="1" applyFill="1" applyBorder="1" applyAlignment="1">
      <alignment horizontal="right" vertical="center"/>
    </xf>
    <xf numFmtId="49" fontId="7" fillId="31" borderId="390" xfId="0" applyNumberFormat="1" applyFont="1" applyFill="1" applyBorder="1" applyAlignment="1">
      <alignment horizontal="right" vertical="center" wrapText="1"/>
    </xf>
    <xf numFmtId="49" fontId="9" fillId="31" borderId="390" xfId="0" applyNumberFormat="1" applyFont="1" applyFill="1" applyBorder="1" applyAlignment="1">
      <alignment horizontal="right" vertical="center" wrapText="1"/>
    </xf>
    <xf numFmtId="0" fontId="85" fillId="28" borderId="351" xfId="0" applyFont="1" applyFill="1" applyBorder="1" applyAlignment="1">
      <alignment horizontal="center" vertical="center"/>
    </xf>
    <xf numFmtId="0" fontId="61" fillId="19" borderId="392" xfId="0" applyFont="1" applyFill="1" applyBorder="1" applyAlignment="1" applyProtection="1">
      <alignment horizontal="center" vertical="center" wrapText="1"/>
      <protection locked="0"/>
    </xf>
    <xf numFmtId="0" fontId="61" fillId="19" borderId="393" xfId="0" applyFont="1" applyFill="1" applyBorder="1" applyAlignment="1" applyProtection="1">
      <alignment horizontal="center" vertical="center" wrapText="1"/>
      <protection locked="0"/>
    </xf>
    <xf numFmtId="0" fontId="61" fillId="19" borderId="391" xfId="0" applyFont="1" applyFill="1" applyBorder="1" applyAlignment="1" applyProtection="1">
      <alignment horizontal="center" vertical="center" wrapText="1"/>
      <protection locked="0"/>
    </xf>
    <xf numFmtId="0" fontId="61" fillId="19" borderId="399" xfId="0" applyFont="1" applyFill="1" applyBorder="1" applyAlignment="1" applyProtection="1">
      <alignment horizontal="center" vertical="center" wrapText="1"/>
      <protection locked="0"/>
    </xf>
    <xf numFmtId="0" fontId="61" fillId="19" borderId="0" xfId="0" applyFont="1" applyFill="1" applyAlignment="1" applyProtection="1">
      <alignment horizontal="center" vertical="center" wrapText="1"/>
      <protection locked="0"/>
    </xf>
    <xf numFmtId="0" fontId="61" fillId="19" borderId="400" xfId="0" applyFont="1" applyFill="1" applyBorder="1" applyAlignment="1" applyProtection="1">
      <alignment horizontal="center" vertical="center" wrapText="1"/>
      <protection locked="0"/>
    </xf>
    <xf numFmtId="0" fontId="61" fillId="19" borderId="394" xfId="0" applyFont="1" applyFill="1" applyBorder="1" applyAlignment="1" applyProtection="1">
      <alignment horizontal="center" vertical="center" wrapText="1"/>
      <protection locked="0"/>
    </xf>
    <xf numFmtId="0" fontId="61" fillId="19" borderId="395" xfId="0" applyFont="1" applyFill="1" applyBorder="1" applyAlignment="1" applyProtection="1">
      <alignment horizontal="center" vertical="center" wrapText="1"/>
      <protection locked="0"/>
    </xf>
    <xf numFmtId="0" fontId="61" fillId="19" borderId="396" xfId="0" applyFont="1" applyFill="1" applyBorder="1" applyAlignment="1" applyProtection="1">
      <alignment horizontal="center" vertical="center" wrapText="1"/>
      <protection locked="0"/>
    </xf>
    <xf numFmtId="0" fontId="35" fillId="31" borderId="409" xfId="0" applyFont="1" applyFill="1" applyBorder="1" applyAlignment="1">
      <alignment horizontal="right" vertical="center" wrapText="1"/>
    </xf>
    <xf numFmtId="0" fontId="35" fillId="31" borderId="410" xfId="0" applyFont="1" applyFill="1" applyBorder="1" applyAlignment="1">
      <alignment horizontal="right" vertical="center" wrapText="1"/>
    </xf>
    <xf numFmtId="0" fontId="35" fillId="31" borderId="411" xfId="0" applyFont="1" applyFill="1" applyBorder="1" applyAlignment="1">
      <alignment horizontal="right" vertical="center" wrapText="1"/>
    </xf>
    <xf numFmtId="0" fontId="91" fillId="0" borderId="409" xfId="0" applyFont="1" applyBorder="1" applyAlignment="1" applyProtection="1">
      <alignment horizontal="center" vertical="center" wrapText="1"/>
      <protection locked="0"/>
    </xf>
    <xf numFmtId="0" fontId="91" fillId="0" borderId="411" xfId="0" applyFont="1" applyBorder="1" applyAlignment="1" applyProtection="1">
      <alignment horizontal="center" vertical="center" wrapText="1"/>
      <protection locked="0"/>
    </xf>
    <xf numFmtId="0" fontId="35" fillId="7" borderId="390" xfId="0" applyFont="1" applyFill="1" applyBorder="1" applyAlignment="1">
      <alignment horizontal="right" vertical="center"/>
    </xf>
    <xf numFmtId="9" fontId="83" fillId="19" borderId="110" xfId="0" applyNumberFormat="1" applyFont="1" applyFill="1" applyBorder="1" applyAlignment="1">
      <alignment horizontal="center" vertical="center"/>
    </xf>
    <xf numFmtId="9" fontId="83" fillId="19" borderId="111" xfId="0" applyNumberFormat="1" applyFont="1" applyFill="1" applyBorder="1" applyAlignment="1">
      <alignment horizontal="center" vertical="center"/>
    </xf>
    <xf numFmtId="9" fontId="56" fillId="19" borderId="412" xfId="0" applyNumberFormat="1" applyFont="1" applyFill="1" applyBorder="1" applyAlignment="1">
      <alignment horizontal="center" vertical="center"/>
    </xf>
    <xf numFmtId="9" fontId="56" fillId="19" borderId="410" xfId="0" applyNumberFormat="1" applyFont="1" applyFill="1" applyBorder="1" applyAlignment="1">
      <alignment horizontal="center" vertical="center"/>
    </xf>
    <xf numFmtId="9" fontId="56" fillId="19" borderId="411" xfId="0" applyNumberFormat="1" applyFont="1" applyFill="1" applyBorder="1" applyAlignment="1">
      <alignment horizontal="center" vertical="center"/>
    </xf>
    <xf numFmtId="0" fontId="83" fillId="29" borderId="109" xfId="0" applyFont="1" applyFill="1" applyBorder="1" applyAlignment="1">
      <alignment horizontal="center" vertical="center"/>
    </xf>
    <xf numFmtId="0" fontId="83" fillId="29" borderId="111" xfId="0" applyFont="1" applyFill="1" applyBorder="1" applyAlignment="1">
      <alignment horizontal="center" vertical="center"/>
    </xf>
    <xf numFmtId="0" fontId="35" fillId="31" borderId="405" xfId="0" applyFont="1" applyFill="1" applyBorder="1" applyAlignment="1">
      <alignment horizontal="right" vertical="center"/>
    </xf>
    <xf numFmtId="0" fontId="35" fillId="31" borderId="406" xfId="0" applyFont="1" applyFill="1" applyBorder="1" applyAlignment="1">
      <alignment horizontal="right" vertical="center"/>
    </xf>
    <xf numFmtId="0" fontId="35" fillId="31" borderId="407" xfId="0" applyFont="1" applyFill="1" applyBorder="1" applyAlignment="1">
      <alignment horizontal="right" vertical="center"/>
    </xf>
    <xf numFmtId="0" fontId="91" fillId="0" borderId="405" xfId="0" applyFont="1" applyBorder="1" applyAlignment="1" applyProtection="1">
      <alignment horizontal="center" vertical="center" wrapText="1"/>
      <protection locked="0"/>
    </xf>
    <xf numFmtId="0" fontId="91" fillId="0" borderId="407" xfId="0" applyFont="1" applyBorder="1" applyAlignment="1" applyProtection="1">
      <alignment horizontal="center" vertical="center" wrapText="1"/>
      <protection locked="0"/>
    </xf>
    <xf numFmtId="0" fontId="36" fillId="30" borderId="109" xfId="0" applyFont="1" applyFill="1" applyBorder="1" applyAlignment="1">
      <alignment horizontal="center" vertical="center"/>
    </xf>
    <xf numFmtId="0" fontId="36" fillId="30" borderId="110" xfId="0" applyFont="1" applyFill="1" applyBorder="1" applyAlignment="1">
      <alignment horizontal="center" vertical="center"/>
    </xf>
    <xf numFmtId="0" fontId="36" fillId="30" borderId="111" xfId="0" applyFont="1" applyFill="1" applyBorder="1" applyAlignment="1">
      <alignment horizontal="center" vertical="center"/>
    </xf>
    <xf numFmtId="0" fontId="16" fillId="2" borderId="414" xfId="0" applyFont="1" applyFill="1" applyBorder="1" applyAlignment="1">
      <alignment horizontal="center" vertical="center"/>
    </xf>
    <xf numFmtId="0" fontId="16" fillId="2" borderId="415" xfId="0" applyFont="1" applyFill="1" applyBorder="1" applyAlignment="1">
      <alignment horizontal="center" vertical="center"/>
    </xf>
    <xf numFmtId="0" fontId="16" fillId="2" borderId="416" xfId="0" applyFont="1" applyFill="1" applyBorder="1" applyAlignment="1">
      <alignment horizontal="center" vertical="center"/>
    </xf>
    <xf numFmtId="0" fontId="109" fillId="34" borderId="0" xfId="0" applyFont="1" applyFill="1" applyAlignment="1">
      <alignment horizontal="center"/>
    </xf>
    <xf numFmtId="0" fontId="16" fillId="36" borderId="4" xfId="0" applyFont="1" applyFill="1" applyBorder="1" applyAlignment="1">
      <alignment horizontal="center"/>
    </xf>
    <xf numFmtId="0" fontId="16" fillId="2" borderId="4" xfId="0" applyFont="1" applyFill="1" applyBorder="1" applyAlignment="1">
      <alignment horizontal="center" vertical="center" wrapText="1"/>
    </xf>
    <xf numFmtId="0" fontId="16" fillId="2" borderId="0" xfId="0" applyFont="1" applyFill="1" applyAlignment="1">
      <alignment horizontal="center"/>
    </xf>
    <xf numFmtId="0" fontId="18" fillId="9" borderId="39" xfId="0" applyFont="1" applyFill="1" applyBorder="1" applyAlignment="1">
      <alignment horizontal="center"/>
    </xf>
    <xf numFmtId="0" fontId="18" fillId="9" borderId="41" xfId="0" applyFont="1" applyFill="1" applyBorder="1" applyAlignment="1">
      <alignment horizontal="center"/>
    </xf>
    <xf numFmtId="0" fontId="107" fillId="20" borderId="353" xfId="1" applyFont="1" applyFill="1" applyBorder="1" applyAlignment="1" applyProtection="1">
      <alignment horizontal="center" vertical="center"/>
      <protection hidden="1"/>
    </xf>
    <xf numFmtId="0" fontId="107" fillId="20" borderId="355" xfId="1" applyFont="1" applyFill="1" applyBorder="1" applyAlignment="1" applyProtection="1">
      <alignment horizontal="center" vertical="center"/>
      <protection hidden="1"/>
    </xf>
    <xf numFmtId="0" fontId="107" fillId="20" borderId="287" xfId="1" applyFont="1" applyFill="1" applyBorder="1" applyAlignment="1" applyProtection="1">
      <alignment horizontal="center" vertical="center"/>
      <protection hidden="1"/>
    </xf>
    <xf numFmtId="0" fontId="22" fillId="10" borderId="0" xfId="1" applyFill="1" applyAlignment="1" applyProtection="1">
      <alignment horizontal="center" vertical="center" wrapText="1"/>
      <protection hidden="1"/>
    </xf>
    <xf numFmtId="0" fontId="18" fillId="0" borderId="0" xfId="1" applyFont="1" applyAlignment="1" applyProtection="1">
      <alignment horizontal="left" vertical="center" wrapText="1"/>
      <protection hidden="1"/>
    </xf>
    <xf numFmtId="0" fontId="22" fillId="0" borderId="0" xfId="1" applyAlignment="1" applyProtection="1">
      <alignment horizontal="left" vertical="center" wrapText="1"/>
      <protection hidden="1"/>
    </xf>
    <xf numFmtId="0" fontId="16" fillId="5" borderId="11" xfId="0" applyFont="1" applyFill="1" applyBorder="1" applyAlignment="1">
      <alignment horizontal="center" vertical="center"/>
    </xf>
    <xf numFmtId="0" fontId="16" fillId="5" borderId="33" xfId="0" applyFont="1" applyFill="1" applyBorder="1" applyAlignment="1">
      <alignment horizontal="center" vertical="center"/>
    </xf>
    <xf numFmtId="0" fontId="16" fillId="5" borderId="136" xfId="0" applyFont="1" applyFill="1" applyBorder="1" applyAlignment="1">
      <alignment horizontal="center" vertical="center"/>
    </xf>
    <xf numFmtId="0" fontId="16" fillId="5" borderId="34" xfId="0" applyFont="1" applyFill="1" applyBorder="1" applyAlignment="1">
      <alignment horizontal="center" vertical="center"/>
    </xf>
    <xf numFmtId="0" fontId="16" fillId="5" borderId="12" xfId="0" applyFont="1" applyFill="1" applyBorder="1" applyAlignment="1">
      <alignment horizontal="center" vertical="center"/>
    </xf>
    <xf numFmtId="0" fontId="16" fillId="5" borderId="4" xfId="0" applyFont="1" applyFill="1" applyBorder="1" applyAlignment="1">
      <alignment horizontal="center" vertical="center"/>
    </xf>
    <xf numFmtId="0" fontId="16" fillId="5" borderId="10" xfId="0" applyFont="1" applyFill="1" applyBorder="1" applyAlignment="1">
      <alignment horizontal="center" vertical="center"/>
    </xf>
    <xf numFmtId="0" fontId="16" fillId="5" borderId="15" xfId="0" applyFont="1" applyFill="1" applyBorder="1" applyAlignment="1">
      <alignment horizontal="center" vertical="center"/>
    </xf>
    <xf numFmtId="0" fontId="21" fillId="5" borderId="23" xfId="0" applyFont="1" applyFill="1" applyBorder="1" applyAlignment="1">
      <alignment horizontal="center" vertical="center"/>
    </xf>
    <xf numFmtId="0" fontId="21" fillId="5" borderId="48" xfId="0" applyFont="1" applyFill="1" applyBorder="1" applyAlignment="1">
      <alignment horizontal="center" vertical="center"/>
    </xf>
    <xf numFmtId="0" fontId="21" fillId="5" borderId="25" xfId="0" applyFont="1" applyFill="1" applyBorder="1" applyAlignment="1">
      <alignment horizontal="center" vertical="center"/>
    </xf>
    <xf numFmtId="0" fontId="16" fillId="5" borderId="22" xfId="0" applyFont="1" applyFill="1" applyBorder="1" applyAlignment="1">
      <alignment horizontal="center" vertical="center"/>
    </xf>
    <xf numFmtId="0" fontId="16" fillId="5" borderId="26" xfId="0" applyFont="1" applyFill="1" applyBorder="1" applyAlignment="1">
      <alignment horizontal="center" vertical="center"/>
    </xf>
    <xf numFmtId="0" fontId="16" fillId="5" borderId="24" xfId="0" applyFont="1" applyFill="1" applyBorder="1" applyAlignment="1">
      <alignment horizontal="center" vertical="center"/>
    </xf>
    <xf numFmtId="0" fontId="16" fillId="5" borderId="23" xfId="0" applyFont="1" applyFill="1" applyBorder="1" applyAlignment="1">
      <alignment horizontal="center" vertical="center"/>
    </xf>
    <xf numFmtId="0" fontId="16" fillId="5" borderId="48" xfId="0" applyFont="1" applyFill="1" applyBorder="1" applyAlignment="1">
      <alignment horizontal="center" vertical="center"/>
    </xf>
    <xf numFmtId="0" fontId="16" fillId="5" borderId="25" xfId="0" applyFont="1" applyFill="1" applyBorder="1" applyAlignment="1">
      <alignment horizontal="center" vertical="center"/>
    </xf>
    <xf numFmtId="0" fontId="15" fillId="21" borderId="9" xfId="0" applyFont="1" applyFill="1" applyBorder="1" applyAlignment="1">
      <alignment horizontal="center" vertical="center"/>
    </xf>
    <xf numFmtId="0" fontId="15" fillId="21" borderId="29" xfId="0" applyFont="1" applyFill="1" applyBorder="1" applyAlignment="1">
      <alignment horizontal="center" vertical="center"/>
    </xf>
    <xf numFmtId="0" fontId="15" fillId="9" borderId="2" xfId="0" applyFont="1" applyFill="1" applyBorder="1" applyAlignment="1">
      <alignment horizontal="center" vertical="center"/>
    </xf>
    <xf numFmtId="0" fontId="86" fillId="0" borderId="30" xfId="0" applyFont="1" applyBorder="1" applyAlignment="1">
      <alignment horizontal="center" vertical="center"/>
    </xf>
    <xf numFmtId="0" fontId="86" fillId="0" borderId="31" xfId="0" applyFont="1" applyBorder="1" applyAlignment="1">
      <alignment horizontal="center" vertical="center"/>
    </xf>
    <xf numFmtId="0" fontId="86" fillId="0" borderId="20" xfId="0" applyFont="1" applyBorder="1" applyAlignment="1">
      <alignment horizontal="center" vertical="center"/>
    </xf>
    <xf numFmtId="0" fontId="86" fillId="0" borderId="21" xfId="0" applyFont="1" applyBorder="1" applyAlignment="1">
      <alignment horizontal="center" vertical="center"/>
    </xf>
    <xf numFmtId="0" fontId="15" fillId="9" borderId="1" xfId="0" applyFont="1" applyFill="1" applyBorder="1" applyAlignment="1">
      <alignment horizontal="center" vertical="center"/>
    </xf>
    <xf numFmtId="0" fontId="15" fillId="9" borderId="3" xfId="0" applyFont="1" applyFill="1" applyBorder="1" applyAlignment="1">
      <alignment horizontal="center" vertical="center"/>
    </xf>
    <xf numFmtId="164" fontId="21" fillId="5" borderId="23" xfId="0" applyNumberFormat="1" applyFont="1" applyFill="1" applyBorder="1" applyAlignment="1">
      <alignment horizontal="center" vertical="center"/>
    </xf>
    <xf numFmtId="164" fontId="21" fillId="5" borderId="48" xfId="0" applyNumberFormat="1" applyFont="1" applyFill="1" applyBorder="1" applyAlignment="1">
      <alignment horizontal="center" vertical="center"/>
    </xf>
    <xf numFmtId="164" fontId="21" fillId="5" borderId="25" xfId="0" applyNumberFormat="1" applyFont="1" applyFill="1" applyBorder="1" applyAlignment="1">
      <alignment horizontal="center" vertical="center"/>
    </xf>
    <xf numFmtId="0" fontId="15" fillId="9" borderId="9" xfId="0" applyFont="1" applyFill="1" applyBorder="1" applyAlignment="1">
      <alignment horizontal="center"/>
    </xf>
    <xf numFmtId="0" fontId="15" fillId="9" borderId="28" xfId="0" applyFont="1" applyFill="1" applyBorder="1" applyAlignment="1">
      <alignment horizontal="center"/>
    </xf>
    <xf numFmtId="0" fontId="15" fillId="9" borderId="29" xfId="0" applyFont="1" applyFill="1" applyBorder="1" applyAlignment="1">
      <alignment horizontal="center"/>
    </xf>
    <xf numFmtId="0" fontId="15" fillId="9" borderId="9" xfId="0" applyFont="1" applyFill="1" applyBorder="1" applyAlignment="1">
      <alignment horizontal="center" vertical="center"/>
    </xf>
    <xf numFmtId="0" fontId="15" fillId="9" borderId="29" xfId="0" applyFont="1" applyFill="1" applyBorder="1" applyAlignment="1">
      <alignment horizontal="center" vertical="center"/>
    </xf>
    <xf numFmtId="0" fontId="27" fillId="9" borderId="5" xfId="1" applyFont="1" applyFill="1" applyBorder="1" applyAlignment="1" applyProtection="1">
      <alignment horizontal="center" vertical="center"/>
      <protection hidden="1"/>
    </xf>
    <xf numFmtId="0" fontId="27" fillId="9" borderId="6" xfId="1" applyFont="1" applyFill="1" applyBorder="1" applyAlignment="1" applyProtection="1">
      <alignment horizontal="center" vertical="center"/>
      <protection hidden="1"/>
    </xf>
    <xf numFmtId="0" fontId="27" fillId="9" borderId="18" xfId="1" applyFont="1" applyFill="1" applyBorder="1" applyAlignment="1" applyProtection="1">
      <alignment horizontal="center" vertical="center"/>
      <protection hidden="1"/>
    </xf>
  </cellXfs>
  <cellStyles count="8">
    <cellStyle name="Lien hypertexte" xfId="7" builtinId="8"/>
    <cellStyle name="Normal" xfId="0" builtinId="0"/>
    <cellStyle name="Normal 2" xfId="1" xr:uid="{00000000-0005-0000-0000-000002000000}"/>
    <cellStyle name="Normal 3" xfId="3" xr:uid="{00000000-0005-0000-0000-000003000000}"/>
    <cellStyle name="Normal 4" xfId="4" xr:uid="{00000000-0005-0000-0000-000004000000}"/>
    <cellStyle name="Normal 5" xfId="5" xr:uid="{00000000-0005-0000-0000-000005000000}"/>
    <cellStyle name="Normal 6" xfId="6" xr:uid="{A19F0B02-47E9-4D2C-B3F6-A8C99D86DDDE}"/>
    <cellStyle name="Pourcentage 2" xfId="2" xr:uid="{00000000-0005-0000-0000-000006000000}"/>
  </cellStyles>
  <dxfs count="67">
    <dxf>
      <font>
        <b/>
        <i val="0"/>
        <color theme="0"/>
      </font>
      <fill>
        <patternFill>
          <bgColor rgb="FFD57A44"/>
        </patternFill>
      </fill>
      <border>
        <left style="thin">
          <color auto="1"/>
        </left>
        <right style="thin">
          <color auto="1"/>
        </right>
        <top style="hair">
          <color auto="1"/>
        </top>
        <bottom style="hair">
          <color auto="1"/>
        </bottom>
      </border>
    </dxf>
    <dxf>
      <font>
        <b/>
        <i val="0"/>
        <color theme="0"/>
      </font>
      <fill>
        <patternFill>
          <bgColor rgb="FF7AB51C"/>
        </patternFill>
      </fill>
      <border>
        <left style="thin">
          <color auto="1"/>
        </left>
        <right style="thin">
          <color auto="1"/>
        </right>
        <top style="hair">
          <color auto="1"/>
        </top>
        <bottom style="hair">
          <color auto="1"/>
        </bottom>
      </border>
    </dxf>
    <dxf>
      <font>
        <b val="0"/>
        <i val="0"/>
        <color rgb="FF000000"/>
      </font>
      <fill>
        <patternFill>
          <bgColor rgb="FF000000"/>
        </patternFill>
      </fill>
      <border>
        <left style="thin">
          <color rgb="FF000000"/>
        </left>
        <right style="thin">
          <color rgb="FF000000"/>
        </right>
        <top style="thin">
          <color rgb="FF000000"/>
        </top>
        <bottom style="thin">
          <color rgb="FF000000"/>
        </bottom>
      </border>
    </dxf>
    <dxf>
      <font>
        <b val="0"/>
        <i val="0"/>
        <color theme="1"/>
      </font>
      <fill>
        <patternFill patternType="none">
          <bgColor auto="1"/>
        </patternFill>
      </fill>
      <border>
        <left style="thin">
          <color auto="1"/>
        </left>
        <right style="thin">
          <color auto="1"/>
        </right>
        <top style="hair">
          <color auto="1"/>
        </top>
        <bottom style="hair">
          <color auto="1"/>
        </bottom>
      </border>
    </dxf>
    <dxf>
      <font>
        <b val="0"/>
        <i val="0"/>
        <color rgb="FFC00000"/>
      </font>
      <fill>
        <patternFill patternType="none">
          <bgColor auto="1"/>
        </patternFill>
      </fill>
      <border>
        <left style="thin">
          <color auto="1"/>
        </left>
        <right style="thin">
          <color auto="1"/>
        </right>
        <top style="hair">
          <color auto="1"/>
        </top>
        <bottom style="hair">
          <color auto="1"/>
        </bottom>
      </border>
    </dxf>
    <dxf>
      <font>
        <b/>
        <i val="0"/>
        <color theme="0"/>
      </font>
      <fill>
        <patternFill>
          <bgColor rgb="FFD57A44"/>
        </patternFill>
      </fill>
    </dxf>
    <dxf>
      <font>
        <b/>
        <i val="0"/>
        <color theme="0"/>
      </font>
      <fill>
        <patternFill>
          <bgColor rgb="FF7AB51C"/>
        </patternFill>
      </fill>
    </dxf>
    <dxf>
      <font>
        <b val="0"/>
        <i val="0"/>
        <color rgb="FF000000"/>
      </font>
      <fill>
        <patternFill>
          <bgColor rgb="FFC6EEFF" tint="0.79998168889431442"/>
        </patternFill>
      </fill>
      <border>
        <left style="thin">
          <color rgb="FF000000"/>
        </left>
        <right style="thin">
          <color rgb="FF000000"/>
        </right>
        <top style="thin">
          <color rgb="FF000000"/>
        </top>
        <bottom style="thin">
          <color rgb="FF000000"/>
        </bottom>
      </border>
    </dxf>
    <dxf>
      <font>
        <b/>
        <i val="0"/>
        <color theme="0"/>
      </font>
      <fill>
        <patternFill>
          <bgColor rgb="FFD57A44"/>
        </patternFill>
      </fill>
    </dxf>
    <dxf>
      <font>
        <b/>
        <i val="0"/>
        <color theme="0"/>
      </font>
      <fill>
        <patternFill>
          <bgColor rgb="FF7AB51C"/>
        </patternFill>
      </fill>
    </dxf>
    <dxf>
      <fill>
        <patternFill patternType="mediumGray"/>
      </fill>
    </dxf>
    <dxf>
      <font>
        <color theme="0"/>
      </font>
    </dxf>
    <dxf>
      <font>
        <b/>
        <i val="0"/>
        <color theme="0"/>
      </font>
      <fill>
        <patternFill>
          <bgColor rgb="FFD57A44"/>
        </patternFill>
      </fill>
      <border>
        <left style="thin">
          <color auto="1"/>
        </left>
        <right style="thin">
          <color auto="1"/>
        </right>
        <top style="thin">
          <color auto="1"/>
        </top>
        <bottom style="thin">
          <color auto="1"/>
        </bottom>
      </border>
    </dxf>
    <dxf>
      <font>
        <b/>
        <i val="0"/>
        <color theme="0"/>
      </font>
      <fill>
        <patternFill>
          <bgColor rgb="FF7AB51C"/>
        </patternFill>
      </fill>
      <border>
        <left style="thin">
          <color auto="1"/>
        </left>
        <right style="thin">
          <color auto="1"/>
        </right>
        <top style="thin">
          <color auto="1"/>
        </top>
        <bottom style="thin">
          <color auto="1"/>
        </bottom>
      </border>
    </dxf>
    <dxf>
      <font>
        <b/>
        <i val="0"/>
        <color theme="0"/>
      </font>
      <fill>
        <patternFill>
          <bgColor rgb="FFD57A44"/>
        </patternFill>
      </fill>
      <border>
        <left style="thin">
          <color auto="1"/>
        </left>
        <right style="thin">
          <color auto="1"/>
        </right>
        <top style="thin">
          <color auto="1"/>
        </top>
        <bottom style="thin">
          <color auto="1"/>
        </bottom>
      </border>
    </dxf>
    <dxf>
      <font>
        <b/>
        <i val="0"/>
        <color theme="0"/>
      </font>
      <fill>
        <patternFill>
          <bgColor rgb="FF7AB51C"/>
        </patternFill>
      </fill>
      <border>
        <left style="thin">
          <color auto="1"/>
        </left>
        <right style="thin">
          <color auto="1"/>
        </right>
        <top style="thin">
          <color auto="1"/>
        </top>
        <bottom style="thin">
          <color auto="1"/>
        </bottom>
      </border>
    </dxf>
    <dxf>
      <font>
        <b/>
        <i val="0"/>
        <color theme="0"/>
      </font>
      <fill>
        <patternFill>
          <bgColor rgb="FFD57A44"/>
        </patternFill>
      </fill>
    </dxf>
    <dxf>
      <font>
        <b/>
        <i val="0"/>
      </font>
      <fill>
        <patternFill>
          <bgColor rgb="FFFF9966"/>
        </patternFill>
      </fill>
    </dxf>
    <dxf>
      <font>
        <b/>
        <i val="0"/>
        <color theme="0"/>
      </font>
      <fill>
        <patternFill>
          <bgColor rgb="FF7AB51C"/>
        </patternFill>
      </fill>
    </dxf>
    <dxf>
      <fill>
        <patternFill>
          <bgColor theme="7" tint="0.39994506668294322"/>
        </patternFill>
      </fill>
    </dxf>
    <dxf>
      <fill>
        <patternFill>
          <bgColor rgb="FFFF9966"/>
        </patternFill>
      </fill>
    </dxf>
    <dxf>
      <font>
        <b/>
        <i val="0"/>
        <color theme="1"/>
      </font>
      <fill>
        <patternFill>
          <bgColor theme="9" tint="-0.24994659260841701"/>
        </patternFill>
      </fill>
    </dxf>
    <dxf>
      <font>
        <b/>
        <i val="0"/>
      </font>
      <fill>
        <patternFill>
          <bgColor rgb="FFFF9966"/>
        </patternFill>
      </fill>
    </dxf>
    <dxf>
      <font>
        <b/>
        <i val="0"/>
        <color theme="1"/>
      </font>
      <fill>
        <patternFill>
          <bgColor theme="7"/>
        </patternFill>
      </fill>
    </dxf>
    <dxf>
      <font>
        <b/>
        <i val="0"/>
        <color theme="0"/>
      </font>
      <fill>
        <patternFill>
          <bgColor rgb="FF7AB51C"/>
        </patternFill>
      </fill>
    </dxf>
    <dxf>
      <font>
        <color rgb="FFA50021"/>
      </font>
      <fill>
        <patternFill>
          <bgColor rgb="FFFFC7CE"/>
        </patternFill>
      </fill>
    </dxf>
    <dxf>
      <font>
        <b/>
        <i val="0"/>
        <color theme="0"/>
      </font>
      <fill>
        <patternFill>
          <bgColor rgb="FFD57A44"/>
        </patternFill>
      </fill>
    </dxf>
    <dxf>
      <font>
        <b/>
        <i val="0"/>
        <color theme="0"/>
      </font>
      <fill>
        <patternFill>
          <bgColor rgb="FF7AB51C"/>
        </patternFill>
      </fill>
    </dxf>
    <dxf>
      <fill>
        <patternFill>
          <bgColor theme="7" tint="0.59996337778862885"/>
        </patternFill>
      </fill>
    </dxf>
    <dxf>
      <fill>
        <patternFill>
          <bgColor theme="9" tint="0.39994506668294322"/>
        </patternFill>
      </fill>
    </dxf>
    <dxf>
      <font>
        <b/>
        <i val="0"/>
        <color theme="0"/>
      </font>
      <fill>
        <patternFill>
          <bgColor theme="9" tint="-0.24994659260841701"/>
        </patternFill>
      </fill>
    </dxf>
    <dxf>
      <font>
        <b/>
        <i val="0"/>
      </font>
      <fill>
        <patternFill>
          <bgColor theme="8" tint="0.59996337778862885"/>
        </patternFill>
      </fill>
    </dxf>
    <dxf>
      <font>
        <b/>
        <i val="0"/>
        <color theme="0"/>
      </font>
      <fill>
        <patternFill>
          <bgColor theme="7"/>
        </patternFill>
      </fill>
    </dxf>
    <dxf>
      <font>
        <b/>
        <i val="0"/>
        <color theme="0"/>
      </font>
      <fill>
        <patternFill>
          <bgColor theme="9" tint="-0.24994659260841701"/>
        </patternFill>
      </fill>
    </dxf>
    <dxf>
      <font>
        <b/>
        <i val="0"/>
      </font>
      <fill>
        <patternFill>
          <bgColor theme="8" tint="0.59996337778862885"/>
        </patternFill>
      </fill>
    </dxf>
    <dxf>
      <font>
        <b/>
        <i val="0"/>
        <color theme="0"/>
      </font>
      <fill>
        <patternFill>
          <bgColor theme="7"/>
        </patternFill>
      </fill>
    </dxf>
    <dxf>
      <font>
        <b/>
        <i val="0"/>
        <color theme="0"/>
      </font>
      <fill>
        <patternFill>
          <bgColor rgb="FFD57A44"/>
        </patternFill>
      </fill>
    </dxf>
    <dxf>
      <font>
        <b/>
        <i val="0"/>
      </font>
      <fill>
        <patternFill>
          <bgColor rgb="FFFF9966"/>
        </patternFill>
      </fill>
    </dxf>
    <dxf>
      <font>
        <b/>
        <i val="0"/>
        <color theme="0"/>
      </font>
      <fill>
        <patternFill>
          <bgColor rgb="FF7AB51C"/>
        </patternFill>
      </fill>
    </dxf>
    <dxf>
      <fill>
        <patternFill>
          <bgColor theme="7" tint="0.39994506668294322"/>
        </patternFill>
      </fill>
    </dxf>
    <dxf>
      <fill>
        <patternFill>
          <bgColor rgb="FFFF9966"/>
        </patternFill>
      </fill>
    </dxf>
    <dxf>
      <font>
        <b/>
        <i val="0"/>
        <color theme="1"/>
      </font>
      <fill>
        <patternFill>
          <bgColor theme="9" tint="-0.24994659260841701"/>
        </patternFill>
      </fill>
    </dxf>
    <dxf>
      <font>
        <b/>
        <i val="0"/>
      </font>
      <fill>
        <patternFill>
          <bgColor rgb="FFFF9966"/>
        </patternFill>
      </fill>
    </dxf>
    <dxf>
      <font>
        <b/>
        <i val="0"/>
        <color theme="1"/>
      </font>
      <fill>
        <patternFill>
          <bgColor theme="7"/>
        </patternFill>
      </fill>
    </dxf>
    <dxf>
      <font>
        <b/>
        <i val="0"/>
        <color theme="0"/>
      </font>
      <fill>
        <patternFill>
          <bgColor rgb="FF7AB51C"/>
        </patternFill>
      </fill>
    </dxf>
    <dxf>
      <font>
        <color rgb="FFA50021"/>
      </font>
      <fill>
        <patternFill>
          <bgColor rgb="FFFFC7CE"/>
        </patternFill>
      </fill>
    </dxf>
    <dxf>
      <font>
        <b/>
        <i val="0"/>
        <color theme="0"/>
      </font>
      <fill>
        <patternFill>
          <bgColor rgb="FFD57A44"/>
        </patternFill>
      </fill>
    </dxf>
    <dxf>
      <font>
        <b/>
        <i val="0"/>
        <color theme="0"/>
      </font>
      <fill>
        <patternFill>
          <bgColor rgb="FF7AB51C"/>
        </patternFill>
      </fill>
    </dxf>
    <dxf>
      <fill>
        <patternFill>
          <bgColor theme="7" tint="0.59996337778862885"/>
        </patternFill>
      </fill>
    </dxf>
    <dxf>
      <fill>
        <patternFill>
          <bgColor theme="9" tint="0.39994506668294322"/>
        </patternFill>
      </fill>
    </dxf>
    <dxf>
      <font>
        <b/>
        <i val="0"/>
        <color theme="0"/>
      </font>
      <fill>
        <patternFill>
          <bgColor theme="9" tint="-0.24994659260841701"/>
        </patternFill>
      </fill>
    </dxf>
    <dxf>
      <font>
        <b/>
        <i val="0"/>
      </font>
      <fill>
        <patternFill>
          <bgColor theme="8" tint="0.59996337778862885"/>
        </patternFill>
      </fill>
    </dxf>
    <dxf>
      <font>
        <b/>
        <i val="0"/>
        <color theme="0"/>
      </font>
      <fill>
        <patternFill>
          <bgColor theme="7"/>
        </patternFill>
      </fill>
    </dxf>
    <dxf>
      <font>
        <b/>
        <i val="0"/>
        <color theme="0"/>
      </font>
      <fill>
        <patternFill>
          <bgColor theme="9" tint="-0.24994659260841701"/>
        </patternFill>
      </fill>
    </dxf>
    <dxf>
      <font>
        <b/>
        <i val="0"/>
      </font>
      <fill>
        <patternFill>
          <bgColor theme="8" tint="0.59996337778862885"/>
        </patternFill>
      </fill>
    </dxf>
    <dxf>
      <font>
        <b/>
        <i val="0"/>
        <color theme="0"/>
      </font>
      <fill>
        <patternFill>
          <bgColor theme="7"/>
        </patternFill>
      </fill>
    </dxf>
    <dxf>
      <font>
        <b/>
        <i val="0"/>
        <color theme="0"/>
      </font>
      <fill>
        <patternFill>
          <bgColor rgb="FFD57A44"/>
        </patternFill>
      </fill>
    </dxf>
    <dxf>
      <font>
        <b/>
        <i val="0"/>
      </font>
      <fill>
        <patternFill>
          <bgColor rgb="FFFF9966"/>
        </patternFill>
      </fill>
    </dxf>
    <dxf>
      <font>
        <b/>
        <i val="0"/>
        <color theme="0"/>
      </font>
      <fill>
        <patternFill>
          <bgColor rgb="FF7AB51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theme="0"/>
      </font>
      <fill>
        <patternFill>
          <bgColor theme="7"/>
        </patternFill>
      </fill>
      <border>
        <left style="thin">
          <color theme="0"/>
        </left>
        <right style="thin">
          <color theme="0"/>
        </right>
        <top style="thin">
          <color theme="0"/>
        </top>
        <bottom style="thin">
          <color theme="0"/>
        </bottom>
      </border>
    </dxf>
    <dxf>
      <font>
        <b/>
        <i val="0"/>
        <color theme="0"/>
      </font>
      <fill>
        <patternFill>
          <bgColor theme="9" tint="-0.24994659260841701"/>
        </patternFill>
      </fill>
      <border>
        <left style="thin">
          <color theme="0"/>
        </left>
        <right style="thin">
          <color theme="0"/>
        </right>
        <top style="thin">
          <color theme="0"/>
        </top>
        <bottom style="thin">
          <color theme="0"/>
        </bottom>
      </border>
    </dxf>
  </dxfs>
  <tableStyles count="0" defaultTableStyle="TableStyleMedium2" defaultPivotStyle="PivotStyleLight16"/>
  <colors>
    <mruColors>
      <color rgb="FFD57A44"/>
      <color rgb="FF8FC5EC"/>
      <color rgb="FFC6EEFF"/>
      <color rgb="FF1F497D"/>
      <color rgb="FF7AB51C"/>
      <color rgb="FFB896EF"/>
      <color rgb="FF8FC4E6"/>
      <color rgb="FFC6EFCE"/>
      <color rgb="FFFFFFFF"/>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2</xdr:col>
      <xdr:colOff>85726</xdr:colOff>
      <xdr:row>1</xdr:row>
      <xdr:rowOff>59266</xdr:rowOff>
    </xdr:from>
    <xdr:to>
      <xdr:col>2</xdr:col>
      <xdr:colOff>1123270</xdr:colOff>
      <xdr:row>1</xdr:row>
      <xdr:rowOff>800100</xdr:rowOff>
    </xdr:to>
    <xdr:pic>
      <xdr:nvPicPr>
        <xdr:cNvPr id="2" name="Image 1" descr="Logo Les agences de l'eau ferr droite">
          <a:extLst>
            <a:ext uri="{FF2B5EF4-FFF2-40B4-BE49-F238E27FC236}">
              <a16:creationId xmlns:a16="http://schemas.microsoft.com/office/drawing/2014/main" id="{1243B691-EBC6-47B7-BEBD-F3476B833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1" y="221191"/>
          <a:ext cx="1037544" cy="740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19050</xdr:colOff>
      <xdr:row>1</xdr:row>
      <xdr:rowOff>19050</xdr:rowOff>
    </xdr:from>
    <xdr:to>
      <xdr:col>3</xdr:col>
      <xdr:colOff>448804</xdr:colOff>
      <xdr:row>1</xdr:row>
      <xdr:rowOff>820395</xdr:rowOff>
    </xdr:to>
    <xdr:pic>
      <xdr:nvPicPr>
        <xdr:cNvPr id="4" name="Image 3" descr="Logo Les agences de l'eau ferr droite">
          <a:extLst>
            <a:ext uri="{FF2B5EF4-FFF2-40B4-BE49-F238E27FC236}">
              <a16:creationId xmlns:a16="http://schemas.microsoft.com/office/drawing/2014/main" id="{E028F8D4-2DBC-4BCC-BB32-AD7649EA9F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 y="142875"/>
          <a:ext cx="1278482" cy="806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56079</xdr:colOff>
      <xdr:row>1</xdr:row>
      <xdr:rowOff>27867</xdr:rowOff>
    </xdr:from>
    <xdr:to>
      <xdr:col>4</xdr:col>
      <xdr:colOff>162885</xdr:colOff>
      <xdr:row>2</xdr:row>
      <xdr:rowOff>133</xdr:rowOff>
    </xdr:to>
    <xdr:pic>
      <xdr:nvPicPr>
        <xdr:cNvPr id="2" name="Image 1" descr="Logo Les agences de l'eau ferr droite">
          <a:extLst>
            <a:ext uri="{FF2B5EF4-FFF2-40B4-BE49-F238E27FC236}">
              <a16:creationId xmlns:a16="http://schemas.microsoft.com/office/drawing/2014/main" id="{8284E978-4AFD-4DFB-A9DB-0DDEEB8575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7079" y="151692"/>
          <a:ext cx="1286946" cy="817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56079</xdr:colOff>
      <xdr:row>1</xdr:row>
      <xdr:rowOff>29982</xdr:rowOff>
    </xdr:from>
    <xdr:to>
      <xdr:col>4</xdr:col>
      <xdr:colOff>142596</xdr:colOff>
      <xdr:row>1</xdr:row>
      <xdr:rowOff>808442</xdr:rowOff>
    </xdr:to>
    <xdr:pic>
      <xdr:nvPicPr>
        <xdr:cNvPr id="3" name="Image 2" descr="Logo Les agences de l'eau ferr droite">
          <a:extLst>
            <a:ext uri="{FF2B5EF4-FFF2-40B4-BE49-F238E27FC236}">
              <a16:creationId xmlns:a16="http://schemas.microsoft.com/office/drawing/2014/main" id="{DDF49F8B-3203-4AED-BDAF-B24E3A42549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9196" y="152749"/>
          <a:ext cx="1266460" cy="7827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56079</xdr:colOff>
      <xdr:row>1</xdr:row>
      <xdr:rowOff>29982</xdr:rowOff>
    </xdr:from>
    <xdr:to>
      <xdr:col>4</xdr:col>
      <xdr:colOff>141443</xdr:colOff>
      <xdr:row>1</xdr:row>
      <xdr:rowOff>809595</xdr:rowOff>
    </xdr:to>
    <xdr:pic>
      <xdr:nvPicPr>
        <xdr:cNvPr id="2" name="Image 1" descr="Logo Les agences de l'eau ferr droite">
          <a:extLst>
            <a:ext uri="{FF2B5EF4-FFF2-40B4-BE49-F238E27FC236}">
              <a16:creationId xmlns:a16="http://schemas.microsoft.com/office/drawing/2014/main" id="{DC1A8C3C-90C3-4EA4-8123-292DA9B3A5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21" y="147414"/>
          <a:ext cx="1183476" cy="781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hème Office">
  <a:themeElements>
    <a:clrScheme name="Personnalisé 1">
      <a:dk1>
        <a:sysClr val="windowText" lastClr="000000"/>
      </a:dk1>
      <a:lt1>
        <a:sysClr val="window" lastClr="FFFFFF"/>
      </a:lt1>
      <a:dk2>
        <a:srgbClr val="1F497D"/>
      </a:dk2>
      <a:lt2>
        <a:srgbClr val="E6E6E6"/>
      </a:lt2>
      <a:accent1>
        <a:srgbClr val="571CB5"/>
      </a:accent1>
      <a:accent2>
        <a:srgbClr val="8FC4E6"/>
      </a:accent2>
      <a:accent3>
        <a:srgbClr val="009DE0"/>
      </a:accent3>
      <a:accent4>
        <a:srgbClr val="7AB51C"/>
      </a:accent4>
      <a:accent5>
        <a:srgbClr val="E6DC8F"/>
      </a:accent5>
      <a:accent6>
        <a:srgbClr val="E6B08F"/>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view.officeapps.live.com/op/view.aspx?src=https%3A%2F%2Fwww.eaurmc.fr%2Fupload%2Fdocs%2Fapplication%2Fvnd.openxmlformats-officedocument.spreadsheetml.sheet%2F2025-02%2Ffeuilledecontrole_v7.0_locked.xlsx&amp;wdOrigin=BROWSELINK"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FA231-2B59-481E-BAED-4D89EADF2BA0}">
  <sheetPr codeName="Feuil4"/>
  <dimension ref="A1:AM66"/>
  <sheetViews>
    <sheetView tabSelected="1" zoomScale="95" zoomScaleNormal="95" workbookViewId="0">
      <pane xSplit="2" ySplit="6" topLeftCell="C7" activePane="bottomRight" state="frozen"/>
      <selection pane="topRight" activeCell="C1" sqref="C1"/>
      <selection pane="bottomLeft" activeCell="A7" sqref="A7"/>
      <selection pane="bottomRight" activeCell="C6" sqref="C6"/>
    </sheetView>
  </sheetViews>
  <sheetFormatPr baseColWidth="10" defaultRowHeight="12.7" x14ac:dyDescent="0.4"/>
  <cols>
    <col min="1" max="1" width="3" customWidth="1"/>
    <col min="2" max="2" width="3.1171875" customWidth="1"/>
    <col min="3" max="3" width="20.1171875" customWidth="1"/>
  </cols>
  <sheetData>
    <row r="1" spans="1:39" ht="13" thickBot="1" x14ac:dyDescent="0.45"/>
    <row r="2" spans="1:39" s="152" customFormat="1" ht="66.95" customHeight="1" thickTop="1" thickBot="1" x14ac:dyDescent="0.5">
      <c r="A2" s="153"/>
      <c r="B2" s="178"/>
      <c r="C2" s="638" t="s">
        <v>529</v>
      </c>
      <c r="D2" s="639"/>
      <c r="E2" s="639"/>
      <c r="F2" s="639"/>
      <c r="G2" s="639"/>
      <c r="H2" s="639"/>
      <c r="I2" s="639"/>
      <c r="J2" s="639"/>
      <c r="K2" s="639"/>
      <c r="L2" s="639"/>
      <c r="M2" s="639"/>
      <c r="N2" s="639"/>
      <c r="O2" s="639"/>
      <c r="P2" s="639"/>
      <c r="Q2" s="639"/>
      <c r="R2" s="639"/>
      <c r="S2" s="640"/>
      <c r="T2" s="326"/>
      <c r="U2" s="326"/>
      <c r="V2" s="327"/>
      <c r="W2" s="179"/>
      <c r="X2" s="320"/>
      <c r="Y2" s="320"/>
      <c r="Z2" s="320"/>
      <c r="AA2" s="320"/>
      <c r="AB2" s="320"/>
      <c r="AC2" s="321" t="s">
        <v>289</v>
      </c>
      <c r="AD2" s="321">
        <f>ROW(E20)+1</f>
        <v>21</v>
      </c>
      <c r="AE2" s="321" t="s">
        <v>291</v>
      </c>
      <c r="AF2" s="321">
        <f>ROW(D22)-1</f>
        <v>21</v>
      </c>
      <c r="AG2" s="239" t="s">
        <v>395</v>
      </c>
      <c r="AH2" s="239" t="e">
        <f>ROW(#REF!)+1</f>
        <v>#REF!</v>
      </c>
      <c r="AI2" s="239" t="e">
        <f>ROW(#REF!)-1</f>
        <v>#REF!</v>
      </c>
      <c r="AJ2" s="239"/>
      <c r="AK2" s="244"/>
      <c r="AL2" s="244"/>
      <c r="AM2" s="244"/>
    </row>
    <row r="3" spans="1:39" ht="13.35" thickTop="1" x14ac:dyDescent="0.45">
      <c r="A3" s="153"/>
      <c r="B3" s="178"/>
    </row>
    <row r="4" spans="1:39" s="151" customFormat="1" ht="15.7" x14ac:dyDescent="0.55000000000000004">
      <c r="A4" s="153"/>
      <c r="B4" s="178"/>
      <c r="C4" s="555" t="s">
        <v>591</v>
      </c>
      <c r="D4" s="556" t="s">
        <v>634</v>
      </c>
    </row>
    <row r="5" spans="1:39" s="151" customFormat="1" ht="15.7" x14ac:dyDescent="0.55000000000000004">
      <c r="A5" s="153"/>
      <c r="B5" s="178"/>
      <c r="C5" s="555" t="s">
        <v>592</v>
      </c>
      <c r="D5" s="556" t="s">
        <v>635</v>
      </c>
    </row>
    <row r="6" spans="1:39" s="151" customFormat="1" ht="13" x14ac:dyDescent="0.45">
      <c r="A6" s="153"/>
      <c r="B6" s="178"/>
    </row>
    <row r="7" spans="1:39" s="151" customFormat="1" ht="13" x14ac:dyDescent="0.45">
      <c r="A7" s="153"/>
      <c r="B7" s="178"/>
    </row>
    <row r="8" spans="1:39" s="151" customFormat="1" ht="23.7" thickBot="1" x14ac:dyDescent="0.5">
      <c r="A8" s="153"/>
      <c r="B8" s="178"/>
      <c r="C8" s="703" t="s">
        <v>595</v>
      </c>
      <c r="D8" s="704"/>
      <c r="E8" s="704"/>
      <c r="F8" s="704"/>
      <c r="G8" s="704"/>
      <c r="H8" s="704"/>
      <c r="I8" s="704"/>
      <c r="J8" s="704"/>
      <c r="K8" s="704"/>
      <c r="L8" s="704"/>
      <c r="M8" s="704"/>
      <c r="N8" s="704"/>
      <c r="O8" s="704"/>
      <c r="P8" s="704"/>
      <c r="Q8" s="704"/>
      <c r="R8" s="704"/>
      <c r="S8" s="704"/>
      <c r="T8" s="704"/>
      <c r="U8" s="704"/>
      <c r="V8" s="705"/>
    </row>
    <row r="9" spans="1:39" s="151" customFormat="1" ht="13.35" thickTop="1" x14ac:dyDescent="0.45">
      <c r="A9" s="153"/>
      <c r="B9" s="178"/>
      <c r="C9" s="547"/>
      <c r="D9" s="548"/>
      <c r="E9" s="548"/>
      <c r="F9" s="548"/>
      <c r="G9" s="548"/>
      <c r="H9" s="548"/>
      <c r="I9" s="548"/>
      <c r="J9" s="548"/>
      <c r="K9" s="548"/>
      <c r="L9" s="548"/>
      <c r="M9" s="548"/>
      <c r="N9" s="548"/>
      <c r="O9" s="548"/>
      <c r="P9" s="548"/>
      <c r="Q9" s="548"/>
      <c r="R9" s="548"/>
      <c r="S9" s="548"/>
      <c r="T9" s="548"/>
      <c r="U9" s="548"/>
      <c r="V9" s="549"/>
    </row>
    <row r="10" spans="1:39" s="151" customFormat="1" ht="40.700000000000003" customHeight="1" x14ac:dyDescent="0.45">
      <c r="A10" s="153"/>
      <c r="B10" s="178"/>
      <c r="C10" s="719" t="s">
        <v>604</v>
      </c>
      <c r="D10" s="720"/>
      <c r="E10" s="720"/>
      <c r="F10" s="720"/>
      <c r="G10" s="720"/>
      <c r="H10" s="720"/>
      <c r="I10" s="720"/>
      <c r="J10" s="720"/>
      <c r="K10" s="720"/>
      <c r="L10" s="720"/>
      <c r="M10" s="720"/>
      <c r="N10" s="720"/>
      <c r="O10" s="720"/>
      <c r="P10" s="720"/>
      <c r="Q10" s="720"/>
      <c r="R10" s="720"/>
      <c r="S10" s="720"/>
      <c r="T10" s="720"/>
      <c r="U10" s="720"/>
      <c r="V10" s="721"/>
    </row>
    <row r="11" spans="1:39" s="151" customFormat="1" ht="74.7" customHeight="1" x14ac:dyDescent="0.45">
      <c r="A11" s="153"/>
      <c r="B11" s="178"/>
      <c r="C11" s="706" t="s">
        <v>605</v>
      </c>
      <c r="D11" s="722"/>
      <c r="E11" s="722"/>
      <c r="F11" s="722"/>
      <c r="G11" s="722"/>
      <c r="H11" s="722"/>
      <c r="I11" s="722"/>
      <c r="J11" s="722"/>
      <c r="K11" s="722"/>
      <c r="L11" s="722"/>
      <c r="M11" s="722"/>
      <c r="N11" s="722"/>
      <c r="O11" s="722"/>
      <c r="P11" s="722"/>
      <c r="Q11" s="722"/>
      <c r="R11" s="722"/>
      <c r="S11" s="722"/>
      <c r="T11" s="722"/>
      <c r="U11" s="722"/>
      <c r="V11" s="723"/>
    </row>
    <row r="12" spans="1:39" s="151" customFormat="1" ht="13" x14ac:dyDescent="0.45">
      <c r="A12" s="153"/>
      <c r="B12" s="178"/>
      <c r="C12" s="552"/>
      <c r="D12" s="553"/>
      <c r="E12" s="553"/>
      <c r="F12" s="553"/>
      <c r="G12" s="553"/>
      <c r="H12" s="553"/>
      <c r="I12" s="553"/>
      <c r="J12" s="553"/>
      <c r="K12" s="553"/>
      <c r="L12" s="553"/>
      <c r="M12" s="553"/>
      <c r="N12" s="553"/>
      <c r="O12" s="553"/>
      <c r="P12" s="553"/>
      <c r="Q12" s="553"/>
      <c r="R12" s="553"/>
      <c r="S12" s="553"/>
      <c r="T12" s="553"/>
      <c r="U12" s="553"/>
      <c r="V12" s="554"/>
    </row>
    <row r="13" spans="1:39" s="151" customFormat="1" ht="23.7" thickBot="1" x14ac:dyDescent="0.5">
      <c r="A13" s="153"/>
      <c r="B13" s="178"/>
      <c r="C13" s="703" t="s">
        <v>594</v>
      </c>
      <c r="D13" s="704"/>
      <c r="E13" s="704"/>
      <c r="F13" s="704"/>
      <c r="G13" s="704"/>
      <c r="H13" s="704"/>
      <c r="I13" s="704"/>
      <c r="J13" s="704"/>
      <c r="K13" s="704"/>
      <c r="L13" s="704"/>
      <c r="M13" s="704"/>
      <c r="N13" s="704"/>
      <c r="O13" s="704"/>
      <c r="P13" s="704"/>
      <c r="Q13" s="704"/>
      <c r="R13" s="704"/>
      <c r="S13" s="704"/>
      <c r="T13" s="704"/>
      <c r="U13" s="704"/>
      <c r="V13" s="705"/>
    </row>
    <row r="14" spans="1:39" s="151" customFormat="1" ht="13.35" thickTop="1" x14ac:dyDescent="0.45">
      <c r="A14" s="153"/>
      <c r="B14" s="178"/>
      <c r="C14" s="547"/>
      <c r="D14" s="548"/>
      <c r="E14" s="548"/>
      <c r="F14" s="548"/>
      <c r="G14" s="548"/>
      <c r="H14" s="548"/>
      <c r="I14" s="548"/>
      <c r="J14" s="548"/>
      <c r="K14" s="548"/>
      <c r="L14" s="548"/>
      <c r="M14" s="548"/>
      <c r="N14" s="548"/>
      <c r="O14" s="548"/>
      <c r="P14" s="548"/>
      <c r="Q14" s="548"/>
      <c r="R14" s="548"/>
      <c r="S14" s="548"/>
      <c r="T14" s="548"/>
      <c r="U14" s="548"/>
      <c r="V14" s="549"/>
    </row>
    <row r="15" spans="1:39" s="151" customFormat="1" ht="39.450000000000003" customHeight="1" x14ac:dyDescent="0.45">
      <c r="A15" s="153"/>
      <c r="B15" s="178"/>
      <c r="C15" s="706" t="s">
        <v>606</v>
      </c>
      <c r="D15" s="707"/>
      <c r="E15" s="707"/>
      <c r="F15" s="707"/>
      <c r="G15" s="707"/>
      <c r="H15" s="707"/>
      <c r="I15" s="707"/>
      <c r="J15" s="707"/>
      <c r="K15" s="707"/>
      <c r="L15" s="707"/>
      <c r="M15" s="707"/>
      <c r="N15" s="707"/>
      <c r="O15" s="707"/>
      <c r="P15" s="707"/>
      <c r="Q15" s="707"/>
      <c r="R15" s="707"/>
      <c r="S15" s="707"/>
      <c r="T15" s="707"/>
      <c r="U15" s="707"/>
      <c r="V15" s="708"/>
    </row>
    <row r="16" spans="1:39" s="151" customFormat="1" ht="39.450000000000003" customHeight="1" x14ac:dyDescent="0.45">
      <c r="A16" s="153"/>
      <c r="B16" s="178"/>
      <c r="C16" s="706" t="s">
        <v>607</v>
      </c>
      <c r="D16" s="707"/>
      <c r="E16" s="707"/>
      <c r="F16" s="707"/>
      <c r="G16" s="707"/>
      <c r="H16" s="707"/>
      <c r="I16" s="707"/>
      <c r="J16" s="707"/>
      <c r="K16" s="707"/>
      <c r="L16" s="707"/>
      <c r="M16" s="707"/>
      <c r="N16" s="707"/>
      <c r="O16" s="707"/>
      <c r="P16" s="707"/>
      <c r="Q16" s="707"/>
      <c r="R16" s="707"/>
      <c r="S16" s="707"/>
      <c r="T16" s="707"/>
      <c r="U16" s="707"/>
      <c r="V16" s="708"/>
    </row>
    <row r="17" spans="1:22" s="151" customFormat="1" ht="39.450000000000003" customHeight="1" x14ac:dyDescent="0.45">
      <c r="A17" s="153"/>
      <c r="B17" s="178"/>
      <c r="C17" s="706" t="s">
        <v>608</v>
      </c>
      <c r="D17" s="707"/>
      <c r="E17" s="707"/>
      <c r="F17" s="707"/>
      <c r="G17" s="707"/>
      <c r="H17" s="707"/>
      <c r="I17" s="707"/>
      <c r="J17" s="707"/>
      <c r="K17" s="707"/>
      <c r="L17" s="707"/>
      <c r="M17" s="707"/>
      <c r="N17" s="707"/>
      <c r="O17" s="707"/>
      <c r="P17" s="707"/>
      <c r="Q17" s="707"/>
      <c r="R17" s="707"/>
      <c r="S17" s="707"/>
      <c r="T17" s="707"/>
      <c r="U17" s="707"/>
      <c r="V17" s="708"/>
    </row>
    <row r="18" spans="1:22" s="151" customFormat="1" ht="87.95" customHeight="1" x14ac:dyDescent="0.45">
      <c r="A18" s="153"/>
      <c r="B18" s="178"/>
      <c r="C18" s="712" t="s">
        <v>631</v>
      </c>
      <c r="D18" s="707"/>
      <c r="E18" s="707"/>
      <c r="F18" s="707"/>
      <c r="G18" s="707"/>
      <c r="H18" s="707"/>
      <c r="I18" s="707"/>
      <c r="J18" s="707"/>
      <c r="K18" s="707"/>
      <c r="L18" s="707"/>
      <c r="M18" s="707"/>
      <c r="N18" s="707"/>
      <c r="O18" s="707"/>
      <c r="P18" s="707"/>
      <c r="Q18" s="707"/>
      <c r="R18" s="707"/>
      <c r="S18" s="707"/>
      <c r="T18" s="707"/>
      <c r="U18" s="707"/>
      <c r="V18" s="708"/>
    </row>
    <row r="19" spans="1:22" s="151" customFormat="1" ht="13" x14ac:dyDescent="0.45">
      <c r="A19" s="153"/>
      <c r="B19" s="178"/>
      <c r="C19" s="709"/>
      <c r="D19" s="710"/>
      <c r="E19" s="710"/>
      <c r="F19" s="710"/>
      <c r="G19" s="710"/>
      <c r="H19" s="710"/>
      <c r="I19" s="710"/>
      <c r="J19" s="710"/>
      <c r="K19" s="710"/>
      <c r="L19" s="710"/>
      <c r="M19" s="710"/>
      <c r="N19" s="710"/>
      <c r="O19" s="710"/>
      <c r="P19" s="710"/>
      <c r="Q19" s="710"/>
      <c r="R19" s="710"/>
      <c r="S19" s="710"/>
      <c r="T19" s="710"/>
      <c r="U19" s="710"/>
      <c r="V19" s="711"/>
    </row>
    <row r="20" spans="1:22" s="151" customFormat="1" ht="23.7" thickBot="1" x14ac:dyDescent="0.5">
      <c r="A20" s="153"/>
      <c r="B20" s="178"/>
      <c r="C20" s="703" t="s">
        <v>593</v>
      </c>
      <c r="D20" s="704"/>
      <c r="E20" s="704"/>
      <c r="F20" s="704"/>
      <c r="G20" s="704"/>
      <c r="H20" s="704"/>
      <c r="I20" s="704"/>
      <c r="J20" s="704"/>
      <c r="K20" s="704"/>
      <c r="L20" s="704"/>
      <c r="M20" s="704"/>
      <c r="N20" s="704"/>
      <c r="O20" s="704"/>
      <c r="P20" s="704"/>
      <c r="Q20" s="704"/>
      <c r="R20" s="704"/>
      <c r="S20" s="704"/>
      <c r="T20" s="704"/>
      <c r="U20" s="704"/>
      <c r="V20" s="705"/>
    </row>
    <row r="21" spans="1:22" s="151" customFormat="1" ht="13.35" thickTop="1" x14ac:dyDescent="0.45">
      <c r="A21" s="153"/>
      <c r="B21" s="178"/>
      <c r="C21" s="547"/>
      <c r="D21" s="548"/>
      <c r="E21" s="548"/>
      <c r="F21" s="548"/>
      <c r="G21" s="548"/>
      <c r="H21" s="548"/>
      <c r="I21" s="548"/>
      <c r="J21" s="548"/>
      <c r="K21" s="548"/>
      <c r="L21" s="548"/>
      <c r="M21" s="548"/>
      <c r="N21" s="548"/>
      <c r="O21" s="548"/>
      <c r="P21" s="548"/>
      <c r="Q21" s="548"/>
      <c r="R21" s="548"/>
      <c r="S21" s="548"/>
      <c r="T21" s="548"/>
      <c r="U21" s="548"/>
      <c r="V21" s="549"/>
    </row>
    <row r="22" spans="1:22" s="151" customFormat="1" ht="14.35" x14ac:dyDescent="0.5">
      <c r="A22" s="153"/>
      <c r="B22" s="178"/>
      <c r="C22" s="716" t="s">
        <v>596</v>
      </c>
      <c r="D22" s="717"/>
      <c r="E22" s="717"/>
      <c r="F22" s="717"/>
      <c r="G22" s="717"/>
      <c r="H22" s="717"/>
      <c r="I22" s="717"/>
      <c r="J22" s="717"/>
      <c r="K22" s="717"/>
      <c r="L22" s="717"/>
      <c r="M22" s="717"/>
      <c r="N22" s="717"/>
      <c r="O22" s="717"/>
      <c r="P22" s="717"/>
      <c r="Q22" s="717"/>
      <c r="R22" s="717"/>
      <c r="S22" s="717"/>
      <c r="T22" s="717"/>
      <c r="U22" s="717"/>
      <c r="V22" s="718"/>
    </row>
    <row r="23" spans="1:22" s="151" customFormat="1" ht="117" customHeight="1" x14ac:dyDescent="0.45">
      <c r="A23" s="153"/>
      <c r="B23" s="178"/>
      <c r="C23" s="713" t="s">
        <v>630</v>
      </c>
      <c r="D23" s="714"/>
      <c r="E23" s="714"/>
      <c r="F23" s="714"/>
      <c r="G23" s="714"/>
      <c r="H23" s="714"/>
      <c r="I23" s="714"/>
      <c r="J23" s="714"/>
      <c r="K23" s="714"/>
      <c r="L23" s="714"/>
      <c r="M23" s="714"/>
      <c r="N23" s="714"/>
      <c r="O23" s="714"/>
      <c r="P23" s="714"/>
      <c r="Q23" s="714"/>
      <c r="R23" s="714"/>
      <c r="S23" s="714"/>
      <c r="T23" s="714"/>
      <c r="U23" s="714"/>
      <c r="V23" s="715"/>
    </row>
    <row r="24" spans="1:22" s="151" customFormat="1" ht="23.7" thickBot="1" x14ac:dyDescent="0.5">
      <c r="A24" s="153"/>
      <c r="B24" s="178"/>
      <c r="C24" s="703" t="s">
        <v>597</v>
      </c>
      <c r="D24" s="704"/>
      <c r="E24" s="704"/>
      <c r="F24" s="704"/>
      <c r="G24" s="704"/>
      <c r="H24" s="704"/>
      <c r="I24" s="704"/>
      <c r="J24" s="704"/>
      <c r="K24" s="704"/>
      <c r="L24" s="704"/>
      <c r="M24" s="704"/>
      <c r="N24" s="704"/>
      <c r="O24" s="704"/>
      <c r="P24" s="704"/>
      <c r="Q24" s="704"/>
      <c r="R24" s="704"/>
      <c r="S24" s="704"/>
      <c r="T24" s="704"/>
      <c r="U24" s="704"/>
      <c r="V24" s="705"/>
    </row>
    <row r="25" spans="1:22" s="151" customFormat="1" ht="13.35" thickTop="1" x14ac:dyDescent="0.45">
      <c r="A25" s="153"/>
      <c r="B25" s="178"/>
      <c r="C25" s="547"/>
      <c r="D25" s="548"/>
      <c r="E25" s="548"/>
      <c r="F25" s="548"/>
      <c r="G25" s="548"/>
      <c r="H25" s="548"/>
      <c r="I25" s="548"/>
      <c r="J25" s="548"/>
      <c r="K25" s="548"/>
      <c r="L25" s="548"/>
      <c r="M25" s="548"/>
      <c r="N25" s="548"/>
      <c r="O25" s="548"/>
      <c r="P25" s="548"/>
      <c r="Q25" s="548"/>
      <c r="R25" s="548"/>
      <c r="S25" s="548"/>
      <c r="T25" s="548"/>
      <c r="U25" s="548"/>
      <c r="V25" s="549"/>
    </row>
    <row r="26" spans="1:22" s="151" customFormat="1" ht="14.35" x14ac:dyDescent="0.5">
      <c r="A26" s="153"/>
      <c r="B26" s="178"/>
      <c r="C26" s="557" t="s">
        <v>609</v>
      </c>
      <c r="D26" s="548"/>
      <c r="E26" s="548"/>
      <c r="F26" s="548"/>
      <c r="G26" s="548"/>
      <c r="H26" s="548"/>
      <c r="I26" s="548"/>
      <c r="J26" s="548"/>
      <c r="K26" s="548"/>
      <c r="L26" s="548"/>
      <c r="M26" s="548"/>
      <c r="N26" s="548"/>
      <c r="O26" s="548"/>
      <c r="P26" s="548"/>
      <c r="Q26" s="548"/>
      <c r="R26" s="548"/>
      <c r="S26" s="548"/>
      <c r="T26" s="548"/>
      <c r="U26" s="548"/>
      <c r="V26" s="549"/>
    </row>
    <row r="27" spans="1:22" s="151" customFormat="1" ht="14.35" x14ac:dyDescent="0.5">
      <c r="A27" s="153"/>
      <c r="B27" s="178"/>
      <c r="C27" s="550" t="s">
        <v>603</v>
      </c>
      <c r="D27" s="548"/>
      <c r="E27" s="548"/>
      <c r="F27" s="548"/>
      <c r="G27" s="548"/>
      <c r="H27" s="548"/>
      <c r="I27" s="548"/>
      <c r="J27" s="548"/>
      <c r="K27" s="548"/>
      <c r="L27" s="548"/>
      <c r="M27" s="548"/>
      <c r="N27" s="548"/>
      <c r="O27" s="548"/>
      <c r="P27" s="548"/>
      <c r="Q27" s="548"/>
      <c r="R27" s="548"/>
      <c r="S27" s="548"/>
      <c r="T27" s="548"/>
      <c r="U27" s="548"/>
      <c r="V27" s="549"/>
    </row>
    <row r="28" spans="1:22" s="151" customFormat="1" ht="14.35" x14ac:dyDescent="0.5">
      <c r="A28" s="153"/>
      <c r="B28" s="178"/>
      <c r="C28" s="551"/>
      <c r="D28" s="548"/>
      <c r="E28" s="548"/>
      <c r="F28" s="548"/>
      <c r="G28" s="548"/>
      <c r="H28" s="548"/>
      <c r="I28" s="548"/>
      <c r="J28" s="548"/>
      <c r="K28" s="548"/>
      <c r="L28" s="548"/>
      <c r="M28" s="548"/>
      <c r="N28" s="548"/>
      <c r="O28" s="548"/>
      <c r="P28" s="548"/>
      <c r="Q28" s="548"/>
      <c r="R28" s="548"/>
      <c r="S28" s="548"/>
      <c r="T28" s="548"/>
      <c r="U28" s="548"/>
      <c r="V28" s="549"/>
    </row>
    <row r="29" spans="1:22" s="151" customFormat="1" ht="13" x14ac:dyDescent="0.45">
      <c r="A29" s="153"/>
      <c r="B29" s="178"/>
      <c r="C29" s="552"/>
      <c r="D29" s="553"/>
      <c r="E29" s="553"/>
      <c r="F29" s="553"/>
      <c r="G29" s="553"/>
      <c r="H29" s="553"/>
      <c r="I29" s="553"/>
      <c r="J29" s="553"/>
      <c r="K29" s="553"/>
      <c r="L29" s="553"/>
      <c r="M29" s="553"/>
      <c r="N29" s="553"/>
      <c r="O29" s="553"/>
      <c r="P29" s="553"/>
      <c r="Q29" s="553"/>
      <c r="R29" s="553"/>
      <c r="S29" s="553"/>
      <c r="T29" s="553"/>
      <c r="U29" s="553"/>
      <c r="V29" s="554"/>
    </row>
    <row r="30" spans="1:22" s="151" customFormat="1" ht="13" x14ac:dyDescent="0.45">
      <c r="A30" s="153"/>
      <c r="B30" s="178"/>
    </row>
    <row r="31" spans="1:22" s="151" customFormat="1" ht="13" x14ac:dyDescent="0.45">
      <c r="A31" s="153"/>
      <c r="B31" s="178"/>
    </row>
    <row r="32" spans="1:22" ht="13" x14ac:dyDescent="0.45">
      <c r="A32" s="153"/>
      <c r="B32" s="178"/>
    </row>
    <row r="33" spans="1:2" ht="13" x14ac:dyDescent="0.45">
      <c r="A33" s="153"/>
      <c r="B33" s="178"/>
    </row>
    <row r="34" spans="1:2" ht="13" x14ac:dyDescent="0.45">
      <c r="A34" s="153"/>
      <c r="B34" s="178"/>
    </row>
    <row r="35" spans="1:2" ht="13" x14ac:dyDescent="0.45">
      <c r="A35" s="153"/>
      <c r="B35" s="178"/>
    </row>
    <row r="36" spans="1:2" ht="13" x14ac:dyDescent="0.45">
      <c r="A36" s="153"/>
      <c r="B36" s="178"/>
    </row>
    <row r="37" spans="1:2" ht="13" x14ac:dyDescent="0.45">
      <c r="A37" s="153"/>
      <c r="B37" s="178"/>
    </row>
    <row r="38" spans="1:2" ht="13" x14ac:dyDescent="0.45">
      <c r="A38" s="153"/>
      <c r="B38" s="178"/>
    </row>
    <row r="39" spans="1:2" ht="13" x14ac:dyDescent="0.45">
      <c r="A39" s="153"/>
      <c r="B39" s="178"/>
    </row>
    <row r="40" spans="1:2" ht="13" x14ac:dyDescent="0.45">
      <c r="A40" s="153"/>
      <c r="B40" s="178"/>
    </row>
    <row r="41" spans="1:2" ht="13" x14ac:dyDescent="0.45">
      <c r="A41" s="153"/>
      <c r="B41" s="178"/>
    </row>
    <row r="42" spans="1:2" ht="13" x14ac:dyDescent="0.45">
      <c r="A42" s="153"/>
      <c r="B42" s="178"/>
    </row>
    <row r="43" spans="1:2" ht="13" x14ac:dyDescent="0.45">
      <c r="A43" s="153"/>
      <c r="B43" s="178"/>
    </row>
    <row r="44" spans="1:2" ht="13" x14ac:dyDescent="0.45">
      <c r="A44" s="153"/>
      <c r="B44" s="178"/>
    </row>
    <row r="45" spans="1:2" ht="13" x14ac:dyDescent="0.45">
      <c r="A45" s="153"/>
      <c r="B45" s="178"/>
    </row>
    <row r="46" spans="1:2" ht="13" x14ac:dyDescent="0.45">
      <c r="A46" s="153"/>
      <c r="B46" s="178"/>
    </row>
    <row r="47" spans="1:2" ht="13" x14ac:dyDescent="0.45">
      <c r="A47" s="153"/>
      <c r="B47" s="178"/>
    </row>
    <row r="48" spans="1:2" ht="13" x14ac:dyDescent="0.45">
      <c r="A48" s="153"/>
      <c r="B48" s="178"/>
    </row>
    <row r="49" spans="1:2" ht="13" x14ac:dyDescent="0.45">
      <c r="A49" s="153"/>
      <c r="B49" s="178"/>
    </row>
    <row r="50" spans="1:2" ht="13" x14ac:dyDescent="0.45">
      <c r="A50" s="153"/>
      <c r="B50" s="178"/>
    </row>
    <row r="51" spans="1:2" ht="13" x14ac:dyDescent="0.45">
      <c r="A51" s="153"/>
      <c r="B51" s="178"/>
    </row>
    <row r="52" spans="1:2" ht="13" x14ac:dyDescent="0.45">
      <c r="A52" s="153"/>
      <c r="B52" s="178"/>
    </row>
    <row r="53" spans="1:2" ht="13" x14ac:dyDescent="0.45">
      <c r="A53" s="153"/>
      <c r="B53" s="178"/>
    </row>
    <row r="54" spans="1:2" ht="13" x14ac:dyDescent="0.45">
      <c r="A54" s="153"/>
      <c r="B54" s="178"/>
    </row>
    <row r="55" spans="1:2" ht="13" x14ac:dyDescent="0.45">
      <c r="A55" s="153"/>
      <c r="B55" s="178"/>
    </row>
    <row r="56" spans="1:2" ht="13" x14ac:dyDescent="0.45">
      <c r="A56" s="153"/>
      <c r="B56" s="178"/>
    </row>
    <row r="57" spans="1:2" ht="13" x14ac:dyDescent="0.45">
      <c r="A57" s="153"/>
      <c r="B57" s="178"/>
    </row>
    <row r="58" spans="1:2" ht="13" x14ac:dyDescent="0.45">
      <c r="A58" s="153"/>
      <c r="B58" s="178"/>
    </row>
    <row r="59" spans="1:2" ht="13" x14ac:dyDescent="0.45">
      <c r="A59" s="153"/>
      <c r="B59" s="178"/>
    </row>
    <row r="60" spans="1:2" ht="13" x14ac:dyDescent="0.45">
      <c r="A60" s="153"/>
      <c r="B60" s="178"/>
    </row>
    <row r="61" spans="1:2" ht="13" x14ac:dyDescent="0.45">
      <c r="A61" s="153"/>
      <c r="B61" s="178"/>
    </row>
    <row r="62" spans="1:2" ht="13" x14ac:dyDescent="0.45">
      <c r="A62" s="153"/>
      <c r="B62" s="178"/>
    </row>
    <row r="63" spans="1:2" ht="13" x14ac:dyDescent="0.45">
      <c r="A63" s="153"/>
      <c r="B63" s="178"/>
    </row>
    <row r="64" spans="1:2" ht="13" x14ac:dyDescent="0.45">
      <c r="A64" s="153"/>
      <c r="B64" s="178"/>
    </row>
    <row r="65" spans="1:2" ht="13" x14ac:dyDescent="0.45">
      <c r="A65" s="153"/>
      <c r="B65" s="178"/>
    </row>
    <row r="66" spans="1:2" ht="13" x14ac:dyDescent="0.45">
      <c r="A66" s="153"/>
      <c r="B66" s="178"/>
    </row>
  </sheetData>
  <sheetProtection algorithmName="SHA-512" hashValue="A3mHY/QcDYPxd80cEZLDOAzoXYckxcMsdiTGlF3WNR5rKgzioLO5o+cpEBCM1K3n16ryJlqQNlJUUYljxX0S7g==" saltValue="dwyCh34hl7GL2F7iJAY/WA==" spinCount="100000" sheet="1" objects="1" scenarios="1" formatRows="0"/>
  <mergeCells count="14">
    <mergeCell ref="C2:S2"/>
    <mergeCell ref="C8:V8"/>
    <mergeCell ref="C13:V13"/>
    <mergeCell ref="C20:V20"/>
    <mergeCell ref="C10:V10"/>
    <mergeCell ref="C11:V11"/>
    <mergeCell ref="C24:V24"/>
    <mergeCell ref="C15:V15"/>
    <mergeCell ref="C19:V19"/>
    <mergeCell ref="C16:V16"/>
    <mergeCell ref="C17:V17"/>
    <mergeCell ref="C18:V18"/>
    <mergeCell ref="C23:V23"/>
    <mergeCell ref="C22:V2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12">
    <tabColor rgb="FFC00000"/>
  </sheetPr>
  <dimension ref="A1:AS92"/>
  <sheetViews>
    <sheetView showGridLines="0" zoomScale="83" zoomScaleNormal="83" workbookViewId="0">
      <pane ySplit="7" topLeftCell="A8" activePane="bottomLeft" state="frozen"/>
      <selection activeCell="K45" sqref="K45:T45"/>
      <selection pane="bottomLeft" activeCell="S14" sqref="S14:T14"/>
    </sheetView>
  </sheetViews>
  <sheetFormatPr baseColWidth="10" defaultColWidth="11.41015625" defaultRowHeight="20.100000000000001" customHeight="1" outlineLevelRow="1" x14ac:dyDescent="0.45"/>
  <cols>
    <col min="1" max="2" width="2.703125" style="152" customWidth="1"/>
    <col min="3" max="11" width="12.703125" style="152" customWidth="1"/>
    <col min="12" max="13" width="18.703125" style="152" customWidth="1"/>
    <col min="14" max="16" width="12.703125" style="152" customWidth="1"/>
    <col min="17" max="22" width="18.703125" style="152" customWidth="1"/>
    <col min="23" max="23" width="2.703125" style="152" customWidth="1"/>
    <col min="24" max="24" width="2.703125" style="600" customWidth="1"/>
    <col min="25" max="25" width="26.29296875" style="604" customWidth="1"/>
    <col min="26" max="28" width="11.41015625" style="604"/>
    <col min="29" max="30" width="16.41015625" style="604" customWidth="1"/>
    <col min="31" max="31" width="18.1171875" style="604" customWidth="1"/>
    <col min="32" max="32" width="16.41015625" style="604" customWidth="1"/>
    <col min="33" max="36" width="12.703125" style="604" customWidth="1"/>
    <col min="37" max="38" width="11.41015625" style="604"/>
    <col min="39" max="45" width="11.41015625" style="600"/>
    <col min="46" max="16384" width="11.41015625" style="152"/>
  </cols>
  <sheetData>
    <row r="1" spans="1:36" ht="9.9499999999999993" customHeight="1" thickBot="1" x14ac:dyDescent="0.6">
      <c r="A1" s="150"/>
      <c r="B1" s="174"/>
      <c r="C1" s="175"/>
      <c r="D1" s="176"/>
      <c r="E1" s="176"/>
      <c r="F1" s="176"/>
      <c r="G1" s="176"/>
      <c r="H1" s="176"/>
      <c r="I1" s="176"/>
      <c r="J1" s="176"/>
      <c r="K1" s="176"/>
      <c r="L1" s="176"/>
      <c r="M1" s="176"/>
      <c r="N1" s="176"/>
      <c r="O1" s="176"/>
      <c r="P1" s="176"/>
      <c r="Q1" s="176"/>
      <c r="R1" s="176"/>
      <c r="S1" s="176"/>
      <c r="T1" s="176"/>
      <c r="U1" s="176"/>
      <c r="V1" s="176"/>
      <c r="W1" s="177"/>
      <c r="X1" s="597"/>
      <c r="Y1" s="602"/>
      <c r="Z1" s="602"/>
      <c r="AA1" s="602"/>
      <c r="AB1" s="602"/>
      <c r="AC1" s="603" t="s">
        <v>282</v>
      </c>
      <c r="AD1" s="603" t="s">
        <v>282</v>
      </c>
      <c r="AE1" s="603" t="s">
        <v>282</v>
      </c>
      <c r="AF1" s="603" t="s">
        <v>282</v>
      </c>
      <c r="AG1" s="603" t="s">
        <v>282</v>
      </c>
      <c r="AH1" s="603" t="s">
        <v>282</v>
      </c>
      <c r="AI1" s="603" t="s">
        <v>282</v>
      </c>
      <c r="AJ1" s="603" t="s">
        <v>282</v>
      </c>
    </row>
    <row r="2" spans="1:36" ht="66.95" customHeight="1" thickTop="1" thickBot="1" x14ac:dyDescent="0.5">
      <c r="A2" s="153"/>
      <c r="B2" s="178"/>
      <c r="C2" s="638" t="s">
        <v>529</v>
      </c>
      <c r="D2" s="639"/>
      <c r="E2" s="639"/>
      <c r="F2" s="639"/>
      <c r="G2" s="639"/>
      <c r="H2" s="639"/>
      <c r="I2" s="639"/>
      <c r="J2" s="639"/>
      <c r="K2" s="639"/>
      <c r="L2" s="639"/>
      <c r="M2" s="639"/>
      <c r="N2" s="639"/>
      <c r="O2" s="639"/>
      <c r="P2" s="639"/>
      <c r="Q2" s="639"/>
      <c r="R2" s="639"/>
      <c r="S2" s="640"/>
      <c r="T2" s="326"/>
      <c r="U2" s="326"/>
      <c r="V2" s="327"/>
      <c r="W2" s="179"/>
      <c r="X2" s="599"/>
      <c r="Y2" s="605"/>
      <c r="Z2" s="605"/>
      <c r="AA2" s="605"/>
      <c r="AB2" s="605"/>
      <c r="AC2" s="606" t="s">
        <v>289</v>
      </c>
      <c r="AD2" s="606">
        <f>ROW(E13)+1</f>
        <v>14</v>
      </c>
      <c r="AE2" s="606" t="s">
        <v>291</v>
      </c>
      <c r="AF2" s="606">
        <f>ROW(D15)-1</f>
        <v>14</v>
      </c>
      <c r="AG2" s="607" t="s">
        <v>395</v>
      </c>
      <c r="AH2" s="607">
        <f>ROW(E22)+1</f>
        <v>23</v>
      </c>
      <c r="AI2" s="607">
        <f>ROW(D24)-1</f>
        <v>23</v>
      </c>
      <c r="AJ2" s="607"/>
    </row>
    <row r="3" spans="1:36" ht="24" customHeight="1" thickTop="1" x14ac:dyDescent="0.45">
      <c r="A3" s="154"/>
      <c r="B3" s="178"/>
      <c r="C3" s="626" t="s">
        <v>438</v>
      </c>
      <c r="D3" s="627"/>
      <c r="E3" s="628"/>
      <c r="F3" s="632"/>
      <c r="G3" s="633"/>
      <c r="H3" s="633"/>
      <c r="I3" s="636" t="s">
        <v>446</v>
      </c>
      <c r="J3" s="627"/>
      <c r="K3" s="628"/>
      <c r="L3" s="632"/>
      <c r="M3" s="633"/>
      <c r="N3" s="636" t="s">
        <v>447</v>
      </c>
      <c r="O3" s="627"/>
      <c r="P3" s="628"/>
      <c r="Q3" s="650"/>
      <c r="R3" s="651"/>
      <c r="S3" s="636" t="s">
        <v>469</v>
      </c>
      <c r="T3" s="627"/>
      <c r="U3" s="632"/>
      <c r="V3" s="685"/>
      <c r="W3" s="180"/>
      <c r="X3" s="599"/>
      <c r="Y3" s="605"/>
      <c r="Z3" s="603"/>
      <c r="AA3" s="603"/>
      <c r="AB3" s="608"/>
      <c r="AC3" s="606" t="s">
        <v>290</v>
      </c>
      <c r="AD3" s="606">
        <f>ROW(E33)+1</f>
        <v>34</v>
      </c>
      <c r="AE3" s="609" t="s">
        <v>292</v>
      </c>
      <c r="AF3" s="609">
        <f>ROW(D35)-1</f>
        <v>34</v>
      </c>
      <c r="AG3" s="607" t="s">
        <v>396</v>
      </c>
      <c r="AH3" s="607">
        <f>ROW(E42)+1</f>
        <v>43</v>
      </c>
      <c r="AI3" s="607">
        <f>ROW(D44)-1</f>
        <v>43</v>
      </c>
    </row>
    <row r="4" spans="1:36" ht="24" customHeight="1" x14ac:dyDescent="0.45">
      <c r="A4" s="154"/>
      <c r="B4" s="178"/>
      <c r="C4" s="629" t="s">
        <v>449</v>
      </c>
      <c r="D4" s="630"/>
      <c r="E4" s="631"/>
      <c r="F4" s="634"/>
      <c r="G4" s="635"/>
      <c r="H4" s="635"/>
      <c r="I4" s="637" t="s">
        <v>440</v>
      </c>
      <c r="J4" s="630"/>
      <c r="K4" s="631"/>
      <c r="L4" s="634"/>
      <c r="M4" s="656"/>
      <c r="N4" s="637" t="s">
        <v>453</v>
      </c>
      <c r="O4" s="630"/>
      <c r="P4" s="631"/>
      <c r="Q4" s="652"/>
      <c r="R4" s="653"/>
      <c r="S4" s="637" t="s">
        <v>448</v>
      </c>
      <c r="T4" s="630"/>
      <c r="U4" s="634"/>
      <c r="V4" s="686"/>
      <c r="W4" s="181"/>
      <c r="X4" s="598"/>
      <c r="Y4" s="603"/>
      <c r="Z4" s="603"/>
      <c r="AA4" s="603"/>
      <c r="AB4" s="608"/>
      <c r="AC4" s="609"/>
      <c r="AD4" s="609"/>
      <c r="AE4" s="609"/>
      <c r="AF4" s="609"/>
      <c r="AG4" s="607"/>
      <c r="AH4" s="607"/>
      <c r="AI4" s="607"/>
      <c r="AJ4" s="607"/>
    </row>
    <row r="5" spans="1:36" ht="32.1" customHeight="1" x14ac:dyDescent="0.45">
      <c r="A5" s="154"/>
      <c r="B5" s="178" t="s">
        <v>86</v>
      </c>
      <c r="C5" s="629" t="s">
        <v>470</v>
      </c>
      <c r="D5" s="630"/>
      <c r="E5" s="631"/>
      <c r="F5" s="649"/>
      <c r="G5" s="635"/>
      <c r="H5" s="635"/>
      <c r="I5" s="637" t="s">
        <v>441</v>
      </c>
      <c r="J5" s="630"/>
      <c r="K5" s="631"/>
      <c r="L5" s="649"/>
      <c r="M5" s="635"/>
      <c r="N5" s="637" t="s">
        <v>451</v>
      </c>
      <c r="O5" s="630"/>
      <c r="P5" s="631"/>
      <c r="Q5" s="659"/>
      <c r="R5" s="660"/>
      <c r="S5" s="637" t="s">
        <v>444</v>
      </c>
      <c r="T5" s="630"/>
      <c r="U5" s="687"/>
      <c r="V5" s="688"/>
      <c r="W5" s="181"/>
      <c r="X5" s="598"/>
      <c r="Y5" s="603"/>
      <c r="Z5" s="603"/>
      <c r="AA5" s="603"/>
      <c r="AB5" s="610"/>
      <c r="AC5" s="609"/>
      <c r="AD5" s="609"/>
      <c r="AE5" s="609"/>
      <c r="AF5" s="609"/>
    </row>
    <row r="6" spans="1:36" ht="24" customHeight="1" thickBot="1" x14ac:dyDescent="0.5">
      <c r="A6" s="154"/>
      <c r="B6" s="178"/>
      <c r="C6" s="648" t="s">
        <v>439</v>
      </c>
      <c r="D6" s="642"/>
      <c r="E6" s="643"/>
      <c r="F6" s="644"/>
      <c r="G6" s="645"/>
      <c r="H6" s="645"/>
      <c r="I6" s="641" t="s">
        <v>450</v>
      </c>
      <c r="J6" s="642"/>
      <c r="K6" s="643"/>
      <c r="L6" s="644"/>
      <c r="M6" s="645"/>
      <c r="N6" s="641" t="s">
        <v>452</v>
      </c>
      <c r="O6" s="642"/>
      <c r="P6" s="643"/>
      <c r="Q6" s="646"/>
      <c r="R6" s="647"/>
      <c r="S6" s="654" t="s">
        <v>454</v>
      </c>
      <c r="T6" s="655"/>
      <c r="U6" s="671"/>
      <c r="V6" s="672"/>
      <c r="W6" s="181"/>
      <c r="X6" s="598"/>
      <c r="Y6" s="603"/>
      <c r="Z6" s="603"/>
      <c r="AA6" s="603"/>
      <c r="AB6" s="610"/>
      <c r="AC6" s="609"/>
      <c r="AD6" s="609"/>
      <c r="AE6" s="609"/>
      <c r="AF6" s="609"/>
    </row>
    <row r="7" spans="1:36" ht="9.9499999999999993" customHeight="1" thickTop="1" thickBot="1" x14ac:dyDescent="0.5">
      <c r="A7" s="154"/>
      <c r="B7" s="178"/>
      <c r="C7" s="151"/>
      <c r="D7" s="664"/>
      <c r="E7" s="664"/>
      <c r="F7" s="665"/>
      <c r="G7" s="665"/>
      <c r="H7" s="664"/>
      <c r="I7" s="664"/>
      <c r="J7" s="666"/>
      <c r="K7" s="666"/>
      <c r="L7" s="155"/>
      <c r="M7" s="155"/>
      <c r="N7" s="156"/>
      <c r="O7" s="156"/>
      <c r="P7" s="156"/>
      <c r="Q7" s="156"/>
      <c r="R7" s="156"/>
      <c r="S7" s="156"/>
      <c r="T7" s="156"/>
      <c r="U7" s="156"/>
      <c r="V7" s="156"/>
      <c r="W7" s="181"/>
      <c r="X7" s="598"/>
      <c r="Y7" s="603"/>
      <c r="Z7" s="603"/>
      <c r="AA7" s="603"/>
      <c r="AB7" s="610"/>
      <c r="AC7" s="609"/>
      <c r="AD7" s="609"/>
      <c r="AE7" s="609"/>
      <c r="AF7" s="609"/>
    </row>
    <row r="8" spans="1:36" ht="20.100000000000001" customHeight="1" thickTop="1" thickBot="1" x14ac:dyDescent="0.5">
      <c r="B8" s="178"/>
      <c r="C8" s="661" t="s">
        <v>346</v>
      </c>
      <c r="D8" s="662"/>
      <c r="E8" s="662"/>
      <c r="F8" s="662"/>
      <c r="G8" s="662"/>
      <c r="H8" s="662"/>
      <c r="I8" s="662"/>
      <c r="J8" s="662"/>
      <c r="K8" s="662"/>
      <c r="L8" s="662"/>
      <c r="M8" s="662"/>
      <c r="N8" s="662"/>
      <c r="O8" s="662"/>
      <c r="P8" s="662"/>
      <c r="Q8" s="662"/>
      <c r="R8" s="662"/>
      <c r="S8" s="662"/>
      <c r="T8" s="662"/>
      <c r="U8" s="662"/>
      <c r="V8" s="663"/>
      <c r="W8" s="182"/>
      <c r="AC8" s="611"/>
      <c r="AD8" s="611"/>
      <c r="AE8" s="611"/>
      <c r="AF8" s="611"/>
    </row>
    <row r="9" spans="1:36" ht="20.100000000000001" customHeight="1" outlineLevel="1" thickTop="1" thickBot="1" x14ac:dyDescent="0.5">
      <c r="B9" s="178"/>
      <c r="C9" s="208"/>
      <c r="D9" s="402" t="s">
        <v>576</v>
      </c>
      <c r="E9" s="240" t="s">
        <v>524</v>
      </c>
      <c r="F9" s="157"/>
      <c r="G9" s="157"/>
      <c r="H9" s="157"/>
      <c r="I9" s="157"/>
      <c r="J9" s="157"/>
      <c r="K9" s="157"/>
      <c r="L9" s="157"/>
      <c r="M9" s="157"/>
      <c r="N9" s="157"/>
      <c r="O9" s="157"/>
      <c r="P9" s="157"/>
      <c r="Q9" s="157"/>
      <c r="R9" s="157"/>
      <c r="S9" s="157"/>
      <c r="T9" s="157"/>
      <c r="U9" s="157"/>
      <c r="V9" s="209"/>
      <c r="W9" s="182"/>
      <c r="AC9" s="611"/>
      <c r="AD9" s="611"/>
      <c r="AE9" s="611"/>
      <c r="AF9" s="611"/>
    </row>
    <row r="10" spans="1:36" ht="20.100000000000001" customHeight="1" outlineLevel="1" thickTop="1" thickBot="1" x14ac:dyDescent="0.5">
      <c r="B10" s="178"/>
      <c r="C10" s="208"/>
      <c r="D10" s="236" t="s">
        <v>431</v>
      </c>
      <c r="E10" s="237"/>
      <c r="F10" s="237"/>
      <c r="G10" s="237"/>
      <c r="H10" s="237"/>
      <c r="I10" s="237"/>
      <c r="J10" s="237"/>
      <c r="K10" s="237"/>
      <c r="L10" s="237"/>
      <c r="M10" s="237"/>
      <c r="N10" s="237"/>
      <c r="O10" s="237"/>
      <c r="P10" s="237"/>
      <c r="Q10" s="237"/>
      <c r="R10" s="237"/>
      <c r="S10" s="237"/>
      <c r="T10" s="237"/>
      <c r="U10" s="238"/>
      <c r="V10" s="209"/>
      <c r="W10" s="182"/>
      <c r="AC10" s="611"/>
      <c r="AD10" s="611"/>
      <c r="AE10" s="611"/>
      <c r="AF10" s="611"/>
    </row>
    <row r="11" spans="1:36" ht="20.100000000000001" customHeight="1" outlineLevel="1" thickTop="1" x14ac:dyDescent="0.45">
      <c r="B11" s="178"/>
      <c r="C11" s="208"/>
      <c r="D11" s="163"/>
      <c r="E11" s="157"/>
      <c r="F11" s="157"/>
      <c r="G11" s="157"/>
      <c r="H11" s="157"/>
      <c r="I11" s="157"/>
      <c r="J11" s="157"/>
      <c r="K11" s="157"/>
      <c r="L11" s="157"/>
      <c r="M11" s="192"/>
      <c r="N11" s="157"/>
      <c r="O11" s="157"/>
      <c r="P11" s="157"/>
      <c r="Q11" s="157"/>
      <c r="R11" s="157"/>
      <c r="S11" s="157"/>
      <c r="T11" s="157"/>
      <c r="U11" s="164"/>
      <c r="V11" s="209"/>
      <c r="W11" s="182"/>
      <c r="AC11" s="611"/>
      <c r="AD11" s="611"/>
      <c r="AE11" s="611"/>
      <c r="AF11" s="611"/>
    </row>
    <row r="12" spans="1:36" ht="20.100000000000001" customHeight="1" outlineLevel="1" x14ac:dyDescent="0.5">
      <c r="B12" s="178"/>
      <c r="C12" s="208"/>
      <c r="D12" s="163"/>
      <c r="E12" s="300"/>
      <c r="F12" s="157"/>
      <c r="G12" s="157"/>
      <c r="H12" s="670" t="s">
        <v>410</v>
      </c>
      <c r="I12" s="670"/>
      <c r="J12" s="670"/>
      <c r="K12" s="670"/>
      <c r="L12" s="670"/>
      <c r="M12" s="670"/>
      <c r="N12" s="670"/>
      <c r="O12" s="670"/>
      <c r="P12" s="670"/>
      <c r="Q12" s="670"/>
      <c r="R12" s="157"/>
      <c r="S12" s="157"/>
      <c r="T12" s="157"/>
      <c r="U12" s="164"/>
      <c r="V12" s="209"/>
      <c r="W12" s="182"/>
    </row>
    <row r="13" spans="1:36" ht="44.45" customHeight="1" outlineLevel="1" x14ac:dyDescent="0.45">
      <c r="B13" s="178"/>
      <c r="C13" s="208"/>
      <c r="D13" s="165"/>
      <c r="E13" s="191" t="s">
        <v>625</v>
      </c>
      <c r="F13" s="667" t="s">
        <v>348</v>
      </c>
      <c r="G13" s="667"/>
      <c r="H13" s="216" t="s">
        <v>343</v>
      </c>
      <c r="I13" s="216" t="s">
        <v>347</v>
      </c>
      <c r="J13" s="216" t="s">
        <v>434</v>
      </c>
      <c r="K13" s="667" t="s">
        <v>411</v>
      </c>
      <c r="L13" s="667"/>
      <c r="M13" s="667" t="s">
        <v>388</v>
      </c>
      <c r="N13" s="667"/>
      <c r="O13" s="667" t="s">
        <v>391</v>
      </c>
      <c r="P13" s="667"/>
      <c r="Q13" s="658" t="s">
        <v>629</v>
      </c>
      <c r="R13" s="658"/>
      <c r="S13" s="668" t="s">
        <v>409</v>
      </c>
      <c r="T13" s="669"/>
      <c r="U13" s="166"/>
      <c r="V13" s="209"/>
      <c r="W13" s="182"/>
      <c r="AC13" s="657" t="s">
        <v>287</v>
      </c>
      <c r="AD13" s="657"/>
      <c r="AE13" s="657" t="s">
        <v>288</v>
      </c>
      <c r="AF13" s="657"/>
      <c r="AG13" s="657" t="s">
        <v>345</v>
      </c>
      <c r="AH13" s="657"/>
      <c r="AI13" s="657" t="s">
        <v>344</v>
      </c>
      <c r="AJ13" s="657"/>
    </row>
    <row r="14" spans="1:36" ht="20" customHeight="1" outlineLevel="1" x14ac:dyDescent="0.45">
      <c r="B14" s="178"/>
      <c r="C14" s="208"/>
      <c r="D14" s="167"/>
      <c r="E14" s="160"/>
      <c r="F14" s="160"/>
      <c r="G14" s="160"/>
      <c r="H14" s="160"/>
      <c r="I14" s="160"/>
      <c r="J14" s="160"/>
      <c r="K14" s="160"/>
      <c r="L14" s="161"/>
      <c r="M14" s="161"/>
      <c r="N14" s="160"/>
      <c r="O14" s="160"/>
      <c r="P14" s="160"/>
      <c r="Q14" s="160"/>
      <c r="R14" s="160"/>
      <c r="S14" s="160"/>
      <c r="T14" s="160"/>
      <c r="U14" s="166"/>
      <c r="V14" s="209"/>
      <c r="W14" s="182"/>
      <c r="AB14" s="604">
        <f t="shared" ref="AB14:AB43" si="0">ROW(A14)- $AD$2 +1</f>
        <v>1</v>
      </c>
      <c r="AC14" s="612" t="str">
        <f t="shared" ref="AC14:AC43" si="1">IF(AND(OR($E14="Contrôlé",$E14="Non contrôlé"),$M14="Préleveur"),$F14,"")</f>
        <v/>
      </c>
      <c r="AD14" s="612" t="str" cm="1">
        <f t="array" aca="1" ref="AD14" ca="1">IFERROR(INDEX($AC$14:$AC$102,SMALL(IF($AC$14:$AC$102&lt;&gt;"",ROW($AC$14:$AC$102)-ROW(INDIRECT("$AC$14"))+1),ROW(INDIRECT("A" &amp; AB14 ) ))),"")</f>
        <v/>
      </c>
      <c r="AE14" s="612" t="str">
        <f t="shared" ref="AE14:AE43" si="2">IF(AND(OR($E14="Contrôlé",$E14="Non contrôlé"),LEFT($M14,10) ="Débitmètre"),$F14,"")</f>
        <v/>
      </c>
      <c r="AF14" s="612" t="str" cm="1">
        <f t="array" aca="1" ref="AF14" ca="1">IFERROR(INDEX($AE$14:$AE$102,SMALL(IF($AE$14:$AE$102&lt;&gt;"",ROW($AE$14:$AE$102)-ROW(INDIRECT("$AE$14"))+1),ROW(INDIRECT("A" &amp; AB14 ) ))),"")</f>
        <v/>
      </c>
      <c r="AG14" s="612" t="str">
        <f t="shared" ref="AG14:AG43" si="3">IF(AND(OR($E14="Contrôlé",$E14="Non contrôlé"),LEFT($M14,5) ="Sonde"),$F14,"")</f>
        <v/>
      </c>
      <c r="AH14" s="612" t="str" cm="1">
        <f t="array" aca="1" ref="AH14" ca="1">IFERROR(INDEX($AG$14:$AG$102,SMALL(IF($AG$14:$AG$102&lt;&gt;"",ROW($AG$14:$AG$102)-ROW(INDIRECT("$AG$14"))+1),ROW(INDIRECT("A" &amp; AB14 ) ))),"")</f>
        <v/>
      </c>
      <c r="AI14" s="612" t="str">
        <f t="shared" ref="AI14:AI43" si="4">IF(AND(OR($E14="Contrôlé",$E14="Non contrôlé"), $F14 &lt;&gt; "", $M14 = ""),$F14,"")</f>
        <v/>
      </c>
      <c r="AJ14" s="612" t="str" cm="1">
        <f t="array" aca="1" ref="AJ14" ca="1">IFERROR(INDEX($AI$14:$AI$102,SMALL(IF($AI$14:$AI$102&lt;&gt;"",ROW($AI$14:$AI$102)-ROW(INDIRECT("$AI$14"))+1),ROW(INDIRECT("A" &amp; AB14 ) ))),"")</f>
        <v/>
      </c>
    </row>
    <row r="15" spans="1:36" ht="20.100000000000001" customHeight="1" outlineLevel="1" x14ac:dyDescent="0.5">
      <c r="B15" s="178"/>
      <c r="C15" s="208"/>
      <c r="D15" s="167"/>
      <c r="E15" s="681" t="s">
        <v>175</v>
      </c>
      <c r="F15" s="682"/>
      <c r="G15" s="683"/>
      <c r="H15" s="162"/>
      <c r="I15" s="160"/>
      <c r="J15" s="162"/>
      <c r="K15" s="670" t="s">
        <v>456</v>
      </c>
      <c r="L15" s="670"/>
      <c r="M15" s="670"/>
      <c r="N15" s="670"/>
      <c r="O15" s="670"/>
      <c r="P15" s="670"/>
      <c r="Q15" s="670"/>
      <c r="R15" s="670"/>
      <c r="S15" s="670"/>
      <c r="T15" s="670"/>
      <c r="U15" s="166"/>
      <c r="V15" s="209"/>
      <c r="W15" s="182"/>
      <c r="AB15" s="604">
        <f t="shared" si="0"/>
        <v>2</v>
      </c>
      <c r="AC15" s="612" t="str">
        <f t="shared" si="1"/>
        <v/>
      </c>
      <c r="AD15" s="612" t="str" cm="1">
        <f t="array" aca="1" ref="AD15" ca="1">IFERROR(INDEX($AC$14:$AC$102,SMALL(IF($AC$14:$AC$102&lt;&gt;"",ROW($AC$14:$AC$102)-ROW(INDIRECT("$AC$14"))+1),ROW(INDIRECT("A" &amp; AB15 ) ))),"")</f>
        <v/>
      </c>
      <c r="AE15" s="612" t="str">
        <f t="shared" si="2"/>
        <v/>
      </c>
      <c r="AF15" s="612" t="str" cm="1">
        <f t="array" aca="1" ref="AF15" ca="1">IFERROR(INDEX($AE$14:$AE$102,SMALL(IF($AE$14:$AE$102&lt;&gt;"",ROW($AE$14:$AE$102)-ROW(INDIRECT("$AE$14"))+1),ROW(INDIRECT("A" &amp; AB15 ) ))),"")</f>
        <v/>
      </c>
      <c r="AG15" s="612" t="str">
        <f t="shared" si="3"/>
        <v/>
      </c>
      <c r="AH15" s="612" t="str" cm="1">
        <f t="array" aca="1" ref="AH15" ca="1">IFERROR(INDEX($AG$14:$AG$102,SMALL(IF($AG$14:$AG$102&lt;&gt;"",ROW($AG$14:$AG$102)-ROW(INDIRECT("$AG$14"))+1),ROW(INDIRECT("A" &amp; AB15 ) ))),"")</f>
        <v/>
      </c>
      <c r="AI15" s="612" t="str">
        <f t="shared" si="4"/>
        <v/>
      </c>
      <c r="AJ15" s="612" t="str" cm="1">
        <f t="array" aca="1" ref="AJ15" ca="1">IFERROR(INDEX($AI$14:$AI$102,SMALL(IF($AI$14:$AI$102&lt;&gt;"",ROW($AI$14:$AI$102)-ROW(INDIRECT("$AI$14"))+1),ROW(INDIRECT("A" &amp; AB15 ) ))),"")</f>
        <v/>
      </c>
    </row>
    <row r="16" spans="1:36" ht="20.100000000000001" customHeight="1" outlineLevel="1" x14ac:dyDescent="0.45">
      <c r="B16" s="178"/>
      <c r="C16" s="208"/>
      <c r="D16" s="167"/>
      <c r="E16" s="162"/>
      <c r="F16" s="162"/>
      <c r="G16" s="162"/>
      <c r="H16" s="162"/>
      <c r="I16" s="160"/>
      <c r="J16" s="162"/>
      <c r="K16" s="695"/>
      <c r="L16" s="696"/>
      <c r="M16" s="696"/>
      <c r="N16" s="696"/>
      <c r="O16" s="696"/>
      <c r="P16" s="696"/>
      <c r="Q16" s="696"/>
      <c r="R16" s="696"/>
      <c r="S16" s="696"/>
      <c r="T16" s="697"/>
      <c r="U16" s="166"/>
      <c r="V16" s="209"/>
      <c r="W16" s="182"/>
      <c r="AB16" s="604">
        <f t="shared" si="0"/>
        <v>3</v>
      </c>
      <c r="AC16" s="612" t="str">
        <f t="shared" si="1"/>
        <v/>
      </c>
      <c r="AD16" s="612" t="str" cm="1">
        <f t="array" aca="1" ref="AD16" ca="1">IFERROR(INDEX($AC$14:$AC$102,SMALL(IF($AC$14:$AC$102&lt;&gt;"",ROW($AC$14:$AC$102)-ROW(INDIRECT("$AC$14"))+1),ROW(INDIRECT("A" &amp; AB16 ) ))),"")</f>
        <v/>
      </c>
      <c r="AE16" s="612" t="str">
        <f t="shared" si="2"/>
        <v/>
      </c>
      <c r="AF16" s="612" t="str" cm="1">
        <f t="array" aca="1" ref="AF16" ca="1">IFERROR(INDEX($AE$14:$AE$102,SMALL(IF($AE$14:$AE$102&lt;&gt;"",ROW($AE$14:$AE$102)-ROW(INDIRECT("$AE$14"))+1),ROW(INDIRECT("A" &amp; AB16 ) ))),"")</f>
        <v/>
      </c>
      <c r="AG16" s="612" t="str">
        <f t="shared" si="3"/>
        <v/>
      </c>
      <c r="AH16" s="612" t="str" cm="1">
        <f t="array" aca="1" ref="AH16" ca="1">IFERROR(INDEX($AG$14:$AG$102,SMALL(IF($AG$14:$AG$102&lt;&gt;"",ROW($AG$14:$AG$102)-ROW(INDIRECT("$AG$14"))+1),ROW(INDIRECT("A" &amp; AB16 ) ))),"")</f>
        <v/>
      </c>
      <c r="AI16" s="612" t="str">
        <f t="shared" si="4"/>
        <v/>
      </c>
      <c r="AJ16" s="612" t="str" cm="1">
        <f t="array" aca="1" ref="AJ16" ca="1">IFERROR(INDEX($AI$14:$AI$102,SMALL(IF($AI$14:$AI$102&lt;&gt;"",ROW($AI$14:$AI$102)-ROW(INDIRECT("$AI$14"))+1),ROW(INDIRECT("A" &amp; AB16 ) ))),"")</f>
        <v/>
      </c>
    </row>
    <row r="17" spans="2:36" ht="20.100000000000001" customHeight="1" outlineLevel="1" x14ac:dyDescent="0.45">
      <c r="B17" s="178"/>
      <c r="C17" s="208"/>
      <c r="D17" s="167"/>
      <c r="E17" s="162"/>
      <c r="F17" s="162"/>
      <c r="G17" s="162"/>
      <c r="H17" s="162"/>
      <c r="I17" s="160"/>
      <c r="J17" s="162"/>
      <c r="K17" s="698"/>
      <c r="L17" s="699"/>
      <c r="M17" s="699"/>
      <c r="N17" s="699"/>
      <c r="O17" s="699"/>
      <c r="P17" s="699"/>
      <c r="Q17" s="699"/>
      <c r="R17" s="699"/>
      <c r="S17" s="699"/>
      <c r="T17" s="700"/>
      <c r="U17" s="166"/>
      <c r="V17" s="209"/>
      <c r="W17" s="182"/>
      <c r="AB17" s="604">
        <f t="shared" si="0"/>
        <v>4</v>
      </c>
      <c r="AC17" s="612" t="str">
        <f t="shared" si="1"/>
        <v/>
      </c>
      <c r="AD17" s="612" t="str" cm="1">
        <f t="array" aca="1" ref="AD17" ca="1">IFERROR(INDEX($AC$14:$AC$102,SMALL(IF($AC$14:$AC$102&lt;&gt;"",ROW($AC$14:$AC$102)-ROW(INDIRECT("$AC$14"))+1),ROW(INDIRECT("A" &amp; AB17 ) ))),"")</f>
        <v/>
      </c>
      <c r="AE17" s="612" t="str">
        <f t="shared" si="2"/>
        <v/>
      </c>
      <c r="AF17" s="612" t="str" cm="1">
        <f t="array" aca="1" ref="AF17" ca="1">IFERROR(INDEX($AE$14:$AE$102,SMALL(IF($AE$14:$AE$102&lt;&gt;"",ROW($AE$14:$AE$102)-ROW(INDIRECT("$AE$14"))+1),ROW(INDIRECT("A" &amp; AB17 ) ))),"")</f>
        <v/>
      </c>
      <c r="AG17" s="612" t="str">
        <f t="shared" si="3"/>
        <v/>
      </c>
      <c r="AH17" s="612" t="str" cm="1">
        <f t="array" aca="1" ref="AH17" ca="1">IFERROR(INDEX($AG$14:$AG$102,SMALL(IF($AG$14:$AG$102&lt;&gt;"",ROW($AG$14:$AG$102)-ROW(INDIRECT("$AG$14"))+1),ROW(INDIRECT("A" &amp; AB17 ) ))),"")</f>
        <v/>
      </c>
      <c r="AI17" s="612" t="str">
        <f t="shared" si="4"/>
        <v/>
      </c>
      <c r="AJ17" s="612" t="str" cm="1">
        <f t="array" aca="1" ref="AJ17" ca="1">IFERROR(INDEX($AI$14:$AI$102,SMALL(IF($AI$14:$AI$102&lt;&gt;"",ROW($AI$14:$AI$102)-ROW(INDIRECT("$AI$14"))+1),ROW(INDIRECT("A" &amp; AB17 ) ))),"")</f>
        <v/>
      </c>
    </row>
    <row r="18" spans="2:36" ht="20.100000000000001" customHeight="1" outlineLevel="1" thickBot="1" x14ac:dyDescent="0.5">
      <c r="B18" s="178"/>
      <c r="C18" s="208"/>
      <c r="D18" s="168"/>
      <c r="E18" s="169"/>
      <c r="F18" s="170"/>
      <c r="G18" s="171"/>
      <c r="H18" s="171"/>
      <c r="I18" s="171"/>
      <c r="J18" s="171"/>
      <c r="K18" s="171"/>
      <c r="L18" s="171"/>
      <c r="M18" s="172"/>
      <c r="N18" s="171"/>
      <c r="O18" s="171"/>
      <c r="P18" s="171"/>
      <c r="Q18" s="171"/>
      <c r="R18" s="171"/>
      <c r="S18" s="171"/>
      <c r="T18" s="171"/>
      <c r="U18" s="173"/>
      <c r="V18" s="209"/>
      <c r="W18" s="182"/>
      <c r="AB18" s="604">
        <f t="shared" si="0"/>
        <v>5</v>
      </c>
      <c r="AC18" s="612" t="str">
        <f t="shared" si="1"/>
        <v/>
      </c>
      <c r="AD18" s="612" t="str" cm="1">
        <f t="array" aca="1" ref="AD18" ca="1">IFERROR(INDEX($AC$14:$AC$102,SMALL(IF($AC$14:$AC$102&lt;&gt;"",ROW($AC$14:$AC$102)-ROW(INDIRECT("$AC$14"))+1),ROW(INDIRECT("A" &amp; AB18 ) ))),"")</f>
        <v/>
      </c>
      <c r="AE18" s="612" t="str">
        <f t="shared" si="2"/>
        <v/>
      </c>
      <c r="AF18" s="612" t="str" cm="1">
        <f t="array" aca="1" ref="AF18" ca="1">IFERROR(INDEX($AE$14:$AE$102,SMALL(IF($AE$14:$AE$102&lt;&gt;"",ROW($AE$14:$AE$102)-ROW(INDIRECT("$AE$14"))+1),ROW(INDIRECT("A" &amp; AB18 ) ))),"")</f>
        <v/>
      </c>
      <c r="AG18" s="612" t="str">
        <f t="shared" si="3"/>
        <v/>
      </c>
      <c r="AH18" s="612" t="str" cm="1">
        <f t="array" aca="1" ref="AH18" ca="1">IFERROR(INDEX($AG$14:$AG$102,SMALL(IF($AG$14:$AG$102&lt;&gt;"",ROW($AG$14:$AG$102)-ROW(INDIRECT("$AG$14"))+1),ROW(INDIRECT("A" &amp; AB18 ) ))),"")</f>
        <v/>
      </c>
      <c r="AI18" s="612" t="str">
        <f t="shared" si="4"/>
        <v/>
      </c>
      <c r="AJ18" s="612" t="str" cm="1">
        <f t="array" aca="1" ref="AJ18" ca="1">IFERROR(INDEX($AI$14:$AI$102,SMALL(IF($AI$14:$AI$102&lt;&gt;"",ROW($AI$14:$AI$102)-ROW(INDIRECT("$AI$14"))+1),ROW(INDIRECT("A" &amp; AB18 ) ))),"")</f>
        <v/>
      </c>
    </row>
    <row r="19" spans="2:36" ht="20.100000000000001" customHeight="1" outlineLevel="1" thickTop="1" thickBot="1" x14ac:dyDescent="0.5">
      <c r="B19" s="178"/>
      <c r="C19" s="208"/>
      <c r="D19" s="162"/>
      <c r="E19" s="193"/>
      <c r="F19" s="162"/>
      <c r="G19" s="160"/>
      <c r="H19" s="160"/>
      <c r="I19" s="160"/>
      <c r="J19" s="160"/>
      <c r="K19" s="160"/>
      <c r="L19" s="160"/>
      <c r="M19" s="194"/>
      <c r="N19" s="160"/>
      <c r="O19" s="160"/>
      <c r="P19" s="160"/>
      <c r="Q19" s="160"/>
      <c r="R19" s="160"/>
      <c r="S19" s="160"/>
      <c r="T19" s="160"/>
      <c r="U19" s="160"/>
      <c r="V19" s="209"/>
      <c r="W19" s="182"/>
      <c r="AB19" s="604">
        <f t="shared" si="0"/>
        <v>6</v>
      </c>
      <c r="AC19" s="612" t="str">
        <f t="shared" si="1"/>
        <v/>
      </c>
      <c r="AD19" s="612" t="str" cm="1">
        <f t="array" aca="1" ref="AD19" ca="1">IFERROR(INDEX($AC$14:$AC$102,SMALL(IF($AC$14:$AC$102&lt;&gt;"",ROW($AC$14:$AC$102)-ROW(INDIRECT("$AC$14"))+1),ROW(INDIRECT("A" &amp; AB19 ) ))),"")</f>
        <v/>
      </c>
      <c r="AE19" s="612" t="str">
        <f t="shared" si="2"/>
        <v/>
      </c>
      <c r="AF19" s="612" t="str" cm="1">
        <f t="array" aca="1" ref="AF19" ca="1">IFERROR(INDEX($AE$14:$AE$102,SMALL(IF($AE$14:$AE$102&lt;&gt;"",ROW($AE$14:$AE$102)-ROW(INDIRECT("$AE$14"))+1),ROW(INDIRECT("A" &amp; AB19 ) ))),"")</f>
        <v/>
      </c>
      <c r="AG19" s="612" t="str">
        <f t="shared" si="3"/>
        <v/>
      </c>
      <c r="AH19" s="612" t="str" cm="1">
        <f t="array" aca="1" ref="AH19" ca="1">IFERROR(INDEX($AG$14:$AG$102,SMALL(IF($AG$14:$AG$102&lt;&gt;"",ROW($AG$14:$AG$102)-ROW(INDIRECT("$AG$14"))+1),ROW(INDIRECT("A" &amp; AB19 ) ))),"")</f>
        <v/>
      </c>
      <c r="AI19" s="612" t="str">
        <f t="shared" si="4"/>
        <v/>
      </c>
      <c r="AJ19" s="612" t="str" cm="1">
        <f t="array" aca="1" ref="AJ19" ca="1">IFERROR(INDEX($AI$14:$AI$102,SMALL(IF($AI$14:$AI$102&lt;&gt;"",ROW($AI$14:$AI$102)-ROW(INDIRECT("$AI$14"))+1),ROW(INDIRECT("A" &amp; AB19 ) ))),"")</f>
        <v/>
      </c>
    </row>
    <row r="20" spans="2:36" ht="20.100000000000001" customHeight="1" outlineLevel="1" thickTop="1" thickBot="1" x14ac:dyDescent="0.5">
      <c r="B20" s="178"/>
      <c r="C20" s="208"/>
      <c r="D20" s="236" t="s">
        <v>407</v>
      </c>
      <c r="E20" s="237"/>
      <c r="F20" s="237"/>
      <c r="G20" s="237"/>
      <c r="H20" s="237"/>
      <c r="I20" s="237"/>
      <c r="J20" s="237"/>
      <c r="K20" s="237"/>
      <c r="L20" s="237"/>
      <c r="M20" s="237"/>
      <c r="N20" s="237"/>
      <c r="O20" s="237"/>
      <c r="P20" s="237"/>
      <c r="Q20" s="237"/>
      <c r="R20" s="237"/>
      <c r="S20" s="237"/>
      <c r="T20" s="237"/>
      <c r="U20" s="238"/>
      <c r="V20" s="209"/>
      <c r="W20" s="182"/>
      <c r="AB20" s="604">
        <f t="shared" si="0"/>
        <v>7</v>
      </c>
      <c r="AC20" s="612" t="str">
        <f t="shared" si="1"/>
        <v/>
      </c>
      <c r="AD20" s="612" t="str" cm="1">
        <f t="array" aca="1" ref="AD20" ca="1">IFERROR(INDEX($AC$14:$AC$102,SMALL(IF($AC$14:$AC$102&lt;&gt;"",ROW($AC$14:$AC$102)-ROW(INDIRECT("$AC$14"))+1),ROW(INDIRECT("A" &amp; AB20 ) ))),"")</f>
        <v/>
      </c>
      <c r="AE20" s="612" t="str">
        <f t="shared" si="2"/>
        <v/>
      </c>
      <c r="AF20" s="612" t="str" cm="1">
        <f t="array" aca="1" ref="AF20" ca="1">IFERROR(INDEX($AE$14:$AE$102,SMALL(IF($AE$14:$AE$102&lt;&gt;"",ROW($AE$14:$AE$102)-ROW(INDIRECT("$AE$14"))+1),ROW(INDIRECT("A" &amp; AB20 ) ))),"")</f>
        <v/>
      </c>
      <c r="AG20" s="612" t="str">
        <f t="shared" si="3"/>
        <v/>
      </c>
      <c r="AH20" s="612" t="str" cm="1">
        <f t="array" aca="1" ref="AH20" ca="1">IFERROR(INDEX($AG$14:$AG$102,SMALL(IF($AG$14:$AG$102&lt;&gt;"",ROW($AG$14:$AG$102)-ROW(INDIRECT("$AG$14"))+1),ROW(INDIRECT("A" &amp; AB20 ) ))),"")</f>
        <v/>
      </c>
      <c r="AI20" s="612" t="str">
        <f t="shared" si="4"/>
        <v/>
      </c>
      <c r="AJ20" s="612" t="str" cm="1">
        <f t="array" aca="1" ref="AJ20" ca="1">IFERROR(INDEX($AI$14:$AI$102,SMALL(IF($AI$14:$AI$102&lt;&gt;"",ROW($AI$14:$AI$102)-ROW(INDIRECT("$AI$14"))+1),ROW(INDIRECT("A" &amp; AB20 ) ))),"")</f>
        <v/>
      </c>
    </row>
    <row r="21" spans="2:36" ht="20.100000000000001" customHeight="1" outlineLevel="1" thickTop="1" x14ac:dyDescent="0.45">
      <c r="B21" s="178"/>
      <c r="C21" s="208"/>
      <c r="D21" s="199"/>
      <c r="E21" s="196"/>
      <c r="F21" s="196"/>
      <c r="G21" s="196"/>
      <c r="H21" s="196"/>
      <c r="I21" s="196"/>
      <c r="J21" s="196"/>
      <c r="K21" s="196"/>
      <c r="L21" s="196"/>
      <c r="M21" s="196"/>
      <c r="N21" s="196"/>
      <c r="O21" s="196"/>
      <c r="P21" s="196"/>
      <c r="Q21" s="196"/>
      <c r="R21" s="196"/>
      <c r="S21" s="196"/>
      <c r="T21" s="196"/>
      <c r="U21" s="200"/>
      <c r="V21" s="210"/>
      <c r="W21" s="182"/>
      <c r="AB21" s="604">
        <f t="shared" si="0"/>
        <v>8</v>
      </c>
      <c r="AC21" s="612" t="str">
        <f t="shared" si="1"/>
        <v/>
      </c>
      <c r="AD21" s="612" t="str" cm="1">
        <f t="array" aca="1" ref="AD21" ca="1">IFERROR(INDEX($AC$14:$AC$102,SMALL(IF($AC$14:$AC$102&lt;&gt;"",ROW($AC$14:$AC$102)-ROW(INDIRECT("$AC$14"))+1),ROW(INDIRECT("A" &amp; AB21 ) ))),"")</f>
        <v/>
      </c>
      <c r="AE21" s="612" t="str">
        <f t="shared" si="2"/>
        <v/>
      </c>
      <c r="AF21" s="612" t="str" cm="1">
        <f t="array" aca="1" ref="AF21" ca="1">IFERROR(INDEX($AE$14:$AE$102,SMALL(IF($AE$14:$AE$102&lt;&gt;"",ROW($AE$14:$AE$102)-ROW(INDIRECT("$AE$14"))+1),ROW(INDIRECT("A" &amp; AB21 ) ))),"")</f>
        <v/>
      </c>
      <c r="AG21" s="612" t="str">
        <f t="shared" si="3"/>
        <v/>
      </c>
      <c r="AH21" s="612" t="str" cm="1">
        <f t="array" aca="1" ref="AH21" ca="1">IFERROR(INDEX($AG$14:$AG$102,SMALL(IF($AG$14:$AG$102&lt;&gt;"",ROW($AG$14:$AG$102)-ROW(INDIRECT("$AG$14"))+1),ROW(INDIRECT("A" &amp; AB21 ) ))),"")</f>
        <v/>
      </c>
      <c r="AI21" s="612" t="str">
        <f t="shared" si="4"/>
        <v/>
      </c>
      <c r="AJ21" s="612" t="str" cm="1">
        <f t="array" aca="1" ref="AJ21" ca="1">IFERROR(INDEX($AI$14:$AI$102,SMALL(IF($AI$14:$AI$102&lt;&gt;"",ROW($AI$14:$AI$102)-ROW(INDIRECT("$AI$14"))+1),ROW(INDIRECT("A" &amp; AB21 ) ))),"")</f>
        <v/>
      </c>
    </row>
    <row r="22" spans="2:36" ht="30" customHeight="1" outlineLevel="1" x14ac:dyDescent="0.45">
      <c r="B22" s="178"/>
      <c r="C22" s="208"/>
      <c r="D22" s="199"/>
      <c r="E22" s="191" t="s">
        <v>625</v>
      </c>
      <c r="F22" s="701" t="s">
        <v>348</v>
      </c>
      <c r="G22" s="702"/>
      <c r="H22" s="215"/>
      <c r="I22" s="198"/>
      <c r="J22" s="198"/>
      <c r="K22" s="196"/>
      <c r="L22" s="196"/>
      <c r="M22" s="196"/>
      <c r="N22" s="196"/>
      <c r="O22" s="196"/>
      <c r="P22" s="196"/>
      <c r="Q22" s="196"/>
      <c r="R22" s="196"/>
      <c r="S22" s="196"/>
      <c r="T22" s="196"/>
      <c r="U22" s="200"/>
      <c r="V22" s="210"/>
      <c r="W22" s="182"/>
      <c r="AB22" s="604">
        <f t="shared" si="0"/>
        <v>9</v>
      </c>
      <c r="AC22" s="612" t="str">
        <f t="shared" si="1"/>
        <v/>
      </c>
      <c r="AD22" s="612" t="str" cm="1">
        <f t="array" aca="1" ref="AD22" ca="1">IFERROR(INDEX($AC$14:$AC$102,SMALL(IF($AC$14:$AC$102&lt;&gt;"",ROW($AC$14:$AC$102)-ROW(INDIRECT("$AC$14"))+1),ROW(INDIRECT("A" &amp; AB22 ) ))),"")</f>
        <v/>
      </c>
      <c r="AE22" s="612" t="str">
        <f t="shared" si="2"/>
        <v/>
      </c>
      <c r="AF22" s="612" t="str" cm="1">
        <f t="array" aca="1" ref="AF22" ca="1">IFERROR(INDEX($AE$14:$AE$102,SMALL(IF($AE$14:$AE$102&lt;&gt;"",ROW($AE$14:$AE$102)-ROW(INDIRECT("$AE$14"))+1),ROW(INDIRECT("A" &amp; AB22 ) ))),"")</f>
        <v/>
      </c>
      <c r="AG22" s="612" t="str">
        <f t="shared" si="3"/>
        <v/>
      </c>
      <c r="AH22" s="612" t="str" cm="1">
        <f t="array" aca="1" ref="AH22" ca="1">IFERROR(INDEX($AG$14:$AG$102,SMALL(IF($AG$14:$AG$102&lt;&gt;"",ROW($AG$14:$AG$102)-ROW(INDIRECT("$AG$14"))+1),ROW(INDIRECT("A" &amp; AB22 ) ))),"")</f>
        <v/>
      </c>
      <c r="AI22" s="612" t="str">
        <f t="shared" si="4"/>
        <v/>
      </c>
      <c r="AJ22" s="612" t="str" cm="1">
        <f t="array" aca="1" ref="AJ22" ca="1">IFERROR(INDEX($AI$14:$AI$102,SMALL(IF($AI$14:$AI$102&lt;&gt;"",ROW($AI$14:$AI$102)-ROW(INDIRECT("$AI$14"))+1),ROW(INDIRECT("A" &amp; AB22 ) ))),"")</f>
        <v/>
      </c>
    </row>
    <row r="23" spans="2:36" ht="15.75" customHeight="1" outlineLevel="1" x14ac:dyDescent="0.45">
      <c r="B23" s="178"/>
      <c r="C23" s="208"/>
      <c r="D23" s="199"/>
      <c r="E23" s="196"/>
      <c r="F23" s="196"/>
      <c r="G23" s="196"/>
      <c r="H23" s="196"/>
      <c r="I23" s="196"/>
      <c r="J23" s="196"/>
      <c r="K23" s="196"/>
      <c r="L23" s="196"/>
      <c r="M23" s="196"/>
      <c r="N23" s="196"/>
      <c r="O23" s="196"/>
      <c r="P23" s="196"/>
      <c r="Q23" s="196"/>
      <c r="R23" s="196"/>
      <c r="S23" s="196"/>
      <c r="T23" s="196"/>
      <c r="U23" s="200"/>
      <c r="V23" s="210"/>
      <c r="W23" s="182"/>
      <c r="AB23" s="604">
        <f t="shared" si="0"/>
        <v>10</v>
      </c>
      <c r="AC23" s="612" t="str">
        <f t="shared" si="1"/>
        <v/>
      </c>
      <c r="AD23" s="612" t="str" cm="1">
        <f t="array" aca="1" ref="AD23" ca="1">IFERROR(INDEX($AC$14:$AC$102,SMALL(IF($AC$14:$AC$102&lt;&gt;"",ROW($AC$14:$AC$102)-ROW(INDIRECT("$AC$14"))+1),ROW(INDIRECT("A" &amp; AB23 ) ))),"")</f>
        <v/>
      </c>
      <c r="AE23" s="612" t="str">
        <f t="shared" si="2"/>
        <v/>
      </c>
      <c r="AF23" s="612" t="str" cm="1">
        <f t="array" aca="1" ref="AF23" ca="1">IFERROR(INDEX($AE$14:$AE$102,SMALL(IF($AE$14:$AE$102&lt;&gt;"",ROW($AE$14:$AE$102)-ROW(INDIRECT("$AE$14"))+1),ROW(INDIRECT("A" &amp; AB23 ) ))),"")</f>
        <v/>
      </c>
      <c r="AG23" s="612" t="str">
        <f t="shared" si="3"/>
        <v/>
      </c>
      <c r="AH23" s="612" t="str" cm="1">
        <f t="array" aca="1" ref="AH23" ca="1">IFERROR(INDEX($AG$14:$AG$102,SMALL(IF($AG$14:$AG$102&lt;&gt;"",ROW($AG$14:$AG$102)-ROW(INDIRECT("$AG$14"))+1),ROW(INDIRECT("A" &amp; AB23 ) ))),"")</f>
        <v/>
      </c>
      <c r="AI23" s="612" t="str">
        <f t="shared" si="4"/>
        <v/>
      </c>
      <c r="AJ23" s="612" t="str" cm="1">
        <f t="array" aca="1" ref="AJ23" ca="1">IFERROR(INDEX($AI$14:$AI$102,SMALL(IF($AI$14:$AI$102&lt;&gt;"",ROW($AI$14:$AI$102)-ROW(INDIRECT("$AI$14"))+1),ROW(INDIRECT("A" &amp; AB23 ) ))),"")</f>
        <v/>
      </c>
    </row>
    <row r="24" spans="2:36" ht="20.100000000000001" customHeight="1" outlineLevel="1" x14ac:dyDescent="0.5">
      <c r="B24" s="178"/>
      <c r="C24" s="208"/>
      <c r="D24" s="202"/>
      <c r="E24" s="676" t="s">
        <v>267</v>
      </c>
      <c r="F24" s="677"/>
      <c r="G24" s="678"/>
      <c r="H24" s="161"/>
      <c r="I24" s="161"/>
      <c r="J24" s="161"/>
      <c r="K24" s="670" t="s">
        <v>349</v>
      </c>
      <c r="L24" s="670"/>
      <c r="M24" s="670"/>
      <c r="N24" s="670"/>
      <c r="O24" s="670"/>
      <c r="P24" s="670"/>
      <c r="Q24" s="670"/>
      <c r="R24" s="670"/>
      <c r="S24" s="670"/>
      <c r="T24" s="670"/>
      <c r="U24" s="201"/>
      <c r="V24" s="210"/>
      <c r="W24" s="182"/>
      <c r="AB24" s="604">
        <f t="shared" si="0"/>
        <v>11</v>
      </c>
      <c r="AC24" s="612" t="str">
        <f t="shared" si="1"/>
        <v/>
      </c>
      <c r="AD24" s="612" t="str" cm="1">
        <f t="array" aca="1" ref="AD24" ca="1">IFERROR(INDEX($AC$14:$AC$102,SMALL(IF($AC$14:$AC$102&lt;&gt;"",ROW($AC$14:$AC$102)-ROW(INDIRECT("$AC$14"))+1),ROW(INDIRECT("A" &amp; AB24 ) ))),"")</f>
        <v/>
      </c>
      <c r="AE24" s="612" t="str">
        <f t="shared" si="2"/>
        <v/>
      </c>
      <c r="AF24" s="612" t="str" cm="1">
        <f t="array" aca="1" ref="AF24" ca="1">IFERROR(INDEX($AE$14:$AE$102,SMALL(IF($AE$14:$AE$102&lt;&gt;"",ROW($AE$14:$AE$102)-ROW(INDIRECT("$AE$14"))+1),ROW(INDIRECT("A" &amp; AB24 ) ))),"")</f>
        <v/>
      </c>
      <c r="AG24" s="612" t="str">
        <f t="shared" si="3"/>
        <v/>
      </c>
      <c r="AH24" s="612" t="str" cm="1">
        <f t="array" aca="1" ref="AH24" ca="1">IFERROR(INDEX($AG$14:$AG$102,SMALL(IF($AG$14:$AG$102&lt;&gt;"",ROW($AG$14:$AG$102)-ROW(INDIRECT("$AG$14"))+1),ROW(INDIRECT("A" &amp; AB24 ) ))),"")</f>
        <v/>
      </c>
      <c r="AI24" s="612" t="str">
        <f t="shared" si="4"/>
        <v/>
      </c>
      <c r="AJ24" s="612" t="str" cm="1">
        <f t="array" aca="1" ref="AJ24" ca="1">IFERROR(INDEX($AI$14:$AI$102,SMALL(IF($AI$14:$AI$102&lt;&gt;"",ROW($AI$14:$AI$102)-ROW(INDIRECT("$AI$14"))+1),ROW(INDIRECT("A" &amp; AB24 ) ))),"")</f>
        <v/>
      </c>
    </row>
    <row r="25" spans="2:36" ht="39.950000000000003" customHeight="1" outlineLevel="1" x14ac:dyDescent="0.45">
      <c r="B25" s="178"/>
      <c r="C25" s="208"/>
      <c r="D25" s="203"/>
      <c r="E25" s="194"/>
      <c r="F25" s="161"/>
      <c r="G25" s="195"/>
      <c r="H25" s="195"/>
      <c r="I25" s="195"/>
      <c r="J25" s="195"/>
      <c r="K25" s="673"/>
      <c r="L25" s="674"/>
      <c r="M25" s="674"/>
      <c r="N25" s="674"/>
      <c r="O25" s="674"/>
      <c r="P25" s="674"/>
      <c r="Q25" s="674"/>
      <c r="R25" s="674"/>
      <c r="S25" s="674"/>
      <c r="T25" s="675"/>
      <c r="U25" s="201"/>
      <c r="V25" s="210"/>
      <c r="W25" s="182"/>
      <c r="AB25" s="604">
        <f t="shared" si="0"/>
        <v>12</v>
      </c>
      <c r="AC25" s="612" t="str">
        <f t="shared" si="1"/>
        <v/>
      </c>
      <c r="AD25" s="612" t="str" cm="1">
        <f t="array" aca="1" ref="AD25" ca="1">IFERROR(INDEX($AC$14:$AC$102,SMALL(IF($AC$14:$AC$102&lt;&gt;"",ROW($AC$14:$AC$102)-ROW(INDIRECT("$AC$14"))+1),ROW(INDIRECT("A" &amp; AB25 ) ))),"")</f>
        <v/>
      </c>
      <c r="AE25" s="612" t="str">
        <f t="shared" si="2"/>
        <v/>
      </c>
      <c r="AF25" s="612" t="str" cm="1">
        <f t="array" aca="1" ref="AF25" ca="1">IFERROR(INDEX($AE$14:$AE$102,SMALL(IF($AE$14:$AE$102&lt;&gt;"",ROW($AE$14:$AE$102)-ROW(INDIRECT("$AE$14"))+1),ROW(INDIRECT("A" &amp; AB25 ) ))),"")</f>
        <v/>
      </c>
      <c r="AG25" s="612" t="str">
        <f t="shared" si="3"/>
        <v/>
      </c>
      <c r="AH25" s="612" t="str" cm="1">
        <f t="array" aca="1" ref="AH25" ca="1">IFERROR(INDEX($AG$14:$AG$102,SMALL(IF($AG$14:$AG$102&lt;&gt;"",ROW($AG$14:$AG$102)-ROW(INDIRECT("$AG$14"))+1),ROW(INDIRECT("A" &amp; AB25 ) ))),"")</f>
        <v/>
      </c>
      <c r="AI25" s="612" t="str">
        <f t="shared" si="4"/>
        <v/>
      </c>
      <c r="AJ25" s="612" t="str" cm="1">
        <f t="array" aca="1" ref="AJ25" ca="1">IFERROR(INDEX($AI$14:$AI$102,SMALL(IF($AI$14:$AI$102&lt;&gt;"",ROW($AI$14:$AI$102)-ROW(INDIRECT("$AI$14"))+1),ROW(INDIRECT("A" &amp; AB25 ) ))),"")</f>
        <v/>
      </c>
    </row>
    <row r="26" spans="2:36" ht="20.100000000000001" customHeight="1" outlineLevel="1" thickBot="1" x14ac:dyDescent="0.5">
      <c r="B26" s="178"/>
      <c r="C26" s="208"/>
      <c r="D26" s="204"/>
      <c r="E26" s="205"/>
      <c r="F26" s="205"/>
      <c r="G26" s="206"/>
      <c r="H26" s="206"/>
      <c r="I26" s="206"/>
      <c r="J26" s="206"/>
      <c r="K26" s="205"/>
      <c r="L26" s="205"/>
      <c r="M26" s="172"/>
      <c r="N26" s="205"/>
      <c r="O26" s="205"/>
      <c r="P26" s="205"/>
      <c r="Q26" s="205"/>
      <c r="R26" s="205"/>
      <c r="S26" s="205"/>
      <c r="T26" s="205"/>
      <c r="U26" s="207"/>
      <c r="V26" s="210"/>
      <c r="W26" s="182"/>
      <c r="AB26" s="604">
        <f t="shared" si="0"/>
        <v>13</v>
      </c>
      <c r="AC26" s="612" t="str">
        <f t="shared" si="1"/>
        <v/>
      </c>
      <c r="AD26" s="612" t="str" cm="1">
        <f t="array" aca="1" ref="AD26" ca="1">IFERROR(INDEX($AC$14:$AC$102,SMALL(IF($AC$14:$AC$102&lt;&gt;"",ROW($AC$14:$AC$102)-ROW(INDIRECT("$AC$14"))+1),ROW(INDIRECT("A" &amp; AB26 ) ))),"")</f>
        <v/>
      </c>
      <c r="AE26" s="612" t="str">
        <f t="shared" si="2"/>
        <v/>
      </c>
      <c r="AF26" s="612" t="str" cm="1">
        <f t="array" aca="1" ref="AF26" ca="1">IFERROR(INDEX($AE$14:$AE$102,SMALL(IF($AE$14:$AE$102&lt;&gt;"",ROW($AE$14:$AE$102)-ROW(INDIRECT("$AE$14"))+1),ROW(INDIRECT("A" &amp; AB26 ) ))),"")</f>
        <v/>
      </c>
      <c r="AG26" s="612" t="str">
        <f t="shared" si="3"/>
        <v/>
      </c>
      <c r="AH26" s="612" t="str" cm="1">
        <f t="array" aca="1" ref="AH26" ca="1">IFERROR(INDEX($AG$14:$AG$102,SMALL(IF($AG$14:$AG$102&lt;&gt;"",ROW($AG$14:$AG$102)-ROW(INDIRECT("$AG$14"))+1),ROW(INDIRECT("A" &amp; AB26 ) ))),"")</f>
        <v/>
      </c>
      <c r="AI26" s="612" t="str">
        <f t="shared" si="4"/>
        <v/>
      </c>
      <c r="AJ26" s="612" t="str" cm="1">
        <f t="array" aca="1" ref="AJ26" ca="1">IFERROR(INDEX($AI$14:$AI$102,SMALL(IF($AI$14:$AI$102&lt;&gt;"",ROW($AI$14:$AI$102)-ROW(INDIRECT("$AI$14"))+1),ROW(INDIRECT("A" &amp; AB26 ) ))),"")</f>
        <v/>
      </c>
    </row>
    <row r="27" spans="2:36" ht="20.100000000000001" customHeight="1" outlineLevel="1" thickTop="1" thickBot="1" x14ac:dyDescent="0.5">
      <c r="B27" s="178"/>
      <c r="C27" s="211"/>
      <c r="D27" s="212"/>
      <c r="E27" s="212"/>
      <c r="F27" s="212"/>
      <c r="G27" s="212"/>
      <c r="H27" s="212"/>
      <c r="I27" s="212"/>
      <c r="J27" s="212"/>
      <c r="K27" s="212"/>
      <c r="L27" s="212"/>
      <c r="M27" s="213"/>
      <c r="N27" s="212"/>
      <c r="O27" s="212"/>
      <c r="P27" s="212"/>
      <c r="Q27" s="212"/>
      <c r="R27" s="212"/>
      <c r="S27" s="212"/>
      <c r="T27" s="212"/>
      <c r="U27" s="212"/>
      <c r="V27" s="214"/>
      <c r="W27" s="182"/>
      <c r="AB27" s="604">
        <f t="shared" si="0"/>
        <v>14</v>
      </c>
      <c r="AC27" s="612" t="str">
        <f t="shared" si="1"/>
        <v/>
      </c>
      <c r="AD27" s="612" t="str" cm="1">
        <f t="array" aca="1" ref="AD27" ca="1">IFERROR(INDEX($AC$14:$AC$102,SMALL(IF($AC$14:$AC$102&lt;&gt;"",ROW($AC$14:$AC$102)-ROW(INDIRECT("$AC$14"))+1),ROW(INDIRECT("A" &amp; AB27 ) ))),"")</f>
        <v/>
      </c>
      <c r="AE27" s="612" t="str">
        <f t="shared" si="2"/>
        <v/>
      </c>
      <c r="AF27" s="612" t="str" cm="1">
        <f t="array" aca="1" ref="AF27" ca="1">IFERROR(INDEX($AE$14:$AE$102,SMALL(IF($AE$14:$AE$102&lt;&gt;"",ROW($AE$14:$AE$102)-ROW(INDIRECT("$AE$14"))+1),ROW(INDIRECT("A" &amp; AB27 ) ))),"")</f>
        <v/>
      </c>
      <c r="AG27" s="612" t="str">
        <f t="shared" si="3"/>
        <v/>
      </c>
      <c r="AH27" s="612" t="str" cm="1">
        <f t="array" aca="1" ref="AH27" ca="1">IFERROR(INDEX($AG$14:$AG$102,SMALL(IF($AG$14:$AG$102&lt;&gt;"",ROW($AG$14:$AG$102)-ROW(INDIRECT("$AG$14"))+1),ROW(INDIRECT("A" &amp; AB27 ) ))),"")</f>
        <v/>
      </c>
      <c r="AI27" s="612" t="str">
        <f t="shared" si="4"/>
        <v/>
      </c>
      <c r="AJ27" s="612" t="str" cm="1">
        <f t="array" aca="1" ref="AJ27" ca="1">IFERROR(INDEX($AI$14:$AI$102,SMALL(IF($AI$14:$AI$102&lt;&gt;"",ROW($AI$14:$AI$102)-ROW(INDIRECT("$AI$14"))+1),ROW(INDIRECT("A" &amp; AB27 ) ))),"")</f>
        <v/>
      </c>
    </row>
    <row r="28" spans="2:36" ht="9.9499999999999993" customHeight="1" thickTop="1" thickBot="1" x14ac:dyDescent="0.5">
      <c r="B28" s="178"/>
      <c r="C28" s="157"/>
      <c r="D28" s="159"/>
      <c r="E28" s="159"/>
      <c r="F28" s="159"/>
      <c r="G28" s="159"/>
      <c r="H28" s="159"/>
      <c r="I28" s="159"/>
      <c r="J28" s="159"/>
      <c r="K28" s="159"/>
      <c r="L28" s="159"/>
      <c r="M28" s="159"/>
      <c r="N28" s="158"/>
      <c r="O28" s="158"/>
      <c r="P28" s="158"/>
      <c r="Q28" s="158"/>
      <c r="R28" s="158"/>
      <c r="S28" s="158"/>
      <c r="T28" s="158"/>
      <c r="U28" s="158"/>
      <c r="V28" s="197"/>
      <c r="W28" s="182"/>
      <c r="AB28" s="604">
        <f t="shared" si="0"/>
        <v>15</v>
      </c>
      <c r="AC28" s="612" t="str">
        <f t="shared" si="1"/>
        <v/>
      </c>
      <c r="AD28" s="612" t="str" cm="1">
        <f t="array" aca="1" ref="AD28" ca="1">IFERROR(INDEX($AC$14:$AC$102,SMALL(IF($AC$14:$AC$102&lt;&gt;"",ROW($AC$14:$AC$102)-ROW(INDIRECT("$AC$14"))+1),ROW(INDIRECT("A" &amp; AB28 ) ))),"")</f>
        <v/>
      </c>
      <c r="AE28" s="612" t="str">
        <f t="shared" si="2"/>
        <v/>
      </c>
      <c r="AF28" s="612" t="str" cm="1">
        <f t="array" aca="1" ref="AF28" ca="1">IFERROR(INDEX($AE$14:$AE$102,SMALL(IF($AE$14:$AE$102&lt;&gt;"",ROW($AE$14:$AE$102)-ROW(INDIRECT("$AE$14"))+1),ROW(INDIRECT("A" &amp; AB28 ) ))),"")</f>
        <v/>
      </c>
      <c r="AG28" s="612" t="str">
        <f t="shared" si="3"/>
        <v/>
      </c>
      <c r="AH28" s="612" t="str" cm="1">
        <f t="array" aca="1" ref="AH28" ca="1">IFERROR(INDEX($AG$14:$AG$102,SMALL(IF($AG$14:$AG$102&lt;&gt;"",ROW($AG$14:$AG$102)-ROW(INDIRECT("$AG$14"))+1),ROW(INDIRECT("A" &amp; AB28 ) ))),"")</f>
        <v/>
      </c>
      <c r="AI28" s="612" t="str">
        <f t="shared" si="4"/>
        <v/>
      </c>
      <c r="AJ28" s="612" t="str" cm="1">
        <f t="array" aca="1" ref="AJ28" ca="1">IFERROR(INDEX($AI$14:$AI$102,SMALL(IF($AI$14:$AI$102&lt;&gt;"",ROW($AI$14:$AI$102)-ROW(INDIRECT("$AI$14"))+1),ROW(INDIRECT("A" &amp; AB28 ) ))),"")</f>
        <v/>
      </c>
    </row>
    <row r="29" spans="2:36" ht="20.100000000000001" customHeight="1" thickTop="1" thickBot="1" x14ac:dyDescent="0.5">
      <c r="B29" s="178"/>
      <c r="C29" s="661" t="s">
        <v>350</v>
      </c>
      <c r="D29" s="662"/>
      <c r="E29" s="662"/>
      <c r="F29" s="662"/>
      <c r="G29" s="662"/>
      <c r="H29" s="662"/>
      <c r="I29" s="662"/>
      <c r="J29" s="662"/>
      <c r="K29" s="662"/>
      <c r="L29" s="662"/>
      <c r="M29" s="662"/>
      <c r="N29" s="662"/>
      <c r="O29" s="662"/>
      <c r="P29" s="662"/>
      <c r="Q29" s="662"/>
      <c r="R29" s="662"/>
      <c r="S29" s="662"/>
      <c r="T29" s="662"/>
      <c r="U29" s="662"/>
      <c r="V29" s="663"/>
      <c r="W29" s="182"/>
      <c r="AB29" s="604">
        <f t="shared" si="0"/>
        <v>16</v>
      </c>
      <c r="AC29" s="612" t="str">
        <f t="shared" si="1"/>
        <v/>
      </c>
      <c r="AD29" s="612" t="str" cm="1">
        <f t="array" aca="1" ref="AD29" ca="1">IFERROR(INDEX($AC$14:$AC$102,SMALL(IF($AC$14:$AC$102&lt;&gt;"",ROW($AC$14:$AC$102)-ROW(INDIRECT("$AC$14"))+1),ROW(INDIRECT("A" &amp; AB29 ) ))),"")</f>
        <v/>
      </c>
      <c r="AE29" s="612" t="str">
        <f t="shared" si="2"/>
        <v/>
      </c>
      <c r="AF29" s="612" t="str" cm="1">
        <f t="array" aca="1" ref="AF29" ca="1">IFERROR(INDEX($AE$14:$AE$102,SMALL(IF($AE$14:$AE$102&lt;&gt;"",ROW($AE$14:$AE$102)-ROW(INDIRECT("$AE$14"))+1),ROW(INDIRECT("A" &amp; AB29 ) ))),"")</f>
        <v/>
      </c>
      <c r="AG29" s="612" t="str">
        <f t="shared" si="3"/>
        <v/>
      </c>
      <c r="AH29" s="612" t="str" cm="1">
        <f t="array" aca="1" ref="AH29" ca="1">IFERROR(INDEX($AG$14:$AG$102,SMALL(IF($AG$14:$AG$102&lt;&gt;"",ROW($AG$14:$AG$102)-ROW(INDIRECT("$AG$14"))+1),ROW(INDIRECT("A" &amp; AB29 ) ))),"")</f>
        <v/>
      </c>
      <c r="AI29" s="612" t="str">
        <f t="shared" si="4"/>
        <v/>
      </c>
      <c r="AJ29" s="612" t="str" cm="1">
        <f t="array" aca="1" ref="AJ29" ca="1">IFERROR(INDEX($AI$14:$AI$102,SMALL(IF($AI$14:$AI$102&lt;&gt;"",ROW($AI$14:$AI$102)-ROW(INDIRECT("$AI$14"))+1),ROW(INDIRECT("A" &amp; AB29 ) ))),"")</f>
        <v/>
      </c>
    </row>
    <row r="30" spans="2:36" ht="20.100000000000001" customHeight="1" outlineLevel="1" thickTop="1" thickBot="1" x14ac:dyDescent="0.5">
      <c r="B30" s="178"/>
      <c r="C30" s="208"/>
      <c r="D30" s="354" t="s">
        <v>576</v>
      </c>
      <c r="E30" s="350" t="s">
        <v>524</v>
      </c>
      <c r="F30" s="192"/>
      <c r="G30" s="158"/>
      <c r="H30" s="158"/>
      <c r="I30" s="158"/>
      <c r="J30" s="158"/>
      <c r="K30" s="158"/>
      <c r="L30" s="158"/>
      <c r="M30" s="192"/>
      <c r="N30" s="158"/>
      <c r="O30" s="158"/>
      <c r="P30" s="158"/>
      <c r="Q30" s="158"/>
      <c r="R30" s="158"/>
      <c r="S30" s="158"/>
      <c r="T30" s="158"/>
      <c r="U30" s="158"/>
      <c r="V30" s="210"/>
      <c r="W30" s="182"/>
      <c r="AB30" s="604">
        <f t="shared" si="0"/>
        <v>17</v>
      </c>
      <c r="AC30" s="612" t="str">
        <f t="shared" si="1"/>
        <v/>
      </c>
      <c r="AD30" s="612" t="str" cm="1">
        <f t="array" aca="1" ref="AD30" ca="1">IFERROR(INDEX($AC$14:$AC$102,SMALL(IF($AC$14:$AC$102&lt;&gt;"",ROW($AC$14:$AC$102)-ROW(INDIRECT("$AC$14"))+1),ROW(INDIRECT("A" &amp; AB30 ) ))),"")</f>
        <v/>
      </c>
      <c r="AE30" s="612" t="str">
        <f t="shared" si="2"/>
        <v/>
      </c>
      <c r="AF30" s="612" t="str" cm="1">
        <f t="array" aca="1" ref="AF30" ca="1">IFERROR(INDEX($AE$14:$AE$102,SMALL(IF($AE$14:$AE$102&lt;&gt;"",ROW($AE$14:$AE$102)-ROW(INDIRECT("$AE$14"))+1),ROW(INDIRECT("A" &amp; AB30 ) ))),"")</f>
        <v/>
      </c>
      <c r="AG30" s="612" t="str">
        <f t="shared" si="3"/>
        <v/>
      </c>
      <c r="AH30" s="612" t="str" cm="1">
        <f t="array" aca="1" ref="AH30" ca="1">IFERROR(INDEX($AG$14:$AG$102,SMALL(IF($AG$14:$AG$102&lt;&gt;"",ROW($AG$14:$AG$102)-ROW(INDIRECT("$AG$14"))+1),ROW(INDIRECT("A" &amp; AB30 ) ))),"")</f>
        <v/>
      </c>
      <c r="AI30" s="612" t="str">
        <f t="shared" si="4"/>
        <v/>
      </c>
      <c r="AJ30" s="612" t="str" cm="1">
        <f t="array" aca="1" ref="AJ30" ca="1">IFERROR(INDEX($AI$14:$AI$102,SMALL(IF($AI$14:$AI$102&lt;&gt;"",ROW($AI$14:$AI$102)-ROW(INDIRECT("$AI$14"))+1),ROW(INDIRECT("A" &amp; AB30 ) ))),"")</f>
        <v/>
      </c>
    </row>
    <row r="31" spans="2:36" ht="20.100000000000001" customHeight="1" outlineLevel="1" thickTop="1" thickBot="1" x14ac:dyDescent="0.5">
      <c r="B31" s="178"/>
      <c r="C31" s="208"/>
      <c r="D31" s="236" t="s">
        <v>432</v>
      </c>
      <c r="E31" s="237"/>
      <c r="F31" s="237"/>
      <c r="G31" s="237"/>
      <c r="H31" s="237"/>
      <c r="I31" s="237"/>
      <c r="J31" s="237"/>
      <c r="K31" s="237"/>
      <c r="L31" s="237"/>
      <c r="M31" s="237"/>
      <c r="N31" s="237"/>
      <c r="O31" s="237"/>
      <c r="P31" s="237"/>
      <c r="Q31" s="237"/>
      <c r="R31" s="237"/>
      <c r="S31" s="237"/>
      <c r="T31" s="237"/>
      <c r="U31" s="238"/>
      <c r="V31" s="210"/>
      <c r="W31" s="182"/>
      <c r="AB31" s="604">
        <f t="shared" si="0"/>
        <v>18</v>
      </c>
      <c r="AC31" s="612" t="str">
        <f t="shared" si="1"/>
        <v/>
      </c>
      <c r="AD31" s="612" t="str" cm="1">
        <f t="array" aca="1" ref="AD31" ca="1">IFERROR(INDEX($AC$14:$AC$102,SMALL(IF($AC$14:$AC$102&lt;&gt;"",ROW($AC$14:$AC$102)-ROW(INDIRECT("$AC$14"))+1),ROW(INDIRECT("A" &amp; AB31 ) ))),"")</f>
        <v/>
      </c>
      <c r="AE31" s="612" t="str">
        <f t="shared" si="2"/>
        <v/>
      </c>
      <c r="AF31" s="612" t="str" cm="1">
        <f t="array" aca="1" ref="AF31" ca="1">IFERROR(INDEX($AE$14:$AE$102,SMALL(IF($AE$14:$AE$102&lt;&gt;"",ROW($AE$14:$AE$102)-ROW(INDIRECT("$AE$14"))+1),ROW(INDIRECT("A" &amp; AB31 ) ))),"")</f>
        <v/>
      </c>
      <c r="AG31" s="612" t="str">
        <f t="shared" si="3"/>
        <v/>
      </c>
      <c r="AH31" s="612" t="str" cm="1">
        <f t="array" aca="1" ref="AH31" ca="1">IFERROR(INDEX($AG$14:$AG$102,SMALL(IF($AG$14:$AG$102&lt;&gt;"",ROW($AG$14:$AG$102)-ROW(INDIRECT("$AG$14"))+1),ROW(INDIRECT("A" &amp; AB31 ) ))),"")</f>
        <v/>
      </c>
      <c r="AI31" s="612" t="str">
        <f t="shared" si="4"/>
        <v/>
      </c>
      <c r="AJ31" s="612" t="str" cm="1">
        <f t="array" aca="1" ref="AJ31" ca="1">IFERROR(INDEX($AI$14:$AI$102,SMALL(IF($AI$14:$AI$102&lt;&gt;"",ROW($AI$14:$AI$102)-ROW(INDIRECT("$AI$14"))+1),ROW(INDIRECT("A" &amp; AB31 ) ))),"")</f>
        <v/>
      </c>
    </row>
    <row r="32" spans="2:36" ht="20.100000000000001" customHeight="1" outlineLevel="1" thickTop="1" x14ac:dyDescent="0.45">
      <c r="B32" s="178"/>
      <c r="C32" s="208"/>
      <c r="D32" s="220"/>
      <c r="E32" s="192"/>
      <c r="F32" s="192"/>
      <c r="G32" s="158"/>
      <c r="H32" s="158"/>
      <c r="I32" s="192"/>
      <c r="J32" s="192"/>
      <c r="K32" s="192"/>
      <c r="L32" s="192"/>
      <c r="M32" s="192"/>
      <c r="N32" s="158"/>
      <c r="O32" s="158"/>
      <c r="P32" s="158"/>
      <c r="Q32" s="158"/>
      <c r="R32" s="158"/>
      <c r="S32" s="158"/>
      <c r="T32" s="158"/>
      <c r="U32" s="222"/>
      <c r="V32" s="210"/>
      <c r="W32" s="182"/>
      <c r="AB32" s="604">
        <f t="shared" si="0"/>
        <v>19</v>
      </c>
      <c r="AC32" s="612" t="str">
        <f t="shared" si="1"/>
        <v/>
      </c>
      <c r="AD32" s="612" t="str" cm="1">
        <f t="array" aca="1" ref="AD32" ca="1">IFERROR(INDEX($AC$14:$AC$102,SMALL(IF($AC$14:$AC$102&lt;&gt;"",ROW($AC$14:$AC$102)-ROW(INDIRECT("$AC$14"))+1),ROW(INDIRECT("A" &amp; AB32 ) ))),"")</f>
        <v/>
      </c>
      <c r="AE32" s="612" t="str">
        <f t="shared" si="2"/>
        <v/>
      </c>
      <c r="AF32" s="612" t="str" cm="1">
        <f t="array" aca="1" ref="AF32" ca="1">IFERROR(INDEX($AE$14:$AE$102,SMALL(IF($AE$14:$AE$102&lt;&gt;"",ROW($AE$14:$AE$102)-ROW(INDIRECT("$AE$14"))+1),ROW(INDIRECT("A" &amp; AB32 ) ))),"")</f>
        <v/>
      </c>
      <c r="AG32" s="612" t="str">
        <f t="shared" si="3"/>
        <v/>
      </c>
      <c r="AH32" s="612" t="str" cm="1">
        <f t="array" aca="1" ref="AH32" ca="1">IFERROR(INDEX($AG$14:$AG$102,SMALL(IF($AG$14:$AG$102&lt;&gt;"",ROW($AG$14:$AG$102)-ROW(INDIRECT("$AG$14"))+1),ROW(INDIRECT("A" &amp; AB32 ) ))),"")</f>
        <v/>
      </c>
      <c r="AI32" s="612" t="str">
        <f t="shared" si="4"/>
        <v/>
      </c>
      <c r="AJ32" s="612" t="str" cm="1">
        <f t="array" aca="1" ref="AJ32" ca="1">IFERROR(INDEX($AI$14:$AI$102,SMALL(IF($AI$14:$AI$102&lt;&gt;"",ROW($AI$14:$AI$102)-ROW(INDIRECT("$AI$14"))+1),ROW(INDIRECT("A" &amp; AB32 ) ))),"")</f>
        <v/>
      </c>
    </row>
    <row r="33" spans="2:36" ht="39.75" customHeight="1" outlineLevel="1" x14ac:dyDescent="0.45">
      <c r="B33" s="178"/>
      <c r="C33" s="208"/>
      <c r="D33" s="165"/>
      <c r="E33" s="218" t="s">
        <v>625</v>
      </c>
      <c r="F33" s="684" t="s">
        <v>348</v>
      </c>
      <c r="G33" s="684"/>
      <c r="H33" s="219" t="s">
        <v>343</v>
      </c>
      <c r="I33" s="219" t="s">
        <v>342</v>
      </c>
      <c r="J33" s="219" t="s">
        <v>434</v>
      </c>
      <c r="K33" s="684" t="s">
        <v>411</v>
      </c>
      <c r="L33" s="684"/>
      <c r="M33" s="684" t="s">
        <v>388</v>
      </c>
      <c r="N33" s="684"/>
      <c r="O33" s="684" t="s">
        <v>391</v>
      </c>
      <c r="P33" s="684"/>
      <c r="Q33" s="684"/>
      <c r="R33" s="679" t="s">
        <v>409</v>
      </c>
      <c r="S33" s="680"/>
      <c r="T33" s="680"/>
      <c r="U33" s="222"/>
      <c r="V33" s="231"/>
      <c r="W33" s="183"/>
      <c r="AB33" s="604">
        <f t="shared" si="0"/>
        <v>20</v>
      </c>
      <c r="AC33" s="612" t="str">
        <f t="shared" si="1"/>
        <v/>
      </c>
      <c r="AD33" s="612" t="str" cm="1">
        <f t="array" aca="1" ref="AD33" ca="1">IFERROR(INDEX($AC$14:$AC$102,SMALL(IF($AC$14:$AC$102&lt;&gt;"",ROW($AC$14:$AC$102)-ROW(INDIRECT("$AC$14"))+1),ROW(INDIRECT("A" &amp; AB33 ) ))),"")</f>
        <v/>
      </c>
      <c r="AE33" s="612" t="str">
        <f t="shared" si="2"/>
        <v/>
      </c>
      <c r="AF33" s="612" t="str" cm="1">
        <f t="array" aca="1" ref="AF33" ca="1">IFERROR(INDEX($AE$14:$AE$102,SMALL(IF($AE$14:$AE$102&lt;&gt;"",ROW($AE$14:$AE$102)-ROW(INDIRECT("$AE$14"))+1),ROW(INDIRECT("A" &amp; AB33 ) ))),"")</f>
        <v/>
      </c>
      <c r="AG33" s="612" t="str">
        <f t="shared" si="3"/>
        <v/>
      </c>
      <c r="AH33" s="612" t="str" cm="1">
        <f t="array" aca="1" ref="AH33" ca="1">IFERROR(INDEX($AG$14:$AG$102,SMALL(IF($AG$14:$AG$102&lt;&gt;"",ROW($AG$14:$AG$102)-ROW(INDIRECT("$AG$14"))+1),ROW(INDIRECT("A" &amp; AB33 ) ))),"")</f>
        <v/>
      </c>
      <c r="AI33" s="612" t="str">
        <f t="shared" si="4"/>
        <v/>
      </c>
      <c r="AJ33" s="612" t="str" cm="1">
        <f t="array" aca="1" ref="AJ33" ca="1">IFERROR(INDEX($AI$14:$AI$102,SMALL(IF($AI$14:$AI$102&lt;&gt;"",ROW($AI$14:$AI$102)-ROW(INDIRECT("$AI$14"))+1),ROW(INDIRECT("A" &amp; AB33 ) ))),"")</f>
        <v/>
      </c>
    </row>
    <row r="34" spans="2:36" ht="20" customHeight="1" outlineLevel="1" x14ac:dyDescent="0.45">
      <c r="B34" s="178"/>
      <c r="C34" s="208"/>
      <c r="D34" s="220"/>
      <c r="E34" s="158"/>
      <c r="F34" s="158"/>
      <c r="G34" s="158"/>
      <c r="H34" s="158"/>
      <c r="I34" s="158"/>
      <c r="J34" s="158"/>
      <c r="K34" s="158"/>
      <c r="L34" s="158"/>
      <c r="M34" s="158"/>
      <c r="N34" s="158"/>
      <c r="O34" s="158"/>
      <c r="P34" s="158"/>
      <c r="Q34" s="158"/>
      <c r="R34" s="158"/>
      <c r="S34" s="158"/>
      <c r="T34" s="158"/>
      <c r="U34" s="222"/>
      <c r="V34" s="210"/>
      <c r="W34" s="182"/>
      <c r="AB34" s="604">
        <f t="shared" si="0"/>
        <v>21</v>
      </c>
      <c r="AC34" s="612" t="str">
        <f t="shared" si="1"/>
        <v/>
      </c>
      <c r="AD34" s="612" t="str" cm="1">
        <f t="array" aca="1" ref="AD34" ca="1">IFERROR(INDEX($AC$14:$AC$102,SMALL(IF($AC$14:$AC$102&lt;&gt;"",ROW($AC$14:$AC$102)-ROW(INDIRECT("$AC$14"))+1),ROW(INDIRECT("A" &amp; AB34 ) ))),"")</f>
        <v/>
      </c>
      <c r="AE34" s="612" t="str">
        <f t="shared" si="2"/>
        <v/>
      </c>
      <c r="AF34" s="612" t="str" cm="1">
        <f t="array" aca="1" ref="AF34" ca="1">IFERROR(INDEX($AE$14:$AE$102,SMALL(IF($AE$14:$AE$102&lt;&gt;"",ROW($AE$14:$AE$102)-ROW(INDIRECT("$AE$14"))+1),ROW(INDIRECT("A" &amp; AB34 ) ))),"")</f>
        <v/>
      </c>
      <c r="AG34" s="612" t="str">
        <f t="shared" si="3"/>
        <v/>
      </c>
      <c r="AH34" s="612" t="str" cm="1">
        <f t="array" aca="1" ref="AH34" ca="1">IFERROR(INDEX($AG$14:$AG$102,SMALL(IF($AG$14:$AG$102&lt;&gt;"",ROW($AG$14:$AG$102)-ROW(INDIRECT("$AG$14"))+1),ROW(INDIRECT("A" &amp; AB34 ) ))),"")</f>
        <v/>
      </c>
      <c r="AI34" s="612" t="str">
        <f t="shared" si="4"/>
        <v/>
      </c>
      <c r="AJ34" s="612" t="str" cm="1">
        <f t="array" aca="1" ref="AJ34" ca="1">IFERROR(INDEX($AI$14:$AI$102,SMALL(IF($AI$14:$AI$102&lt;&gt;"",ROW($AI$14:$AI$102)-ROW(INDIRECT("$AI$14"))+1),ROW(INDIRECT("A" &amp; AB34 ) ))),"")</f>
        <v/>
      </c>
    </row>
    <row r="35" spans="2:36" ht="20.100000000000001" customHeight="1" outlineLevel="1" x14ac:dyDescent="0.5">
      <c r="B35" s="178"/>
      <c r="C35" s="208"/>
      <c r="D35" s="220"/>
      <c r="E35" s="681" t="s">
        <v>176</v>
      </c>
      <c r="F35" s="682"/>
      <c r="G35" s="683"/>
      <c r="H35" s="158"/>
      <c r="I35" s="158"/>
      <c r="J35" s="158"/>
      <c r="K35" s="670" t="s">
        <v>456</v>
      </c>
      <c r="L35" s="670"/>
      <c r="M35" s="670"/>
      <c r="N35" s="670"/>
      <c r="O35" s="670"/>
      <c r="P35" s="670"/>
      <c r="Q35" s="670"/>
      <c r="R35" s="670"/>
      <c r="S35" s="670"/>
      <c r="T35" s="670"/>
      <c r="U35" s="222"/>
      <c r="V35" s="231"/>
      <c r="W35" s="183"/>
      <c r="AB35" s="604">
        <f t="shared" si="0"/>
        <v>22</v>
      </c>
      <c r="AC35" s="612" t="str">
        <f t="shared" si="1"/>
        <v/>
      </c>
      <c r="AD35" s="612" t="str" cm="1">
        <f t="array" aca="1" ref="AD35" ca="1">IFERROR(INDEX($AC$14:$AC$102,SMALL(IF($AC$14:$AC$102&lt;&gt;"",ROW($AC$14:$AC$102)-ROW(INDIRECT("$AC$14"))+1),ROW(INDIRECT("A" &amp; AB35 ) ))),"")</f>
        <v/>
      </c>
      <c r="AE35" s="612" t="str">
        <f t="shared" si="2"/>
        <v/>
      </c>
      <c r="AF35" s="612" t="str" cm="1">
        <f t="array" aca="1" ref="AF35" ca="1">IFERROR(INDEX($AE$14:$AE$102,SMALL(IF($AE$14:$AE$102&lt;&gt;"",ROW($AE$14:$AE$102)-ROW(INDIRECT("$AE$14"))+1),ROW(INDIRECT("A" &amp; AB35 ) ))),"")</f>
        <v/>
      </c>
      <c r="AG35" s="612" t="str">
        <f t="shared" si="3"/>
        <v/>
      </c>
      <c r="AH35" s="612" t="str" cm="1">
        <f t="array" aca="1" ref="AH35" ca="1">IFERROR(INDEX($AG$14:$AG$102,SMALL(IF($AG$14:$AG$102&lt;&gt;"",ROW($AG$14:$AG$102)-ROW(INDIRECT("$AG$14"))+1),ROW(INDIRECT("A" &amp; AB35 ) ))),"")</f>
        <v/>
      </c>
      <c r="AI35" s="612" t="str">
        <f t="shared" si="4"/>
        <v/>
      </c>
      <c r="AJ35" s="612" t="str" cm="1">
        <f t="array" aca="1" ref="AJ35" ca="1">IFERROR(INDEX($AI$14:$AI$102,SMALL(IF($AI$14:$AI$102&lt;&gt;"",ROW($AI$14:$AI$102)-ROW(INDIRECT("$AI$14"))+1),ROW(INDIRECT("A" &amp; AB35 ) ))),"")</f>
        <v/>
      </c>
    </row>
    <row r="36" spans="2:36" ht="20.100000000000001" customHeight="1" outlineLevel="1" x14ac:dyDescent="0.45">
      <c r="B36" s="178"/>
      <c r="C36" s="208"/>
      <c r="D36" s="220"/>
      <c r="E36" s="158"/>
      <c r="F36" s="158"/>
      <c r="G36" s="158"/>
      <c r="H36" s="158"/>
      <c r="I36" s="158"/>
      <c r="J36" s="158"/>
      <c r="K36" s="689"/>
      <c r="L36" s="690"/>
      <c r="M36" s="690"/>
      <c r="N36" s="690"/>
      <c r="O36" s="690"/>
      <c r="P36" s="690"/>
      <c r="Q36" s="690"/>
      <c r="R36" s="690"/>
      <c r="S36" s="690"/>
      <c r="T36" s="691"/>
      <c r="U36" s="222"/>
      <c r="V36" s="231"/>
      <c r="W36" s="183"/>
      <c r="AB36" s="604">
        <f t="shared" si="0"/>
        <v>23</v>
      </c>
      <c r="AC36" s="612" t="str">
        <f t="shared" si="1"/>
        <v/>
      </c>
      <c r="AD36" s="612" t="str" cm="1">
        <f t="array" aca="1" ref="AD36" ca="1">IFERROR(INDEX($AC$14:$AC$102,SMALL(IF($AC$14:$AC$102&lt;&gt;"",ROW($AC$14:$AC$102)-ROW(INDIRECT("$AC$14"))+1),ROW(INDIRECT("A" &amp; AB36 ) ))),"")</f>
        <v/>
      </c>
      <c r="AE36" s="612" t="str">
        <f t="shared" si="2"/>
        <v/>
      </c>
      <c r="AF36" s="612" t="str" cm="1">
        <f t="array" aca="1" ref="AF36" ca="1">IFERROR(INDEX($AE$14:$AE$102,SMALL(IF($AE$14:$AE$102&lt;&gt;"",ROW($AE$14:$AE$102)-ROW(INDIRECT("$AE$14"))+1),ROW(INDIRECT("A" &amp; AB36 ) ))),"")</f>
        <v/>
      </c>
      <c r="AG36" s="612" t="str">
        <f t="shared" si="3"/>
        <v/>
      </c>
      <c r="AH36" s="612" t="str" cm="1">
        <f t="array" aca="1" ref="AH36" ca="1">IFERROR(INDEX($AG$14:$AG$102,SMALL(IF($AG$14:$AG$102&lt;&gt;"",ROW($AG$14:$AG$102)-ROW(INDIRECT("$AG$14"))+1),ROW(INDIRECT("A" &amp; AB36 ) ))),"")</f>
        <v/>
      </c>
      <c r="AI36" s="612" t="str">
        <f t="shared" si="4"/>
        <v/>
      </c>
      <c r="AJ36" s="612" t="str" cm="1">
        <f t="array" aca="1" ref="AJ36" ca="1">IFERROR(INDEX($AI$14:$AI$102,SMALL(IF($AI$14:$AI$102&lt;&gt;"",ROW($AI$14:$AI$102)-ROW(INDIRECT("$AI$14"))+1),ROW(INDIRECT("A" &amp; AB36 ) ))),"")</f>
        <v/>
      </c>
    </row>
    <row r="37" spans="2:36" ht="20.100000000000001" customHeight="1" outlineLevel="1" x14ac:dyDescent="0.45">
      <c r="B37" s="178"/>
      <c r="C37" s="208"/>
      <c r="D37" s="220"/>
      <c r="E37" s="158"/>
      <c r="F37" s="158"/>
      <c r="G37" s="158"/>
      <c r="H37" s="158"/>
      <c r="I37" s="158"/>
      <c r="J37" s="158"/>
      <c r="K37" s="692"/>
      <c r="L37" s="693"/>
      <c r="M37" s="693"/>
      <c r="N37" s="693"/>
      <c r="O37" s="693"/>
      <c r="P37" s="693"/>
      <c r="Q37" s="693"/>
      <c r="R37" s="693"/>
      <c r="S37" s="693"/>
      <c r="T37" s="694"/>
      <c r="U37" s="222"/>
      <c r="V37" s="231"/>
      <c r="W37" s="183"/>
      <c r="AB37" s="604">
        <f t="shared" si="0"/>
        <v>24</v>
      </c>
      <c r="AC37" s="612" t="str">
        <f t="shared" si="1"/>
        <v/>
      </c>
      <c r="AD37" s="612" t="str" cm="1">
        <f t="array" aca="1" ref="AD37" ca="1">IFERROR(INDEX($AC$14:$AC$102,SMALL(IF($AC$14:$AC$102&lt;&gt;"",ROW($AC$14:$AC$102)-ROW(INDIRECT("$AC$14"))+1),ROW(INDIRECT("A" &amp; AB37 ) ))),"")</f>
        <v/>
      </c>
      <c r="AE37" s="612" t="str">
        <f t="shared" si="2"/>
        <v/>
      </c>
      <c r="AF37" s="612" t="str" cm="1">
        <f t="array" aca="1" ref="AF37" ca="1">IFERROR(INDEX($AE$14:$AE$102,SMALL(IF($AE$14:$AE$102&lt;&gt;"",ROW($AE$14:$AE$102)-ROW(INDIRECT("$AE$14"))+1),ROW(INDIRECT("A" &amp; AB37 ) ))),"")</f>
        <v/>
      </c>
      <c r="AG37" s="612" t="str">
        <f t="shared" si="3"/>
        <v/>
      </c>
      <c r="AH37" s="612" t="str" cm="1">
        <f t="array" aca="1" ref="AH37" ca="1">IFERROR(INDEX($AG$14:$AG$102,SMALL(IF($AG$14:$AG$102&lt;&gt;"",ROW($AG$14:$AG$102)-ROW(INDIRECT("$AG$14"))+1),ROW(INDIRECT("A" &amp; AB37 ) ))),"")</f>
        <v/>
      </c>
      <c r="AI37" s="612" t="str">
        <f t="shared" si="4"/>
        <v/>
      </c>
      <c r="AJ37" s="612" t="str" cm="1">
        <f t="array" aca="1" ref="AJ37" ca="1">IFERROR(INDEX($AI$14:$AI$102,SMALL(IF($AI$14:$AI$102&lt;&gt;"",ROW($AI$14:$AI$102)-ROW(INDIRECT("$AI$14"))+1),ROW(INDIRECT("A" &amp; AB37 ) ))),"")</f>
        <v/>
      </c>
    </row>
    <row r="38" spans="2:36" ht="20.100000000000001" customHeight="1" outlineLevel="1" thickBot="1" x14ac:dyDescent="0.5">
      <c r="B38" s="178"/>
      <c r="C38" s="208"/>
      <c r="D38" s="228"/>
      <c r="E38" s="229"/>
      <c r="F38" s="229"/>
      <c r="G38" s="229"/>
      <c r="H38" s="226"/>
      <c r="I38" s="226"/>
      <c r="J38" s="226"/>
      <c r="K38" s="226"/>
      <c r="L38" s="230"/>
      <c r="M38" s="230"/>
      <c r="N38" s="230"/>
      <c r="O38" s="230"/>
      <c r="P38" s="230"/>
      <c r="Q38" s="226"/>
      <c r="R38" s="226"/>
      <c r="S38" s="226"/>
      <c r="T38" s="226"/>
      <c r="U38" s="227"/>
      <c r="V38" s="231"/>
      <c r="W38" s="183"/>
      <c r="AB38" s="604">
        <f t="shared" si="0"/>
        <v>25</v>
      </c>
      <c r="AC38" s="612" t="str">
        <f t="shared" si="1"/>
        <v/>
      </c>
      <c r="AD38" s="612" t="str" cm="1">
        <f t="array" aca="1" ref="AD38" ca="1">IFERROR(INDEX($AC$14:$AC$102,SMALL(IF($AC$14:$AC$102&lt;&gt;"",ROW($AC$14:$AC$102)-ROW(INDIRECT("$AC$14"))+1),ROW(INDIRECT("A" &amp; AB38 ) ))),"")</f>
        <v/>
      </c>
      <c r="AE38" s="612" t="str">
        <f t="shared" si="2"/>
        <v/>
      </c>
      <c r="AF38" s="612" t="str" cm="1">
        <f t="array" aca="1" ref="AF38" ca="1">IFERROR(INDEX($AE$14:$AE$102,SMALL(IF($AE$14:$AE$102&lt;&gt;"",ROW($AE$14:$AE$102)-ROW(INDIRECT("$AE$14"))+1),ROW(INDIRECT("A" &amp; AB38 ) ))),"")</f>
        <v/>
      </c>
      <c r="AG38" s="612" t="str">
        <f t="shared" si="3"/>
        <v/>
      </c>
      <c r="AH38" s="612" t="str" cm="1">
        <f t="array" aca="1" ref="AH38" ca="1">IFERROR(INDEX($AG$14:$AG$102,SMALL(IF($AG$14:$AG$102&lt;&gt;"",ROW($AG$14:$AG$102)-ROW(INDIRECT("$AG$14"))+1),ROW(INDIRECT("A" &amp; AB38 ) ))),"")</f>
        <v/>
      </c>
      <c r="AI38" s="612" t="str">
        <f t="shared" si="4"/>
        <v/>
      </c>
      <c r="AJ38" s="612" t="str" cm="1">
        <f t="array" aca="1" ref="AJ38" ca="1">IFERROR(INDEX($AI$14:$AI$102,SMALL(IF($AI$14:$AI$102&lt;&gt;"",ROW($AI$14:$AI$102)-ROW(INDIRECT("$AI$14"))+1),ROW(INDIRECT("A" &amp; AB38 ) ))),"")</f>
        <v/>
      </c>
    </row>
    <row r="39" spans="2:36" ht="20.100000000000001" customHeight="1" outlineLevel="1" thickTop="1" thickBot="1" x14ac:dyDescent="0.5">
      <c r="B39" s="178"/>
      <c r="C39" s="208"/>
      <c r="D39" s="158"/>
      <c r="E39" s="158"/>
      <c r="F39" s="158"/>
      <c r="G39" s="158"/>
      <c r="H39" s="158"/>
      <c r="I39" s="158"/>
      <c r="J39" s="158"/>
      <c r="K39" s="158"/>
      <c r="L39" s="151"/>
      <c r="M39" s="151"/>
      <c r="N39" s="151"/>
      <c r="O39" s="151"/>
      <c r="P39" s="151"/>
      <c r="Q39" s="192"/>
      <c r="R39" s="192"/>
      <c r="S39" s="192"/>
      <c r="T39" s="192"/>
      <c r="U39" s="192"/>
      <c r="V39" s="232"/>
      <c r="W39" s="184"/>
      <c r="X39" s="601"/>
      <c r="AB39" s="604">
        <f t="shared" si="0"/>
        <v>26</v>
      </c>
      <c r="AC39" s="612" t="str">
        <f t="shared" si="1"/>
        <v/>
      </c>
      <c r="AD39" s="612" t="str" cm="1">
        <f t="array" aca="1" ref="AD39" ca="1">IFERROR(INDEX($AC$14:$AC$102,SMALL(IF($AC$14:$AC$102&lt;&gt;"",ROW($AC$14:$AC$102)-ROW(INDIRECT("$AC$14"))+1),ROW(INDIRECT("A" &amp; AB39 ) ))),"")</f>
        <v/>
      </c>
      <c r="AE39" s="612" t="str">
        <f t="shared" si="2"/>
        <v/>
      </c>
      <c r="AF39" s="612" t="str" cm="1">
        <f t="array" aca="1" ref="AF39" ca="1">IFERROR(INDEX($AE$14:$AE$102,SMALL(IF($AE$14:$AE$102&lt;&gt;"",ROW($AE$14:$AE$102)-ROW(INDIRECT("$AE$14"))+1),ROW(INDIRECT("A" &amp; AB39 ) ))),"")</f>
        <v/>
      </c>
      <c r="AG39" s="612" t="str">
        <f t="shared" si="3"/>
        <v/>
      </c>
      <c r="AH39" s="612" t="str" cm="1">
        <f t="array" aca="1" ref="AH39" ca="1">IFERROR(INDEX($AG$14:$AG$102,SMALL(IF($AG$14:$AG$102&lt;&gt;"",ROW($AG$14:$AG$102)-ROW(INDIRECT("$AG$14"))+1),ROW(INDIRECT("A" &amp; AB39 ) ))),"")</f>
        <v/>
      </c>
      <c r="AI39" s="612" t="str">
        <f t="shared" si="4"/>
        <v/>
      </c>
      <c r="AJ39" s="612" t="str" cm="1">
        <f t="array" aca="1" ref="AJ39" ca="1">IFERROR(INDEX($AI$14:$AI$102,SMALL(IF($AI$14:$AI$102&lt;&gt;"",ROW($AI$14:$AI$102)-ROW(INDIRECT("$AI$14"))+1),ROW(INDIRECT("A" &amp; AB39 ) ))),"")</f>
        <v/>
      </c>
    </row>
    <row r="40" spans="2:36" ht="20.100000000000001" customHeight="1" outlineLevel="1" thickTop="1" thickBot="1" x14ac:dyDescent="0.5">
      <c r="B40" s="178"/>
      <c r="C40" s="208"/>
      <c r="D40" s="236" t="s">
        <v>408</v>
      </c>
      <c r="E40" s="237"/>
      <c r="F40" s="237"/>
      <c r="G40" s="237"/>
      <c r="H40" s="237"/>
      <c r="I40" s="237"/>
      <c r="J40" s="237"/>
      <c r="K40" s="237"/>
      <c r="L40" s="237"/>
      <c r="M40" s="237"/>
      <c r="N40" s="237"/>
      <c r="O40" s="237"/>
      <c r="P40" s="237"/>
      <c r="Q40" s="237"/>
      <c r="R40" s="237"/>
      <c r="S40" s="237"/>
      <c r="T40" s="237"/>
      <c r="U40" s="238"/>
      <c r="V40" s="232"/>
      <c r="W40" s="184"/>
      <c r="X40" s="601"/>
      <c r="AB40" s="604">
        <f t="shared" si="0"/>
        <v>27</v>
      </c>
      <c r="AC40" s="612" t="str">
        <f t="shared" si="1"/>
        <v/>
      </c>
      <c r="AD40" s="612" t="str" cm="1">
        <f t="array" aca="1" ref="AD40" ca="1">IFERROR(INDEX($AC$14:$AC$102,SMALL(IF($AC$14:$AC$102&lt;&gt;"",ROW($AC$14:$AC$102)-ROW(INDIRECT("$AC$14"))+1),ROW(INDIRECT("A" &amp; AB40 ) ))),"")</f>
        <v/>
      </c>
      <c r="AE40" s="612" t="str">
        <f t="shared" si="2"/>
        <v/>
      </c>
      <c r="AF40" s="612" t="str" cm="1">
        <f t="array" aca="1" ref="AF40" ca="1">IFERROR(INDEX($AE$14:$AE$102,SMALL(IF($AE$14:$AE$102&lt;&gt;"",ROW($AE$14:$AE$102)-ROW(INDIRECT("$AE$14"))+1),ROW(INDIRECT("A" &amp; AB40 ) ))),"")</f>
        <v/>
      </c>
      <c r="AG40" s="612" t="str">
        <f t="shared" si="3"/>
        <v/>
      </c>
      <c r="AH40" s="612" t="str" cm="1">
        <f t="array" aca="1" ref="AH40" ca="1">IFERROR(INDEX($AG$14:$AG$102,SMALL(IF($AG$14:$AG$102&lt;&gt;"",ROW($AG$14:$AG$102)-ROW(INDIRECT("$AG$14"))+1),ROW(INDIRECT("A" &amp; AB40 ) ))),"")</f>
        <v/>
      </c>
      <c r="AI40" s="612" t="str">
        <f t="shared" si="4"/>
        <v/>
      </c>
      <c r="AJ40" s="612" t="str" cm="1">
        <f t="array" aca="1" ref="AJ40" ca="1">IFERROR(INDEX($AI$14:$AI$102,SMALL(IF($AI$14:$AI$102&lt;&gt;"",ROW($AI$14:$AI$102)-ROW(INDIRECT("$AI$14"))+1),ROW(INDIRECT("A" &amp; AB40 ) ))),"")</f>
        <v/>
      </c>
    </row>
    <row r="41" spans="2:36" ht="20.100000000000001" customHeight="1" outlineLevel="1" thickTop="1" x14ac:dyDescent="0.45">
      <c r="B41" s="178"/>
      <c r="C41" s="208"/>
      <c r="D41" s="220"/>
      <c r="E41" s="158"/>
      <c r="F41" s="158"/>
      <c r="G41" s="158"/>
      <c r="H41" s="158"/>
      <c r="I41" s="158"/>
      <c r="J41" s="158"/>
      <c r="K41" s="158"/>
      <c r="L41" s="151"/>
      <c r="M41" s="151"/>
      <c r="N41" s="151"/>
      <c r="O41" s="151"/>
      <c r="P41" s="151"/>
      <c r="Q41" s="192"/>
      <c r="R41" s="192"/>
      <c r="S41" s="192"/>
      <c r="T41" s="192"/>
      <c r="U41" s="221"/>
      <c r="V41" s="232"/>
      <c r="W41" s="184"/>
      <c r="X41" s="601"/>
      <c r="AB41" s="604">
        <f t="shared" si="0"/>
        <v>28</v>
      </c>
      <c r="AC41" s="612" t="str">
        <f t="shared" si="1"/>
        <v/>
      </c>
      <c r="AD41" s="612" t="str" cm="1">
        <f t="array" aca="1" ref="AD41" ca="1">IFERROR(INDEX($AC$14:$AC$102,SMALL(IF($AC$14:$AC$102&lt;&gt;"",ROW($AC$14:$AC$102)-ROW(INDIRECT("$AC$14"))+1),ROW(INDIRECT("A" &amp; AB41 ) ))),"")</f>
        <v/>
      </c>
      <c r="AE41" s="612" t="str">
        <f t="shared" si="2"/>
        <v/>
      </c>
      <c r="AF41" s="612" t="str" cm="1">
        <f t="array" aca="1" ref="AF41" ca="1">IFERROR(INDEX($AE$14:$AE$102,SMALL(IF($AE$14:$AE$102&lt;&gt;"",ROW($AE$14:$AE$102)-ROW(INDIRECT("$AE$14"))+1),ROW(INDIRECT("A" &amp; AB41 ) ))),"")</f>
        <v/>
      </c>
      <c r="AG41" s="612" t="str">
        <f t="shared" si="3"/>
        <v/>
      </c>
      <c r="AH41" s="612" t="str" cm="1">
        <f t="array" aca="1" ref="AH41" ca="1">IFERROR(INDEX($AG$14:$AG$102,SMALL(IF($AG$14:$AG$102&lt;&gt;"",ROW($AG$14:$AG$102)-ROW(INDIRECT("$AG$14"))+1),ROW(INDIRECT("A" &amp; AB41 ) ))),"")</f>
        <v/>
      </c>
      <c r="AI41" s="612" t="str">
        <f t="shared" si="4"/>
        <v/>
      </c>
      <c r="AJ41" s="612" t="str" cm="1">
        <f t="array" aca="1" ref="AJ41" ca="1">IFERROR(INDEX($AI$14:$AI$102,SMALL(IF($AI$14:$AI$102&lt;&gt;"",ROW($AI$14:$AI$102)-ROW(INDIRECT("$AI$14"))+1),ROW(INDIRECT("A" &amp; AB41 ) ))),"")</f>
        <v/>
      </c>
    </row>
    <row r="42" spans="2:36" ht="30" customHeight="1" outlineLevel="1" x14ac:dyDescent="0.45">
      <c r="B42" s="178"/>
      <c r="C42" s="208"/>
      <c r="D42" s="220"/>
      <c r="E42" s="191" t="s">
        <v>174</v>
      </c>
      <c r="F42" s="667" t="s">
        <v>348</v>
      </c>
      <c r="G42" s="667"/>
      <c r="H42" s="217"/>
      <c r="I42" s="217"/>
      <c r="J42" s="158"/>
      <c r="K42" s="158"/>
      <c r="L42" s="151"/>
      <c r="M42" s="151"/>
      <c r="N42" s="151"/>
      <c r="O42" s="151"/>
      <c r="P42" s="151"/>
      <c r="Q42" s="158"/>
      <c r="R42" s="158"/>
      <c r="S42" s="158"/>
      <c r="T42" s="158"/>
      <c r="U42" s="222"/>
      <c r="V42" s="210"/>
      <c r="W42" s="182"/>
      <c r="AB42" s="604">
        <f t="shared" si="0"/>
        <v>29</v>
      </c>
      <c r="AC42" s="612" t="str">
        <f t="shared" si="1"/>
        <v/>
      </c>
      <c r="AD42" s="612" t="str" cm="1">
        <f t="array" aca="1" ref="AD42" ca="1">IFERROR(INDEX($AC$14:$AC$102,SMALL(IF($AC$14:$AC$102&lt;&gt;"",ROW($AC$14:$AC$102)-ROW(INDIRECT("$AC$14"))+1),ROW(INDIRECT("A" &amp; AB42 ) ))),"")</f>
        <v/>
      </c>
      <c r="AE42" s="612" t="str">
        <f t="shared" si="2"/>
        <v/>
      </c>
      <c r="AF42" s="612" t="str" cm="1">
        <f t="array" aca="1" ref="AF42" ca="1">IFERROR(INDEX($AE$14:$AE$102,SMALL(IF($AE$14:$AE$102&lt;&gt;"",ROW($AE$14:$AE$102)-ROW(INDIRECT("$AE$14"))+1),ROW(INDIRECT("A" &amp; AB42 ) ))),"")</f>
        <v/>
      </c>
      <c r="AG42" s="612" t="str">
        <f t="shared" si="3"/>
        <v/>
      </c>
      <c r="AH42" s="612" t="str" cm="1">
        <f t="array" aca="1" ref="AH42" ca="1">IFERROR(INDEX($AG$14:$AG$102,SMALL(IF($AG$14:$AG$102&lt;&gt;"",ROW($AG$14:$AG$102)-ROW(INDIRECT("$AG$14"))+1),ROW(INDIRECT("A" &amp; AB42 ) ))),"")</f>
        <v/>
      </c>
      <c r="AI42" s="612" t="str">
        <f t="shared" si="4"/>
        <v/>
      </c>
      <c r="AJ42" s="612" t="str" cm="1">
        <f t="array" aca="1" ref="AJ42" ca="1">IFERROR(INDEX($AI$14:$AI$102,SMALL(IF($AI$14:$AI$102&lt;&gt;"",ROW($AI$14:$AI$102)-ROW(INDIRECT("$AI$14"))+1),ROW(INDIRECT("A" &amp; AB42 ) ))),"")</f>
        <v/>
      </c>
    </row>
    <row r="43" spans="2:36" ht="20.100000000000001" customHeight="1" outlineLevel="1" x14ac:dyDescent="0.45">
      <c r="B43" s="178"/>
      <c r="C43" s="208"/>
      <c r="D43" s="165"/>
      <c r="E43" s="299"/>
      <c r="F43" s="299"/>
      <c r="G43" s="299"/>
      <c r="H43" s="299"/>
      <c r="I43" s="299"/>
      <c r="J43" s="158"/>
      <c r="K43" s="158"/>
      <c r="L43" s="151"/>
      <c r="M43" s="151"/>
      <c r="N43" s="151"/>
      <c r="O43" s="151"/>
      <c r="P43" s="151"/>
      <c r="Q43" s="158"/>
      <c r="R43" s="158"/>
      <c r="S43" s="158"/>
      <c r="T43" s="158"/>
      <c r="U43" s="222"/>
      <c r="V43" s="210"/>
      <c r="W43" s="182"/>
      <c r="AB43" s="604">
        <f t="shared" si="0"/>
        <v>30</v>
      </c>
      <c r="AC43" s="612" t="str">
        <f t="shared" si="1"/>
        <v/>
      </c>
      <c r="AD43" s="612" t="str" cm="1">
        <f t="array" aca="1" ref="AD43" ca="1">IFERROR(INDEX($AC$14:$AC$102,SMALL(IF($AC$14:$AC$102&lt;&gt;"",ROW($AC$14:$AC$102)-ROW(INDIRECT("$AC$14"))+1),ROW(INDIRECT("A" &amp; AB43 ) ))),"")</f>
        <v/>
      </c>
      <c r="AE43" s="612" t="str">
        <f t="shared" si="2"/>
        <v/>
      </c>
      <c r="AF43" s="612" t="str" cm="1">
        <f t="array" aca="1" ref="AF43" ca="1">IFERROR(INDEX($AE$14:$AE$102,SMALL(IF($AE$14:$AE$102&lt;&gt;"",ROW($AE$14:$AE$102)-ROW(INDIRECT("$AE$14"))+1),ROW(INDIRECT("A" &amp; AB43 ) ))),"")</f>
        <v/>
      </c>
      <c r="AG43" s="612" t="str">
        <f t="shared" si="3"/>
        <v/>
      </c>
      <c r="AH43" s="612" t="str" cm="1">
        <f t="array" aca="1" ref="AH43" ca="1">IFERROR(INDEX($AG$14:$AG$102,SMALL(IF($AG$14:$AG$102&lt;&gt;"",ROW($AG$14:$AG$102)-ROW(INDIRECT("$AG$14"))+1),ROW(INDIRECT("A" &amp; AB43 ) ))),"")</f>
        <v/>
      </c>
      <c r="AI43" s="612" t="str">
        <f t="shared" si="4"/>
        <v/>
      </c>
      <c r="AJ43" s="612" t="str" cm="1">
        <f t="array" aca="1" ref="AJ43" ca="1">IFERROR(INDEX($AI$14:$AI$102,SMALL(IF($AI$14:$AI$102&lt;&gt;"",ROW($AI$14:$AI$102)-ROW(INDIRECT("$AI$14"))+1),ROW(INDIRECT("A" &amp; AB43 ) ))),"")</f>
        <v/>
      </c>
    </row>
    <row r="44" spans="2:36" ht="20.100000000000001" customHeight="1" outlineLevel="1" x14ac:dyDescent="0.5">
      <c r="B44" s="178"/>
      <c r="C44" s="208"/>
      <c r="D44" s="165"/>
      <c r="E44" s="681" t="s">
        <v>341</v>
      </c>
      <c r="F44" s="682"/>
      <c r="G44" s="683"/>
      <c r="H44" s="158"/>
      <c r="I44" s="158"/>
      <c r="J44" s="158"/>
      <c r="K44" s="670" t="s">
        <v>349</v>
      </c>
      <c r="L44" s="670"/>
      <c r="M44" s="670"/>
      <c r="N44" s="670"/>
      <c r="O44" s="670"/>
      <c r="P44" s="670"/>
      <c r="Q44" s="670"/>
      <c r="R44" s="670"/>
      <c r="S44" s="670"/>
      <c r="T44" s="670"/>
      <c r="U44" s="222"/>
      <c r="V44" s="210"/>
      <c r="W44" s="182"/>
      <c r="AB44" s="604">
        <f t="shared" ref="AB44:AB69" si="5">ROW(A44)- $AD$2 +1</f>
        <v>31</v>
      </c>
      <c r="AC44" s="612" t="str">
        <f t="shared" ref="AC44:AC78" si="6">IF(AND(OR($E44="Contrôlé",$E44="Non contrôlé"),$M44="Préleveur"),$F44,"")</f>
        <v/>
      </c>
      <c r="AD44" s="612" t="str" cm="1">
        <f t="array" aca="1" ref="AD44" ca="1">IFERROR(INDEX($AC$14:$AC$99,SMALL(IF($AC$14:$AC$99&lt;&gt;"",ROW($AC$14:$AC$99)-ROW(INDIRECT("$AC$13"))+1),ROW(INDIRECT("A" &amp; AB44 ) ))),"")</f>
        <v/>
      </c>
      <c r="AE44" s="612" t="str">
        <f t="shared" ref="AE44:AE78" si="7">IF(AND(OR($E44="Contrôlé",$E44="Non contrôlé"),LEFT($M44,10) ="Débitmètre"),$F44,"")</f>
        <v/>
      </c>
      <c r="AF44" s="612" t="str" cm="1">
        <f t="array" aca="1" ref="AF44" ca="1">IFERROR(INDEX($AE$14:$AE$99,SMALL(IF($AE$14:$AE$99&lt;&gt;"",ROW($AE$14:$AE$99)-ROW(INDIRECT("$AE$13"))+1),ROW(INDIRECT("A" &amp; AB44 ) ))),"")</f>
        <v/>
      </c>
      <c r="AG44" s="612" t="str">
        <f t="shared" ref="AG44:AG78" si="8">IF(AND(OR($E44="Contrôlé",$E44="Non contrôlé"),LEFT($M44,5) ="Sonde"),$F44,"")</f>
        <v/>
      </c>
      <c r="AH44" s="612" t="str" cm="1">
        <f t="array" aca="1" ref="AH44" ca="1">IFERROR(INDEX($AG$14:$AG$99,SMALL(IF($AG$14:$AG$99&lt;&gt;"",ROW($AG$14:$AG$99)-ROW(INDIRECT("$AG$13"))+1),ROW(INDIRECT("A" &amp; AB44 ) ))),"")</f>
        <v/>
      </c>
      <c r="AI44" s="612" t="str">
        <f t="shared" ref="AI44:AI78" si="9">IF(AND(OR($E44="Contrôlé",$E44="Non contrôlé"), $F44 &lt;&gt; "", $M44 = ""),$F44,"")</f>
        <v/>
      </c>
      <c r="AJ44" s="612" t="str" cm="1">
        <f t="array" aca="1" ref="AJ44" ca="1">IFERROR(INDEX($AI$14:$AI$99,SMALL(IF($AI$14:$AI$99&lt;&gt;"",ROW($AI$14:$AI$99)-ROW(INDIRECT("$AI$13"))+1),ROW(INDIRECT("A" &amp; AB44 ) ))),"")</f>
        <v/>
      </c>
    </row>
    <row r="45" spans="2:36" ht="39.950000000000003" customHeight="1" outlineLevel="1" x14ac:dyDescent="0.45">
      <c r="B45" s="178"/>
      <c r="C45" s="208"/>
      <c r="D45" s="223"/>
      <c r="E45" s="158"/>
      <c r="F45" s="158"/>
      <c r="G45" s="158"/>
      <c r="H45" s="158"/>
      <c r="I45" s="158"/>
      <c r="J45" s="158"/>
      <c r="K45" s="673"/>
      <c r="L45" s="674"/>
      <c r="M45" s="674"/>
      <c r="N45" s="674"/>
      <c r="O45" s="674"/>
      <c r="P45" s="674"/>
      <c r="Q45" s="674"/>
      <c r="R45" s="674"/>
      <c r="S45" s="674"/>
      <c r="T45" s="675"/>
      <c r="U45" s="222"/>
      <c r="V45" s="210"/>
      <c r="W45" s="182"/>
      <c r="AB45" s="604">
        <f t="shared" si="5"/>
        <v>32</v>
      </c>
      <c r="AC45" s="612" t="str">
        <f t="shared" si="6"/>
        <v/>
      </c>
      <c r="AD45" s="612" t="str" cm="1">
        <f t="array" aca="1" ref="AD45" ca="1">IFERROR(INDEX($AC$14:$AC$99,SMALL(IF($AC$14:$AC$99&lt;&gt;"",ROW($AC$14:$AC$99)-ROW(INDIRECT("$AC$13"))+1),ROW(INDIRECT("A" &amp; AB45 ) ))),"")</f>
        <v/>
      </c>
      <c r="AE45" s="612" t="str">
        <f t="shared" si="7"/>
        <v/>
      </c>
      <c r="AF45" s="612" t="str" cm="1">
        <f t="array" aca="1" ref="AF45" ca="1">IFERROR(INDEX($AE$14:$AE$99,SMALL(IF($AE$14:$AE$99&lt;&gt;"",ROW($AE$14:$AE$99)-ROW(INDIRECT("$AE$13"))+1),ROW(INDIRECT("A" &amp; AB45 ) ))),"")</f>
        <v/>
      </c>
      <c r="AG45" s="612" t="str">
        <f t="shared" si="8"/>
        <v/>
      </c>
      <c r="AH45" s="612" t="str" cm="1">
        <f t="array" aca="1" ref="AH45" ca="1">IFERROR(INDEX($AG$14:$AG$99,SMALL(IF($AG$14:$AG$99&lt;&gt;"",ROW($AG$14:$AG$99)-ROW(INDIRECT("$AG$13"))+1),ROW(INDIRECT("A" &amp; AB45 ) ))),"")</f>
        <v/>
      </c>
      <c r="AI45" s="612" t="str">
        <f t="shared" si="9"/>
        <v/>
      </c>
      <c r="AJ45" s="612" t="str" cm="1">
        <f t="array" aca="1" ref="AJ45" ca="1">IFERROR(INDEX($AI$14:$AI$99,SMALL(IF($AI$14:$AI$99&lt;&gt;"",ROW($AI$14:$AI$99)-ROW(INDIRECT("$AI$13"))+1),ROW(INDIRECT("A" &amp; AB45 ) ))),"")</f>
        <v/>
      </c>
    </row>
    <row r="46" spans="2:36" ht="20.100000000000001" customHeight="1" outlineLevel="1" thickBot="1" x14ac:dyDescent="0.5">
      <c r="B46" s="178"/>
      <c r="C46" s="208"/>
      <c r="D46" s="224"/>
      <c r="E46" s="225"/>
      <c r="F46" s="225"/>
      <c r="G46" s="225"/>
      <c r="H46" s="225"/>
      <c r="I46" s="226"/>
      <c r="J46" s="226"/>
      <c r="K46" s="226"/>
      <c r="L46" s="226"/>
      <c r="M46" s="226"/>
      <c r="N46" s="226"/>
      <c r="O46" s="226"/>
      <c r="P46" s="226"/>
      <c r="Q46" s="226"/>
      <c r="R46" s="226"/>
      <c r="S46" s="226"/>
      <c r="T46" s="226"/>
      <c r="U46" s="227"/>
      <c r="V46" s="210"/>
      <c r="W46" s="182"/>
      <c r="AB46" s="604">
        <f t="shared" si="5"/>
        <v>33</v>
      </c>
      <c r="AC46" s="612" t="str">
        <f t="shared" si="6"/>
        <v/>
      </c>
      <c r="AD46" s="612" t="str" cm="1">
        <f t="array" aca="1" ref="AD46" ca="1">IFERROR(INDEX($AC$14:$AC$99,SMALL(IF($AC$14:$AC$99&lt;&gt;"",ROW($AC$14:$AC$99)-ROW(INDIRECT("$AC$13"))+1),ROW(INDIRECT("A" &amp; AB46 ) ))),"")</f>
        <v/>
      </c>
      <c r="AE46" s="612" t="str">
        <f t="shared" si="7"/>
        <v/>
      </c>
      <c r="AF46" s="612" t="str" cm="1">
        <f t="array" aca="1" ref="AF46" ca="1">IFERROR(INDEX($AE$14:$AE$99,SMALL(IF($AE$14:$AE$99&lt;&gt;"",ROW($AE$14:$AE$99)-ROW(INDIRECT("$AE$13"))+1),ROW(INDIRECT("A" &amp; AB46 ) ))),"")</f>
        <v/>
      </c>
      <c r="AG46" s="612" t="str">
        <f t="shared" si="8"/>
        <v/>
      </c>
      <c r="AH46" s="612" t="str" cm="1">
        <f t="array" aca="1" ref="AH46" ca="1">IFERROR(INDEX($AG$14:$AG$99,SMALL(IF($AG$14:$AG$99&lt;&gt;"",ROW($AG$14:$AG$99)-ROW(INDIRECT("$AG$13"))+1),ROW(INDIRECT("A" &amp; AB46 ) ))),"")</f>
        <v/>
      </c>
      <c r="AI46" s="612" t="str">
        <f t="shared" si="9"/>
        <v/>
      </c>
      <c r="AJ46" s="612" t="str" cm="1">
        <f t="array" aca="1" ref="AJ46" ca="1">IFERROR(INDEX($AI$14:$AI$99,SMALL(IF($AI$14:$AI$99&lt;&gt;"",ROW($AI$14:$AI$99)-ROW(INDIRECT("$AI$13"))+1),ROW(INDIRECT("A" &amp; AB46 ) ))),"")</f>
        <v/>
      </c>
    </row>
    <row r="47" spans="2:36" ht="20.100000000000001" customHeight="1" outlineLevel="1" thickTop="1" thickBot="1" x14ac:dyDescent="0.5">
      <c r="B47" s="178"/>
      <c r="C47" s="211"/>
      <c r="D47" s="233"/>
      <c r="E47" s="234"/>
      <c r="F47" s="234"/>
      <c r="G47" s="234"/>
      <c r="H47" s="234"/>
      <c r="I47" s="233"/>
      <c r="J47" s="233"/>
      <c r="K47" s="233"/>
      <c r="L47" s="233"/>
      <c r="M47" s="233"/>
      <c r="N47" s="233"/>
      <c r="O47" s="233"/>
      <c r="P47" s="233"/>
      <c r="Q47" s="233"/>
      <c r="R47" s="233"/>
      <c r="S47" s="233"/>
      <c r="T47" s="233"/>
      <c r="U47" s="233"/>
      <c r="V47" s="214"/>
      <c r="W47" s="182"/>
      <c r="AB47" s="604">
        <f t="shared" si="5"/>
        <v>34</v>
      </c>
      <c r="AC47" s="612" t="str">
        <f t="shared" si="6"/>
        <v/>
      </c>
      <c r="AD47" s="612" t="str" cm="1">
        <f t="array" aca="1" ref="AD47" ca="1">IFERROR(INDEX($AC$14:$AC$99,SMALL(IF($AC$14:$AC$99&lt;&gt;"",ROW($AC$14:$AC$99)-ROW(INDIRECT("$AC$13"))+1),ROW(INDIRECT("A" &amp; AB47 ) ))),"")</f>
        <v/>
      </c>
      <c r="AE47" s="612" t="str">
        <f t="shared" si="7"/>
        <v/>
      </c>
      <c r="AF47" s="612" t="str" cm="1">
        <f t="array" aca="1" ref="AF47" ca="1">IFERROR(INDEX($AE$14:$AE$99,SMALL(IF($AE$14:$AE$99&lt;&gt;"",ROW($AE$14:$AE$99)-ROW(INDIRECT("$AE$13"))+1),ROW(INDIRECT("A" &amp; AB47 ) ))),"")</f>
        <v/>
      </c>
      <c r="AG47" s="612" t="str">
        <f t="shared" si="8"/>
        <v/>
      </c>
      <c r="AH47" s="612" t="str" cm="1">
        <f t="array" aca="1" ref="AH47" ca="1">IFERROR(INDEX($AG$14:$AG$99,SMALL(IF($AG$14:$AG$99&lt;&gt;"",ROW($AG$14:$AG$99)-ROW(INDIRECT("$AG$13"))+1),ROW(INDIRECT("A" &amp; AB47 ) ))),"")</f>
        <v/>
      </c>
      <c r="AI47" s="612" t="str">
        <f t="shared" si="9"/>
        <v/>
      </c>
      <c r="AJ47" s="612" t="str" cm="1">
        <f t="array" aca="1" ref="AJ47" ca="1">IFERROR(INDEX($AI$14:$AI$99,SMALL(IF($AI$14:$AI$99&lt;&gt;"",ROW($AI$14:$AI$99)-ROW(INDIRECT("$AI$13"))+1),ROW(INDIRECT("A" &amp; AB47 ) ))),"")</f>
        <v/>
      </c>
    </row>
    <row r="48" spans="2:36" ht="20.100000000000001" customHeight="1" thickTop="1" x14ac:dyDescent="0.45">
      <c r="B48" s="185"/>
      <c r="C48" s="186"/>
      <c r="D48" s="187"/>
      <c r="E48" s="188"/>
      <c r="F48" s="187"/>
      <c r="G48" s="187"/>
      <c r="H48" s="187"/>
      <c r="I48" s="187"/>
      <c r="J48" s="187"/>
      <c r="K48" s="187"/>
      <c r="L48" s="187"/>
      <c r="M48" s="189"/>
      <c r="N48" s="186"/>
      <c r="O48" s="186"/>
      <c r="P48" s="186"/>
      <c r="Q48" s="186"/>
      <c r="R48" s="186"/>
      <c r="S48" s="186"/>
      <c r="T48" s="186"/>
      <c r="U48" s="186"/>
      <c r="V48" s="186"/>
      <c r="W48" s="190"/>
      <c r="AB48" s="604">
        <f t="shared" si="5"/>
        <v>35</v>
      </c>
      <c r="AC48" s="612" t="str">
        <f t="shared" si="6"/>
        <v/>
      </c>
      <c r="AD48" s="612" t="str" cm="1">
        <f t="array" aca="1" ref="AD48" ca="1">IFERROR(INDEX($AC$14:$AC$99,SMALL(IF($AC$14:$AC$99&lt;&gt;"",ROW($AC$14:$AC$99)-ROW(INDIRECT("$AC$13"))+1),ROW(INDIRECT("A" &amp; AB48 ) ))),"")</f>
        <v/>
      </c>
      <c r="AE48" s="612" t="str">
        <f t="shared" si="7"/>
        <v/>
      </c>
      <c r="AF48" s="612" t="str" cm="1">
        <f t="array" aca="1" ref="AF48" ca="1">IFERROR(INDEX($AE$14:$AE$99,SMALL(IF($AE$14:$AE$99&lt;&gt;"",ROW($AE$14:$AE$99)-ROW(INDIRECT("$AE$13"))+1),ROW(INDIRECT("A" &amp; AB48 ) ))),"")</f>
        <v/>
      </c>
      <c r="AG48" s="612" t="str">
        <f t="shared" si="8"/>
        <v/>
      </c>
      <c r="AH48" s="612" t="str" cm="1">
        <f t="array" aca="1" ref="AH48" ca="1">IFERROR(INDEX($AG$14:$AG$99,SMALL(IF($AG$14:$AG$99&lt;&gt;"",ROW($AG$14:$AG$99)-ROW(INDIRECT("$AG$13"))+1),ROW(INDIRECT("A" &amp; AB48 ) ))),"")</f>
        <v/>
      </c>
      <c r="AI48" s="612" t="str">
        <f t="shared" si="9"/>
        <v/>
      </c>
      <c r="AJ48" s="612" t="str" cm="1">
        <f t="array" aca="1" ref="AJ48" ca="1">IFERROR(INDEX($AI$14:$AI$99,SMALL(IF($AI$14:$AI$99&lt;&gt;"",ROW($AI$14:$AI$99)-ROW(INDIRECT("$AI$13"))+1),ROW(INDIRECT("A" &amp; AB48 ) ))),"")</f>
        <v/>
      </c>
    </row>
    <row r="49" spans="28:36" ht="20.100000000000001" customHeight="1" x14ac:dyDescent="0.45">
      <c r="AB49" s="604">
        <f t="shared" si="5"/>
        <v>36</v>
      </c>
      <c r="AC49" s="612" t="str">
        <f t="shared" si="6"/>
        <v/>
      </c>
      <c r="AD49" s="612" t="str" cm="1">
        <f t="array" aca="1" ref="AD49" ca="1">IFERROR(INDEX($AC$14:$AC$99,SMALL(IF($AC$14:$AC$99&lt;&gt;"",ROW($AC$14:$AC$99)-ROW(INDIRECT("$AC$13"))+1),ROW(INDIRECT("A" &amp; AB49 ) ))),"")</f>
        <v/>
      </c>
      <c r="AE49" s="612" t="str">
        <f t="shared" si="7"/>
        <v/>
      </c>
      <c r="AF49" s="612" t="str" cm="1">
        <f t="array" aca="1" ref="AF49" ca="1">IFERROR(INDEX($AE$14:$AE$99,SMALL(IF($AE$14:$AE$99&lt;&gt;"",ROW($AE$14:$AE$99)-ROW(INDIRECT("$AE$13"))+1),ROW(INDIRECT("A" &amp; AB49 ) ))),"")</f>
        <v/>
      </c>
      <c r="AG49" s="612" t="str">
        <f t="shared" si="8"/>
        <v/>
      </c>
      <c r="AH49" s="612" t="str" cm="1">
        <f t="array" aca="1" ref="AH49" ca="1">IFERROR(INDEX($AG$14:$AG$99,SMALL(IF($AG$14:$AG$99&lt;&gt;"",ROW($AG$14:$AG$99)-ROW(INDIRECT("$AG$13"))+1),ROW(INDIRECT("A" &amp; AB49 ) ))),"")</f>
        <v/>
      </c>
      <c r="AI49" s="612" t="str">
        <f t="shared" si="9"/>
        <v/>
      </c>
      <c r="AJ49" s="612" t="str" cm="1">
        <f t="array" aca="1" ref="AJ49" ca="1">IFERROR(INDEX($AI$14:$AI$99,SMALL(IF($AI$14:$AI$99&lt;&gt;"",ROW($AI$14:$AI$99)-ROW(INDIRECT("$AI$13"))+1),ROW(INDIRECT("A" &amp; AB49 ) ))),"")</f>
        <v/>
      </c>
    </row>
    <row r="50" spans="28:36" ht="20.100000000000001" customHeight="1" x14ac:dyDescent="0.45">
      <c r="AB50" s="604">
        <f t="shared" si="5"/>
        <v>37</v>
      </c>
      <c r="AC50" s="612" t="str">
        <f t="shared" si="6"/>
        <v/>
      </c>
      <c r="AD50" s="612" t="str" cm="1">
        <f t="array" aca="1" ref="AD50" ca="1">IFERROR(INDEX($AC$14:$AC$99,SMALL(IF($AC$14:$AC$99&lt;&gt;"",ROW($AC$14:$AC$99)-ROW(INDIRECT("$AC$13"))+1),ROW(INDIRECT("A" &amp; AB50 ) ))),"")</f>
        <v/>
      </c>
      <c r="AE50" s="612" t="str">
        <f t="shared" si="7"/>
        <v/>
      </c>
      <c r="AF50" s="612" t="str" cm="1">
        <f t="array" aca="1" ref="AF50" ca="1">IFERROR(INDEX($AE$14:$AE$99,SMALL(IF($AE$14:$AE$99&lt;&gt;"",ROW($AE$14:$AE$99)-ROW(INDIRECT("$AE$13"))+1),ROW(INDIRECT("A" &amp; AB50 ) ))),"")</f>
        <v/>
      </c>
      <c r="AG50" s="612" t="str">
        <f t="shared" si="8"/>
        <v/>
      </c>
      <c r="AH50" s="612" t="str" cm="1">
        <f t="array" aca="1" ref="AH50" ca="1">IFERROR(INDEX($AG$14:$AG$99,SMALL(IF($AG$14:$AG$99&lt;&gt;"",ROW($AG$14:$AG$99)-ROW(INDIRECT("$AG$13"))+1),ROW(INDIRECT("A" &amp; AB50 ) ))),"")</f>
        <v/>
      </c>
      <c r="AI50" s="612" t="str">
        <f t="shared" si="9"/>
        <v/>
      </c>
      <c r="AJ50" s="612" t="str" cm="1">
        <f t="array" aca="1" ref="AJ50" ca="1">IFERROR(INDEX($AI$14:$AI$99,SMALL(IF($AI$14:$AI$99&lt;&gt;"",ROW($AI$14:$AI$99)-ROW(INDIRECT("$AI$13"))+1),ROW(INDIRECT("A" &amp; AB50 ) ))),"")</f>
        <v/>
      </c>
    </row>
    <row r="51" spans="28:36" ht="20.100000000000001" customHeight="1" x14ac:dyDescent="0.45">
      <c r="AB51" s="604">
        <f t="shared" si="5"/>
        <v>38</v>
      </c>
      <c r="AC51" s="612" t="str">
        <f t="shared" si="6"/>
        <v/>
      </c>
      <c r="AD51" s="612" t="str" cm="1">
        <f t="array" aca="1" ref="AD51" ca="1">IFERROR(INDEX($AC$14:$AC$99,SMALL(IF($AC$14:$AC$99&lt;&gt;"",ROW($AC$14:$AC$99)-ROW(INDIRECT("$AC$13"))+1),ROW(INDIRECT("A" &amp; AB51 ) ))),"")</f>
        <v/>
      </c>
      <c r="AE51" s="612" t="str">
        <f t="shared" si="7"/>
        <v/>
      </c>
      <c r="AF51" s="612" t="str" cm="1">
        <f t="array" aca="1" ref="AF51" ca="1">IFERROR(INDEX($AE$14:$AE$99,SMALL(IF($AE$14:$AE$99&lt;&gt;"",ROW($AE$14:$AE$99)-ROW(INDIRECT("$AE$13"))+1),ROW(INDIRECT("A" &amp; AB51 ) ))),"")</f>
        <v/>
      </c>
      <c r="AG51" s="612" t="str">
        <f t="shared" si="8"/>
        <v/>
      </c>
      <c r="AH51" s="612" t="str" cm="1">
        <f t="array" aca="1" ref="AH51" ca="1">IFERROR(INDEX($AG$14:$AG$99,SMALL(IF($AG$14:$AG$99&lt;&gt;"",ROW($AG$14:$AG$99)-ROW(INDIRECT("$AG$13"))+1),ROW(INDIRECT("A" &amp; AB51 ) ))),"")</f>
        <v/>
      </c>
      <c r="AI51" s="612" t="str">
        <f t="shared" si="9"/>
        <v/>
      </c>
      <c r="AJ51" s="612" t="str" cm="1">
        <f t="array" aca="1" ref="AJ51" ca="1">IFERROR(INDEX($AI$14:$AI$99,SMALL(IF($AI$14:$AI$99&lt;&gt;"",ROW($AI$14:$AI$99)-ROW(INDIRECT("$AI$13"))+1),ROW(INDIRECT("A" &amp; AB51 ) ))),"")</f>
        <v/>
      </c>
    </row>
    <row r="52" spans="28:36" ht="20.100000000000001" customHeight="1" x14ac:dyDescent="0.45">
      <c r="AB52" s="604">
        <f t="shared" si="5"/>
        <v>39</v>
      </c>
      <c r="AC52" s="612" t="str">
        <f t="shared" si="6"/>
        <v/>
      </c>
      <c r="AD52" s="612" t="str" cm="1">
        <f t="array" aca="1" ref="AD52" ca="1">IFERROR(INDEX($AC$14:$AC$99,SMALL(IF($AC$14:$AC$99&lt;&gt;"",ROW($AC$14:$AC$99)-ROW(INDIRECT("$AC$13"))+1),ROW(INDIRECT("A" &amp; AB52 ) ))),"")</f>
        <v/>
      </c>
      <c r="AE52" s="612" t="str">
        <f t="shared" si="7"/>
        <v/>
      </c>
      <c r="AF52" s="612" t="str" cm="1">
        <f t="array" aca="1" ref="AF52" ca="1">IFERROR(INDEX($AE$14:$AE$99,SMALL(IF($AE$14:$AE$99&lt;&gt;"",ROW($AE$14:$AE$99)-ROW(INDIRECT("$AE$13"))+1),ROW(INDIRECT("A" &amp; AB52 ) ))),"")</f>
        <v/>
      </c>
      <c r="AG52" s="612" t="str">
        <f t="shared" si="8"/>
        <v/>
      </c>
      <c r="AH52" s="612" t="str" cm="1">
        <f t="array" aca="1" ref="AH52" ca="1">IFERROR(INDEX($AG$14:$AG$99,SMALL(IF($AG$14:$AG$99&lt;&gt;"",ROW($AG$14:$AG$99)-ROW(INDIRECT("$AG$13"))+1),ROW(INDIRECT("A" &amp; AB52 ) ))),"")</f>
        <v/>
      </c>
      <c r="AI52" s="612" t="str">
        <f t="shared" si="9"/>
        <v/>
      </c>
      <c r="AJ52" s="612" t="str" cm="1">
        <f t="array" aca="1" ref="AJ52" ca="1">IFERROR(INDEX($AI$14:$AI$99,SMALL(IF($AI$14:$AI$99&lt;&gt;"",ROW($AI$14:$AI$99)-ROW(INDIRECT("$AI$13"))+1),ROW(INDIRECT("A" &amp; AB52 ) ))),"")</f>
        <v/>
      </c>
    </row>
    <row r="53" spans="28:36" ht="20.100000000000001" customHeight="1" x14ac:dyDescent="0.45">
      <c r="AB53" s="604">
        <f t="shared" si="5"/>
        <v>40</v>
      </c>
      <c r="AC53" s="612" t="str">
        <f t="shared" si="6"/>
        <v/>
      </c>
      <c r="AD53" s="612" t="str" cm="1">
        <f t="array" aca="1" ref="AD53" ca="1">IFERROR(INDEX($AC$14:$AC$99,SMALL(IF($AC$14:$AC$99&lt;&gt;"",ROW($AC$14:$AC$99)-ROW(INDIRECT("$AC$13"))+1),ROW(INDIRECT("A" &amp; AB53 ) ))),"")</f>
        <v/>
      </c>
      <c r="AE53" s="612" t="str">
        <f t="shared" si="7"/>
        <v/>
      </c>
      <c r="AF53" s="612" t="str" cm="1">
        <f t="array" aca="1" ref="AF53" ca="1">IFERROR(INDEX($AE$14:$AE$99,SMALL(IF($AE$14:$AE$99&lt;&gt;"",ROW($AE$14:$AE$99)-ROW(INDIRECT("$AE$13"))+1),ROW(INDIRECT("A" &amp; AB53 ) ))),"")</f>
        <v/>
      </c>
      <c r="AG53" s="612" t="str">
        <f t="shared" si="8"/>
        <v/>
      </c>
      <c r="AH53" s="612" t="str" cm="1">
        <f t="array" aca="1" ref="AH53" ca="1">IFERROR(INDEX($AG$14:$AG$99,SMALL(IF($AG$14:$AG$99&lt;&gt;"",ROW($AG$14:$AG$99)-ROW(INDIRECT("$AG$13"))+1),ROW(INDIRECT("A" &amp; AB53 ) ))),"")</f>
        <v/>
      </c>
      <c r="AI53" s="612" t="str">
        <f t="shared" si="9"/>
        <v/>
      </c>
      <c r="AJ53" s="612" t="str" cm="1">
        <f t="array" aca="1" ref="AJ53" ca="1">IFERROR(INDEX($AI$14:$AI$99,SMALL(IF($AI$14:$AI$99&lt;&gt;"",ROW($AI$14:$AI$99)-ROW(INDIRECT("$AI$13"))+1),ROW(INDIRECT("A" &amp; AB53 ) ))),"")</f>
        <v/>
      </c>
    </row>
    <row r="54" spans="28:36" ht="20.100000000000001" customHeight="1" x14ac:dyDescent="0.45">
      <c r="AB54" s="604">
        <f t="shared" si="5"/>
        <v>41</v>
      </c>
      <c r="AC54" s="612" t="str">
        <f t="shared" si="6"/>
        <v/>
      </c>
      <c r="AD54" s="612" t="str" cm="1">
        <f t="array" aca="1" ref="AD54" ca="1">IFERROR(INDEX($AC$14:$AC$99,SMALL(IF($AC$14:$AC$99&lt;&gt;"",ROW($AC$14:$AC$99)-ROW(INDIRECT("$AC$13"))+1),ROW(INDIRECT("A" &amp; AB54 ) ))),"")</f>
        <v/>
      </c>
      <c r="AE54" s="612" t="str">
        <f t="shared" si="7"/>
        <v/>
      </c>
      <c r="AF54" s="612" t="str" cm="1">
        <f t="array" aca="1" ref="AF54" ca="1">IFERROR(INDEX($AE$14:$AE$99,SMALL(IF($AE$14:$AE$99&lt;&gt;"",ROW($AE$14:$AE$99)-ROW(INDIRECT("$AE$13"))+1),ROW(INDIRECT("A" &amp; AB54 ) ))),"")</f>
        <v/>
      </c>
      <c r="AG54" s="612" t="str">
        <f t="shared" si="8"/>
        <v/>
      </c>
      <c r="AH54" s="612" t="str" cm="1">
        <f t="array" aca="1" ref="AH54" ca="1">IFERROR(INDEX($AG$14:$AG$99,SMALL(IF($AG$14:$AG$99&lt;&gt;"",ROW($AG$14:$AG$99)-ROW(INDIRECT("$AG$13"))+1),ROW(INDIRECT("A" &amp; AB54 ) ))),"")</f>
        <v/>
      </c>
      <c r="AI54" s="612" t="str">
        <f t="shared" si="9"/>
        <v/>
      </c>
      <c r="AJ54" s="612" t="str" cm="1">
        <f t="array" aca="1" ref="AJ54" ca="1">IFERROR(INDEX($AI$14:$AI$99,SMALL(IF($AI$14:$AI$99&lt;&gt;"",ROW($AI$14:$AI$99)-ROW(INDIRECT("$AI$13"))+1),ROW(INDIRECT("A" &amp; AB54 ) ))),"")</f>
        <v/>
      </c>
    </row>
    <row r="55" spans="28:36" ht="20.100000000000001" customHeight="1" x14ac:dyDescent="0.45">
      <c r="AB55" s="604">
        <f t="shared" si="5"/>
        <v>42</v>
      </c>
      <c r="AC55" s="612" t="str">
        <f t="shared" si="6"/>
        <v/>
      </c>
      <c r="AD55" s="612" t="str" cm="1">
        <f t="array" aca="1" ref="AD55" ca="1">IFERROR(INDEX($AC$14:$AC$99,SMALL(IF($AC$14:$AC$99&lt;&gt;"",ROW($AC$14:$AC$99)-ROW(INDIRECT("$AC$13"))+1),ROW(INDIRECT("A" &amp; AB55 ) ))),"")</f>
        <v/>
      </c>
      <c r="AE55" s="612" t="str">
        <f t="shared" si="7"/>
        <v/>
      </c>
      <c r="AF55" s="612" t="str" cm="1">
        <f t="array" aca="1" ref="AF55" ca="1">IFERROR(INDEX($AE$14:$AE$99,SMALL(IF($AE$14:$AE$99&lt;&gt;"",ROW($AE$14:$AE$99)-ROW(INDIRECT("$AE$13"))+1),ROW(INDIRECT("A" &amp; AB55 ) ))),"")</f>
        <v/>
      </c>
      <c r="AG55" s="612" t="str">
        <f t="shared" si="8"/>
        <v/>
      </c>
      <c r="AH55" s="612" t="str" cm="1">
        <f t="array" aca="1" ref="AH55" ca="1">IFERROR(INDEX($AG$14:$AG$99,SMALL(IF($AG$14:$AG$99&lt;&gt;"",ROW($AG$14:$AG$99)-ROW(INDIRECT("$AG$13"))+1),ROW(INDIRECT("A" &amp; AB55 ) ))),"")</f>
        <v/>
      </c>
      <c r="AI55" s="612" t="str">
        <f t="shared" si="9"/>
        <v/>
      </c>
      <c r="AJ55" s="612" t="str" cm="1">
        <f t="array" aca="1" ref="AJ55" ca="1">IFERROR(INDEX($AI$14:$AI$99,SMALL(IF($AI$14:$AI$99&lt;&gt;"",ROW($AI$14:$AI$99)-ROW(INDIRECT("$AI$13"))+1),ROW(INDIRECT("A" &amp; AB55 ) ))),"")</f>
        <v/>
      </c>
    </row>
    <row r="56" spans="28:36" ht="20.100000000000001" customHeight="1" x14ac:dyDescent="0.45">
      <c r="AB56" s="604">
        <f t="shared" si="5"/>
        <v>43</v>
      </c>
      <c r="AC56" s="612" t="str">
        <f t="shared" si="6"/>
        <v/>
      </c>
      <c r="AD56" s="612" t="str" cm="1">
        <f t="array" aca="1" ref="AD56" ca="1">IFERROR(INDEX($AC$14:$AC$99,SMALL(IF($AC$14:$AC$99&lt;&gt;"",ROW($AC$14:$AC$99)-ROW(INDIRECT("$AC$13"))+1),ROW(INDIRECT("A" &amp; AB56 ) ))),"")</f>
        <v/>
      </c>
      <c r="AE56" s="612" t="str">
        <f t="shared" si="7"/>
        <v/>
      </c>
      <c r="AF56" s="612" t="str" cm="1">
        <f t="array" aca="1" ref="AF56" ca="1">IFERROR(INDEX($AE$14:$AE$99,SMALL(IF($AE$14:$AE$99&lt;&gt;"",ROW($AE$14:$AE$99)-ROW(INDIRECT("$AE$13"))+1),ROW(INDIRECT("A" &amp; AB56 ) ))),"")</f>
        <v/>
      </c>
      <c r="AG56" s="612" t="str">
        <f t="shared" si="8"/>
        <v/>
      </c>
      <c r="AH56" s="612" t="str" cm="1">
        <f t="array" aca="1" ref="AH56" ca="1">IFERROR(INDEX($AG$14:$AG$99,SMALL(IF($AG$14:$AG$99&lt;&gt;"",ROW($AG$14:$AG$99)-ROW(INDIRECT("$AG$13"))+1),ROW(INDIRECT("A" &amp; AB56 ) ))),"")</f>
        <v/>
      </c>
      <c r="AI56" s="612" t="str">
        <f t="shared" si="9"/>
        <v/>
      </c>
      <c r="AJ56" s="612" t="str" cm="1">
        <f t="array" aca="1" ref="AJ56" ca="1">IFERROR(INDEX($AI$14:$AI$99,SMALL(IF($AI$14:$AI$99&lt;&gt;"",ROW($AI$14:$AI$99)-ROW(INDIRECT("$AI$13"))+1),ROW(INDIRECT("A" &amp; AB56 ) ))),"")</f>
        <v/>
      </c>
    </row>
    <row r="57" spans="28:36" ht="20.100000000000001" customHeight="1" x14ac:dyDescent="0.45">
      <c r="AB57" s="604">
        <f t="shared" si="5"/>
        <v>44</v>
      </c>
      <c r="AC57" s="612" t="str">
        <f t="shared" si="6"/>
        <v/>
      </c>
      <c r="AD57" s="612" t="str" cm="1">
        <f t="array" aca="1" ref="AD57" ca="1">IFERROR(INDEX($AC$14:$AC$99,SMALL(IF($AC$14:$AC$99&lt;&gt;"",ROW($AC$14:$AC$99)-ROW(INDIRECT("$AC$13"))+1),ROW(INDIRECT("A" &amp; AB57 ) ))),"")</f>
        <v/>
      </c>
      <c r="AE57" s="612" t="str">
        <f t="shared" si="7"/>
        <v/>
      </c>
      <c r="AF57" s="612" t="str" cm="1">
        <f t="array" aca="1" ref="AF57" ca="1">IFERROR(INDEX($AE$14:$AE$99,SMALL(IF($AE$14:$AE$99&lt;&gt;"",ROW($AE$14:$AE$99)-ROW(INDIRECT("$AE$13"))+1),ROW(INDIRECT("A" &amp; AB57 ) ))),"")</f>
        <v/>
      </c>
      <c r="AG57" s="612" t="str">
        <f t="shared" si="8"/>
        <v/>
      </c>
      <c r="AH57" s="612" t="str" cm="1">
        <f t="array" aca="1" ref="AH57" ca="1">IFERROR(INDEX($AG$14:$AG$99,SMALL(IF($AG$14:$AG$99&lt;&gt;"",ROW($AG$14:$AG$99)-ROW(INDIRECT("$AG$13"))+1),ROW(INDIRECT("A" &amp; AB57 ) ))),"")</f>
        <v/>
      </c>
      <c r="AI57" s="612" t="str">
        <f t="shared" si="9"/>
        <v/>
      </c>
      <c r="AJ57" s="612" t="str" cm="1">
        <f t="array" aca="1" ref="AJ57" ca="1">IFERROR(INDEX($AI$14:$AI$99,SMALL(IF($AI$14:$AI$99&lt;&gt;"",ROW($AI$14:$AI$99)-ROW(INDIRECT("$AI$13"))+1),ROW(INDIRECT("A" &amp; AB57 ) ))),"")</f>
        <v/>
      </c>
    </row>
    <row r="58" spans="28:36" ht="20.100000000000001" customHeight="1" x14ac:dyDescent="0.45">
      <c r="AB58" s="604">
        <f t="shared" si="5"/>
        <v>45</v>
      </c>
      <c r="AC58" s="612" t="str">
        <f t="shared" si="6"/>
        <v/>
      </c>
      <c r="AD58" s="612" t="str" cm="1">
        <f t="array" aca="1" ref="AD58" ca="1">IFERROR(INDEX($AC$14:$AC$99,SMALL(IF($AC$14:$AC$99&lt;&gt;"",ROW($AC$14:$AC$99)-ROW(INDIRECT("$AC$13"))+1),ROW(INDIRECT("A" &amp; AB58 ) ))),"")</f>
        <v/>
      </c>
      <c r="AE58" s="612" t="str">
        <f t="shared" si="7"/>
        <v/>
      </c>
      <c r="AF58" s="612" t="str" cm="1">
        <f t="array" aca="1" ref="AF58" ca="1">IFERROR(INDEX($AE$14:$AE$99,SMALL(IF($AE$14:$AE$99&lt;&gt;"",ROW($AE$14:$AE$99)-ROW(INDIRECT("$AE$13"))+1),ROW(INDIRECT("A" &amp; AB58 ) ))),"")</f>
        <v/>
      </c>
      <c r="AG58" s="612" t="str">
        <f t="shared" si="8"/>
        <v/>
      </c>
      <c r="AH58" s="612" t="str" cm="1">
        <f t="array" aca="1" ref="AH58" ca="1">IFERROR(INDEX($AG$14:$AG$99,SMALL(IF($AG$14:$AG$99&lt;&gt;"",ROW($AG$14:$AG$99)-ROW(INDIRECT("$AG$13"))+1),ROW(INDIRECT("A" &amp; AB58 ) ))),"")</f>
        <v/>
      </c>
      <c r="AI58" s="612" t="str">
        <f t="shared" si="9"/>
        <v/>
      </c>
      <c r="AJ58" s="612" t="str" cm="1">
        <f t="array" aca="1" ref="AJ58" ca="1">IFERROR(INDEX($AI$14:$AI$99,SMALL(IF($AI$14:$AI$99&lt;&gt;"",ROW($AI$14:$AI$99)-ROW(INDIRECT("$AI$13"))+1),ROW(INDIRECT("A" &amp; AB58 ) ))),"")</f>
        <v/>
      </c>
    </row>
    <row r="59" spans="28:36" ht="20.100000000000001" customHeight="1" x14ac:dyDescent="0.45">
      <c r="AB59" s="604">
        <f t="shared" si="5"/>
        <v>46</v>
      </c>
      <c r="AC59" s="612" t="str">
        <f t="shared" si="6"/>
        <v/>
      </c>
      <c r="AD59" s="612" t="str" cm="1">
        <f t="array" aca="1" ref="AD59" ca="1">IFERROR(INDEX($AC$14:$AC$99,SMALL(IF($AC$14:$AC$99&lt;&gt;"",ROW($AC$14:$AC$99)-ROW(INDIRECT("$AC$13"))+1),ROW(INDIRECT("A" &amp; AB59 ) ))),"")</f>
        <v/>
      </c>
      <c r="AE59" s="612" t="str">
        <f t="shared" si="7"/>
        <v/>
      </c>
      <c r="AF59" s="612" t="str" cm="1">
        <f t="array" aca="1" ref="AF59" ca="1">IFERROR(INDEX($AE$14:$AE$99,SMALL(IF($AE$14:$AE$99&lt;&gt;"",ROW($AE$14:$AE$99)-ROW(INDIRECT("$AE$13"))+1),ROW(INDIRECT("A" &amp; AB59 ) ))),"")</f>
        <v/>
      </c>
      <c r="AG59" s="612" t="str">
        <f t="shared" si="8"/>
        <v/>
      </c>
      <c r="AH59" s="612" t="str" cm="1">
        <f t="array" aca="1" ref="AH59" ca="1">IFERROR(INDEX($AG$14:$AG$99,SMALL(IF($AG$14:$AG$99&lt;&gt;"",ROW($AG$14:$AG$99)-ROW(INDIRECT("$AG$13"))+1),ROW(INDIRECT("A" &amp; AB59 ) ))),"")</f>
        <v/>
      </c>
      <c r="AI59" s="612" t="str">
        <f t="shared" si="9"/>
        <v/>
      </c>
      <c r="AJ59" s="612" t="str" cm="1">
        <f t="array" aca="1" ref="AJ59" ca="1">IFERROR(INDEX($AI$14:$AI$99,SMALL(IF($AI$14:$AI$99&lt;&gt;"",ROW($AI$14:$AI$99)-ROW(INDIRECT("$AI$13"))+1),ROW(INDIRECT("A" &amp; AB59 ) ))),"")</f>
        <v/>
      </c>
    </row>
    <row r="60" spans="28:36" ht="20.100000000000001" customHeight="1" x14ac:dyDescent="0.45">
      <c r="AB60" s="604">
        <f t="shared" si="5"/>
        <v>47</v>
      </c>
      <c r="AC60" s="612" t="str">
        <f t="shared" si="6"/>
        <v/>
      </c>
      <c r="AD60" s="612" t="str" cm="1">
        <f t="array" aca="1" ref="AD60" ca="1">IFERROR(INDEX($AC$14:$AC$99,SMALL(IF($AC$14:$AC$99&lt;&gt;"",ROW($AC$14:$AC$99)-ROW(INDIRECT("$AC$13"))+1),ROW(INDIRECT("A" &amp; AB60 ) ))),"")</f>
        <v/>
      </c>
      <c r="AE60" s="612" t="str">
        <f t="shared" si="7"/>
        <v/>
      </c>
      <c r="AF60" s="612" t="str" cm="1">
        <f t="array" aca="1" ref="AF60" ca="1">IFERROR(INDEX($AE$14:$AE$99,SMALL(IF($AE$14:$AE$99&lt;&gt;"",ROW($AE$14:$AE$99)-ROW(INDIRECT("$AE$13"))+1),ROW(INDIRECT("A" &amp; AB60 ) ))),"")</f>
        <v/>
      </c>
      <c r="AG60" s="612" t="str">
        <f t="shared" si="8"/>
        <v/>
      </c>
      <c r="AH60" s="612" t="str" cm="1">
        <f t="array" aca="1" ref="AH60" ca="1">IFERROR(INDEX($AG$14:$AG$99,SMALL(IF($AG$14:$AG$99&lt;&gt;"",ROW($AG$14:$AG$99)-ROW(INDIRECT("$AG$13"))+1),ROW(INDIRECT("A" &amp; AB60 ) ))),"")</f>
        <v/>
      </c>
      <c r="AI60" s="612" t="str">
        <f t="shared" si="9"/>
        <v/>
      </c>
      <c r="AJ60" s="612" t="str" cm="1">
        <f t="array" aca="1" ref="AJ60" ca="1">IFERROR(INDEX($AI$14:$AI$99,SMALL(IF($AI$14:$AI$99&lt;&gt;"",ROW($AI$14:$AI$99)-ROW(INDIRECT("$AI$13"))+1),ROW(INDIRECT("A" &amp; AB60 ) ))),"")</f>
        <v/>
      </c>
    </row>
    <row r="61" spans="28:36" ht="20.100000000000001" customHeight="1" x14ac:dyDescent="0.45">
      <c r="AB61" s="604">
        <f t="shared" si="5"/>
        <v>48</v>
      </c>
      <c r="AC61" s="612" t="str">
        <f t="shared" si="6"/>
        <v/>
      </c>
      <c r="AD61" s="612" t="str" cm="1">
        <f t="array" aca="1" ref="AD61" ca="1">IFERROR(INDEX($AC$14:$AC$99,SMALL(IF($AC$14:$AC$99&lt;&gt;"",ROW($AC$14:$AC$99)-ROW(INDIRECT("$AC$13"))+1),ROW(INDIRECT("A" &amp; AB61 ) ))),"")</f>
        <v/>
      </c>
      <c r="AE61" s="612" t="str">
        <f t="shared" si="7"/>
        <v/>
      </c>
      <c r="AF61" s="612" t="str" cm="1">
        <f t="array" aca="1" ref="AF61" ca="1">IFERROR(INDEX($AE$14:$AE$99,SMALL(IF($AE$14:$AE$99&lt;&gt;"",ROW($AE$14:$AE$99)-ROW(INDIRECT("$AE$13"))+1),ROW(INDIRECT("A" &amp; AB61 ) ))),"")</f>
        <v/>
      </c>
      <c r="AG61" s="612" t="str">
        <f t="shared" si="8"/>
        <v/>
      </c>
      <c r="AH61" s="612" t="str" cm="1">
        <f t="array" aca="1" ref="AH61" ca="1">IFERROR(INDEX($AG$14:$AG$99,SMALL(IF($AG$14:$AG$99&lt;&gt;"",ROW($AG$14:$AG$99)-ROW(INDIRECT("$AG$13"))+1),ROW(INDIRECT("A" &amp; AB61 ) ))),"")</f>
        <v/>
      </c>
      <c r="AI61" s="612" t="str">
        <f t="shared" si="9"/>
        <v/>
      </c>
      <c r="AJ61" s="612" t="str" cm="1">
        <f t="array" aca="1" ref="AJ61" ca="1">IFERROR(INDEX($AI$14:$AI$99,SMALL(IF($AI$14:$AI$99&lt;&gt;"",ROW($AI$14:$AI$99)-ROW(INDIRECT("$AI$13"))+1),ROW(INDIRECT("A" &amp; AB61 ) ))),"")</f>
        <v/>
      </c>
    </row>
    <row r="62" spans="28:36" ht="20.100000000000001" customHeight="1" x14ac:dyDescent="0.45">
      <c r="AB62" s="604">
        <f t="shared" si="5"/>
        <v>49</v>
      </c>
      <c r="AC62" s="612" t="str">
        <f t="shared" si="6"/>
        <v/>
      </c>
      <c r="AD62" s="612" t="str" cm="1">
        <f t="array" aca="1" ref="AD62" ca="1">IFERROR(INDEX($AC$14:$AC$99,SMALL(IF($AC$14:$AC$99&lt;&gt;"",ROW($AC$14:$AC$99)-ROW(INDIRECT("$AC$13"))+1),ROW(INDIRECT("A" &amp; AB62 ) ))),"")</f>
        <v/>
      </c>
      <c r="AE62" s="612" t="str">
        <f t="shared" si="7"/>
        <v/>
      </c>
      <c r="AF62" s="612" t="str" cm="1">
        <f t="array" aca="1" ref="AF62" ca="1">IFERROR(INDEX($AE$14:$AE$99,SMALL(IF($AE$14:$AE$99&lt;&gt;"",ROW($AE$14:$AE$99)-ROW(INDIRECT("$AE$13"))+1),ROW(INDIRECT("A" &amp; AB62 ) ))),"")</f>
        <v/>
      </c>
      <c r="AG62" s="612" t="str">
        <f t="shared" si="8"/>
        <v/>
      </c>
      <c r="AH62" s="612" t="str" cm="1">
        <f t="array" aca="1" ref="AH62" ca="1">IFERROR(INDEX($AG$14:$AG$99,SMALL(IF($AG$14:$AG$99&lt;&gt;"",ROW($AG$14:$AG$99)-ROW(INDIRECT("$AG$13"))+1),ROW(INDIRECT("A" &amp; AB62 ) ))),"")</f>
        <v/>
      </c>
      <c r="AI62" s="612" t="str">
        <f t="shared" si="9"/>
        <v/>
      </c>
      <c r="AJ62" s="612" t="str" cm="1">
        <f t="array" aca="1" ref="AJ62" ca="1">IFERROR(INDEX($AI$14:$AI$99,SMALL(IF($AI$14:$AI$99&lt;&gt;"",ROW($AI$14:$AI$99)-ROW(INDIRECT("$AI$13"))+1),ROW(INDIRECT("A" &amp; AB62 ) ))),"")</f>
        <v/>
      </c>
    </row>
    <row r="63" spans="28:36" ht="20.100000000000001" customHeight="1" x14ac:dyDescent="0.45">
      <c r="AB63" s="604">
        <f t="shared" si="5"/>
        <v>50</v>
      </c>
      <c r="AC63" s="612" t="str">
        <f t="shared" si="6"/>
        <v/>
      </c>
      <c r="AD63" s="612" t="str" cm="1">
        <f t="array" aca="1" ref="AD63" ca="1">IFERROR(INDEX($AC$14:$AC$99,SMALL(IF($AC$14:$AC$99&lt;&gt;"",ROW($AC$14:$AC$99)-ROW(INDIRECT("$AC$13"))+1),ROW(INDIRECT("A" &amp; AB63 ) ))),"")</f>
        <v/>
      </c>
      <c r="AE63" s="612" t="str">
        <f t="shared" si="7"/>
        <v/>
      </c>
      <c r="AF63" s="612" t="str" cm="1">
        <f t="array" aca="1" ref="AF63" ca="1">IFERROR(INDEX($AE$14:$AE$99,SMALL(IF($AE$14:$AE$99&lt;&gt;"",ROW($AE$14:$AE$99)-ROW(INDIRECT("$AE$13"))+1),ROW(INDIRECT("A" &amp; AB63 ) ))),"")</f>
        <v/>
      </c>
      <c r="AG63" s="612" t="str">
        <f t="shared" si="8"/>
        <v/>
      </c>
      <c r="AH63" s="612" t="str" cm="1">
        <f t="array" aca="1" ref="AH63" ca="1">IFERROR(INDEX($AG$14:$AG$99,SMALL(IF($AG$14:$AG$99&lt;&gt;"",ROW($AG$14:$AG$99)-ROW(INDIRECT("$AG$13"))+1),ROW(INDIRECT("A" &amp; AB63 ) ))),"")</f>
        <v/>
      </c>
      <c r="AI63" s="612" t="str">
        <f t="shared" si="9"/>
        <v/>
      </c>
      <c r="AJ63" s="612" t="str" cm="1">
        <f t="array" aca="1" ref="AJ63" ca="1">IFERROR(INDEX($AI$14:$AI$99,SMALL(IF($AI$14:$AI$99&lt;&gt;"",ROW($AI$14:$AI$99)-ROW(INDIRECT("$AI$13"))+1),ROW(INDIRECT("A" &amp; AB63 ) ))),"")</f>
        <v/>
      </c>
    </row>
    <row r="64" spans="28:36" ht="20.100000000000001" customHeight="1" x14ac:dyDescent="0.45">
      <c r="AB64" s="604">
        <f t="shared" si="5"/>
        <v>51</v>
      </c>
      <c r="AC64" s="612" t="str">
        <f t="shared" si="6"/>
        <v/>
      </c>
      <c r="AD64" s="612" t="str" cm="1">
        <f t="array" aca="1" ref="AD64" ca="1">IFERROR(INDEX($AC$14:$AC$99,SMALL(IF($AC$14:$AC$99&lt;&gt;"",ROW($AC$14:$AC$99)-ROW(INDIRECT("$AC$13"))+1),ROW(INDIRECT("A" &amp; AB64 ) ))),"")</f>
        <v/>
      </c>
      <c r="AE64" s="612" t="str">
        <f t="shared" si="7"/>
        <v/>
      </c>
      <c r="AF64" s="612" t="str" cm="1">
        <f t="array" aca="1" ref="AF64" ca="1">IFERROR(INDEX($AE$14:$AE$99,SMALL(IF($AE$14:$AE$99&lt;&gt;"",ROW($AE$14:$AE$99)-ROW(INDIRECT("$AE$13"))+1),ROW(INDIRECT("A" &amp; AB64 ) ))),"")</f>
        <v/>
      </c>
      <c r="AG64" s="612" t="str">
        <f t="shared" si="8"/>
        <v/>
      </c>
      <c r="AH64" s="612" t="str" cm="1">
        <f t="array" aca="1" ref="AH64" ca="1">IFERROR(INDEX($AG$14:$AG$99,SMALL(IF($AG$14:$AG$99&lt;&gt;"",ROW($AG$14:$AG$99)-ROW(INDIRECT("$AG$13"))+1),ROW(INDIRECT("A" &amp; AB64 ) ))),"")</f>
        <v/>
      </c>
      <c r="AI64" s="612" t="str">
        <f t="shared" si="9"/>
        <v/>
      </c>
      <c r="AJ64" s="612" t="str" cm="1">
        <f t="array" aca="1" ref="AJ64" ca="1">IFERROR(INDEX($AI$14:$AI$99,SMALL(IF($AI$14:$AI$99&lt;&gt;"",ROW($AI$14:$AI$99)-ROW(INDIRECT("$AI$13"))+1),ROW(INDIRECT("A" &amp; AB64 ) ))),"")</f>
        <v/>
      </c>
    </row>
    <row r="65" spans="28:36" ht="20.100000000000001" customHeight="1" x14ac:dyDescent="0.45">
      <c r="AB65" s="604">
        <f t="shared" si="5"/>
        <v>52</v>
      </c>
      <c r="AC65" s="612" t="str">
        <f t="shared" si="6"/>
        <v/>
      </c>
      <c r="AD65" s="612" t="str" cm="1">
        <f t="array" aca="1" ref="AD65" ca="1">IFERROR(INDEX($AC$14:$AC$99,SMALL(IF($AC$14:$AC$99&lt;&gt;"",ROW($AC$14:$AC$99)-ROW(INDIRECT("$AC$13"))+1),ROW(INDIRECT("A" &amp; AB65 ) ))),"")</f>
        <v/>
      </c>
      <c r="AE65" s="612" t="str">
        <f t="shared" si="7"/>
        <v/>
      </c>
      <c r="AF65" s="612" t="str" cm="1">
        <f t="array" aca="1" ref="AF65" ca="1">IFERROR(INDEX($AE$14:$AE$99,SMALL(IF($AE$14:$AE$99&lt;&gt;"",ROW($AE$14:$AE$99)-ROW(INDIRECT("$AE$13"))+1),ROW(INDIRECT("A" &amp; AB65 ) ))),"")</f>
        <v/>
      </c>
      <c r="AG65" s="612" t="str">
        <f t="shared" si="8"/>
        <v/>
      </c>
      <c r="AH65" s="612" t="str" cm="1">
        <f t="array" aca="1" ref="AH65" ca="1">IFERROR(INDEX($AG$14:$AG$99,SMALL(IF($AG$14:$AG$99&lt;&gt;"",ROW($AG$14:$AG$99)-ROW(INDIRECT("$AG$13"))+1),ROW(INDIRECT("A" &amp; AB65 ) ))),"")</f>
        <v/>
      </c>
      <c r="AI65" s="612" t="str">
        <f t="shared" si="9"/>
        <v/>
      </c>
      <c r="AJ65" s="612" t="str" cm="1">
        <f t="array" aca="1" ref="AJ65" ca="1">IFERROR(INDEX($AI$14:$AI$99,SMALL(IF($AI$14:$AI$99&lt;&gt;"",ROW($AI$14:$AI$99)-ROW(INDIRECT("$AI$13"))+1),ROW(INDIRECT("A" &amp; AB65 ) ))),"")</f>
        <v/>
      </c>
    </row>
    <row r="66" spans="28:36" ht="20.100000000000001" customHeight="1" x14ac:dyDescent="0.45">
      <c r="AB66" s="604">
        <f t="shared" si="5"/>
        <v>53</v>
      </c>
      <c r="AC66" s="612" t="str">
        <f t="shared" si="6"/>
        <v/>
      </c>
      <c r="AD66" s="612" t="str" cm="1">
        <f t="array" aca="1" ref="AD66" ca="1">IFERROR(INDEX($AC$14:$AC$99,SMALL(IF($AC$14:$AC$99&lt;&gt;"",ROW($AC$14:$AC$99)-ROW(INDIRECT("$AC$13"))+1),ROW(INDIRECT("A" &amp; AB66 ) ))),"")</f>
        <v/>
      </c>
      <c r="AE66" s="612" t="str">
        <f t="shared" si="7"/>
        <v/>
      </c>
      <c r="AF66" s="612" t="str" cm="1">
        <f t="array" aca="1" ref="AF66" ca="1">IFERROR(INDEX($AE$14:$AE$99,SMALL(IF($AE$14:$AE$99&lt;&gt;"",ROW($AE$14:$AE$99)-ROW(INDIRECT("$AE$13"))+1),ROW(INDIRECT("A" &amp; AB66 ) ))),"")</f>
        <v/>
      </c>
      <c r="AG66" s="612" t="str">
        <f t="shared" si="8"/>
        <v/>
      </c>
      <c r="AH66" s="612" t="str" cm="1">
        <f t="array" aca="1" ref="AH66" ca="1">IFERROR(INDEX($AG$14:$AG$99,SMALL(IF($AG$14:$AG$99&lt;&gt;"",ROW($AG$14:$AG$99)-ROW(INDIRECT("$AG$13"))+1),ROW(INDIRECT("A" &amp; AB66 ) ))),"")</f>
        <v/>
      </c>
      <c r="AI66" s="612" t="str">
        <f t="shared" si="9"/>
        <v/>
      </c>
      <c r="AJ66" s="612" t="str" cm="1">
        <f t="array" aca="1" ref="AJ66" ca="1">IFERROR(INDEX($AI$14:$AI$99,SMALL(IF($AI$14:$AI$99&lt;&gt;"",ROW($AI$14:$AI$99)-ROW(INDIRECT("$AI$13"))+1),ROW(INDIRECT("A" &amp; AB66 ) ))),"")</f>
        <v/>
      </c>
    </row>
    <row r="67" spans="28:36" ht="20.100000000000001" customHeight="1" x14ac:dyDescent="0.45">
      <c r="AB67" s="604">
        <f t="shared" si="5"/>
        <v>54</v>
      </c>
      <c r="AC67" s="612" t="str">
        <f t="shared" si="6"/>
        <v/>
      </c>
      <c r="AD67" s="612" t="str" cm="1">
        <f t="array" aca="1" ref="AD67" ca="1">IFERROR(INDEX($AC$14:$AC$99,SMALL(IF($AC$14:$AC$99&lt;&gt;"",ROW($AC$14:$AC$99)-ROW(INDIRECT("$AC$13"))+1),ROW(INDIRECT("A" &amp; AB67 ) ))),"")</f>
        <v/>
      </c>
      <c r="AE67" s="612" t="str">
        <f t="shared" si="7"/>
        <v/>
      </c>
      <c r="AF67" s="612" t="str" cm="1">
        <f t="array" aca="1" ref="AF67" ca="1">IFERROR(INDEX($AE$14:$AE$99,SMALL(IF($AE$14:$AE$99&lt;&gt;"",ROW($AE$14:$AE$99)-ROW(INDIRECT("$AE$13"))+1),ROW(INDIRECT("A" &amp; AB67 ) ))),"")</f>
        <v/>
      </c>
      <c r="AG67" s="612" t="str">
        <f t="shared" si="8"/>
        <v/>
      </c>
      <c r="AH67" s="612" t="str" cm="1">
        <f t="array" aca="1" ref="AH67" ca="1">IFERROR(INDEX($AG$14:$AG$99,SMALL(IF($AG$14:$AG$99&lt;&gt;"",ROW($AG$14:$AG$99)-ROW(INDIRECT("$AG$13"))+1),ROW(INDIRECT("A" &amp; AB67 ) ))),"")</f>
        <v/>
      </c>
      <c r="AI67" s="612" t="str">
        <f t="shared" si="9"/>
        <v/>
      </c>
      <c r="AJ67" s="612" t="str" cm="1">
        <f t="array" aca="1" ref="AJ67" ca="1">IFERROR(INDEX($AI$14:$AI$99,SMALL(IF($AI$14:$AI$99&lt;&gt;"",ROW($AI$14:$AI$99)-ROW(INDIRECT("$AI$13"))+1),ROW(INDIRECT("A" &amp; AB67 ) ))),"")</f>
        <v/>
      </c>
    </row>
    <row r="68" spans="28:36" ht="20.100000000000001" customHeight="1" x14ac:dyDescent="0.45">
      <c r="AB68" s="604">
        <f t="shared" si="5"/>
        <v>55</v>
      </c>
      <c r="AC68" s="612" t="str">
        <f t="shared" si="6"/>
        <v/>
      </c>
      <c r="AD68" s="612" t="str" cm="1">
        <f t="array" aca="1" ref="AD68" ca="1">IFERROR(INDEX($AC$14:$AC$99,SMALL(IF($AC$14:$AC$99&lt;&gt;"",ROW($AC$14:$AC$99)-ROW(INDIRECT("$AC$13"))+1),ROW(INDIRECT("A" &amp; AB68 ) ))),"")</f>
        <v/>
      </c>
      <c r="AE68" s="612" t="str">
        <f t="shared" si="7"/>
        <v/>
      </c>
      <c r="AF68" s="612" t="str" cm="1">
        <f t="array" aca="1" ref="AF68" ca="1">IFERROR(INDEX($AE$14:$AE$99,SMALL(IF($AE$14:$AE$99&lt;&gt;"",ROW($AE$14:$AE$99)-ROW(INDIRECT("$AE$13"))+1),ROW(INDIRECT("A" &amp; AB68 ) ))),"")</f>
        <v/>
      </c>
      <c r="AG68" s="612" t="str">
        <f t="shared" si="8"/>
        <v/>
      </c>
      <c r="AH68" s="612" t="str" cm="1">
        <f t="array" aca="1" ref="AH68" ca="1">IFERROR(INDEX($AG$14:$AG$99,SMALL(IF($AG$14:$AG$99&lt;&gt;"",ROW($AG$14:$AG$99)-ROW(INDIRECT("$AG$13"))+1),ROW(INDIRECT("A" &amp; AB68 ) ))),"")</f>
        <v/>
      </c>
      <c r="AI68" s="612" t="str">
        <f t="shared" si="9"/>
        <v/>
      </c>
      <c r="AJ68" s="612" t="str" cm="1">
        <f t="array" aca="1" ref="AJ68" ca="1">IFERROR(INDEX($AI$14:$AI$99,SMALL(IF($AI$14:$AI$99&lt;&gt;"",ROW($AI$14:$AI$99)-ROW(INDIRECT("$AI$13"))+1),ROW(INDIRECT("A" &amp; AB68 ) ))),"")</f>
        <v/>
      </c>
    </row>
    <row r="69" spans="28:36" ht="20.100000000000001" customHeight="1" x14ac:dyDescent="0.45">
      <c r="AB69" s="604">
        <f t="shared" si="5"/>
        <v>56</v>
      </c>
      <c r="AC69" s="612" t="str">
        <f t="shared" si="6"/>
        <v/>
      </c>
      <c r="AD69" s="612" t="str" cm="1">
        <f t="array" aca="1" ref="AD69" ca="1">IFERROR(INDEX($AC$14:$AC$99,SMALL(IF($AC$14:$AC$99&lt;&gt;"",ROW($AC$14:$AC$99)-ROW(INDIRECT("$AC$13"))+1),ROW(INDIRECT("A" &amp; AB69 ) ))),"")</f>
        <v/>
      </c>
      <c r="AE69" s="612" t="str">
        <f t="shared" si="7"/>
        <v/>
      </c>
      <c r="AF69" s="612" t="str" cm="1">
        <f t="array" aca="1" ref="AF69" ca="1">IFERROR(INDEX($AE$14:$AE$99,SMALL(IF($AE$14:$AE$99&lt;&gt;"",ROW($AE$14:$AE$99)-ROW(INDIRECT("$AE$13"))+1),ROW(INDIRECT("A" &amp; AB69 ) ))),"")</f>
        <v/>
      </c>
      <c r="AG69" s="612" t="str">
        <f t="shared" si="8"/>
        <v/>
      </c>
      <c r="AH69" s="612" t="str" cm="1">
        <f t="array" aca="1" ref="AH69" ca="1">IFERROR(INDEX($AG$14:$AG$99,SMALL(IF($AG$14:$AG$99&lt;&gt;"",ROW($AG$14:$AG$99)-ROW(INDIRECT("$AG$13"))+1),ROW(INDIRECT("A" &amp; AB69 ) ))),"")</f>
        <v/>
      </c>
      <c r="AI69" s="612" t="str">
        <f t="shared" si="9"/>
        <v/>
      </c>
      <c r="AJ69" s="612" t="str" cm="1">
        <f t="array" aca="1" ref="AJ69" ca="1">IFERROR(INDEX($AI$14:$AI$99,SMALL(IF($AI$14:$AI$99&lt;&gt;"",ROW($AI$14:$AI$99)-ROW(INDIRECT("$AI$13"))+1),ROW(INDIRECT("A" &amp; AB69 ) ))),"")</f>
        <v/>
      </c>
    </row>
    <row r="70" spans="28:36" ht="20.100000000000001" customHeight="1" x14ac:dyDescent="0.45">
      <c r="AB70" s="604">
        <f t="shared" ref="AB70:AB91" si="10">ROW(A70)- $AD$2 +1</f>
        <v>57</v>
      </c>
      <c r="AC70" s="612" t="str">
        <f t="shared" si="6"/>
        <v/>
      </c>
      <c r="AD70" s="612" t="str" cm="1">
        <f t="array" aca="1" ref="AD70" ca="1">IFERROR(INDEX($AC$14:$AC$99,SMALL(IF($AC$14:$AC$99&lt;&gt;"",ROW($AC$14:$AC$99)-ROW(INDIRECT("$AC$13"))+1),ROW(INDIRECT("A" &amp; AB70 ) ))),"")</f>
        <v/>
      </c>
      <c r="AE70" s="612" t="str">
        <f t="shared" si="7"/>
        <v/>
      </c>
      <c r="AF70" s="612" t="str" cm="1">
        <f t="array" aca="1" ref="AF70" ca="1">IFERROR(INDEX($AE$14:$AE$99,SMALL(IF($AE$14:$AE$99&lt;&gt;"",ROW($AE$14:$AE$99)-ROW(INDIRECT("$AE$13"))+1),ROW(INDIRECT("A" &amp; AB70 ) ))),"")</f>
        <v/>
      </c>
      <c r="AG70" s="612" t="str">
        <f t="shared" si="8"/>
        <v/>
      </c>
      <c r="AH70" s="612" t="str" cm="1">
        <f t="array" aca="1" ref="AH70" ca="1">IFERROR(INDEX($AG$14:$AG$99,SMALL(IF($AG$14:$AG$99&lt;&gt;"",ROW($AG$14:$AG$99)-ROW(INDIRECT("$AG$13"))+1),ROW(INDIRECT("A" &amp; AB70 ) ))),"")</f>
        <v/>
      </c>
      <c r="AI70" s="612" t="str">
        <f t="shared" si="9"/>
        <v/>
      </c>
      <c r="AJ70" s="612" t="str" cm="1">
        <f t="array" aca="1" ref="AJ70" ca="1">IFERROR(INDEX($AI$14:$AI$99,SMALL(IF($AI$14:$AI$99&lt;&gt;"",ROW($AI$14:$AI$99)-ROW(INDIRECT("$AI$13"))+1),ROW(INDIRECT("A" &amp; AB70 ) ))),"")</f>
        <v/>
      </c>
    </row>
    <row r="71" spans="28:36" ht="20.100000000000001" customHeight="1" x14ac:dyDescent="0.45">
      <c r="AB71" s="604">
        <f t="shared" si="10"/>
        <v>58</v>
      </c>
      <c r="AC71" s="612" t="str">
        <f t="shared" si="6"/>
        <v/>
      </c>
      <c r="AD71" s="612" t="str" cm="1">
        <f t="array" aca="1" ref="AD71" ca="1">IFERROR(INDEX($AC$14:$AC$99,SMALL(IF($AC$14:$AC$99&lt;&gt;"",ROW($AC$14:$AC$99)-ROW(INDIRECT("$AC$13"))+1),ROW(INDIRECT("A" &amp; AB71 ) ))),"")</f>
        <v/>
      </c>
      <c r="AE71" s="612" t="str">
        <f t="shared" si="7"/>
        <v/>
      </c>
      <c r="AF71" s="612" t="str" cm="1">
        <f t="array" aca="1" ref="AF71" ca="1">IFERROR(INDEX($AE$14:$AE$99,SMALL(IF($AE$14:$AE$99&lt;&gt;"",ROW($AE$14:$AE$99)-ROW(INDIRECT("$AE$13"))+1),ROW(INDIRECT("A" &amp; AB71 ) ))),"")</f>
        <v/>
      </c>
      <c r="AG71" s="612" t="str">
        <f t="shared" si="8"/>
        <v/>
      </c>
      <c r="AH71" s="612" t="str" cm="1">
        <f t="array" aca="1" ref="AH71" ca="1">IFERROR(INDEX($AG$14:$AG$99,SMALL(IF($AG$14:$AG$99&lt;&gt;"",ROW($AG$14:$AG$99)-ROW(INDIRECT("$AG$13"))+1),ROW(INDIRECT("A" &amp; AB71 ) ))),"")</f>
        <v/>
      </c>
      <c r="AI71" s="612" t="str">
        <f t="shared" si="9"/>
        <v/>
      </c>
      <c r="AJ71" s="612" t="str" cm="1">
        <f t="array" aca="1" ref="AJ71" ca="1">IFERROR(INDEX($AI$14:$AI$99,SMALL(IF($AI$14:$AI$99&lt;&gt;"",ROW($AI$14:$AI$99)-ROW(INDIRECT("$AI$13"))+1),ROW(INDIRECT("A" &amp; AB71 ) ))),"")</f>
        <v/>
      </c>
    </row>
    <row r="72" spans="28:36" ht="20.100000000000001" customHeight="1" x14ac:dyDescent="0.45">
      <c r="AB72" s="604">
        <f t="shared" si="10"/>
        <v>59</v>
      </c>
      <c r="AC72" s="612" t="str">
        <f t="shared" si="6"/>
        <v/>
      </c>
      <c r="AD72" s="612" t="str" cm="1">
        <f t="array" aca="1" ref="AD72" ca="1">IFERROR(INDEX($AC$14:$AC$99,SMALL(IF($AC$14:$AC$99&lt;&gt;"",ROW($AC$14:$AC$99)-ROW(INDIRECT("$AC$13"))+1),ROW(INDIRECT("A" &amp; AB72 ) ))),"")</f>
        <v/>
      </c>
      <c r="AE72" s="612" t="str">
        <f t="shared" si="7"/>
        <v/>
      </c>
      <c r="AF72" s="612" t="str" cm="1">
        <f t="array" aca="1" ref="AF72" ca="1">IFERROR(INDEX($AE$14:$AE$99,SMALL(IF($AE$14:$AE$99&lt;&gt;"",ROW($AE$14:$AE$99)-ROW(INDIRECT("$AE$13"))+1),ROW(INDIRECT("A" &amp; AB72 ) ))),"")</f>
        <v/>
      </c>
      <c r="AG72" s="612" t="str">
        <f t="shared" si="8"/>
        <v/>
      </c>
      <c r="AH72" s="612" t="str" cm="1">
        <f t="array" aca="1" ref="AH72" ca="1">IFERROR(INDEX($AG$14:$AG$99,SMALL(IF($AG$14:$AG$99&lt;&gt;"",ROW($AG$14:$AG$99)-ROW(INDIRECT("$AG$13"))+1),ROW(INDIRECT("A" &amp; AB72 ) ))),"")</f>
        <v/>
      </c>
      <c r="AI72" s="612" t="str">
        <f t="shared" si="9"/>
        <v/>
      </c>
      <c r="AJ72" s="612" t="str" cm="1">
        <f t="array" aca="1" ref="AJ72" ca="1">IFERROR(INDEX($AI$14:$AI$99,SMALL(IF($AI$14:$AI$99&lt;&gt;"",ROW($AI$14:$AI$99)-ROW(INDIRECT("$AI$13"))+1),ROW(INDIRECT("A" &amp; AB72 ) ))),"")</f>
        <v/>
      </c>
    </row>
    <row r="73" spans="28:36" ht="20.100000000000001" customHeight="1" x14ac:dyDescent="0.45">
      <c r="AB73" s="604">
        <f t="shared" si="10"/>
        <v>60</v>
      </c>
      <c r="AC73" s="612" t="str">
        <f t="shared" si="6"/>
        <v/>
      </c>
      <c r="AD73" s="612" t="str" cm="1">
        <f t="array" aca="1" ref="AD73" ca="1">IFERROR(INDEX($AC$14:$AC$99,SMALL(IF($AC$14:$AC$99&lt;&gt;"",ROW($AC$14:$AC$99)-ROW(INDIRECT("$AC$13"))+1),ROW(INDIRECT("A" &amp; AB73 ) ))),"")</f>
        <v/>
      </c>
      <c r="AE73" s="612" t="str">
        <f t="shared" si="7"/>
        <v/>
      </c>
      <c r="AF73" s="612" t="str" cm="1">
        <f t="array" aca="1" ref="AF73" ca="1">IFERROR(INDEX($AE$14:$AE$99,SMALL(IF($AE$14:$AE$99&lt;&gt;"",ROW($AE$14:$AE$99)-ROW(INDIRECT("$AE$13"))+1),ROW(INDIRECT("A" &amp; AB73 ) ))),"")</f>
        <v/>
      </c>
      <c r="AG73" s="612" t="str">
        <f t="shared" si="8"/>
        <v/>
      </c>
      <c r="AH73" s="612" t="str" cm="1">
        <f t="array" aca="1" ref="AH73" ca="1">IFERROR(INDEX($AG$14:$AG$99,SMALL(IF($AG$14:$AG$99&lt;&gt;"",ROW($AG$14:$AG$99)-ROW(INDIRECT("$AG$13"))+1),ROW(INDIRECT("A" &amp; AB73 ) ))),"")</f>
        <v/>
      </c>
      <c r="AI73" s="612" t="str">
        <f t="shared" si="9"/>
        <v/>
      </c>
      <c r="AJ73" s="612" t="str" cm="1">
        <f t="array" aca="1" ref="AJ73" ca="1">IFERROR(INDEX($AI$14:$AI$99,SMALL(IF($AI$14:$AI$99&lt;&gt;"",ROW($AI$14:$AI$99)-ROW(INDIRECT("$AI$13"))+1),ROW(INDIRECT("A" &amp; AB73 ) ))),"")</f>
        <v/>
      </c>
    </row>
    <row r="74" spans="28:36" ht="20.100000000000001" customHeight="1" x14ac:dyDescent="0.45">
      <c r="AB74" s="604">
        <f t="shared" si="10"/>
        <v>61</v>
      </c>
      <c r="AC74" s="612" t="str">
        <f t="shared" si="6"/>
        <v/>
      </c>
      <c r="AD74" s="612" t="str" cm="1">
        <f t="array" aca="1" ref="AD74" ca="1">IFERROR(INDEX($AC$14:$AC$99,SMALL(IF($AC$14:$AC$99&lt;&gt;"",ROW($AC$14:$AC$99)-ROW(INDIRECT("$AC$13"))+1),ROW(INDIRECT("A" &amp; AB74 ) ))),"")</f>
        <v/>
      </c>
      <c r="AE74" s="612" t="str">
        <f t="shared" si="7"/>
        <v/>
      </c>
      <c r="AF74" s="612" t="str" cm="1">
        <f t="array" aca="1" ref="AF74" ca="1">IFERROR(INDEX($AE$14:$AE$99,SMALL(IF($AE$14:$AE$99&lt;&gt;"",ROW($AE$14:$AE$99)-ROW(INDIRECT("$AE$13"))+1),ROW(INDIRECT("A" &amp; AB74 ) ))),"")</f>
        <v/>
      </c>
      <c r="AG74" s="612" t="str">
        <f t="shared" si="8"/>
        <v/>
      </c>
      <c r="AH74" s="612" t="str" cm="1">
        <f t="array" aca="1" ref="AH74" ca="1">IFERROR(INDEX($AG$14:$AG$99,SMALL(IF($AG$14:$AG$99&lt;&gt;"",ROW($AG$14:$AG$99)-ROW(INDIRECT("$AG$13"))+1),ROW(INDIRECT("A" &amp; AB74 ) ))),"")</f>
        <v/>
      </c>
      <c r="AI74" s="612" t="str">
        <f t="shared" si="9"/>
        <v/>
      </c>
      <c r="AJ74" s="612" t="str" cm="1">
        <f t="array" aca="1" ref="AJ74" ca="1">IFERROR(INDEX($AI$14:$AI$99,SMALL(IF($AI$14:$AI$99&lt;&gt;"",ROW($AI$14:$AI$99)-ROW(INDIRECT("$AI$13"))+1),ROW(INDIRECT("A" &amp; AB74 ) ))),"")</f>
        <v/>
      </c>
    </row>
    <row r="75" spans="28:36" ht="20.100000000000001" customHeight="1" x14ac:dyDescent="0.45">
      <c r="AB75" s="604">
        <f t="shared" si="10"/>
        <v>62</v>
      </c>
      <c r="AC75" s="612" t="str">
        <f t="shared" si="6"/>
        <v/>
      </c>
      <c r="AD75" s="612" t="str" cm="1">
        <f t="array" aca="1" ref="AD75" ca="1">IFERROR(INDEX($AC$14:$AC$99,SMALL(IF($AC$14:$AC$99&lt;&gt;"",ROW($AC$14:$AC$99)-ROW(INDIRECT("$AC$13"))+1),ROW(INDIRECT("A" &amp; AB75 ) ))),"")</f>
        <v/>
      </c>
      <c r="AE75" s="612" t="str">
        <f t="shared" si="7"/>
        <v/>
      </c>
      <c r="AF75" s="612" t="str" cm="1">
        <f t="array" aca="1" ref="AF75" ca="1">IFERROR(INDEX($AE$14:$AE$99,SMALL(IF($AE$14:$AE$99&lt;&gt;"",ROW($AE$14:$AE$99)-ROW(INDIRECT("$AE$13"))+1),ROW(INDIRECT("A" &amp; AB75 ) ))),"")</f>
        <v/>
      </c>
      <c r="AG75" s="612" t="str">
        <f t="shared" si="8"/>
        <v/>
      </c>
      <c r="AH75" s="612" t="str" cm="1">
        <f t="array" aca="1" ref="AH75" ca="1">IFERROR(INDEX($AG$14:$AG$99,SMALL(IF($AG$14:$AG$99&lt;&gt;"",ROW($AG$14:$AG$99)-ROW(INDIRECT("$AG$13"))+1),ROW(INDIRECT("A" &amp; AB75 ) ))),"")</f>
        <v/>
      </c>
      <c r="AI75" s="612" t="str">
        <f t="shared" si="9"/>
        <v/>
      </c>
      <c r="AJ75" s="612" t="str" cm="1">
        <f t="array" aca="1" ref="AJ75" ca="1">IFERROR(INDEX($AI$14:$AI$99,SMALL(IF($AI$14:$AI$99&lt;&gt;"",ROW($AI$14:$AI$99)-ROW(INDIRECT("$AI$13"))+1),ROW(INDIRECT("A" &amp; AB75 ) ))),"")</f>
        <v/>
      </c>
    </row>
    <row r="76" spans="28:36" ht="20.100000000000001" customHeight="1" x14ac:dyDescent="0.45">
      <c r="AB76" s="604">
        <f t="shared" si="10"/>
        <v>63</v>
      </c>
      <c r="AC76" s="612" t="str">
        <f t="shared" si="6"/>
        <v/>
      </c>
      <c r="AD76" s="612" t="str" cm="1">
        <f t="array" aca="1" ref="AD76" ca="1">IFERROR(INDEX($AC$14:$AC$99,SMALL(IF($AC$14:$AC$99&lt;&gt;"",ROW($AC$14:$AC$99)-ROW(INDIRECT("$AC$13"))+1),ROW(INDIRECT("A" &amp; AB76 ) ))),"")</f>
        <v/>
      </c>
      <c r="AE76" s="612" t="str">
        <f t="shared" si="7"/>
        <v/>
      </c>
      <c r="AF76" s="612" t="str" cm="1">
        <f t="array" aca="1" ref="AF76" ca="1">IFERROR(INDEX($AE$14:$AE$99,SMALL(IF($AE$14:$AE$99&lt;&gt;"",ROW($AE$14:$AE$99)-ROW(INDIRECT("$AE$13"))+1),ROW(INDIRECT("A" &amp; AB76 ) ))),"")</f>
        <v/>
      </c>
      <c r="AG76" s="612" t="str">
        <f t="shared" si="8"/>
        <v/>
      </c>
      <c r="AH76" s="612" t="str" cm="1">
        <f t="array" aca="1" ref="AH76" ca="1">IFERROR(INDEX($AG$14:$AG$99,SMALL(IF($AG$14:$AG$99&lt;&gt;"",ROW($AG$14:$AG$99)-ROW(INDIRECT("$AG$13"))+1),ROW(INDIRECT("A" &amp; AB76 ) ))),"")</f>
        <v/>
      </c>
      <c r="AI76" s="612" t="str">
        <f t="shared" si="9"/>
        <v/>
      </c>
      <c r="AJ76" s="612" t="str" cm="1">
        <f t="array" aca="1" ref="AJ76" ca="1">IFERROR(INDEX($AI$14:$AI$99,SMALL(IF($AI$14:$AI$99&lt;&gt;"",ROW($AI$14:$AI$99)-ROW(INDIRECT("$AI$13"))+1),ROW(INDIRECT("A" &amp; AB76 ) ))),"")</f>
        <v/>
      </c>
    </row>
    <row r="77" spans="28:36" ht="20.100000000000001" customHeight="1" x14ac:dyDescent="0.45">
      <c r="AB77" s="604">
        <f t="shared" si="10"/>
        <v>64</v>
      </c>
      <c r="AC77" s="612" t="str">
        <f t="shared" si="6"/>
        <v/>
      </c>
      <c r="AD77" s="612" t="str" cm="1">
        <f t="array" aca="1" ref="AD77" ca="1">IFERROR(INDEX($AC$14:$AC$99,SMALL(IF($AC$14:$AC$99&lt;&gt;"",ROW($AC$14:$AC$99)-ROW(INDIRECT("$AC$13"))+1),ROW(INDIRECT("A" &amp; AB77 ) ))),"")</f>
        <v/>
      </c>
      <c r="AE77" s="612" t="str">
        <f t="shared" si="7"/>
        <v/>
      </c>
      <c r="AF77" s="612" t="str" cm="1">
        <f t="array" aca="1" ref="AF77" ca="1">IFERROR(INDEX($AE$14:$AE$99,SMALL(IF($AE$14:$AE$99&lt;&gt;"",ROW($AE$14:$AE$99)-ROW(INDIRECT("$AE$13"))+1),ROW(INDIRECT("A" &amp; AB77 ) ))),"")</f>
        <v/>
      </c>
      <c r="AG77" s="612" t="str">
        <f t="shared" si="8"/>
        <v/>
      </c>
      <c r="AH77" s="612" t="str" cm="1">
        <f t="array" aca="1" ref="AH77" ca="1">IFERROR(INDEX($AG$14:$AG$99,SMALL(IF($AG$14:$AG$99&lt;&gt;"",ROW($AG$14:$AG$99)-ROW(INDIRECT("$AG$13"))+1),ROW(INDIRECT("A" &amp; AB77 ) ))),"")</f>
        <v/>
      </c>
      <c r="AI77" s="612" t="str">
        <f t="shared" si="9"/>
        <v/>
      </c>
      <c r="AJ77" s="612" t="str" cm="1">
        <f t="array" aca="1" ref="AJ77" ca="1">IFERROR(INDEX($AI$14:$AI$99,SMALL(IF($AI$14:$AI$99&lt;&gt;"",ROW($AI$14:$AI$99)-ROW(INDIRECT("$AI$13"))+1),ROW(INDIRECT("A" &amp; AB77 ) ))),"")</f>
        <v/>
      </c>
    </row>
    <row r="78" spans="28:36" ht="20.100000000000001" customHeight="1" x14ac:dyDescent="0.45">
      <c r="AB78" s="604">
        <f t="shared" si="10"/>
        <v>65</v>
      </c>
      <c r="AC78" s="612" t="str">
        <f t="shared" si="6"/>
        <v/>
      </c>
      <c r="AD78" s="612" t="str" cm="1">
        <f t="array" aca="1" ref="AD78" ca="1">IFERROR(INDEX($AC$14:$AC$99,SMALL(IF($AC$14:$AC$99&lt;&gt;"",ROW($AC$14:$AC$99)-ROW(INDIRECT("$AC$13"))+1),ROW(INDIRECT("A" &amp; AB78 ) ))),"")</f>
        <v/>
      </c>
      <c r="AE78" s="612" t="str">
        <f t="shared" si="7"/>
        <v/>
      </c>
      <c r="AF78" s="612" t="str" cm="1">
        <f t="array" aca="1" ref="AF78" ca="1">IFERROR(INDEX($AE$14:$AE$99,SMALL(IF($AE$14:$AE$99&lt;&gt;"",ROW($AE$14:$AE$99)-ROW(INDIRECT("$AE$13"))+1),ROW(INDIRECT("A" &amp; AB78 ) ))),"")</f>
        <v/>
      </c>
      <c r="AG78" s="612" t="str">
        <f t="shared" si="8"/>
        <v/>
      </c>
      <c r="AH78" s="612" t="str" cm="1">
        <f t="array" aca="1" ref="AH78" ca="1">IFERROR(INDEX($AG$14:$AG$99,SMALL(IF($AG$14:$AG$99&lt;&gt;"",ROW($AG$14:$AG$99)-ROW(INDIRECT("$AG$13"))+1),ROW(INDIRECT("A" &amp; AB78 ) ))),"")</f>
        <v/>
      </c>
      <c r="AI78" s="612" t="str">
        <f t="shared" si="9"/>
        <v/>
      </c>
      <c r="AJ78" s="612" t="str" cm="1">
        <f t="array" aca="1" ref="AJ78" ca="1">IFERROR(INDEX($AI$14:$AI$99,SMALL(IF($AI$14:$AI$99&lt;&gt;"",ROW($AI$14:$AI$99)-ROW(INDIRECT("$AI$13"))+1),ROW(INDIRECT("A" &amp; AB78 ) ))),"")</f>
        <v/>
      </c>
    </row>
    <row r="79" spans="28:36" ht="20.100000000000001" customHeight="1" x14ac:dyDescent="0.45">
      <c r="AB79" s="604">
        <f t="shared" si="10"/>
        <v>66</v>
      </c>
      <c r="AC79" s="612" t="str">
        <f t="shared" ref="AC79:AC91" si="11">IF(AND(OR($E79="Contrôlé",$E79="Non contrôlé"),$M79="Préleveur"),$F79,"")</f>
        <v/>
      </c>
      <c r="AD79" s="612" t="str" cm="1">
        <f t="array" aca="1" ref="AD79" ca="1">IFERROR(INDEX($AC$14:$AC$99,SMALL(IF($AC$14:$AC$99&lt;&gt;"",ROW($AC$14:$AC$99)-ROW(INDIRECT("$AC$13"))+1),ROW(INDIRECT("A" &amp; AB79 ) ))),"")</f>
        <v/>
      </c>
      <c r="AE79" s="612" t="str">
        <f t="shared" ref="AE79:AE91" si="12">IF(AND(OR($E79="Contrôlé",$E79="Non contrôlé"),LEFT($M79,10) ="Débitmètre"),$F79,"")</f>
        <v/>
      </c>
      <c r="AF79" s="612" t="str" cm="1">
        <f t="array" aca="1" ref="AF79" ca="1">IFERROR(INDEX($AE$14:$AE$99,SMALL(IF($AE$14:$AE$99&lt;&gt;"",ROW($AE$14:$AE$99)-ROW(INDIRECT("$AE$13"))+1),ROW(INDIRECT("A" &amp; AB79 ) ))),"")</f>
        <v/>
      </c>
      <c r="AG79" s="612" t="str">
        <f t="shared" ref="AG79:AG91" si="13">IF(AND(OR($E79="Contrôlé",$E79="Non contrôlé"),LEFT($M79,5) ="Sonde"),$F79,"")</f>
        <v/>
      </c>
      <c r="AH79" s="612" t="str" cm="1">
        <f t="array" aca="1" ref="AH79" ca="1">IFERROR(INDEX($AG$14:$AG$99,SMALL(IF($AG$14:$AG$99&lt;&gt;"",ROW($AG$14:$AG$99)-ROW(INDIRECT("$AG$13"))+1),ROW(INDIRECT("A" &amp; AB79 ) ))),"")</f>
        <v/>
      </c>
      <c r="AI79" s="612" t="str">
        <f t="shared" ref="AI79:AI91" si="14">IF(AND(OR($E79="Contrôlé",$E79="Non contrôlé"), $F79 &lt;&gt; "", $M79 = ""),$F79,"")</f>
        <v/>
      </c>
      <c r="AJ79" s="612" t="str" cm="1">
        <f t="array" aca="1" ref="AJ79" ca="1">IFERROR(INDEX($AI$14:$AI$99,SMALL(IF($AI$14:$AI$99&lt;&gt;"",ROW($AI$14:$AI$99)-ROW(INDIRECT("$AI$13"))+1),ROW(INDIRECT("A" &amp; AB79 ) ))),"")</f>
        <v/>
      </c>
    </row>
    <row r="80" spans="28:36" ht="20.100000000000001" customHeight="1" x14ac:dyDescent="0.45">
      <c r="AB80" s="604">
        <f t="shared" si="10"/>
        <v>67</v>
      </c>
      <c r="AC80" s="612" t="str">
        <f t="shared" si="11"/>
        <v/>
      </c>
      <c r="AD80" s="612" t="str" cm="1">
        <f t="array" aca="1" ref="AD80" ca="1">IFERROR(INDEX($AC$14:$AC$99,SMALL(IF($AC$14:$AC$99&lt;&gt;"",ROW($AC$14:$AC$99)-ROW(INDIRECT("$AC$13"))+1),ROW(INDIRECT("A" &amp; AB80 ) ))),"")</f>
        <v/>
      </c>
      <c r="AE80" s="612" t="str">
        <f t="shared" si="12"/>
        <v/>
      </c>
      <c r="AF80" s="612" t="str" cm="1">
        <f t="array" aca="1" ref="AF80" ca="1">IFERROR(INDEX($AE$14:$AE$99,SMALL(IF($AE$14:$AE$99&lt;&gt;"",ROW($AE$14:$AE$99)-ROW(INDIRECT("$AE$13"))+1),ROW(INDIRECT("A" &amp; AB80 ) ))),"")</f>
        <v/>
      </c>
      <c r="AG80" s="612" t="str">
        <f t="shared" si="13"/>
        <v/>
      </c>
      <c r="AH80" s="612" t="str" cm="1">
        <f t="array" aca="1" ref="AH80" ca="1">IFERROR(INDEX($AG$14:$AG$99,SMALL(IF($AG$14:$AG$99&lt;&gt;"",ROW($AG$14:$AG$99)-ROW(INDIRECT("$AG$13"))+1),ROW(INDIRECT("A" &amp; AB80 ) ))),"")</f>
        <v/>
      </c>
      <c r="AI80" s="612" t="str">
        <f t="shared" si="14"/>
        <v/>
      </c>
      <c r="AJ80" s="612" t="str" cm="1">
        <f t="array" aca="1" ref="AJ80" ca="1">IFERROR(INDEX($AI$14:$AI$99,SMALL(IF($AI$14:$AI$99&lt;&gt;"",ROW($AI$14:$AI$99)-ROW(INDIRECT("$AI$13"))+1),ROW(INDIRECT("A" &amp; AB80 ) ))),"")</f>
        <v/>
      </c>
    </row>
    <row r="81" spans="28:36" ht="20.100000000000001" customHeight="1" x14ac:dyDescent="0.45">
      <c r="AB81" s="604">
        <f t="shared" si="10"/>
        <v>68</v>
      </c>
      <c r="AC81" s="612" t="str">
        <f t="shared" si="11"/>
        <v/>
      </c>
      <c r="AD81" s="612" t="str" cm="1">
        <f t="array" aca="1" ref="AD81" ca="1">IFERROR(INDEX($AC$14:$AC$99,SMALL(IF($AC$14:$AC$99&lt;&gt;"",ROW($AC$14:$AC$99)-ROW(INDIRECT("$AC$13"))+1),ROW(INDIRECT("A" &amp; AB81 ) ))),"")</f>
        <v/>
      </c>
      <c r="AE81" s="612" t="str">
        <f t="shared" si="12"/>
        <v/>
      </c>
      <c r="AF81" s="612" t="str" cm="1">
        <f t="array" aca="1" ref="AF81" ca="1">IFERROR(INDEX($AE$14:$AE$99,SMALL(IF($AE$14:$AE$99&lt;&gt;"",ROW($AE$14:$AE$99)-ROW(INDIRECT("$AE$13"))+1),ROW(INDIRECT("A" &amp; AB81 ) ))),"")</f>
        <v/>
      </c>
      <c r="AG81" s="612" t="str">
        <f t="shared" si="13"/>
        <v/>
      </c>
      <c r="AH81" s="612" t="str" cm="1">
        <f t="array" aca="1" ref="AH81" ca="1">IFERROR(INDEX($AG$14:$AG$99,SMALL(IF($AG$14:$AG$99&lt;&gt;"",ROW($AG$14:$AG$99)-ROW(INDIRECT("$AG$13"))+1),ROW(INDIRECT("A" &amp; AB81 ) ))),"")</f>
        <v/>
      </c>
      <c r="AI81" s="612" t="str">
        <f t="shared" si="14"/>
        <v/>
      </c>
      <c r="AJ81" s="612" t="str" cm="1">
        <f t="array" aca="1" ref="AJ81" ca="1">IFERROR(INDEX($AI$14:$AI$99,SMALL(IF($AI$14:$AI$99&lt;&gt;"",ROW($AI$14:$AI$99)-ROW(INDIRECT("$AI$13"))+1),ROW(INDIRECT("A" &amp; AB81 ) ))),"")</f>
        <v/>
      </c>
    </row>
    <row r="82" spans="28:36" ht="20.100000000000001" customHeight="1" x14ac:dyDescent="0.45">
      <c r="AB82" s="604">
        <f t="shared" si="10"/>
        <v>69</v>
      </c>
      <c r="AC82" s="612" t="str">
        <f t="shared" si="11"/>
        <v/>
      </c>
      <c r="AD82" s="612" t="str" cm="1">
        <f t="array" aca="1" ref="AD82" ca="1">IFERROR(INDEX($AC$14:$AC$99,SMALL(IF($AC$14:$AC$99&lt;&gt;"",ROW($AC$14:$AC$99)-ROW(INDIRECT("$AC$13"))+1),ROW(INDIRECT("A" &amp; AB82 ) ))),"")</f>
        <v/>
      </c>
      <c r="AE82" s="612" t="str">
        <f t="shared" si="12"/>
        <v/>
      </c>
      <c r="AF82" s="612" t="str" cm="1">
        <f t="array" aca="1" ref="AF82" ca="1">IFERROR(INDEX($AE$14:$AE$99,SMALL(IF($AE$14:$AE$99&lt;&gt;"",ROW($AE$14:$AE$99)-ROW(INDIRECT("$AE$13"))+1),ROW(INDIRECT("A" &amp; AB82 ) ))),"")</f>
        <v/>
      </c>
      <c r="AG82" s="612" t="str">
        <f t="shared" si="13"/>
        <v/>
      </c>
      <c r="AH82" s="612" t="str" cm="1">
        <f t="array" aca="1" ref="AH82" ca="1">IFERROR(INDEX($AG$14:$AG$99,SMALL(IF($AG$14:$AG$99&lt;&gt;"",ROW($AG$14:$AG$99)-ROW(INDIRECT("$AG$13"))+1),ROW(INDIRECT("A" &amp; AB82 ) ))),"")</f>
        <v/>
      </c>
      <c r="AI82" s="612" t="str">
        <f t="shared" si="14"/>
        <v/>
      </c>
      <c r="AJ82" s="612" t="str" cm="1">
        <f t="array" aca="1" ref="AJ82" ca="1">IFERROR(INDEX($AI$14:$AI$99,SMALL(IF($AI$14:$AI$99&lt;&gt;"",ROW($AI$14:$AI$99)-ROW(INDIRECT("$AI$13"))+1),ROW(INDIRECT("A" &amp; AB82 ) ))),"")</f>
        <v/>
      </c>
    </row>
    <row r="83" spans="28:36" ht="20.100000000000001" customHeight="1" x14ac:dyDescent="0.45">
      <c r="AB83" s="604">
        <f t="shared" si="10"/>
        <v>70</v>
      </c>
      <c r="AC83" s="612" t="str">
        <f t="shared" si="11"/>
        <v/>
      </c>
      <c r="AD83" s="612" t="str" cm="1">
        <f t="array" aca="1" ref="AD83" ca="1">IFERROR(INDEX($AC$14:$AC$99,SMALL(IF($AC$14:$AC$99&lt;&gt;"",ROW($AC$14:$AC$99)-ROW(INDIRECT("$AC$13"))+1),ROW(INDIRECT("A" &amp; AB83 ) ))),"")</f>
        <v/>
      </c>
      <c r="AE83" s="612" t="str">
        <f t="shared" si="12"/>
        <v/>
      </c>
      <c r="AF83" s="612" t="str" cm="1">
        <f t="array" aca="1" ref="AF83" ca="1">IFERROR(INDEX($AE$14:$AE$99,SMALL(IF($AE$14:$AE$99&lt;&gt;"",ROW($AE$14:$AE$99)-ROW(INDIRECT("$AE$13"))+1),ROW(INDIRECT("A" &amp; AB83 ) ))),"")</f>
        <v/>
      </c>
      <c r="AG83" s="612" t="str">
        <f t="shared" si="13"/>
        <v/>
      </c>
      <c r="AH83" s="612" t="str" cm="1">
        <f t="array" aca="1" ref="AH83" ca="1">IFERROR(INDEX($AG$14:$AG$99,SMALL(IF($AG$14:$AG$99&lt;&gt;"",ROW($AG$14:$AG$99)-ROW(INDIRECT("$AG$13"))+1),ROW(INDIRECT("A" &amp; AB83 ) ))),"")</f>
        <v/>
      </c>
      <c r="AI83" s="612" t="str">
        <f t="shared" si="14"/>
        <v/>
      </c>
      <c r="AJ83" s="612" t="str" cm="1">
        <f t="array" aca="1" ref="AJ83" ca="1">IFERROR(INDEX($AI$14:$AI$99,SMALL(IF($AI$14:$AI$99&lt;&gt;"",ROW($AI$14:$AI$99)-ROW(INDIRECT("$AI$13"))+1),ROW(INDIRECT("A" &amp; AB83 ) ))),"")</f>
        <v/>
      </c>
    </row>
    <row r="84" spans="28:36" ht="20.100000000000001" customHeight="1" x14ac:dyDescent="0.45">
      <c r="AB84" s="604">
        <f t="shared" si="10"/>
        <v>71</v>
      </c>
      <c r="AC84" s="612" t="str">
        <f t="shared" si="11"/>
        <v/>
      </c>
      <c r="AD84" s="612" t="str" cm="1">
        <f t="array" aca="1" ref="AD84" ca="1">IFERROR(INDEX($AC$14:$AC$99,SMALL(IF($AC$14:$AC$99&lt;&gt;"",ROW($AC$14:$AC$99)-ROW(INDIRECT("$AC$13"))+1),ROW(INDIRECT("A" &amp; AB84 ) ))),"")</f>
        <v/>
      </c>
      <c r="AE84" s="612" t="str">
        <f t="shared" si="12"/>
        <v/>
      </c>
      <c r="AF84" s="612" t="str" cm="1">
        <f t="array" aca="1" ref="AF84" ca="1">IFERROR(INDEX($AE$14:$AE$99,SMALL(IF($AE$14:$AE$99&lt;&gt;"",ROW($AE$14:$AE$99)-ROW(INDIRECT("$AE$13"))+1),ROW(INDIRECT("A" &amp; AB84 ) ))),"")</f>
        <v/>
      </c>
      <c r="AG84" s="612" t="str">
        <f t="shared" si="13"/>
        <v/>
      </c>
      <c r="AH84" s="612" t="str" cm="1">
        <f t="array" aca="1" ref="AH84" ca="1">IFERROR(INDEX($AG$14:$AG$99,SMALL(IF($AG$14:$AG$99&lt;&gt;"",ROW($AG$14:$AG$99)-ROW(INDIRECT("$AG$13"))+1),ROW(INDIRECT("A" &amp; AB84 ) ))),"")</f>
        <v/>
      </c>
      <c r="AI84" s="612" t="str">
        <f t="shared" si="14"/>
        <v/>
      </c>
      <c r="AJ84" s="612" t="str" cm="1">
        <f t="array" aca="1" ref="AJ84" ca="1">IFERROR(INDEX($AI$14:$AI$99,SMALL(IF($AI$14:$AI$99&lt;&gt;"",ROW($AI$14:$AI$99)-ROW(INDIRECT("$AI$13"))+1),ROW(INDIRECT("A" &amp; AB84 ) ))),"")</f>
        <v/>
      </c>
    </row>
    <row r="85" spans="28:36" ht="20.100000000000001" customHeight="1" x14ac:dyDescent="0.45">
      <c r="AB85" s="604">
        <f t="shared" si="10"/>
        <v>72</v>
      </c>
      <c r="AC85" s="612" t="str">
        <f t="shared" si="11"/>
        <v/>
      </c>
      <c r="AD85" s="612" t="str" cm="1">
        <f t="array" aca="1" ref="AD85" ca="1">IFERROR(INDEX($AC$14:$AC$99,SMALL(IF($AC$14:$AC$99&lt;&gt;"",ROW($AC$14:$AC$99)-ROW(INDIRECT("$AC$13"))+1),ROW(INDIRECT("A" &amp; AB85 ) ))),"")</f>
        <v/>
      </c>
      <c r="AE85" s="612" t="str">
        <f t="shared" si="12"/>
        <v/>
      </c>
      <c r="AF85" s="612" t="str" cm="1">
        <f t="array" aca="1" ref="AF85" ca="1">IFERROR(INDEX($AE$14:$AE$99,SMALL(IF($AE$14:$AE$99&lt;&gt;"",ROW($AE$14:$AE$99)-ROW(INDIRECT("$AE$13"))+1),ROW(INDIRECT("A" &amp; AB85 ) ))),"")</f>
        <v/>
      </c>
      <c r="AG85" s="612" t="str">
        <f t="shared" si="13"/>
        <v/>
      </c>
      <c r="AH85" s="612" t="str" cm="1">
        <f t="array" aca="1" ref="AH85" ca="1">IFERROR(INDEX($AG$14:$AG$99,SMALL(IF($AG$14:$AG$99&lt;&gt;"",ROW($AG$14:$AG$99)-ROW(INDIRECT("$AG$13"))+1),ROW(INDIRECT("A" &amp; AB85 ) ))),"")</f>
        <v/>
      </c>
      <c r="AI85" s="612" t="str">
        <f t="shared" si="14"/>
        <v/>
      </c>
      <c r="AJ85" s="612" t="str" cm="1">
        <f t="array" aca="1" ref="AJ85" ca="1">IFERROR(INDEX($AI$14:$AI$99,SMALL(IF($AI$14:$AI$99&lt;&gt;"",ROW($AI$14:$AI$99)-ROW(INDIRECT("$AI$13"))+1),ROW(INDIRECT("A" &amp; AB85 ) ))),"")</f>
        <v/>
      </c>
    </row>
    <row r="86" spans="28:36" ht="20.100000000000001" customHeight="1" x14ac:dyDescent="0.45">
      <c r="AB86" s="604">
        <f t="shared" si="10"/>
        <v>73</v>
      </c>
      <c r="AC86" s="612" t="str">
        <f t="shared" si="11"/>
        <v/>
      </c>
      <c r="AD86" s="612" t="str" cm="1">
        <f t="array" aca="1" ref="AD86" ca="1">IFERROR(INDEX($AC$14:$AC$99,SMALL(IF($AC$14:$AC$99&lt;&gt;"",ROW($AC$14:$AC$99)-ROW(INDIRECT("$AC$13"))+1),ROW(INDIRECT("A" &amp; AB86 ) ))),"")</f>
        <v/>
      </c>
      <c r="AE86" s="612" t="str">
        <f t="shared" si="12"/>
        <v/>
      </c>
      <c r="AF86" s="612" t="str" cm="1">
        <f t="array" aca="1" ref="AF86" ca="1">IFERROR(INDEX($AE$14:$AE$99,SMALL(IF($AE$14:$AE$99&lt;&gt;"",ROW($AE$14:$AE$99)-ROW(INDIRECT("$AE$13"))+1),ROW(INDIRECT("A" &amp; AB86 ) ))),"")</f>
        <v/>
      </c>
      <c r="AG86" s="612" t="str">
        <f t="shared" si="13"/>
        <v/>
      </c>
      <c r="AH86" s="612" t="str" cm="1">
        <f t="array" aca="1" ref="AH86" ca="1">IFERROR(INDEX($AG$14:$AG$99,SMALL(IF($AG$14:$AG$99&lt;&gt;"",ROW($AG$14:$AG$99)-ROW(INDIRECT("$AG$13"))+1),ROW(INDIRECT("A" &amp; AB86 ) ))),"")</f>
        <v/>
      </c>
      <c r="AI86" s="612" t="str">
        <f t="shared" si="14"/>
        <v/>
      </c>
      <c r="AJ86" s="612" t="str" cm="1">
        <f t="array" aca="1" ref="AJ86" ca="1">IFERROR(INDEX($AI$14:$AI$99,SMALL(IF($AI$14:$AI$99&lt;&gt;"",ROW($AI$14:$AI$99)-ROW(INDIRECT("$AI$13"))+1),ROW(INDIRECT("A" &amp; AB86 ) ))),"")</f>
        <v/>
      </c>
    </row>
    <row r="87" spans="28:36" ht="20.100000000000001" customHeight="1" x14ac:dyDescent="0.45">
      <c r="AB87" s="604">
        <f t="shared" si="10"/>
        <v>74</v>
      </c>
      <c r="AC87" s="612" t="str">
        <f t="shared" si="11"/>
        <v/>
      </c>
      <c r="AD87" s="612" t="str" cm="1">
        <f t="array" aca="1" ref="AD87" ca="1">IFERROR(INDEX($AC$14:$AC$99,SMALL(IF($AC$14:$AC$99&lt;&gt;"",ROW($AC$14:$AC$99)-ROW(INDIRECT("$AC$13"))+1),ROW(INDIRECT("A" &amp; AB87 ) ))),"")</f>
        <v/>
      </c>
      <c r="AE87" s="612" t="str">
        <f t="shared" si="12"/>
        <v/>
      </c>
      <c r="AF87" s="612" t="str" cm="1">
        <f t="array" aca="1" ref="AF87" ca="1">IFERROR(INDEX($AE$14:$AE$99,SMALL(IF($AE$14:$AE$99&lt;&gt;"",ROW($AE$14:$AE$99)-ROW(INDIRECT("$AE$13"))+1),ROW(INDIRECT("A" &amp; AB87 ) ))),"")</f>
        <v/>
      </c>
      <c r="AG87" s="612" t="str">
        <f t="shared" si="13"/>
        <v/>
      </c>
      <c r="AH87" s="612" t="str" cm="1">
        <f t="array" aca="1" ref="AH87" ca="1">IFERROR(INDEX($AG$14:$AG$99,SMALL(IF($AG$14:$AG$99&lt;&gt;"",ROW($AG$14:$AG$99)-ROW(INDIRECT("$AG$13"))+1),ROW(INDIRECT("A" &amp; AB87 ) ))),"")</f>
        <v/>
      </c>
      <c r="AI87" s="612" t="str">
        <f t="shared" si="14"/>
        <v/>
      </c>
      <c r="AJ87" s="612" t="str" cm="1">
        <f t="array" aca="1" ref="AJ87" ca="1">IFERROR(INDEX($AI$14:$AI$99,SMALL(IF($AI$14:$AI$99&lt;&gt;"",ROW($AI$14:$AI$99)-ROW(INDIRECT("$AI$13"))+1),ROW(INDIRECT("A" &amp; AB87 ) ))),"")</f>
        <v/>
      </c>
    </row>
    <row r="88" spans="28:36" ht="20.100000000000001" customHeight="1" x14ac:dyDescent="0.45">
      <c r="AB88" s="604">
        <f t="shared" si="10"/>
        <v>75</v>
      </c>
      <c r="AC88" s="612" t="str">
        <f t="shared" si="11"/>
        <v/>
      </c>
      <c r="AD88" s="612" t="str" cm="1">
        <f t="array" aca="1" ref="AD88" ca="1">IFERROR(INDEX($AC$14:$AC$99,SMALL(IF($AC$14:$AC$99&lt;&gt;"",ROW($AC$14:$AC$99)-ROW(INDIRECT("$AC$13"))+1),ROW(INDIRECT("A" &amp; AB88 ) ))),"")</f>
        <v/>
      </c>
      <c r="AE88" s="612" t="str">
        <f t="shared" si="12"/>
        <v/>
      </c>
      <c r="AF88" s="612" t="str" cm="1">
        <f t="array" aca="1" ref="AF88" ca="1">IFERROR(INDEX($AE$14:$AE$99,SMALL(IF($AE$14:$AE$99&lt;&gt;"",ROW($AE$14:$AE$99)-ROW(INDIRECT("$AE$13"))+1),ROW(INDIRECT("A" &amp; AB88 ) ))),"")</f>
        <v/>
      </c>
      <c r="AG88" s="612" t="str">
        <f t="shared" si="13"/>
        <v/>
      </c>
      <c r="AH88" s="612" t="str" cm="1">
        <f t="array" aca="1" ref="AH88" ca="1">IFERROR(INDEX($AG$14:$AG$99,SMALL(IF($AG$14:$AG$99&lt;&gt;"",ROW($AG$14:$AG$99)-ROW(INDIRECT("$AG$13"))+1),ROW(INDIRECT("A" &amp; AB88 ) ))),"")</f>
        <v/>
      </c>
      <c r="AI88" s="612" t="str">
        <f t="shared" si="14"/>
        <v/>
      </c>
      <c r="AJ88" s="612" t="str" cm="1">
        <f t="array" aca="1" ref="AJ88" ca="1">IFERROR(INDEX($AI$14:$AI$99,SMALL(IF($AI$14:$AI$99&lt;&gt;"",ROW($AI$14:$AI$99)-ROW(INDIRECT("$AI$13"))+1),ROW(INDIRECT("A" &amp; AB88 ) ))),"")</f>
        <v/>
      </c>
    </row>
    <row r="89" spans="28:36" ht="20.100000000000001" customHeight="1" x14ac:dyDescent="0.45">
      <c r="AB89" s="604">
        <f t="shared" si="10"/>
        <v>76</v>
      </c>
      <c r="AC89" s="612" t="str">
        <f t="shared" si="11"/>
        <v/>
      </c>
      <c r="AD89" s="612" t="str" cm="1">
        <f t="array" aca="1" ref="AD89" ca="1">IFERROR(INDEX($AC$14:$AC$99,SMALL(IF($AC$14:$AC$99&lt;&gt;"",ROW($AC$14:$AC$99)-ROW(INDIRECT("$AC$13"))+1),ROW(INDIRECT("A" &amp; AB89 ) ))),"")</f>
        <v/>
      </c>
      <c r="AE89" s="612" t="str">
        <f t="shared" si="12"/>
        <v/>
      </c>
      <c r="AF89" s="612" t="str" cm="1">
        <f t="array" aca="1" ref="AF89" ca="1">IFERROR(INDEX($AE$14:$AE$99,SMALL(IF($AE$14:$AE$99&lt;&gt;"",ROW($AE$14:$AE$99)-ROW(INDIRECT("$AE$13"))+1),ROW(INDIRECT("A" &amp; AB89 ) ))),"")</f>
        <v/>
      </c>
      <c r="AG89" s="612" t="str">
        <f t="shared" si="13"/>
        <v/>
      </c>
      <c r="AH89" s="612" t="str" cm="1">
        <f t="array" aca="1" ref="AH89" ca="1">IFERROR(INDEX($AG$14:$AG$99,SMALL(IF($AG$14:$AG$99&lt;&gt;"",ROW($AG$14:$AG$99)-ROW(INDIRECT("$AG$13"))+1),ROW(INDIRECT("A" &amp; AB89 ) ))),"")</f>
        <v/>
      </c>
      <c r="AI89" s="612" t="str">
        <f t="shared" si="14"/>
        <v/>
      </c>
      <c r="AJ89" s="612" t="str" cm="1">
        <f t="array" aca="1" ref="AJ89" ca="1">IFERROR(INDEX($AI$14:$AI$99,SMALL(IF($AI$14:$AI$99&lt;&gt;"",ROW($AI$14:$AI$99)-ROW(INDIRECT("$AI$13"))+1),ROW(INDIRECT("A" &amp; AB89 ) ))),"")</f>
        <v/>
      </c>
    </row>
    <row r="90" spans="28:36" ht="20.100000000000001" customHeight="1" x14ac:dyDescent="0.45">
      <c r="AB90" s="604">
        <f t="shared" si="10"/>
        <v>77</v>
      </c>
      <c r="AC90" s="612" t="str">
        <f t="shared" si="11"/>
        <v/>
      </c>
      <c r="AD90" s="612" t="str" cm="1">
        <f t="array" aca="1" ref="AD90" ca="1">IFERROR(INDEX($AC$14:$AC$99,SMALL(IF($AC$14:$AC$99&lt;&gt;"",ROW($AC$14:$AC$99)-ROW(INDIRECT("$AC$13"))+1),ROW(INDIRECT("A" &amp; AB90 ) ))),"")</f>
        <v/>
      </c>
      <c r="AE90" s="612" t="str">
        <f t="shared" si="12"/>
        <v/>
      </c>
      <c r="AF90" s="612" t="str" cm="1">
        <f t="array" aca="1" ref="AF90" ca="1">IFERROR(INDEX($AE$14:$AE$99,SMALL(IF($AE$14:$AE$99&lt;&gt;"",ROW($AE$14:$AE$99)-ROW(INDIRECT("$AE$13"))+1),ROW(INDIRECT("A" &amp; AB90 ) ))),"")</f>
        <v/>
      </c>
      <c r="AG90" s="612" t="str">
        <f t="shared" si="13"/>
        <v/>
      </c>
      <c r="AH90" s="612" t="str" cm="1">
        <f t="array" aca="1" ref="AH90" ca="1">IFERROR(INDEX($AG$14:$AG$99,SMALL(IF($AG$14:$AG$99&lt;&gt;"",ROW($AG$14:$AG$99)-ROW(INDIRECT("$AG$13"))+1),ROW(INDIRECT("A" &amp; AB90 ) ))),"")</f>
        <v/>
      </c>
      <c r="AI90" s="612" t="str">
        <f t="shared" si="14"/>
        <v/>
      </c>
      <c r="AJ90" s="612" t="str" cm="1">
        <f t="array" aca="1" ref="AJ90" ca="1">IFERROR(INDEX($AI$14:$AI$99,SMALL(IF($AI$14:$AI$99&lt;&gt;"",ROW($AI$14:$AI$99)-ROW(INDIRECT("$AI$13"))+1),ROW(INDIRECT("A" &amp; AB90 ) ))),"")</f>
        <v/>
      </c>
    </row>
    <row r="91" spans="28:36" ht="20.100000000000001" customHeight="1" x14ac:dyDescent="0.45">
      <c r="AB91" s="604">
        <f t="shared" si="10"/>
        <v>78</v>
      </c>
      <c r="AC91" s="612" t="str">
        <f t="shared" si="11"/>
        <v/>
      </c>
      <c r="AD91" s="612" t="str" cm="1">
        <f t="array" aca="1" ref="AD91" ca="1">IFERROR(INDEX($AC$14:$AC$99,SMALL(IF($AC$14:$AC$99&lt;&gt;"",ROW($AC$14:$AC$99)-ROW(INDIRECT("$AC$13"))+1),ROW(INDIRECT("A" &amp; AB91 ) ))),"")</f>
        <v/>
      </c>
      <c r="AE91" s="612" t="str">
        <f t="shared" si="12"/>
        <v/>
      </c>
      <c r="AF91" s="612" t="str" cm="1">
        <f t="array" aca="1" ref="AF91" ca="1">IFERROR(INDEX($AE$14:$AE$99,SMALL(IF($AE$14:$AE$99&lt;&gt;"",ROW($AE$14:$AE$99)-ROW(INDIRECT("$AE$13"))+1),ROW(INDIRECT("A" &amp; AB91 ) ))),"")</f>
        <v/>
      </c>
      <c r="AG91" s="612" t="str">
        <f t="shared" si="13"/>
        <v/>
      </c>
      <c r="AH91" s="612" t="str" cm="1">
        <f t="array" aca="1" ref="AH91" ca="1">IFERROR(INDEX($AG$14:$AG$99,SMALL(IF($AG$14:$AG$99&lt;&gt;"",ROW($AG$14:$AG$99)-ROW(INDIRECT("$AG$13"))+1),ROW(INDIRECT("A" &amp; AB91 ) ))),"")</f>
        <v/>
      </c>
      <c r="AI91" s="612" t="str">
        <f t="shared" si="14"/>
        <v/>
      </c>
      <c r="AJ91" s="612" t="str" cm="1">
        <f t="array" aca="1" ref="AJ91" ca="1">IFERROR(INDEX($AI$14:$AI$99,SMALL(IF($AI$14:$AI$99&lt;&gt;"",ROW($AI$14:$AI$99)-ROW(INDIRECT("$AI$13"))+1),ROW(INDIRECT("A" &amp; AB91 ) ))),"")</f>
        <v/>
      </c>
    </row>
    <row r="92" spans="28:36" ht="20.100000000000001" customHeight="1" x14ac:dyDescent="0.45">
      <c r="AI92" s="612" t="str">
        <f t="shared" ref="AI92" si="15">IF(AND($E92="Oui", $M92 &lt;&gt; "", $M92 = ""),$F92,"")</f>
        <v/>
      </c>
      <c r="AJ92" s="612" t="str" cm="1">
        <f t="array" aca="1" ref="AJ92" ca="1">IFERROR(INDEX($AI$14:$AI$99,SMALL(IF($AI$14:$AI$99&lt;&gt;"",ROW($AI$14:$AI$99)-ROW(INDIRECT("$AI$13"))+1),ROW(INDIRECT("A" &amp; AB92 ) ))),"")</f>
        <v/>
      </c>
    </row>
  </sheetData>
  <sheetProtection algorithmName="SHA-512" hashValue="tBu2nYFpLXlEbOsQD7FffS7ZJDvgVC5ZNKuU/m15QUQzmbT64xBtcSj2q/8uB37eluNWvJ4XxxFA+ork+h4lXA==" saltValue="PZu9ZKnVNwII5BPN5V4vUw==" spinCount="100000" sheet="1" objects="1" scenarios="1" formatRows="0"/>
  <autoFilter ref="E33:Q33" xr:uid="{00000000-0009-0000-0000-000007000000}">
    <filterColumn colId="1" showButton="0"/>
    <filterColumn colId="6" showButton="0"/>
    <filterColumn colId="8" showButton="0"/>
    <filterColumn colId="10" showButton="0"/>
    <filterColumn colId="11" showButton="0"/>
  </autoFilter>
  <mergeCells count="69">
    <mergeCell ref="K45:T45"/>
    <mergeCell ref="E35:G35"/>
    <mergeCell ref="F42:G42"/>
    <mergeCell ref="U3:V3"/>
    <mergeCell ref="U4:V4"/>
    <mergeCell ref="S3:T3"/>
    <mergeCell ref="S4:T4"/>
    <mergeCell ref="U5:V5"/>
    <mergeCell ref="E15:G15"/>
    <mergeCell ref="K15:T15"/>
    <mergeCell ref="K36:T37"/>
    <mergeCell ref="K35:T35"/>
    <mergeCell ref="K16:T17"/>
    <mergeCell ref="C29:V29"/>
    <mergeCell ref="F22:G22"/>
    <mergeCell ref="K24:T24"/>
    <mergeCell ref="K25:T25"/>
    <mergeCell ref="E24:G24"/>
    <mergeCell ref="R33:T33"/>
    <mergeCell ref="E44:G44"/>
    <mergeCell ref="K44:T44"/>
    <mergeCell ref="K33:L33"/>
    <mergeCell ref="F33:G33"/>
    <mergeCell ref="O33:Q33"/>
    <mergeCell ref="M33:N33"/>
    <mergeCell ref="F13:G13"/>
    <mergeCell ref="S13:T13"/>
    <mergeCell ref="AG13:AH13"/>
    <mergeCell ref="L5:M5"/>
    <mergeCell ref="H12:Q12"/>
    <mergeCell ref="U6:V6"/>
    <mergeCell ref="L3:M3"/>
    <mergeCell ref="L4:M4"/>
    <mergeCell ref="AI13:AJ13"/>
    <mergeCell ref="AE13:AF13"/>
    <mergeCell ref="Q13:R13"/>
    <mergeCell ref="N5:P5"/>
    <mergeCell ref="Q5:R5"/>
    <mergeCell ref="C8:V8"/>
    <mergeCell ref="H7:I7"/>
    <mergeCell ref="D7:E7"/>
    <mergeCell ref="F7:G7"/>
    <mergeCell ref="J7:K7"/>
    <mergeCell ref="AC13:AD13"/>
    <mergeCell ref="M13:N13"/>
    <mergeCell ref="O13:P13"/>
    <mergeCell ref="K13:L13"/>
    <mergeCell ref="C2:S2"/>
    <mergeCell ref="N6:P6"/>
    <mergeCell ref="L6:M6"/>
    <mergeCell ref="Q6:R6"/>
    <mergeCell ref="C5:E5"/>
    <mergeCell ref="C6:E6"/>
    <mergeCell ref="F5:H5"/>
    <mergeCell ref="F6:H6"/>
    <mergeCell ref="N4:P4"/>
    <mergeCell ref="N3:P3"/>
    <mergeCell ref="Q3:R3"/>
    <mergeCell ref="Q4:R4"/>
    <mergeCell ref="S5:T5"/>
    <mergeCell ref="S6:T6"/>
    <mergeCell ref="I5:K5"/>
    <mergeCell ref="I6:K6"/>
    <mergeCell ref="C3:E3"/>
    <mergeCell ref="C4:E4"/>
    <mergeCell ref="F3:H3"/>
    <mergeCell ref="F4:H4"/>
    <mergeCell ref="I3:K3"/>
    <mergeCell ref="I4:K4"/>
  </mergeCells>
  <phoneticPr fontId="19" type="noConversion"/>
  <conditionalFormatting sqref="E18:E21 D28 D45:F45 D46:E46">
    <cfRule type="cellIs" dxfId="66" priority="37" operator="equal">
      <formula>"Non"</formula>
    </cfRule>
    <cfRule type="cellIs" dxfId="65" priority="38" operator="equal">
      <formula>"Oui"</formula>
    </cfRule>
  </conditionalFormatting>
  <conditionalFormatting sqref="E22">
    <cfRule type="cellIs" dxfId="64" priority="121" stopIfTrue="1" operator="equal">
      <formula>"Non"</formula>
    </cfRule>
    <cfRule type="cellIs" dxfId="63" priority="122" stopIfTrue="1" operator="equal">
      <formula>"Oui"</formula>
    </cfRule>
  </conditionalFormatting>
  <conditionalFormatting sqref="E24">
    <cfRule type="cellIs" dxfId="62" priority="83" stopIfTrue="1" operator="equal">
      <formula>"Non"</formula>
    </cfRule>
    <cfRule type="cellIs" dxfId="61" priority="84" stopIfTrue="1" operator="equal">
      <formula>"Oui"</formula>
    </cfRule>
  </conditionalFormatting>
  <conditionalFormatting sqref="E42">
    <cfRule type="cellIs" dxfId="60" priority="101" stopIfTrue="1" operator="equal">
      <formula>"Non"</formula>
    </cfRule>
    <cfRule type="cellIs" dxfId="59" priority="102" stopIfTrue="1" operator="equal">
      <formula>"Oui"</formula>
    </cfRule>
  </conditionalFormatting>
  <dataValidations count="5">
    <dataValidation type="list" allowBlank="1" showInputMessage="1" showErrorMessage="1" sqref="K48" xr:uid="{00000000-0002-0000-0700-000000000000}">
      <formula1>LISTE_1</formula1>
    </dataValidation>
    <dataValidation allowBlank="1" showInputMessage="1" showErrorMessage="1" promptTitle="Double click" prompt="Pour utiliser cette fonction, faites un double click sur la cellule" sqref="E24:G24 E44 E15 E38 E35" xr:uid="{00000000-0002-0000-0700-000002000000}"/>
    <dataValidation allowBlank="1" showInputMessage="1" showErrorMessage="1" promptTitle="Champ obligatoire" prompt="La saisie du pluviomètre de référence est obligatoire" sqref="Q13:R13" xr:uid="{B1EB909C-DD9A-4529-AB67-D930E53B681D}"/>
    <dataValidation type="list" allowBlank="1" showInputMessage="1" showErrorMessage="1" sqref="Q5:R5" xr:uid="{639DDD7E-E771-4E66-9B9C-CE276F3F695A}">
      <formula1>Type_reseau</formula1>
    </dataValidation>
    <dataValidation allowBlank="1" showInputMessage="1" showErrorMessage="1" prompt="Attention, le code du point noté dans le MAS, le fichier SANDRE et la grille de cotation doivent être identiques" sqref="J33 J13" xr:uid="{997C1E12-5B4E-48B6-85C1-CEA80CCD3C38}"/>
  </dataValidations>
  <pageMargins left="0.7" right="0.7" top="0.75" bottom="0.75" header="0.3" footer="0.3"/>
  <pageSetup paperSize="9" scale="28" orientation="portrait" horizontalDpi="4294967293" r:id="rId1"/>
  <rowBreaks count="1" manualBreakCount="1">
    <brk id="48" max="16383" man="1"/>
  </rowBreaks>
  <colBreaks count="1" manualBreakCount="1">
    <brk id="23"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6D264-86DD-4775-AE0E-6B2729B31037}">
  <sheetPr codeName="Feuil10">
    <tabColor theme="9" tint="-0.249977111117893"/>
  </sheetPr>
  <dimension ref="B1:AX158"/>
  <sheetViews>
    <sheetView zoomScale="40" zoomScaleNormal="40" zoomScaleSheetLayoutView="25" workbookViewId="0">
      <selection activeCell="AD1" sqref="AD1:AX1048576"/>
    </sheetView>
  </sheetViews>
  <sheetFormatPr baseColWidth="10" defaultColWidth="11.41015625" defaultRowHeight="20.100000000000001" customHeight="1" outlineLevelRow="1" x14ac:dyDescent="0.4"/>
  <cols>
    <col min="1" max="2" width="2.703125" style="241" customWidth="1"/>
    <col min="3" max="3" width="3.703125" style="241" customWidth="1"/>
    <col min="4" max="8" width="12.703125" style="241" customWidth="1"/>
    <col min="9" max="9" width="15.29296875" style="241" customWidth="1"/>
    <col min="10" max="27" width="12.703125" style="241" customWidth="1"/>
    <col min="28" max="29" width="2.703125" style="241" customWidth="1"/>
    <col min="30" max="33" width="11.41015625" style="613"/>
    <col min="34" max="35" width="16.41015625" style="613" customWidth="1"/>
    <col min="36" max="36" width="18.1171875" style="613" customWidth="1"/>
    <col min="37" max="37" width="16.41015625" style="613" customWidth="1"/>
    <col min="38" max="41" width="12.703125" style="613" customWidth="1"/>
    <col min="42" max="50" width="11.41015625" style="613"/>
    <col min="51" max="16384" width="11.41015625" style="241"/>
  </cols>
  <sheetData>
    <row r="1" spans="2:28" ht="9.9499999999999993" customHeight="1" thickBot="1" x14ac:dyDescent="0.45">
      <c r="B1" s="250"/>
      <c r="C1" s="251"/>
      <c r="D1" s="251"/>
      <c r="E1" s="251"/>
      <c r="F1" s="251"/>
      <c r="G1" s="251"/>
      <c r="H1" s="251"/>
      <c r="I1" s="251"/>
      <c r="J1" s="251"/>
      <c r="K1" s="251"/>
      <c r="L1" s="251"/>
      <c r="M1" s="251"/>
      <c r="N1" s="251"/>
      <c r="O1" s="251"/>
      <c r="P1" s="251"/>
      <c r="Q1" s="251"/>
      <c r="R1" s="251"/>
      <c r="S1" s="251"/>
      <c r="T1" s="251"/>
      <c r="U1" s="251"/>
      <c r="V1" s="251"/>
      <c r="W1" s="251"/>
      <c r="X1" s="251"/>
      <c r="Y1" s="251"/>
      <c r="Z1" s="251"/>
      <c r="AA1" s="251"/>
      <c r="AB1" s="252"/>
    </row>
    <row r="2" spans="2:28" ht="66.95" customHeight="1" thickTop="1" thickBot="1" x14ac:dyDescent="0.45">
      <c r="B2" s="253"/>
      <c r="C2" s="880" t="s">
        <v>581</v>
      </c>
      <c r="D2" s="881"/>
      <c r="E2" s="881"/>
      <c r="F2" s="881"/>
      <c r="G2" s="881"/>
      <c r="H2" s="881"/>
      <c r="I2" s="881"/>
      <c r="J2" s="881"/>
      <c r="K2" s="881"/>
      <c r="L2" s="881"/>
      <c r="M2" s="881"/>
      <c r="N2" s="881"/>
      <c r="O2" s="881"/>
      <c r="P2" s="881"/>
      <c r="Q2" s="881"/>
      <c r="R2" s="881"/>
      <c r="S2" s="881"/>
      <c r="T2" s="881"/>
      <c r="U2" s="881"/>
      <c r="V2" s="881"/>
      <c r="W2" s="881"/>
      <c r="X2" s="328"/>
      <c r="Y2" s="882" t="s">
        <v>495</v>
      </c>
      <c r="Z2" s="883"/>
      <c r="AA2" s="329"/>
      <c r="AB2" s="249"/>
    </row>
    <row r="3" spans="2:28" ht="20.100000000000001" customHeight="1" x14ac:dyDescent="0.4">
      <c r="B3" s="253"/>
      <c r="C3" s="884" t="s">
        <v>438</v>
      </c>
      <c r="D3" s="885"/>
      <c r="E3" s="885"/>
      <c r="F3" s="886"/>
      <c r="G3" s="870" t="str">
        <f>IF(ISBLANK(Descriptif!F3),"",Descriptif!F3)</f>
        <v/>
      </c>
      <c r="H3" s="871"/>
      <c r="I3" s="876"/>
      <c r="J3" s="637" t="s">
        <v>446</v>
      </c>
      <c r="K3" s="630"/>
      <c r="L3" s="631"/>
      <c r="M3" s="870" t="str">
        <f>IF(ISBLANK(Descriptif!L3),"",Descriptif!L3)</f>
        <v/>
      </c>
      <c r="N3" s="871"/>
      <c r="O3" s="876"/>
      <c r="P3" s="637" t="s">
        <v>447</v>
      </c>
      <c r="Q3" s="630"/>
      <c r="R3" s="631"/>
      <c r="S3" s="870" t="str">
        <f>IF(ISBLANK(Descriptif!Q3),"",Descriptif!Q3)</f>
        <v/>
      </c>
      <c r="T3" s="871"/>
      <c r="U3" s="876"/>
      <c r="V3" s="637" t="s">
        <v>469</v>
      </c>
      <c r="W3" s="630"/>
      <c r="X3" s="631"/>
      <c r="Y3" s="887" t="str">
        <f>IF(ISBLANK(Descriptif!U3),"",Descriptif!U3)</f>
        <v/>
      </c>
      <c r="Z3" s="888"/>
      <c r="AA3" s="872"/>
      <c r="AB3" s="249"/>
    </row>
    <row r="4" spans="2:28" ht="20.100000000000001" customHeight="1" x14ac:dyDescent="0.4">
      <c r="B4" s="253"/>
      <c r="C4" s="873" t="s">
        <v>449</v>
      </c>
      <c r="D4" s="874"/>
      <c r="E4" s="874"/>
      <c r="F4" s="875"/>
      <c r="G4" s="870" t="str">
        <f>IF(ISBLANK(Descriptif!F4),"",Descriptif!F4)</f>
        <v/>
      </c>
      <c r="H4" s="871"/>
      <c r="I4" s="876"/>
      <c r="J4" s="637" t="s">
        <v>440</v>
      </c>
      <c r="K4" s="630"/>
      <c r="L4" s="631"/>
      <c r="M4" s="870" t="str">
        <f>IF(ISBLANK(Descriptif!L4),"",Descriptif!L4)</f>
        <v/>
      </c>
      <c r="N4" s="871"/>
      <c r="O4" s="876"/>
      <c r="P4" s="637" t="s">
        <v>453</v>
      </c>
      <c r="Q4" s="630"/>
      <c r="R4" s="631"/>
      <c r="S4" s="870" t="str">
        <f>IF(ISBLANK(Descriptif!Q4),"",Descriptif!Q4)</f>
        <v/>
      </c>
      <c r="T4" s="871"/>
      <c r="U4" s="876"/>
      <c r="V4" s="637" t="s">
        <v>448</v>
      </c>
      <c r="W4" s="630"/>
      <c r="X4" s="631"/>
      <c r="Y4" s="870" t="str">
        <f>IF(ISBLANK(Descriptif!U4),"",Descriptif!U4)</f>
        <v/>
      </c>
      <c r="Z4" s="871"/>
      <c r="AA4" s="872"/>
      <c r="AB4" s="249"/>
    </row>
    <row r="5" spans="2:28" ht="30" customHeight="1" x14ac:dyDescent="0.4">
      <c r="B5" s="253"/>
      <c r="C5" s="873" t="s">
        <v>470</v>
      </c>
      <c r="D5" s="874"/>
      <c r="E5" s="874"/>
      <c r="F5" s="875"/>
      <c r="G5" s="870" t="str">
        <f>IF(ISBLANK(Descriptif!F5),"",Descriptif!F5)</f>
        <v/>
      </c>
      <c r="H5" s="871"/>
      <c r="I5" s="876"/>
      <c r="J5" s="637" t="s">
        <v>441</v>
      </c>
      <c r="K5" s="630"/>
      <c r="L5" s="631"/>
      <c r="M5" s="870" t="str">
        <f>IF(ISBLANK(Descriptif!L5),"",Descriptif!L5)</f>
        <v/>
      </c>
      <c r="N5" s="871"/>
      <c r="O5" s="876"/>
      <c r="P5" s="637" t="s">
        <v>475</v>
      </c>
      <c r="Q5" s="630"/>
      <c r="R5" s="631"/>
      <c r="S5" s="870" t="str">
        <f>IF(ISBLANK(Descriptif!Q5),"",Descriptif!Q5)</f>
        <v/>
      </c>
      <c r="T5" s="871"/>
      <c r="U5" s="876"/>
      <c r="V5" s="637" t="s">
        <v>444</v>
      </c>
      <c r="W5" s="630"/>
      <c r="X5" s="631"/>
      <c r="Y5" s="877" t="str">
        <f>IF(ISBLANK(Descriptif!U5),"",Descriptif!U5)</f>
        <v/>
      </c>
      <c r="Z5" s="878"/>
      <c r="AA5" s="879"/>
      <c r="AB5" s="249"/>
    </row>
    <row r="6" spans="2:28" ht="20.100000000000001" customHeight="1" thickBot="1" x14ac:dyDescent="0.45">
      <c r="B6" s="253"/>
      <c r="C6" s="867" t="s">
        <v>439</v>
      </c>
      <c r="D6" s="868"/>
      <c r="E6" s="868"/>
      <c r="F6" s="869"/>
      <c r="G6" s="819" t="str">
        <f>IF(ISBLANK(Descriptif!F6),"",Descriptif!F6)</f>
        <v/>
      </c>
      <c r="H6" s="820"/>
      <c r="I6" s="821"/>
      <c r="J6" s="641" t="s">
        <v>476</v>
      </c>
      <c r="K6" s="642"/>
      <c r="L6" s="643"/>
      <c r="M6" s="819" t="str">
        <f>IF(ISBLANK(Descriptif!L6),"",Descriptif!L6)</f>
        <v/>
      </c>
      <c r="N6" s="820"/>
      <c r="O6" s="821"/>
      <c r="P6" s="641" t="s">
        <v>474</v>
      </c>
      <c r="Q6" s="642"/>
      <c r="R6" s="643"/>
      <c r="S6" s="819" t="str">
        <f>IF(ISBLANK(Descriptif!Q6),"",Descriptif!Q6)</f>
        <v/>
      </c>
      <c r="T6" s="820"/>
      <c r="U6" s="821"/>
      <c r="V6" s="654" t="s">
        <v>473</v>
      </c>
      <c r="W6" s="655"/>
      <c r="X6" s="863"/>
      <c r="Y6" s="864" t="str">
        <f>IF(ISBLANK(Descriptif!U6),"",Descriptif!U6)</f>
        <v/>
      </c>
      <c r="Z6" s="865"/>
      <c r="AA6" s="866"/>
      <c r="AB6" s="249"/>
    </row>
    <row r="7" spans="2:28" ht="20.100000000000001" customHeight="1" thickTop="1" thickBot="1" x14ac:dyDescent="0.45">
      <c r="B7" s="253"/>
      <c r="C7" s="254"/>
      <c r="D7" s="254"/>
      <c r="E7" s="254"/>
      <c r="F7" s="254"/>
      <c r="G7" s="254"/>
      <c r="H7" s="254"/>
      <c r="I7" s="254"/>
      <c r="J7" s="254"/>
      <c r="K7" s="254"/>
      <c r="L7" s="254"/>
      <c r="M7" s="254"/>
      <c r="N7" s="254"/>
      <c r="O7" s="254"/>
      <c r="P7" s="254"/>
      <c r="Q7" s="254"/>
      <c r="R7" s="254"/>
      <c r="S7" s="254"/>
      <c r="T7" s="254"/>
      <c r="U7" s="254"/>
      <c r="V7" s="254"/>
      <c r="W7" s="254"/>
      <c r="X7" s="254"/>
      <c r="Y7" s="254"/>
      <c r="Z7" s="254"/>
      <c r="AA7" s="254"/>
      <c r="AB7" s="249"/>
    </row>
    <row r="8" spans="2:28" ht="20.100000000000001" customHeight="1" thickTop="1" thickBot="1" x14ac:dyDescent="0.45">
      <c r="B8" s="253"/>
      <c r="C8" s="661" t="s">
        <v>487</v>
      </c>
      <c r="D8" s="662"/>
      <c r="E8" s="662"/>
      <c r="F8" s="662"/>
      <c r="G8" s="662"/>
      <c r="H8" s="662"/>
      <c r="I8" s="662"/>
      <c r="J8" s="662"/>
      <c r="K8" s="662"/>
      <c r="L8" s="662"/>
      <c r="M8" s="662"/>
      <c r="N8" s="662"/>
      <c r="O8" s="662"/>
      <c r="P8" s="662"/>
      <c r="Q8" s="662"/>
      <c r="R8" s="662"/>
      <c r="S8" s="662"/>
      <c r="T8" s="662"/>
      <c r="U8" s="662"/>
      <c r="V8" s="662"/>
      <c r="W8" s="662"/>
      <c r="X8" s="662"/>
      <c r="Y8" s="662"/>
      <c r="Z8" s="662"/>
      <c r="AA8" s="663"/>
      <c r="AB8" s="245"/>
    </row>
    <row r="9" spans="2:28" ht="20.100000000000001" customHeight="1" outlineLevel="1" thickTop="1" thickBot="1" x14ac:dyDescent="0.45">
      <c r="B9" s="253"/>
      <c r="C9" s="264"/>
      <c r="D9" s="254"/>
      <c r="E9" s="254"/>
      <c r="F9" s="254"/>
      <c r="G9" s="254"/>
      <c r="H9" s="254"/>
      <c r="I9" s="254"/>
      <c r="J9" s="254"/>
      <c r="K9" s="254"/>
      <c r="L9" s="254"/>
      <c r="M9" s="254"/>
      <c r="N9" s="254"/>
      <c r="O9" s="254"/>
      <c r="P9" s="254"/>
      <c r="Q9" s="254"/>
      <c r="R9" s="254"/>
      <c r="S9" s="254"/>
      <c r="T9" s="254"/>
      <c r="U9" s="254"/>
      <c r="V9" s="254"/>
      <c r="W9" s="254"/>
      <c r="X9" s="254"/>
      <c r="Y9" s="254"/>
      <c r="Z9" s="254"/>
      <c r="AA9" s="265"/>
      <c r="AB9" s="249"/>
    </row>
    <row r="10" spans="2:28" ht="20.100000000000001" customHeight="1" outlineLevel="1" thickBot="1" x14ac:dyDescent="0.6">
      <c r="B10" s="253"/>
      <c r="C10" s="264"/>
      <c r="D10" s="724" t="s">
        <v>482</v>
      </c>
      <c r="E10" s="725"/>
      <c r="F10" s="271"/>
      <c r="G10" s="271"/>
      <c r="H10" s="271"/>
      <c r="I10" s="271"/>
      <c r="J10" s="271"/>
      <c r="K10" s="271"/>
      <c r="L10" s="271"/>
      <c r="M10" s="271"/>
      <c r="N10" s="271"/>
      <c r="O10" s="271"/>
      <c r="P10" s="271"/>
      <c r="Q10" s="309"/>
      <c r="R10" s="310"/>
      <c r="S10" s="310"/>
      <c r="T10" s="310"/>
      <c r="U10" s="310"/>
      <c r="V10" s="310"/>
      <c r="W10" s="310"/>
      <c r="X10" s="310"/>
      <c r="Y10" s="310"/>
      <c r="Z10" s="267"/>
      <c r="AA10" s="265"/>
      <c r="AB10" s="249"/>
    </row>
    <row r="11" spans="2:28" ht="20.100000000000001" customHeight="1" outlineLevel="1" x14ac:dyDescent="0.4">
      <c r="B11" s="253"/>
      <c r="C11" s="264"/>
      <c r="D11" s="726"/>
      <c r="E11" s="727"/>
      <c r="F11" s="254"/>
      <c r="G11" s="730"/>
      <c r="H11" s="731"/>
      <c r="I11" s="731"/>
      <c r="J11" s="731"/>
      <c r="K11" s="731"/>
      <c r="L11" s="732"/>
      <c r="M11" s="733" t="s">
        <v>483</v>
      </c>
      <c r="N11" s="735" t="s">
        <v>480</v>
      </c>
      <c r="O11" s="736"/>
      <c r="P11" s="736"/>
      <c r="Q11" s="736"/>
      <c r="R11" s="736"/>
      <c r="S11" s="736"/>
      <c r="T11" s="736"/>
      <c r="U11" s="736"/>
      <c r="V11" s="736"/>
      <c r="W11" s="736"/>
      <c r="X11" s="736"/>
      <c r="Y11" s="737"/>
      <c r="Z11" s="268"/>
      <c r="AA11" s="265"/>
      <c r="AB11" s="249"/>
    </row>
    <row r="12" spans="2:28" ht="30" customHeight="1" outlineLevel="1" x14ac:dyDescent="0.4">
      <c r="B12" s="253"/>
      <c r="C12" s="264"/>
      <c r="D12" s="726"/>
      <c r="E12" s="727"/>
      <c r="F12" s="254"/>
      <c r="G12" s="738" t="s">
        <v>485</v>
      </c>
      <c r="H12" s="739"/>
      <c r="I12" s="739"/>
      <c r="J12" s="739"/>
      <c r="K12" s="739"/>
      <c r="L12" s="431" t="str">
        <f>IF(Qualité!$L$10&lt;&gt;"",Qualité!$L$10,"Non contrôlé")</f>
        <v>Non contrôlé</v>
      </c>
      <c r="M12" s="734"/>
      <c r="N12" s="740" t="str">
        <f>IF(Qualité!$M$10&lt;&gt;"",Qualité!$M$10,"")</f>
        <v/>
      </c>
      <c r="O12" s="741"/>
      <c r="P12" s="741"/>
      <c r="Q12" s="741"/>
      <c r="R12" s="741"/>
      <c r="S12" s="741"/>
      <c r="T12" s="741"/>
      <c r="U12" s="741"/>
      <c r="V12" s="741"/>
      <c r="W12" s="741"/>
      <c r="X12" s="741"/>
      <c r="Y12" s="742"/>
      <c r="Z12" s="268"/>
      <c r="AA12" s="265"/>
      <c r="AB12" s="249"/>
    </row>
    <row r="13" spans="2:28" ht="30" customHeight="1" outlineLevel="1" thickBot="1" x14ac:dyDescent="0.45">
      <c r="B13" s="253"/>
      <c r="C13" s="264"/>
      <c r="D13" s="726"/>
      <c r="E13" s="727"/>
      <c r="F13" s="254"/>
      <c r="G13" s="743" t="s">
        <v>484</v>
      </c>
      <c r="H13" s="744"/>
      <c r="I13" s="744"/>
      <c r="J13" s="744"/>
      <c r="K13" s="744"/>
      <c r="L13" s="434" t="str">
        <f>IF(Qualité!$L$29&lt;&gt;"",Qualité!$L$29,"Non contrôlé")</f>
        <v>Non contrôlé</v>
      </c>
      <c r="M13" s="435">
        <f>IF(Qualité!$L$29="Oui",1,0.9)</f>
        <v>0.9</v>
      </c>
      <c r="N13" s="745" t="str">
        <f>IF(Qualité!$D$32&lt;&gt;"",Qualité!$D$32,"")</f>
        <v/>
      </c>
      <c r="O13" s="746"/>
      <c r="P13" s="746"/>
      <c r="Q13" s="746"/>
      <c r="R13" s="746"/>
      <c r="S13" s="746"/>
      <c r="T13" s="746"/>
      <c r="U13" s="746"/>
      <c r="V13" s="746"/>
      <c r="W13" s="746"/>
      <c r="X13" s="746"/>
      <c r="Y13" s="747"/>
      <c r="Z13" s="268"/>
      <c r="AA13" s="265"/>
      <c r="AB13" s="249"/>
    </row>
    <row r="14" spans="2:28" ht="20.100000000000001" customHeight="1" outlineLevel="1" thickBot="1" x14ac:dyDescent="0.45">
      <c r="B14" s="253"/>
      <c r="C14" s="264"/>
      <c r="D14" s="728"/>
      <c r="E14" s="729"/>
      <c r="F14" s="270"/>
      <c r="G14" s="270"/>
      <c r="H14" s="270"/>
      <c r="I14" s="270"/>
      <c r="J14" s="270"/>
      <c r="K14" s="270"/>
      <c r="L14" s="270"/>
      <c r="M14" s="270"/>
      <c r="N14" s="270"/>
      <c r="O14" s="270"/>
      <c r="P14" s="270"/>
      <c r="Q14" s="270"/>
      <c r="R14" s="270"/>
      <c r="S14" s="270"/>
      <c r="T14" s="270"/>
      <c r="U14" s="270"/>
      <c r="V14" s="270"/>
      <c r="W14" s="270"/>
      <c r="X14" s="270"/>
      <c r="Y14" s="270"/>
      <c r="Z14" s="269"/>
      <c r="AA14" s="265"/>
      <c r="AB14" s="249"/>
    </row>
    <row r="15" spans="2:28" ht="20.100000000000001" customHeight="1" outlineLevel="1" thickBot="1" x14ac:dyDescent="0.45">
      <c r="B15" s="253"/>
      <c r="C15" s="264"/>
      <c r="D15" s="254"/>
      <c r="E15" s="254"/>
      <c r="F15" s="254"/>
      <c r="G15" s="254"/>
      <c r="H15" s="254"/>
      <c r="I15" s="254"/>
      <c r="J15" s="254"/>
      <c r="K15" s="254"/>
      <c r="L15" s="254"/>
      <c r="M15" s="254"/>
      <c r="N15" s="254"/>
      <c r="O15" s="254"/>
      <c r="P15" s="254"/>
      <c r="Q15" s="254"/>
      <c r="R15" s="254"/>
      <c r="S15" s="254"/>
      <c r="T15" s="254"/>
      <c r="U15" s="254"/>
      <c r="V15" s="254"/>
      <c r="W15" s="254"/>
      <c r="X15" s="254"/>
      <c r="Y15" s="254"/>
      <c r="Z15" s="254"/>
      <c r="AA15" s="265"/>
      <c r="AB15" s="249"/>
    </row>
    <row r="16" spans="2:28" ht="20.100000000000001" customHeight="1" outlineLevel="1" thickBot="1" x14ac:dyDescent="0.45">
      <c r="B16" s="253"/>
      <c r="C16" s="264"/>
      <c r="D16" s="724" t="s">
        <v>498</v>
      </c>
      <c r="E16" s="725"/>
      <c r="F16" s="271"/>
      <c r="G16" s="271"/>
      <c r="H16" s="271"/>
      <c r="I16" s="271"/>
      <c r="J16" s="271"/>
      <c r="K16" s="271"/>
      <c r="L16" s="271"/>
      <c r="M16" s="271"/>
      <c r="N16" s="271"/>
      <c r="O16" s="271"/>
      <c r="P16" s="271"/>
      <c r="Q16" s="271"/>
      <c r="R16" s="271"/>
      <c r="S16" s="271"/>
      <c r="T16" s="271"/>
      <c r="U16" s="271"/>
      <c r="V16" s="271"/>
      <c r="W16" s="271"/>
      <c r="X16" s="271"/>
      <c r="Y16" s="271"/>
      <c r="Z16" s="267"/>
      <c r="AA16" s="265"/>
      <c r="AB16" s="249"/>
    </row>
    <row r="17" spans="2:28" ht="20.100000000000001" customHeight="1" outlineLevel="1" x14ac:dyDescent="0.4">
      <c r="B17" s="253"/>
      <c r="C17" s="264"/>
      <c r="D17" s="726"/>
      <c r="E17" s="727"/>
      <c r="F17" s="254"/>
      <c r="G17" s="822"/>
      <c r="H17" s="823"/>
      <c r="I17" s="823"/>
      <c r="J17" s="824"/>
      <c r="K17" s="825" t="s">
        <v>500</v>
      </c>
      <c r="L17" s="826"/>
      <c r="M17" s="301"/>
      <c r="N17" s="835" t="s">
        <v>480</v>
      </c>
      <c r="O17" s="736"/>
      <c r="P17" s="736"/>
      <c r="Q17" s="736"/>
      <c r="R17" s="736"/>
      <c r="S17" s="736"/>
      <c r="T17" s="736"/>
      <c r="U17" s="736"/>
      <c r="V17" s="736"/>
      <c r="W17" s="736"/>
      <c r="X17" s="736"/>
      <c r="Y17" s="737"/>
      <c r="Z17" s="268"/>
      <c r="AA17" s="265"/>
      <c r="AB17" s="249"/>
    </row>
    <row r="18" spans="2:28" ht="20.100000000000001" customHeight="1" outlineLevel="1" x14ac:dyDescent="0.4">
      <c r="B18" s="253"/>
      <c r="C18" s="264"/>
      <c r="D18" s="726"/>
      <c r="E18" s="727"/>
      <c r="F18" s="254"/>
      <c r="G18" s="836" t="s">
        <v>2</v>
      </c>
      <c r="H18" s="837"/>
      <c r="I18" s="838" t="s">
        <v>385</v>
      </c>
      <c r="J18" s="839"/>
      <c r="K18" s="840" t="str">
        <f>IF(Analytique!N11&lt;&gt;"",Analytique!N11,"")</f>
        <v/>
      </c>
      <c r="L18" s="841"/>
      <c r="M18" s="301"/>
      <c r="N18" s="842" t="str">
        <f>IF(Analytique!D17&lt;&gt;"",Analytique!D17,"")</f>
        <v/>
      </c>
      <c r="O18" s="843"/>
      <c r="P18" s="843"/>
      <c r="Q18" s="843"/>
      <c r="R18" s="843"/>
      <c r="S18" s="843"/>
      <c r="T18" s="843"/>
      <c r="U18" s="843"/>
      <c r="V18" s="843"/>
      <c r="W18" s="843"/>
      <c r="X18" s="843"/>
      <c r="Y18" s="844"/>
      <c r="Z18" s="268"/>
      <c r="AA18" s="265"/>
      <c r="AB18" s="249"/>
    </row>
    <row r="19" spans="2:28" ht="20.100000000000001" customHeight="1" outlineLevel="1" x14ac:dyDescent="0.4">
      <c r="B19" s="253"/>
      <c r="C19" s="264"/>
      <c r="D19" s="726"/>
      <c r="E19" s="727"/>
      <c r="F19" s="254"/>
      <c r="G19" s="851" t="s">
        <v>499</v>
      </c>
      <c r="H19" s="852"/>
      <c r="I19" s="855" t="s">
        <v>382</v>
      </c>
      <c r="J19" s="856"/>
      <c r="K19" s="857" t="str">
        <f>IF(Analytique!N12&lt;&gt;"",Analytique!N12,"")</f>
        <v/>
      </c>
      <c r="L19" s="858"/>
      <c r="M19" s="254"/>
      <c r="N19" s="845"/>
      <c r="O19" s="846"/>
      <c r="P19" s="846"/>
      <c r="Q19" s="846"/>
      <c r="R19" s="846"/>
      <c r="S19" s="846"/>
      <c r="T19" s="846"/>
      <c r="U19" s="846"/>
      <c r="V19" s="846"/>
      <c r="W19" s="846"/>
      <c r="X19" s="846"/>
      <c r="Y19" s="847"/>
      <c r="Z19" s="268"/>
      <c r="AA19" s="265"/>
      <c r="AB19" s="249"/>
    </row>
    <row r="20" spans="2:28" ht="20.100000000000001" customHeight="1" outlineLevel="1" x14ac:dyDescent="0.4">
      <c r="B20" s="253"/>
      <c r="C20" s="264"/>
      <c r="D20" s="726"/>
      <c r="E20" s="727"/>
      <c r="F20" s="254"/>
      <c r="G20" s="851"/>
      <c r="H20" s="852"/>
      <c r="I20" s="859" t="s">
        <v>383</v>
      </c>
      <c r="J20" s="860"/>
      <c r="K20" s="861" t="str">
        <f>IF(Analytique!N13&lt;&gt;"",Analytique!N13,"")</f>
        <v/>
      </c>
      <c r="L20" s="862"/>
      <c r="M20" s="254"/>
      <c r="N20" s="845"/>
      <c r="O20" s="846"/>
      <c r="P20" s="846"/>
      <c r="Q20" s="846"/>
      <c r="R20" s="846"/>
      <c r="S20" s="846"/>
      <c r="T20" s="846"/>
      <c r="U20" s="846"/>
      <c r="V20" s="846"/>
      <c r="W20" s="846"/>
      <c r="X20" s="846"/>
      <c r="Y20" s="847"/>
      <c r="Z20" s="268"/>
      <c r="AA20" s="265"/>
      <c r="AB20" s="249"/>
    </row>
    <row r="21" spans="2:28" ht="20.100000000000001" customHeight="1" outlineLevel="1" thickBot="1" x14ac:dyDescent="0.45">
      <c r="B21" s="253"/>
      <c r="C21" s="264"/>
      <c r="D21" s="726"/>
      <c r="E21" s="727"/>
      <c r="F21" s="254"/>
      <c r="G21" s="853"/>
      <c r="H21" s="854"/>
      <c r="I21" s="773" t="s">
        <v>384</v>
      </c>
      <c r="J21" s="774"/>
      <c r="K21" s="817" t="str">
        <f>IF(Analytique!N14&lt;&gt;"",Analytique!N14,"")</f>
        <v/>
      </c>
      <c r="L21" s="818"/>
      <c r="M21" s="254"/>
      <c r="N21" s="848"/>
      <c r="O21" s="849"/>
      <c r="P21" s="849"/>
      <c r="Q21" s="849"/>
      <c r="R21" s="849"/>
      <c r="S21" s="849"/>
      <c r="T21" s="849"/>
      <c r="U21" s="849"/>
      <c r="V21" s="849"/>
      <c r="W21" s="849"/>
      <c r="X21" s="849"/>
      <c r="Y21" s="850"/>
      <c r="Z21" s="268"/>
      <c r="AA21" s="265"/>
      <c r="AB21" s="249"/>
    </row>
    <row r="22" spans="2:28" ht="20.100000000000001" customHeight="1" outlineLevel="1" thickBot="1" x14ac:dyDescent="0.45">
      <c r="B22" s="253"/>
      <c r="C22" s="264"/>
      <c r="D22" s="728"/>
      <c r="E22" s="729"/>
      <c r="F22" s="270"/>
      <c r="G22" s="270"/>
      <c r="H22" s="270"/>
      <c r="I22" s="270"/>
      <c r="J22" s="270"/>
      <c r="K22" s="270"/>
      <c r="L22" s="270"/>
      <c r="M22" s="270"/>
      <c r="N22" s="270"/>
      <c r="O22" s="270"/>
      <c r="P22" s="270"/>
      <c r="Q22" s="270"/>
      <c r="R22" s="270"/>
      <c r="S22" s="270"/>
      <c r="T22" s="270"/>
      <c r="U22" s="270"/>
      <c r="V22" s="270"/>
      <c r="W22" s="270"/>
      <c r="X22" s="270"/>
      <c r="Y22" s="259"/>
      <c r="Z22" s="269"/>
      <c r="AA22" s="265"/>
      <c r="AB22" s="249"/>
    </row>
    <row r="23" spans="2:28" ht="20.100000000000001" customHeight="1" outlineLevel="1" thickBot="1" x14ac:dyDescent="0.45">
      <c r="B23" s="253"/>
      <c r="C23" s="264"/>
      <c r="D23" s="254"/>
      <c r="E23" s="254"/>
      <c r="F23" s="254"/>
      <c r="G23" s="254"/>
      <c r="H23" s="254"/>
      <c r="I23" s="254"/>
      <c r="J23" s="254"/>
      <c r="K23" s="254"/>
      <c r="L23" s="254"/>
      <c r="M23" s="254"/>
      <c r="N23" s="254"/>
      <c r="O23" s="254"/>
      <c r="P23" s="254"/>
      <c r="Q23" s="254"/>
      <c r="R23" s="254"/>
      <c r="S23" s="254"/>
      <c r="T23" s="254"/>
      <c r="U23" s="254"/>
      <c r="V23" s="254"/>
      <c r="W23" s="254"/>
      <c r="X23" s="254"/>
      <c r="Y23" s="254"/>
      <c r="Z23" s="254"/>
      <c r="AA23" s="265"/>
      <c r="AB23" s="249"/>
    </row>
    <row r="24" spans="2:28" ht="20.100000000000001" customHeight="1" outlineLevel="1" thickBot="1" x14ac:dyDescent="0.45">
      <c r="B24" s="253"/>
      <c r="C24" s="264"/>
      <c r="D24" s="724" t="s">
        <v>10</v>
      </c>
      <c r="E24" s="725"/>
      <c r="F24" s="271"/>
      <c r="G24" s="271"/>
      <c r="H24" s="271"/>
      <c r="I24" s="271"/>
      <c r="J24" s="271"/>
      <c r="K24" s="271"/>
      <c r="L24" s="271"/>
      <c r="M24" s="271"/>
      <c r="N24" s="271"/>
      <c r="O24" s="271"/>
      <c r="P24" s="271"/>
      <c r="Q24" s="271"/>
      <c r="R24" s="271"/>
      <c r="S24" s="271"/>
      <c r="T24" s="271"/>
      <c r="U24" s="271"/>
      <c r="V24" s="271"/>
      <c r="W24" s="271"/>
      <c r="X24" s="271"/>
      <c r="Y24" s="258"/>
      <c r="Z24" s="267"/>
      <c r="AA24" s="265"/>
      <c r="AB24" s="249"/>
    </row>
    <row r="25" spans="2:28" ht="20.100000000000001" customHeight="1" outlineLevel="1" x14ac:dyDescent="0.4">
      <c r="B25" s="253"/>
      <c r="C25" s="264"/>
      <c r="D25" s="726"/>
      <c r="E25" s="727"/>
      <c r="F25" s="254"/>
      <c r="G25" s="787"/>
      <c r="H25" s="788"/>
      <c r="I25" s="788"/>
      <c r="J25" s="789"/>
      <c r="K25" s="790" t="s">
        <v>29</v>
      </c>
      <c r="L25" s="791"/>
      <c r="M25" s="254"/>
      <c r="N25" s="792" t="s">
        <v>480</v>
      </c>
      <c r="O25" s="793"/>
      <c r="P25" s="793"/>
      <c r="Q25" s="793"/>
      <c r="R25" s="793"/>
      <c r="S25" s="793"/>
      <c r="T25" s="793"/>
      <c r="U25" s="793"/>
      <c r="V25" s="793"/>
      <c r="W25" s="793"/>
      <c r="X25" s="793"/>
      <c r="Y25" s="794"/>
      <c r="Z25" s="268"/>
      <c r="AA25" s="265"/>
      <c r="AB25" s="249"/>
    </row>
    <row r="26" spans="2:28" ht="20.100000000000001" customHeight="1" outlineLevel="1" x14ac:dyDescent="0.4">
      <c r="B26" s="253"/>
      <c r="C26" s="264"/>
      <c r="D26" s="726"/>
      <c r="E26" s="727"/>
      <c r="F26" s="254"/>
      <c r="G26" s="827" t="s">
        <v>11</v>
      </c>
      <c r="H26" s="828"/>
      <c r="I26" s="833" t="str" cm="1">
        <f t="array" aca="1" ref="I26" ca="1">IFERROR(INDEX(Equipements_SCL!$L$16:$L$72,SMALL(IF(Equipements_SCL!$J$16:$J$72="Sonde de température",ROW(Equipements_SCL!$J$16:$J$72)-ROW(Equipements_SCL!$J$16)+1),ROW(1:1))),"")</f>
        <v/>
      </c>
      <c r="J26" s="834"/>
      <c r="K26" s="801" t="str" cm="1">
        <f t="array" aca="1" ref="K26" ca="1">IFERROR(INDEX(Equipements_SCL!$P$16:$P$72,SMALL(IF(Equipements_SCL!$J$16:$J$72="Sonde de température",ROW(Equipements_SCL!$J$16:$J$72)-ROW(Equipements_SCL!$J$16)+1),ROW(1:1))),"")</f>
        <v/>
      </c>
      <c r="L26" s="802"/>
      <c r="M26" s="254"/>
      <c r="N26" s="803" t="str" cm="1">
        <f t="array" aca="1" ref="N26" ca="1">IFERROR(INDEX(Equipements_SCL!$T$16:$T$72,SMALL(IF(Equipements_SCL!$J$16:$J$72="Sonde de température",ROW(Equipements_SCL!$J$16:$J$72)-ROW(Equipements_SCL!$J$16)+1),ROW(1:1))),"")</f>
        <v/>
      </c>
      <c r="O26" s="804"/>
      <c r="P26" s="804"/>
      <c r="Q26" s="804"/>
      <c r="R26" s="804"/>
      <c r="S26" s="804"/>
      <c r="T26" s="804"/>
      <c r="U26" s="804"/>
      <c r="V26" s="804"/>
      <c r="W26" s="804"/>
      <c r="X26" s="804"/>
      <c r="Y26" s="805"/>
      <c r="Z26" s="268"/>
      <c r="AA26" s="265"/>
      <c r="AB26" s="249"/>
    </row>
    <row r="27" spans="2:28" ht="20.100000000000001" customHeight="1" outlineLevel="1" x14ac:dyDescent="0.4">
      <c r="B27" s="253"/>
      <c r="C27" s="264"/>
      <c r="D27" s="726"/>
      <c r="E27" s="727"/>
      <c r="F27" s="254"/>
      <c r="G27" s="829"/>
      <c r="H27" s="830"/>
      <c r="I27" s="806" t="str" cm="1">
        <f t="array" aca="1" ref="I27" ca="1">IFERROR(INDEX(Equipements_SCL!$L$16:$L$72,SMALL(IF(Equipements_SCL!$J$16:$J$72="Sonde de température",ROW(Equipements_SCL!$J$16:$J$72)-ROW(Equipements_SCL!$J$16)+1),ROW(2:2))),"")</f>
        <v/>
      </c>
      <c r="J27" s="807"/>
      <c r="K27" s="808" t="str" cm="1">
        <f t="array" aca="1" ref="K27" ca="1">IFERROR(INDEX(Equipements_SCL!$R$16:$R$72,SMALL(IF(Equipements_SCL!$J$16:$J$72="Sonde de température",ROW(Equipements_SCL!$J$16:$J$72)-ROW(Equipements_SCL!$J$16)+1),ROW(2:2))),"")</f>
        <v/>
      </c>
      <c r="L27" s="809"/>
      <c r="M27" s="254"/>
      <c r="N27" s="810" t="str" cm="1">
        <f t="array" aca="1" ref="N27" ca="1">IFERROR(INDEX(Equipements_SCL!$T$16:$T$72,SMALL(IF(Equipements_SCL!$J$16:$J$72="Sonde de température",ROW(Equipements_SCL!$J$16:$J$72)-ROW(Equipements_SCL!$J$16)+1),ROW(2:2))),"")</f>
        <v/>
      </c>
      <c r="O27" s="811"/>
      <c r="P27" s="811"/>
      <c r="Q27" s="811"/>
      <c r="R27" s="811"/>
      <c r="S27" s="811"/>
      <c r="T27" s="811"/>
      <c r="U27" s="811"/>
      <c r="V27" s="811"/>
      <c r="W27" s="811"/>
      <c r="X27" s="811"/>
      <c r="Y27" s="812"/>
      <c r="Z27" s="268"/>
      <c r="AA27" s="265"/>
      <c r="AB27" s="249"/>
    </row>
    <row r="28" spans="2:28" ht="20.100000000000001" customHeight="1" outlineLevel="1" thickBot="1" x14ac:dyDescent="0.45">
      <c r="B28" s="253"/>
      <c r="C28" s="264"/>
      <c r="D28" s="726"/>
      <c r="E28" s="727"/>
      <c r="F28" s="254"/>
      <c r="G28" s="831"/>
      <c r="H28" s="832"/>
      <c r="I28" s="813" t="str" cm="1">
        <f t="array" aca="1" ref="I28" ca="1">IFERROR(INDEX(Equipements_SCL!$L$16:$L$72,SMALL(IF(Equipements_SCL!$J$16:$J$72="Sonde de température",ROW(Equipements_SCL!$J$16:$J$72)-ROW(Equipements_SCL!$J$16)+1),ROW(3:3))),"")</f>
        <v/>
      </c>
      <c r="J28" s="814"/>
      <c r="K28" s="815" t="str" cm="1">
        <f t="array" aca="1" ref="K28" ca="1">IFERROR(INDEX(Equipements_SCL!$R$16:$R$72,SMALL(IF(Equipements_SCL!$J$16:$J$72="Sonde de température",ROW(Equipements_SCL!$J$16:$J$72)-ROW(Equipements_SCL!$J$16)+1),ROW(3:3))),"")</f>
        <v/>
      </c>
      <c r="L28" s="816"/>
      <c r="M28" s="254"/>
      <c r="N28" s="784" t="str" cm="1">
        <f t="array" aca="1" ref="N28" ca="1">IFERROR(INDEX(Equipements_SCL!$T$16:$T$72,SMALL(IF(Equipements_SCL!$J$16:$J$72="Sonde de température",ROW(Equipements_SCL!$J$16:$J$72)-ROW(Equipements_SCL!$J$16)+1),ROW(3:3))),"")</f>
        <v/>
      </c>
      <c r="O28" s="785"/>
      <c r="P28" s="785"/>
      <c r="Q28" s="785"/>
      <c r="R28" s="785"/>
      <c r="S28" s="785"/>
      <c r="T28" s="785"/>
      <c r="U28" s="785"/>
      <c r="V28" s="785"/>
      <c r="W28" s="785"/>
      <c r="X28" s="785"/>
      <c r="Y28" s="786"/>
      <c r="Z28" s="268"/>
      <c r="AA28" s="265"/>
      <c r="AB28" s="249"/>
    </row>
    <row r="29" spans="2:28" ht="20.100000000000001" customHeight="1" outlineLevel="1" thickBot="1" x14ac:dyDescent="0.45">
      <c r="B29" s="253"/>
      <c r="C29" s="264"/>
      <c r="D29" s="726"/>
      <c r="E29" s="727"/>
      <c r="F29" s="254"/>
      <c r="G29" s="254"/>
      <c r="H29" s="254"/>
      <c r="I29" s="254"/>
      <c r="J29" s="254"/>
      <c r="K29" s="254"/>
      <c r="L29" s="254"/>
      <c r="M29" s="254"/>
      <c r="N29" s="254"/>
      <c r="O29" s="254"/>
      <c r="P29" s="273"/>
      <c r="Q29" s="273"/>
      <c r="R29" s="273"/>
      <c r="S29" s="273"/>
      <c r="T29" s="274"/>
      <c r="U29" s="274"/>
      <c r="V29" s="274"/>
      <c r="W29" s="274"/>
      <c r="X29" s="272"/>
      <c r="Y29" s="272"/>
      <c r="Z29" s="268"/>
      <c r="AA29" s="265"/>
      <c r="AB29" s="249"/>
    </row>
    <row r="30" spans="2:28" ht="20.100000000000001" customHeight="1" outlineLevel="1" x14ac:dyDescent="0.4">
      <c r="B30" s="253"/>
      <c r="C30" s="264"/>
      <c r="D30" s="726"/>
      <c r="E30" s="727"/>
      <c r="F30" s="254"/>
      <c r="G30" s="787"/>
      <c r="H30" s="788"/>
      <c r="I30" s="788"/>
      <c r="J30" s="789"/>
      <c r="K30" s="790" t="s">
        <v>29</v>
      </c>
      <c r="L30" s="791"/>
      <c r="M30" s="254"/>
      <c r="N30" s="792" t="s">
        <v>480</v>
      </c>
      <c r="O30" s="793"/>
      <c r="P30" s="793"/>
      <c r="Q30" s="793"/>
      <c r="R30" s="793"/>
      <c r="S30" s="793"/>
      <c r="T30" s="793"/>
      <c r="U30" s="793"/>
      <c r="V30" s="793"/>
      <c r="W30" s="793"/>
      <c r="X30" s="793"/>
      <c r="Y30" s="794"/>
      <c r="Z30" s="268"/>
      <c r="AA30" s="265"/>
      <c r="AB30" s="249"/>
    </row>
    <row r="31" spans="2:28" ht="20.100000000000001" customHeight="1" outlineLevel="1" x14ac:dyDescent="0.4">
      <c r="B31" s="253"/>
      <c r="C31" s="264"/>
      <c r="D31" s="726"/>
      <c r="E31" s="727"/>
      <c r="F31" s="254"/>
      <c r="G31" s="795" t="s">
        <v>12</v>
      </c>
      <c r="H31" s="796"/>
      <c r="I31" s="799" t="str" cm="1">
        <f t="array" aca="1" ref="I31" ca="1">IFERROR(INDEX(Equipements_SCL!$L$16:$L$72,SMALL(IF(Equipements_SCL!$J$16:$J$72="Pluviomètre",ROW(Equipements_SCL!$J$16:$J$72)-ROW(Equipements_SCL!$J$16)+1),ROW(1:1))),"")</f>
        <v/>
      </c>
      <c r="J31" s="800"/>
      <c r="K31" s="801" t="str" cm="1">
        <f t="array" aca="1" ref="K31" ca="1">IFERROR(INDEX(Equipements_SCL!$P$16:$P$72,SMALL(IF(Equipements_SCL!$J$16:$J$72="Pluviomètre",ROW(Equipements_SCL!$J$16:$J$72)-ROW(Equipements_SCL!$J$16)+1),ROW(1:1))),"")</f>
        <v/>
      </c>
      <c r="L31" s="802"/>
      <c r="M31" s="254"/>
      <c r="N31" s="803" t="str" cm="1">
        <f t="array" aca="1" ref="N31" ca="1">IFERROR(INDEX(Equipements_SCL!$T$16:$T$72,SMALL(IF(Equipements_SCL!$J$16:$J$72="Pluviomètre",ROW(Equipements_SCL!$J$16:$J$72)-ROW(Equipements_SCL!$J$16)+1),ROW(1:1))),"")</f>
        <v/>
      </c>
      <c r="O31" s="804"/>
      <c r="P31" s="804"/>
      <c r="Q31" s="804"/>
      <c r="R31" s="804"/>
      <c r="S31" s="804"/>
      <c r="T31" s="804"/>
      <c r="U31" s="804"/>
      <c r="V31" s="804"/>
      <c r="W31" s="804"/>
      <c r="X31" s="804"/>
      <c r="Y31" s="805"/>
      <c r="Z31" s="268"/>
      <c r="AA31" s="265"/>
      <c r="AB31" s="249"/>
    </row>
    <row r="32" spans="2:28" ht="20.100000000000001" customHeight="1" outlineLevel="1" x14ac:dyDescent="0.4">
      <c r="B32" s="253"/>
      <c r="C32" s="264"/>
      <c r="D32" s="726"/>
      <c r="E32" s="727"/>
      <c r="F32" s="254"/>
      <c r="G32" s="795"/>
      <c r="H32" s="796"/>
      <c r="I32" s="806" t="str" cm="1">
        <f t="array" aca="1" ref="I32" ca="1">IFERROR(INDEX(Equipements_SCL!$L$16:$L$72,SMALL(IF(Equipements_SCL!$J$16:$J$72="Pluviomètre",ROW(Equipements_SCL!$J$16:$J$72)-ROW(Equipements_SCL!$J$16)+1),ROW(2:2))),"")</f>
        <v/>
      </c>
      <c r="J32" s="807"/>
      <c r="K32" s="808" t="str" cm="1">
        <f t="array" aca="1" ref="K32" ca="1">IFERROR(INDEX(Equipements_SCL!$P$16:$P$72,SMALL(IF(Equipements_SCL!$J$16:$J$72="Pluviomètre",ROW(Equipements_SCL!$J$16:$J$72)-ROW(Equipements_SCL!$J$16)+1),ROW(2:2))),"")</f>
        <v/>
      </c>
      <c r="L32" s="809"/>
      <c r="M32" s="254"/>
      <c r="N32" s="810" t="str" cm="1">
        <f t="array" aca="1" ref="N32" ca="1">IFERROR(INDEX(Equipements_SCL!$T$16:$T$72,SMALL(IF(Equipements_SCL!$J$16:$J$72="Pluviomètre",ROW(Equipements_SCL!$J$16:$J$72)-ROW(Equipements_SCL!$J$16)+1),ROW(2:2))),"")</f>
        <v/>
      </c>
      <c r="O32" s="811"/>
      <c r="P32" s="811"/>
      <c r="Q32" s="811"/>
      <c r="R32" s="811"/>
      <c r="S32" s="811"/>
      <c r="T32" s="811"/>
      <c r="U32" s="811"/>
      <c r="V32" s="811"/>
      <c r="W32" s="811"/>
      <c r="X32" s="811"/>
      <c r="Y32" s="812"/>
      <c r="Z32" s="268"/>
      <c r="AA32" s="265"/>
      <c r="AB32" s="249"/>
    </row>
    <row r="33" spans="2:31" ht="20.100000000000001" customHeight="1" outlineLevel="1" thickBot="1" x14ac:dyDescent="0.45">
      <c r="B33" s="253"/>
      <c r="C33" s="264"/>
      <c r="D33" s="726"/>
      <c r="E33" s="727"/>
      <c r="F33" s="254"/>
      <c r="G33" s="797"/>
      <c r="H33" s="798"/>
      <c r="I33" s="813" t="str" cm="1">
        <f t="array" aca="1" ref="I33" ca="1">IFERROR(INDEX(Equipements_SCL!$L$16:$L$72,SMALL(IF(Equipements_SCL!$J$16:$J$72="Pluviomètre",ROW(Equipements_SCL!$J$16:$J$72)-ROW(Equipements_SCL!$J$16)+1),ROW(3:3))),"")</f>
        <v/>
      </c>
      <c r="J33" s="814"/>
      <c r="K33" s="815" t="str" cm="1">
        <f t="array" aca="1" ref="K33" ca="1">IFERROR(INDEX(Equipements_SCL!$P$16:$P$72,SMALL(IF(Equipements_SCL!$J$16:$J$72="Pluviomètre",ROW(Equipements_SCL!$J$16:$J$72)-ROW(Equipements_SCL!$J$16)+1),ROW(3:3))),"")</f>
        <v/>
      </c>
      <c r="L33" s="816"/>
      <c r="M33" s="254"/>
      <c r="N33" s="784" t="str" cm="1">
        <f t="array" aca="1" ref="N33" ca="1">IFERROR(INDEX(Equipements_SCL!$T$16:$T$72,SMALL(IF(Equipements_SCL!$J$16:$J$72="Pluviomètre",ROW(Equipements_SCL!$J$16:$J$72)-ROW(Equipements_SCL!$J$16)+1),ROW(3:3))),"")</f>
        <v/>
      </c>
      <c r="O33" s="785"/>
      <c r="P33" s="785"/>
      <c r="Q33" s="785"/>
      <c r="R33" s="785"/>
      <c r="S33" s="785"/>
      <c r="T33" s="785"/>
      <c r="U33" s="785"/>
      <c r="V33" s="785"/>
      <c r="W33" s="785"/>
      <c r="X33" s="785"/>
      <c r="Y33" s="786"/>
      <c r="Z33" s="268"/>
      <c r="AA33" s="265"/>
      <c r="AB33" s="249"/>
    </row>
    <row r="34" spans="2:31" ht="20.100000000000001" customHeight="1" outlineLevel="1" thickBot="1" x14ac:dyDescent="0.45">
      <c r="B34" s="253"/>
      <c r="C34" s="264"/>
      <c r="D34" s="728"/>
      <c r="E34" s="729"/>
      <c r="F34" s="270"/>
      <c r="G34" s="270"/>
      <c r="H34" s="270"/>
      <c r="I34" s="270"/>
      <c r="J34" s="270"/>
      <c r="K34" s="270"/>
      <c r="L34" s="270"/>
      <c r="M34" s="270"/>
      <c r="N34" s="270"/>
      <c r="O34" s="270"/>
      <c r="P34" s="270"/>
      <c r="Q34" s="270"/>
      <c r="R34" s="270"/>
      <c r="S34" s="270"/>
      <c r="T34" s="270"/>
      <c r="U34" s="270"/>
      <c r="V34" s="270"/>
      <c r="W34" s="270"/>
      <c r="X34" s="270"/>
      <c r="Y34" s="270"/>
      <c r="Z34" s="269"/>
      <c r="AA34" s="265"/>
      <c r="AB34" s="249"/>
    </row>
    <row r="35" spans="2:31" ht="20.100000000000001" customHeight="1" outlineLevel="1" thickBot="1" x14ac:dyDescent="0.45">
      <c r="B35" s="253"/>
      <c r="C35" s="264"/>
      <c r="D35" s="275"/>
      <c r="E35" s="275"/>
      <c r="F35" s="254"/>
      <c r="G35" s="254"/>
      <c r="H35" s="254"/>
      <c r="I35" s="254"/>
      <c r="J35" s="254"/>
      <c r="K35" s="254"/>
      <c r="L35" s="254"/>
      <c r="M35" s="254"/>
      <c r="N35" s="254"/>
      <c r="O35" s="254"/>
      <c r="P35" s="254"/>
      <c r="Q35" s="254"/>
      <c r="R35" s="254"/>
      <c r="S35" s="254"/>
      <c r="T35" s="254"/>
      <c r="U35" s="254"/>
      <c r="V35" s="254"/>
      <c r="W35" s="254"/>
      <c r="X35" s="254"/>
      <c r="Y35" s="254"/>
      <c r="Z35" s="254"/>
      <c r="AA35" s="265"/>
      <c r="AB35" s="249"/>
    </row>
    <row r="36" spans="2:31" ht="20.100000000000001" customHeight="1" outlineLevel="1" x14ac:dyDescent="0.4">
      <c r="B36" s="253"/>
      <c r="C36" s="264"/>
      <c r="D36" s="724" t="s">
        <v>522</v>
      </c>
      <c r="E36" s="749"/>
      <c r="F36" s="271"/>
      <c r="G36" s="271"/>
      <c r="H36" s="271"/>
      <c r="I36" s="271"/>
      <c r="J36" s="271"/>
      <c r="K36" s="271"/>
      <c r="L36" s="271"/>
      <c r="M36" s="271"/>
      <c r="N36" s="271"/>
      <c r="O36" s="271"/>
      <c r="P36" s="271"/>
      <c r="Q36" s="271"/>
      <c r="R36" s="271"/>
      <c r="S36" s="271"/>
      <c r="T36" s="271"/>
      <c r="U36" s="271"/>
      <c r="V36" s="271"/>
      <c r="W36" s="271"/>
      <c r="X36" s="271"/>
      <c r="Y36" s="271"/>
      <c r="Z36" s="267"/>
      <c r="AA36" s="265"/>
      <c r="AB36" s="249"/>
      <c r="AD36" s="614"/>
      <c r="AE36" s="614"/>
    </row>
    <row r="37" spans="2:31" ht="34.35" customHeight="1" outlineLevel="1" x14ac:dyDescent="0.4">
      <c r="B37" s="253"/>
      <c r="C37" s="264"/>
      <c r="D37" s="726"/>
      <c r="E37" s="750"/>
      <c r="F37" s="254"/>
      <c r="G37" s="593" t="s">
        <v>511</v>
      </c>
      <c r="H37" s="594" t="s">
        <v>29</v>
      </c>
      <c r="I37" s="595" t="s">
        <v>400</v>
      </c>
      <c r="J37" s="596" t="s">
        <v>283</v>
      </c>
      <c r="K37" s="596" t="s">
        <v>392</v>
      </c>
      <c r="L37" s="254"/>
      <c r="M37" s="254"/>
      <c r="N37" s="254"/>
      <c r="O37" s="254"/>
      <c r="P37" s="254"/>
      <c r="Q37" s="254"/>
      <c r="R37" s="254"/>
      <c r="S37" s="254"/>
      <c r="T37" s="254"/>
      <c r="U37" s="254"/>
      <c r="V37" s="254"/>
      <c r="W37" s="254"/>
      <c r="X37" s="254"/>
      <c r="Y37" s="254"/>
      <c r="Z37" s="268"/>
      <c r="AA37" s="265"/>
      <c r="AB37" s="249"/>
      <c r="AD37" s="615" t="s">
        <v>379</v>
      </c>
      <c r="AE37" s="615" t="s">
        <v>378</v>
      </c>
    </row>
    <row r="38" spans="2:31" ht="20.100000000000001" customHeight="1" outlineLevel="1" x14ac:dyDescent="0.4">
      <c r="B38" s="253"/>
      <c r="C38" s="264"/>
      <c r="D38" s="726"/>
      <c r="E38" s="750"/>
      <c r="F38" s="254"/>
      <c r="G38" s="586" t="str" cm="1">
        <f t="array" aca="1" ref="G38" ca="1">_xlfn._xlws.SORT(_xlfn.UNIQUE(_xlfn._xlws.FILTER(Equipements_SCL!$M$16:M100, Equipements_SCL!$M$16:M100&lt;&gt;"", "")))</f>
        <v/>
      </c>
      <c r="H38" s="587" t="str">
        <f t="shared" ref="H38:H69" ca="1" si="0">IF(AND($G38&lt;&gt;"",OR($I38&lt;&gt;"",$J38&lt;&gt;"",$K38&lt;&gt;"")),AVERAGE($I38,$J38,$K38),"")</f>
        <v/>
      </c>
      <c r="I38" s="588" t="str">
        <f t="shared" ref="I38:I69" ca="1" si="1">IF(AND($G38&lt;&gt;"",OR($AD38&lt;&gt;"",$AE38&lt;&gt;"")),MAX($AD38,$AE38),"")</f>
        <v/>
      </c>
      <c r="J38" s="589" t="str">
        <f ca="1">IF($G38="", "", IF(COUNTIFS(Equipements_SCL!$M$16:$M$100, $G38, Equipements_SCL!$J$16:$J$100, J$37)=0, "", IF(SUMIFS(Equipements_SCL!$AV$16:$AV$100, Equipements_SCL!$M$16:$M$100, $G38, Equipements_SCL!$J$16:$J$100, J$37)=-1, "", SUMIFS(Equipements_SCL!$P$16:$P$100, Equipements_SCL!$M$16:$M$100, $G38, Equipements_SCL!$J$16:$J$100, J$37))))</f>
        <v/>
      </c>
      <c r="K38" s="590" t="str">
        <f ca="1">IF(
    $G38="",
    "",
    IF(
        SUMIFS(Analytique!$AD$3:$AD$20, Analytique!$Z$3:$Z$20, $G38, Analytique!$Y$3:$Y$20, "A1")=0,
        "",
        SUMIFS(Analytique!$AD$3:$AD$20, Analytique!$Z$3:$Z$20, $G38, Analytique!$Y$3:$Y$20, "A1")
    )
)</f>
        <v/>
      </c>
      <c r="L38" s="254"/>
      <c r="M38" s="254"/>
      <c r="N38" s="254"/>
      <c r="O38" s="254"/>
      <c r="P38" s="254"/>
      <c r="Q38" s="254"/>
      <c r="R38" s="254"/>
      <c r="S38" s="254"/>
      <c r="T38" s="254"/>
      <c r="U38" s="254"/>
      <c r="V38" s="254"/>
      <c r="W38" s="254"/>
      <c r="X38" s="254"/>
      <c r="Y38" s="254"/>
      <c r="Z38" s="268"/>
      <c r="AA38" s="265"/>
      <c r="AB38" s="249"/>
      <c r="AD38" s="616" t="str">
        <f ca="1">IF($G38="", "", IF(COUNTIFS(Equipements_SCL!$M$16:$M$100, $G38, Equipements_SCL!$J$16:$J$100, AD$37)=0, "", IF(SUMIFS(Equipements_SCL!$AV$16:$AV$100, Equipements_SCL!$M$16:$M$100, $G38, Equipements_SCL!$J$16:$J$100, AD$37)=-1, "", SUMIFS(Equipements_SCL!$P$16:$P$100, Equipements_SCL!$M$16:$M$100, $G38, Equipements_SCL!$J$16:$J$100, AD$37))))</f>
        <v/>
      </c>
      <c r="AE38" s="616" t="str">
        <f ca="1">IF($G38="", "", IF(COUNTIFS(Equipements_SCL!$M$16:$M$100, $G38, Equipements_SCL!$J$16:$J$100, AE$37)=0, "", IF(SUMIFS(Equipements_SCL!$AV$16:$AV$100, Equipements_SCL!$M$16:$M$100, $G38, Equipements_SCL!$J$16:$J$100, AE$37)=-1, "", SUMIFS(Equipements_SCL!$P$16:$P$100, Equipements_SCL!$M$16:$M$100, $G38, Equipements_SCL!$J$16:$J$100, AE$37))))</f>
        <v/>
      </c>
    </row>
    <row r="39" spans="2:31" ht="20.100000000000001" customHeight="1" outlineLevel="1" x14ac:dyDescent="0.4">
      <c r="B39" s="253"/>
      <c r="C39" s="264"/>
      <c r="D39" s="726"/>
      <c r="E39" s="750"/>
      <c r="F39" s="254"/>
      <c r="G39" s="591"/>
      <c r="H39" s="585" t="str">
        <f t="shared" si="0"/>
        <v/>
      </c>
      <c r="I39" s="433" t="str">
        <f t="shared" si="1"/>
        <v/>
      </c>
      <c r="J39" s="432" t="str">
        <f>IF($G39="", "", IF(COUNTIFS(Equipements_SCL!$M$16:$M$100, $G39, Equipements_SCL!$J$16:$J$100, J$37)=0, "", IF(SUMIFS(Equipements_SCL!$AV$16:$AV$100, Equipements_SCL!$M$16:$M$100, $G39, Equipements_SCL!$J$16:$J$100, J$37)=-1, "", SUMIFS(Equipements_SCL!$P$16:$P$100, Equipements_SCL!$M$16:$M$100, $G39, Equipements_SCL!$J$16:$J$100, J$37))))</f>
        <v/>
      </c>
      <c r="K39" s="592" t="str">
        <f>IF(
    $G39="",
    "",
    IF(
        SUMIFS(Analytique!$AD$3:$AD$20, Analytique!$Z$3:$Z$20, $G39, Analytique!$Y$3:$Y$20, "A1")=0,
        "",
        SUMIFS(Analytique!$AD$3:$AD$20, Analytique!$Z$3:$Z$20, $G39, Analytique!$Y$3:$Y$20, "A1")
    )
)</f>
        <v/>
      </c>
      <c r="L39" s="254"/>
      <c r="M39" s="254"/>
      <c r="N39" s="254"/>
      <c r="O39" s="254"/>
      <c r="P39" s="254"/>
      <c r="Q39" s="254"/>
      <c r="R39" s="254"/>
      <c r="S39" s="254"/>
      <c r="T39" s="254"/>
      <c r="U39" s="254"/>
      <c r="V39" s="254"/>
      <c r="W39" s="254"/>
      <c r="X39" s="254"/>
      <c r="Y39" s="254"/>
      <c r="Z39" s="268"/>
      <c r="AA39" s="265"/>
      <c r="AB39" s="249"/>
      <c r="AD39" s="616" t="str">
        <f>IF($G39="", "", IF(COUNTIFS(Equipements_SCL!$M$16:$M$100, $G39, Equipements_SCL!$J$16:$J$100, AD$37)=0, "", IF(SUMIFS(Equipements_SCL!$AV$16:$AV$100, Equipements_SCL!$M$16:$M$100, $G39, Equipements_SCL!$J$16:$J$100, AD$37)=-1, "", SUMIFS(Equipements_SCL!$P$16:$P$100, Equipements_SCL!$M$16:$M$100, $G39, Equipements_SCL!$J$16:$J$100, AD$37))))</f>
        <v/>
      </c>
      <c r="AE39" s="616" t="str">
        <f>IF($G39="", "", IF(COUNTIFS(Equipements_SCL!$M$16:$M$100, $G39, Equipements_SCL!$J$16:$J$100, AE$37)=0, "", IF(SUMIFS(Equipements_SCL!$AV$16:$AV$100, Equipements_SCL!$M$16:$M$100, $G39, Equipements_SCL!$J$16:$J$100, AE$37)=-1, "", SUMIFS(Equipements_SCL!$P$16:$P$100, Equipements_SCL!$M$16:$M$100, $G39, Equipements_SCL!$J$16:$J$100, AE$37))))</f>
        <v/>
      </c>
    </row>
    <row r="40" spans="2:31" ht="20.100000000000001" customHeight="1" outlineLevel="1" x14ac:dyDescent="0.4">
      <c r="B40" s="253"/>
      <c r="C40" s="264"/>
      <c r="D40" s="726"/>
      <c r="E40" s="750"/>
      <c r="F40" s="254"/>
      <c r="G40" s="591"/>
      <c r="H40" s="585" t="str">
        <f t="shared" si="0"/>
        <v/>
      </c>
      <c r="I40" s="433" t="str">
        <f t="shared" si="1"/>
        <v/>
      </c>
      <c r="J40" s="432" t="str">
        <f>IF($G40="", "", IF(COUNTIFS(Equipements_SCL!$M$16:$M$100, $G40, Equipements_SCL!$J$16:$J$100, J$37)=0, "", IF(SUMIFS(Equipements_SCL!$AV$16:$AV$100, Equipements_SCL!$M$16:$M$100, $G40, Equipements_SCL!$J$16:$J$100, J$37)=-1, "", SUMIFS(Equipements_SCL!$P$16:$P$100, Equipements_SCL!$M$16:$M$100, $G40, Equipements_SCL!$J$16:$J$100, J$37))))</f>
        <v/>
      </c>
      <c r="K40" s="592" t="str">
        <f>IF(
    $G40="",
    "",
    IF(
        SUMIFS(Analytique!$AD$3:$AD$20, Analytique!$Z$3:$Z$20, $G40, Analytique!$Y$3:$Y$20, "A1")=0,
        "",
        SUMIFS(Analytique!$AD$3:$AD$20, Analytique!$Z$3:$Z$20, $G40, Analytique!$Y$3:$Y$20, "A1")
    )
)</f>
        <v/>
      </c>
      <c r="L40" s="254"/>
      <c r="M40" s="254"/>
      <c r="N40" s="254"/>
      <c r="O40" s="254"/>
      <c r="P40" s="254"/>
      <c r="Q40" s="254"/>
      <c r="R40" s="254"/>
      <c r="S40" s="254"/>
      <c r="T40" s="254"/>
      <c r="U40" s="254"/>
      <c r="V40" s="254"/>
      <c r="W40" s="254"/>
      <c r="X40" s="254"/>
      <c r="Y40" s="254"/>
      <c r="Z40" s="268"/>
      <c r="AA40" s="265"/>
      <c r="AB40" s="249"/>
      <c r="AD40" s="616" t="str">
        <f>IF($G40="", "", IF(COUNTIFS(Equipements_SCL!$M$16:$M$100, $G40, Equipements_SCL!$J$16:$J$100, AD$37)=0, "", IF(SUMIFS(Equipements_SCL!$AV$16:$AV$100, Equipements_SCL!$M$16:$M$100, $G40, Equipements_SCL!$J$16:$J$100, AD$37)=-1, "", SUMIFS(Equipements_SCL!$P$16:$P$100, Equipements_SCL!$M$16:$M$100, $G40, Equipements_SCL!$J$16:$J$100, AD$37))))</f>
        <v/>
      </c>
      <c r="AE40" s="616" t="str">
        <f>IF($G40="", "", IF(COUNTIFS(Equipements_SCL!$M$16:$M$100, $G40, Equipements_SCL!$J$16:$J$100, AE$37)=0, "", IF(SUMIFS(Equipements_SCL!$AV$16:$AV$100, Equipements_SCL!$M$16:$M$100, $G40, Equipements_SCL!$J$16:$J$100, AE$37)=-1, "", SUMIFS(Equipements_SCL!$P$16:$P$100, Equipements_SCL!$M$16:$M$100, $G40, Equipements_SCL!$J$16:$J$100, AE$37))))</f>
        <v/>
      </c>
    </row>
    <row r="41" spans="2:31" ht="20.100000000000001" customHeight="1" outlineLevel="1" x14ac:dyDescent="0.4">
      <c r="B41" s="253"/>
      <c r="C41" s="264"/>
      <c r="D41" s="726"/>
      <c r="E41" s="750"/>
      <c r="F41" s="254"/>
      <c r="G41" s="591"/>
      <c r="H41" s="585" t="str">
        <f t="shared" si="0"/>
        <v/>
      </c>
      <c r="I41" s="433" t="str">
        <f t="shared" si="1"/>
        <v/>
      </c>
      <c r="J41" s="432" t="str">
        <f>IF($G41="", "", IF(COUNTIFS(Equipements_SCL!$M$16:$M$100, $G41, Equipements_SCL!$J$16:$J$100, J$37)=0, "", IF(SUMIFS(Equipements_SCL!$AV$16:$AV$100, Equipements_SCL!$M$16:$M$100, $G41, Equipements_SCL!$J$16:$J$100, J$37)=-1, "", SUMIFS(Equipements_SCL!$P$16:$P$100, Equipements_SCL!$M$16:$M$100, $G41, Equipements_SCL!$J$16:$J$100, J$37))))</f>
        <v/>
      </c>
      <c r="K41" s="592" t="str">
        <f>IF(
    $G41="",
    "",
    IF(
        SUMIFS(Analytique!$AD$3:$AD$20, Analytique!$Z$3:$Z$20, $G41, Analytique!$Y$3:$Y$20, "A1")=0,
        "",
        SUMIFS(Analytique!$AD$3:$AD$20, Analytique!$Z$3:$Z$20, $G41, Analytique!$Y$3:$Y$20, "A1")
    )
)</f>
        <v/>
      </c>
      <c r="L41" s="254"/>
      <c r="M41" s="254"/>
      <c r="N41" s="254"/>
      <c r="O41" s="254"/>
      <c r="P41" s="254"/>
      <c r="Q41" s="254"/>
      <c r="R41" s="254"/>
      <c r="S41" s="254"/>
      <c r="T41" s="254"/>
      <c r="U41" s="254"/>
      <c r="V41" s="254"/>
      <c r="W41" s="254"/>
      <c r="X41" s="254"/>
      <c r="Y41" s="254"/>
      <c r="Z41" s="268"/>
      <c r="AA41" s="265"/>
      <c r="AB41" s="249"/>
      <c r="AD41" s="616" t="str">
        <f>IF($G41="", "", IF(COUNTIFS(Equipements_SCL!$M$16:$M$100, $G41, Equipements_SCL!$J$16:$J$100, AD$37)=0, "", IF(SUMIFS(Equipements_SCL!$AV$16:$AV$100, Equipements_SCL!$M$16:$M$100, $G41, Equipements_SCL!$J$16:$J$100, AD$37)=-1, "", SUMIFS(Equipements_SCL!$P$16:$P$100, Equipements_SCL!$M$16:$M$100, $G41, Equipements_SCL!$J$16:$J$100, AD$37))))</f>
        <v/>
      </c>
      <c r="AE41" s="616" t="str">
        <f>IF($G41="", "", IF(COUNTIFS(Equipements_SCL!$M$16:$M$100, $G41, Equipements_SCL!$J$16:$J$100, AE$37)=0, "", IF(SUMIFS(Equipements_SCL!$AV$16:$AV$100, Equipements_SCL!$M$16:$M$100, $G41, Equipements_SCL!$J$16:$J$100, AE$37)=-1, "", SUMIFS(Equipements_SCL!$P$16:$P$100, Equipements_SCL!$M$16:$M$100, $G41, Equipements_SCL!$J$16:$J$100, AE$37))))</f>
        <v/>
      </c>
    </row>
    <row r="42" spans="2:31" ht="20.100000000000001" customHeight="1" outlineLevel="1" x14ac:dyDescent="0.4">
      <c r="B42" s="253"/>
      <c r="C42" s="264"/>
      <c r="D42" s="726"/>
      <c r="E42" s="750"/>
      <c r="F42" s="254"/>
      <c r="G42" s="591"/>
      <c r="H42" s="585" t="str">
        <f t="shared" si="0"/>
        <v/>
      </c>
      <c r="I42" s="433" t="str">
        <f t="shared" si="1"/>
        <v/>
      </c>
      <c r="J42" s="432" t="str">
        <f>IF($G42="", "", IF(COUNTIFS(Equipements_SCL!$M$16:$M$100, $G42, Equipements_SCL!$J$16:$J$100, J$37)=0, "", IF(SUMIFS(Equipements_SCL!$AV$16:$AV$100, Equipements_SCL!$M$16:$M$100, $G42, Equipements_SCL!$J$16:$J$100, J$37)=-1, "", SUMIFS(Equipements_SCL!$P$16:$P$100, Equipements_SCL!$M$16:$M$100, $G42, Equipements_SCL!$J$16:$J$100, J$37))))</f>
        <v/>
      </c>
      <c r="K42" s="592" t="str">
        <f>IF(
    $G42="",
    "",
    IF(
        SUMIFS(Analytique!$AD$3:$AD$20, Analytique!$Z$3:$Z$20, $G42, Analytique!$Y$3:$Y$20, "A1")=0,
        "",
        SUMIFS(Analytique!$AD$3:$AD$20, Analytique!$Z$3:$Z$20, $G42, Analytique!$Y$3:$Y$20, "A1")
    )
)</f>
        <v/>
      </c>
      <c r="L42" s="254"/>
      <c r="M42" s="254"/>
      <c r="N42" s="254"/>
      <c r="O42" s="254"/>
      <c r="P42" s="254"/>
      <c r="Q42" s="254"/>
      <c r="R42" s="254"/>
      <c r="S42" s="254"/>
      <c r="T42" s="254"/>
      <c r="U42" s="254"/>
      <c r="V42" s="254"/>
      <c r="W42" s="254"/>
      <c r="X42" s="254"/>
      <c r="Y42" s="254"/>
      <c r="Z42" s="268"/>
      <c r="AA42" s="265"/>
      <c r="AB42" s="249"/>
      <c r="AD42" s="616" t="str">
        <f>IF($G42="", "", IF(COUNTIFS(Equipements_SCL!$M$16:$M$100, $G42, Equipements_SCL!$J$16:$J$100, AD$37)=0, "", IF(SUMIFS(Equipements_SCL!$AV$16:$AV$100, Equipements_SCL!$M$16:$M$100, $G42, Equipements_SCL!$J$16:$J$100, AD$37)=-1, "", SUMIFS(Equipements_SCL!$P$16:$P$100, Equipements_SCL!$M$16:$M$100, $G42, Equipements_SCL!$J$16:$J$100, AD$37))))</f>
        <v/>
      </c>
      <c r="AE42" s="616" t="str">
        <f>IF($G42="", "", IF(COUNTIFS(Equipements_SCL!$M$16:$M$100, $G42, Equipements_SCL!$J$16:$J$100, AE$37)=0, "", IF(SUMIFS(Equipements_SCL!$AV$16:$AV$100, Equipements_SCL!$M$16:$M$100, $G42, Equipements_SCL!$J$16:$J$100, AE$37)=-1, "", SUMIFS(Equipements_SCL!$P$16:$P$100, Equipements_SCL!$M$16:$M$100, $G42, Equipements_SCL!$J$16:$J$100, AE$37))))</f>
        <v/>
      </c>
    </row>
    <row r="43" spans="2:31" ht="20.100000000000001" customHeight="1" outlineLevel="1" x14ac:dyDescent="0.4">
      <c r="B43" s="253"/>
      <c r="C43" s="264"/>
      <c r="D43" s="726"/>
      <c r="E43" s="750"/>
      <c r="F43" s="254"/>
      <c r="G43" s="591"/>
      <c r="H43" s="585" t="str">
        <f t="shared" si="0"/>
        <v/>
      </c>
      <c r="I43" s="433" t="str">
        <f t="shared" si="1"/>
        <v/>
      </c>
      <c r="J43" s="432" t="str">
        <f>IF($G43="", "", IF(COUNTIFS(Equipements_SCL!$M$16:$M$100, $G43, Equipements_SCL!$J$16:$J$100, J$37)=0, "", IF(SUMIFS(Equipements_SCL!$AV$16:$AV$100, Equipements_SCL!$M$16:$M$100, $G43, Equipements_SCL!$J$16:$J$100, J$37)=-1, "", SUMIFS(Equipements_SCL!$P$16:$P$100, Equipements_SCL!$M$16:$M$100, $G43, Equipements_SCL!$J$16:$J$100, J$37))))</f>
        <v/>
      </c>
      <c r="K43" s="592" t="str">
        <f>IF(
    $G43="",
    "",
    IF(
        SUMIFS(Analytique!$AD$3:$AD$20, Analytique!$Z$3:$Z$20, $G43, Analytique!$Y$3:$Y$20, "A1")=0,
        "",
        SUMIFS(Analytique!$AD$3:$AD$20, Analytique!$Z$3:$Z$20, $G43, Analytique!$Y$3:$Y$20, "A1")
    )
)</f>
        <v/>
      </c>
      <c r="L43" s="254"/>
      <c r="M43" s="254"/>
      <c r="N43" s="254"/>
      <c r="O43" s="254"/>
      <c r="P43" s="254"/>
      <c r="Q43" s="254"/>
      <c r="R43" s="254"/>
      <c r="S43" s="254"/>
      <c r="T43" s="254"/>
      <c r="U43" s="254"/>
      <c r="V43" s="254"/>
      <c r="W43" s="254"/>
      <c r="X43" s="254"/>
      <c r="Y43" s="254"/>
      <c r="Z43" s="268"/>
      <c r="AA43" s="265"/>
      <c r="AB43" s="249"/>
      <c r="AD43" s="616" t="str">
        <f>IF($G43="", "", IF(COUNTIFS(Equipements_SCL!$M$16:$M$100, $G43, Equipements_SCL!$J$16:$J$100, AD$37)=0, "", IF(SUMIFS(Equipements_SCL!$AV$16:$AV$100, Equipements_SCL!$M$16:$M$100, $G43, Equipements_SCL!$J$16:$J$100, AD$37)=-1, "", SUMIFS(Equipements_SCL!$P$16:$P$100, Equipements_SCL!$M$16:$M$100, $G43, Equipements_SCL!$J$16:$J$100, AD$37))))</f>
        <v/>
      </c>
      <c r="AE43" s="616" t="str">
        <f>IF($G43="", "", IF(COUNTIFS(Equipements_SCL!$M$16:$M$100, $G43, Equipements_SCL!$J$16:$J$100, AE$37)=0, "", IF(SUMIFS(Equipements_SCL!$AV$16:$AV$100, Equipements_SCL!$M$16:$M$100, $G43, Equipements_SCL!$J$16:$J$100, AE$37)=-1, "", SUMIFS(Equipements_SCL!$P$16:$P$100, Equipements_SCL!$M$16:$M$100, $G43, Equipements_SCL!$J$16:$J$100, AE$37))))</f>
        <v/>
      </c>
    </row>
    <row r="44" spans="2:31" ht="20.100000000000001" customHeight="1" outlineLevel="1" x14ac:dyDescent="0.4">
      <c r="B44" s="253"/>
      <c r="C44" s="264"/>
      <c r="D44" s="726"/>
      <c r="E44" s="750"/>
      <c r="F44" s="254"/>
      <c r="G44" s="591"/>
      <c r="H44" s="585" t="str">
        <f t="shared" si="0"/>
        <v/>
      </c>
      <c r="I44" s="433" t="str">
        <f t="shared" si="1"/>
        <v/>
      </c>
      <c r="J44" s="432" t="str">
        <f>IF($G44="", "", IF(COUNTIFS(Equipements_SCL!$M$16:$M$100, $G44, Equipements_SCL!$J$16:$J$100, J$37)=0, "", IF(SUMIFS(Equipements_SCL!$AV$16:$AV$100, Equipements_SCL!$M$16:$M$100, $G44, Equipements_SCL!$J$16:$J$100, J$37)=-1, "", SUMIFS(Equipements_SCL!$P$16:$P$100, Equipements_SCL!$M$16:$M$100, $G44, Equipements_SCL!$J$16:$J$100, J$37))))</f>
        <v/>
      </c>
      <c r="K44" s="592" t="str">
        <f>IF(
    $G44="",
    "",
    IF(
        SUMIFS(Analytique!$AD$3:$AD$20, Analytique!$Z$3:$Z$20, $G44, Analytique!$Y$3:$Y$20, "A1")=0,
        "",
        SUMIFS(Analytique!$AD$3:$AD$20, Analytique!$Z$3:$Z$20, $G44, Analytique!$Y$3:$Y$20, "A1")
    )
)</f>
        <v/>
      </c>
      <c r="L44" s="254"/>
      <c r="M44" s="254"/>
      <c r="N44" s="254"/>
      <c r="O44" s="254"/>
      <c r="P44" s="254"/>
      <c r="Q44" s="254"/>
      <c r="R44" s="254"/>
      <c r="S44" s="254"/>
      <c r="T44" s="254"/>
      <c r="U44" s="254"/>
      <c r="V44" s="254"/>
      <c r="W44" s="254"/>
      <c r="X44" s="254"/>
      <c r="Y44" s="254"/>
      <c r="Z44" s="268"/>
      <c r="AA44" s="265"/>
      <c r="AB44" s="249"/>
      <c r="AD44" s="616" t="str">
        <f>IF($G44="", "", IF(COUNTIFS(Equipements_SCL!$M$16:$M$100, $G44, Equipements_SCL!$J$16:$J$100, AD$37)=0, "", IF(SUMIFS(Equipements_SCL!$AV$16:$AV$100, Equipements_SCL!$M$16:$M$100, $G44, Equipements_SCL!$J$16:$J$100, AD$37)=-1, "", SUMIFS(Equipements_SCL!$P$16:$P$100, Equipements_SCL!$M$16:$M$100, $G44, Equipements_SCL!$J$16:$J$100, AD$37))))</f>
        <v/>
      </c>
      <c r="AE44" s="616" t="str">
        <f>IF($G44="", "", IF(COUNTIFS(Equipements_SCL!$M$16:$M$100, $G44, Equipements_SCL!$J$16:$J$100, AE$37)=0, "", IF(SUMIFS(Equipements_SCL!$AV$16:$AV$100, Equipements_SCL!$M$16:$M$100, $G44, Equipements_SCL!$J$16:$J$100, AE$37)=-1, "", SUMIFS(Equipements_SCL!$P$16:$P$100, Equipements_SCL!$M$16:$M$100, $G44, Equipements_SCL!$J$16:$J$100, AE$37))))</f>
        <v/>
      </c>
    </row>
    <row r="45" spans="2:31" ht="20.100000000000001" customHeight="1" outlineLevel="1" x14ac:dyDescent="0.4">
      <c r="B45" s="253"/>
      <c r="C45" s="264"/>
      <c r="D45" s="726"/>
      <c r="E45" s="750"/>
      <c r="F45" s="254"/>
      <c r="G45" s="591"/>
      <c r="H45" s="585" t="str">
        <f t="shared" si="0"/>
        <v/>
      </c>
      <c r="I45" s="433" t="str">
        <f t="shared" si="1"/>
        <v/>
      </c>
      <c r="J45" s="432" t="str">
        <f>IF($G45="", "", IF(COUNTIFS(Equipements_SCL!$M$16:$M$100, $G45, Equipements_SCL!$J$16:$J$100, J$37)=0, "", IF(SUMIFS(Equipements_SCL!$AV$16:$AV$100, Equipements_SCL!$M$16:$M$100, $G45, Equipements_SCL!$J$16:$J$100, J$37)=-1, "", SUMIFS(Equipements_SCL!$P$16:$P$100, Equipements_SCL!$M$16:$M$100, $G45, Equipements_SCL!$J$16:$J$100, J$37))))</f>
        <v/>
      </c>
      <c r="K45" s="592" t="str">
        <f>IF(
    $G45="",
    "",
    IF(
        SUMIFS(Analytique!$AD$3:$AD$20, Analytique!$Z$3:$Z$20, $G45, Analytique!$Y$3:$Y$20, "A1")=0,
        "",
        SUMIFS(Analytique!$AD$3:$AD$20, Analytique!$Z$3:$Z$20, $G45, Analytique!$Y$3:$Y$20, "A1")
    )
)</f>
        <v/>
      </c>
      <c r="L45" s="254"/>
      <c r="M45" s="254"/>
      <c r="N45" s="254"/>
      <c r="O45" s="254"/>
      <c r="P45" s="254"/>
      <c r="Q45" s="254"/>
      <c r="R45" s="254"/>
      <c r="S45" s="254"/>
      <c r="T45" s="254"/>
      <c r="U45" s="254"/>
      <c r="V45" s="254"/>
      <c r="W45" s="254"/>
      <c r="X45" s="254"/>
      <c r="Y45" s="254"/>
      <c r="Z45" s="268"/>
      <c r="AA45" s="265"/>
      <c r="AB45" s="249"/>
      <c r="AD45" s="616" t="str">
        <f>IF($G45="", "", IF(COUNTIFS(Equipements_SCL!$M$16:$M$100, $G45, Equipements_SCL!$J$16:$J$100, AD$37)=0, "", IF(SUMIFS(Equipements_SCL!$AV$16:$AV$100, Equipements_SCL!$M$16:$M$100, $G45, Equipements_SCL!$J$16:$J$100, AD$37)=-1, "", SUMIFS(Equipements_SCL!$P$16:$P$100, Equipements_SCL!$M$16:$M$100, $G45, Equipements_SCL!$J$16:$J$100, AD$37))))</f>
        <v/>
      </c>
      <c r="AE45" s="616" t="str">
        <f>IF($G45="", "", IF(COUNTIFS(Equipements_SCL!$M$16:$M$100, $G45, Equipements_SCL!$J$16:$J$100, AE$37)=0, "", IF(SUMIFS(Equipements_SCL!$AV$16:$AV$100, Equipements_SCL!$M$16:$M$100, $G45, Equipements_SCL!$J$16:$J$100, AE$37)=-1, "", SUMIFS(Equipements_SCL!$P$16:$P$100, Equipements_SCL!$M$16:$M$100, $G45, Equipements_SCL!$J$16:$J$100, AE$37))))</f>
        <v/>
      </c>
    </row>
    <row r="46" spans="2:31" ht="20.100000000000001" customHeight="1" outlineLevel="1" x14ac:dyDescent="0.4">
      <c r="B46" s="253"/>
      <c r="C46" s="264"/>
      <c r="D46" s="726"/>
      <c r="E46" s="750"/>
      <c r="F46" s="254"/>
      <c r="G46" s="591"/>
      <c r="H46" s="585" t="str">
        <f t="shared" si="0"/>
        <v/>
      </c>
      <c r="I46" s="433" t="str">
        <f t="shared" si="1"/>
        <v/>
      </c>
      <c r="J46" s="432" t="str">
        <f>IF($G46="", "", IF(COUNTIFS(Equipements_SCL!$M$16:$M$100, $G46, Equipements_SCL!$J$16:$J$100, J$37)=0, "", IF(SUMIFS(Equipements_SCL!$AV$16:$AV$100, Equipements_SCL!$M$16:$M$100, $G46, Equipements_SCL!$J$16:$J$100, J$37)=-1, "", SUMIFS(Equipements_SCL!$P$16:$P$100, Equipements_SCL!$M$16:$M$100, $G46, Equipements_SCL!$J$16:$J$100, J$37))))</f>
        <v/>
      </c>
      <c r="K46" s="592" t="str">
        <f>IF(
    $G46="",
    "",
    IF(
        SUMIFS(Analytique!$AD$3:$AD$20, Analytique!$Z$3:$Z$20, $G46, Analytique!$Y$3:$Y$20, "A1")=0,
        "",
        SUMIFS(Analytique!$AD$3:$AD$20, Analytique!$Z$3:$Z$20, $G46, Analytique!$Y$3:$Y$20, "A1")
    )
)</f>
        <v/>
      </c>
      <c r="L46" s="254"/>
      <c r="M46" s="254"/>
      <c r="N46" s="254"/>
      <c r="O46" s="254"/>
      <c r="P46" s="254"/>
      <c r="Q46" s="254"/>
      <c r="R46" s="254"/>
      <c r="S46" s="254"/>
      <c r="T46" s="254"/>
      <c r="U46" s="254"/>
      <c r="V46" s="254"/>
      <c r="W46" s="254"/>
      <c r="X46" s="254"/>
      <c r="Y46" s="254"/>
      <c r="Z46" s="268"/>
      <c r="AA46" s="265"/>
      <c r="AB46" s="249"/>
      <c r="AD46" s="616" t="str">
        <f>IF($G46="", "", IF(COUNTIFS(Equipements_SCL!$M$16:$M$100, $G46, Equipements_SCL!$J$16:$J$100, AD$37)=0, "", IF(SUMIFS(Equipements_SCL!$AV$16:$AV$100, Equipements_SCL!$M$16:$M$100, $G46, Equipements_SCL!$J$16:$J$100, AD$37)=-1, "", SUMIFS(Equipements_SCL!$P$16:$P$100, Equipements_SCL!$M$16:$M$100, $G46, Equipements_SCL!$J$16:$J$100, AD$37))))</f>
        <v/>
      </c>
      <c r="AE46" s="616" t="str">
        <f>IF($G46="", "", IF(COUNTIFS(Equipements_SCL!$M$16:$M$100, $G46, Equipements_SCL!$J$16:$J$100, AE$37)=0, "", IF(SUMIFS(Equipements_SCL!$AV$16:$AV$100, Equipements_SCL!$M$16:$M$100, $G46, Equipements_SCL!$J$16:$J$100, AE$37)=-1, "", SUMIFS(Equipements_SCL!$P$16:$P$100, Equipements_SCL!$M$16:$M$100, $G46, Equipements_SCL!$J$16:$J$100, AE$37))))</f>
        <v/>
      </c>
    </row>
    <row r="47" spans="2:31" ht="20.100000000000001" customHeight="1" outlineLevel="1" x14ac:dyDescent="0.4">
      <c r="B47" s="253"/>
      <c r="C47" s="264"/>
      <c r="D47" s="726"/>
      <c r="E47" s="750"/>
      <c r="F47" s="254"/>
      <c r="G47" s="591"/>
      <c r="H47" s="585" t="str">
        <f t="shared" si="0"/>
        <v/>
      </c>
      <c r="I47" s="433" t="str">
        <f t="shared" si="1"/>
        <v/>
      </c>
      <c r="J47" s="432" t="str">
        <f>IF($G47="", "", IF(COUNTIFS(Equipements_SCL!$M$16:$M$100, $G47, Equipements_SCL!$J$16:$J$100, J$37)=0, "", IF(SUMIFS(Equipements_SCL!$AV$16:$AV$100, Equipements_SCL!$M$16:$M$100, $G47, Equipements_SCL!$J$16:$J$100, J$37)=-1, "", SUMIFS(Equipements_SCL!$P$16:$P$100, Equipements_SCL!$M$16:$M$100, $G47, Equipements_SCL!$J$16:$J$100, J$37))))</f>
        <v/>
      </c>
      <c r="K47" s="592" t="str">
        <f>IF(
    $G47="",
    "",
    IF(
        SUMIFS(Analytique!$AD$3:$AD$20, Analytique!$Z$3:$Z$20, $G47, Analytique!$Y$3:$Y$20, "A1")=0,
        "",
        SUMIFS(Analytique!$AD$3:$AD$20, Analytique!$Z$3:$Z$20, $G47, Analytique!$Y$3:$Y$20, "A1")
    )
)</f>
        <v/>
      </c>
      <c r="L47" s="254"/>
      <c r="M47" s="254"/>
      <c r="N47" s="254"/>
      <c r="O47" s="254"/>
      <c r="P47" s="254"/>
      <c r="Q47" s="254"/>
      <c r="R47" s="254"/>
      <c r="S47" s="254"/>
      <c r="T47" s="254"/>
      <c r="U47" s="254"/>
      <c r="V47" s="254"/>
      <c r="W47" s="254"/>
      <c r="X47" s="254"/>
      <c r="Y47" s="254"/>
      <c r="Z47" s="268"/>
      <c r="AA47" s="265"/>
      <c r="AB47" s="249"/>
      <c r="AD47" s="616" t="str">
        <f>IF($G47="", "", IF(COUNTIFS(Equipements_SCL!$M$16:$M$100, $G47, Equipements_SCL!$J$16:$J$100, AD$37)=0, "", IF(SUMIFS(Equipements_SCL!$AV$16:$AV$100, Equipements_SCL!$M$16:$M$100, $G47, Equipements_SCL!$J$16:$J$100, AD$37)=-1, "", SUMIFS(Equipements_SCL!$P$16:$P$100, Equipements_SCL!$M$16:$M$100, $G47, Equipements_SCL!$J$16:$J$100, AD$37))))</f>
        <v/>
      </c>
      <c r="AE47" s="616" t="str">
        <f>IF($G47="", "", IF(COUNTIFS(Equipements_SCL!$M$16:$M$100, $G47, Equipements_SCL!$J$16:$J$100, AE$37)=0, "", IF(SUMIFS(Equipements_SCL!$AV$16:$AV$100, Equipements_SCL!$M$16:$M$100, $G47, Equipements_SCL!$J$16:$J$100, AE$37)=-1, "", SUMIFS(Equipements_SCL!$P$16:$P$100, Equipements_SCL!$M$16:$M$100, $G47, Equipements_SCL!$J$16:$J$100, AE$37))))</f>
        <v/>
      </c>
    </row>
    <row r="48" spans="2:31" ht="20.100000000000001" customHeight="1" outlineLevel="1" x14ac:dyDescent="0.4">
      <c r="B48" s="253"/>
      <c r="C48" s="264"/>
      <c r="D48" s="726"/>
      <c r="E48" s="750"/>
      <c r="F48" s="254"/>
      <c r="G48" s="591"/>
      <c r="H48" s="585" t="str">
        <f t="shared" si="0"/>
        <v/>
      </c>
      <c r="I48" s="433" t="str">
        <f t="shared" si="1"/>
        <v/>
      </c>
      <c r="J48" s="432" t="str">
        <f>IF($G48="", "", IF(COUNTIFS(Equipements_SCL!$M$16:$M$100, $G48, Equipements_SCL!$J$16:$J$100, J$37)=0, "", IF(SUMIFS(Equipements_SCL!$AV$16:$AV$100, Equipements_SCL!$M$16:$M$100, $G48, Equipements_SCL!$J$16:$J$100, J$37)=-1, "", SUMIFS(Equipements_SCL!$P$16:$P$100, Equipements_SCL!$M$16:$M$100, $G48, Equipements_SCL!$J$16:$J$100, J$37))))</f>
        <v/>
      </c>
      <c r="K48" s="592" t="str">
        <f>IF(
    $G48="",
    "",
    IF(
        SUMIFS(Analytique!$AD$3:$AD$20, Analytique!$Z$3:$Z$20, $G48, Analytique!$Y$3:$Y$20, "A1")=0,
        "",
        SUMIFS(Analytique!$AD$3:$AD$20, Analytique!$Z$3:$Z$20, $G48, Analytique!$Y$3:$Y$20, "A1")
    )
)</f>
        <v/>
      </c>
      <c r="L48" s="254"/>
      <c r="M48" s="254"/>
      <c r="N48" s="254"/>
      <c r="O48" s="254"/>
      <c r="P48" s="254"/>
      <c r="Q48" s="254"/>
      <c r="R48" s="254"/>
      <c r="S48" s="254"/>
      <c r="T48" s="254"/>
      <c r="U48" s="254"/>
      <c r="V48" s="254"/>
      <c r="W48" s="254"/>
      <c r="X48" s="254"/>
      <c r="Y48" s="254"/>
      <c r="Z48" s="268"/>
      <c r="AA48" s="265"/>
      <c r="AB48" s="249"/>
      <c r="AD48" s="616" t="str">
        <f>IF($G48="", "", IF(COUNTIFS(Equipements_SCL!$M$16:$M$100, $G48, Equipements_SCL!$J$16:$J$100, AD$37)=0, "", IF(SUMIFS(Equipements_SCL!$AV$16:$AV$100, Equipements_SCL!$M$16:$M$100, $G48, Equipements_SCL!$J$16:$J$100, AD$37)=-1, "", SUMIFS(Equipements_SCL!$P$16:$P$100, Equipements_SCL!$M$16:$M$100, $G48, Equipements_SCL!$J$16:$J$100, AD$37))))</f>
        <v/>
      </c>
      <c r="AE48" s="616" t="str">
        <f>IF($G48="", "", IF(COUNTIFS(Equipements_SCL!$M$16:$M$100, $G48, Equipements_SCL!$J$16:$J$100, AE$37)=0, "", IF(SUMIFS(Equipements_SCL!$AV$16:$AV$100, Equipements_SCL!$M$16:$M$100, $G48, Equipements_SCL!$J$16:$J$100, AE$37)=-1, "", SUMIFS(Equipements_SCL!$P$16:$P$100, Equipements_SCL!$M$16:$M$100, $G48, Equipements_SCL!$J$16:$J$100, AE$37))))</f>
        <v/>
      </c>
    </row>
    <row r="49" spans="2:31" ht="20.100000000000001" customHeight="1" outlineLevel="1" x14ac:dyDescent="0.4">
      <c r="B49" s="253"/>
      <c r="C49" s="264"/>
      <c r="D49" s="726"/>
      <c r="E49" s="750"/>
      <c r="F49" s="254"/>
      <c r="G49" s="591"/>
      <c r="H49" s="585" t="str">
        <f t="shared" si="0"/>
        <v/>
      </c>
      <c r="I49" s="433" t="str">
        <f t="shared" si="1"/>
        <v/>
      </c>
      <c r="J49" s="432" t="str">
        <f>IF($G49="", "", IF(COUNTIFS(Equipements_SCL!$M$16:$M$100, $G49, Equipements_SCL!$J$16:$J$100, J$37)=0, "", IF(SUMIFS(Equipements_SCL!$AV$16:$AV$100, Equipements_SCL!$M$16:$M$100, $G49, Equipements_SCL!$J$16:$J$100, J$37)=-1, "", SUMIFS(Equipements_SCL!$P$16:$P$100, Equipements_SCL!$M$16:$M$100, $G49, Equipements_SCL!$J$16:$J$100, J$37))))</f>
        <v/>
      </c>
      <c r="K49" s="592" t="str">
        <f>IF(
    $G49="",
    "",
    IF(
        SUMIFS(Analytique!$AD$3:$AD$20, Analytique!$Z$3:$Z$20, $G49, Analytique!$Y$3:$Y$20, "A1")=0,
        "",
        SUMIFS(Analytique!$AD$3:$AD$20, Analytique!$Z$3:$Z$20, $G49, Analytique!$Y$3:$Y$20, "A1")
    )
)</f>
        <v/>
      </c>
      <c r="L49" s="254"/>
      <c r="M49" s="254"/>
      <c r="N49" s="254"/>
      <c r="O49" s="254"/>
      <c r="P49" s="254"/>
      <c r="Q49" s="254"/>
      <c r="R49" s="254"/>
      <c r="S49" s="254"/>
      <c r="T49" s="254"/>
      <c r="U49" s="254"/>
      <c r="V49" s="254"/>
      <c r="W49" s="254"/>
      <c r="X49" s="254"/>
      <c r="Y49" s="254"/>
      <c r="Z49" s="268"/>
      <c r="AA49" s="265"/>
      <c r="AB49" s="249"/>
      <c r="AD49" s="616" t="str">
        <f>IF($G49="", "", IF(COUNTIFS(Equipements_SCL!$M$16:$M$100, $G49, Equipements_SCL!$J$16:$J$100, AD$37)=0, "", IF(SUMIFS(Equipements_SCL!$AV$16:$AV$100, Equipements_SCL!$M$16:$M$100, $G49, Equipements_SCL!$J$16:$J$100, AD$37)=-1, "", SUMIFS(Equipements_SCL!$P$16:$P$100, Equipements_SCL!$M$16:$M$100, $G49, Equipements_SCL!$J$16:$J$100, AD$37))))</f>
        <v/>
      </c>
      <c r="AE49" s="616" t="str">
        <f>IF($G49="", "", IF(COUNTIFS(Equipements_SCL!$M$16:$M$100, $G49, Equipements_SCL!$J$16:$J$100, AE$37)=0, "", IF(SUMIFS(Equipements_SCL!$AV$16:$AV$100, Equipements_SCL!$M$16:$M$100, $G49, Equipements_SCL!$J$16:$J$100, AE$37)=-1, "", SUMIFS(Equipements_SCL!$P$16:$P$100, Equipements_SCL!$M$16:$M$100, $G49, Equipements_SCL!$J$16:$J$100, AE$37))))</f>
        <v/>
      </c>
    </row>
    <row r="50" spans="2:31" ht="20.100000000000001" customHeight="1" outlineLevel="1" x14ac:dyDescent="0.4">
      <c r="B50" s="253"/>
      <c r="C50" s="264"/>
      <c r="D50" s="726"/>
      <c r="E50" s="750"/>
      <c r="F50" s="254"/>
      <c r="G50" s="591"/>
      <c r="H50" s="585" t="str">
        <f t="shared" si="0"/>
        <v/>
      </c>
      <c r="I50" s="433" t="str">
        <f t="shared" si="1"/>
        <v/>
      </c>
      <c r="J50" s="432" t="str">
        <f>IF($G50="", "", IF(COUNTIFS(Equipements_SCL!$M$16:$M$100, $G50, Equipements_SCL!$J$16:$J$100, J$37)=0, "", IF(SUMIFS(Equipements_SCL!$AV$16:$AV$100, Equipements_SCL!$M$16:$M$100, $G50, Equipements_SCL!$J$16:$J$100, J$37)=-1, "", SUMIFS(Equipements_SCL!$P$16:$P$100, Equipements_SCL!$M$16:$M$100, $G50, Equipements_SCL!$J$16:$J$100, J$37))))</f>
        <v/>
      </c>
      <c r="K50" s="592" t="str">
        <f>IF(
    $G50="",
    "",
    IF(
        SUMIFS(Analytique!$AD$3:$AD$20, Analytique!$Z$3:$Z$20, $G50, Analytique!$Y$3:$Y$20, "A1")=0,
        "",
        SUMIFS(Analytique!$AD$3:$AD$20, Analytique!$Z$3:$Z$20, $G50, Analytique!$Y$3:$Y$20, "A1")
    )
)</f>
        <v/>
      </c>
      <c r="L50" s="254"/>
      <c r="M50" s="254"/>
      <c r="N50" s="254"/>
      <c r="O50" s="254"/>
      <c r="P50" s="254"/>
      <c r="Q50" s="254"/>
      <c r="R50" s="254"/>
      <c r="S50" s="254"/>
      <c r="T50" s="254"/>
      <c r="U50" s="254"/>
      <c r="V50" s="254"/>
      <c r="W50" s="254"/>
      <c r="X50" s="254"/>
      <c r="Y50" s="254"/>
      <c r="Z50" s="268"/>
      <c r="AA50" s="265"/>
      <c r="AB50" s="249"/>
      <c r="AD50" s="616" t="str">
        <f>IF($G50="", "", IF(COUNTIFS(Equipements_SCL!$M$16:$M$100, $G50, Equipements_SCL!$J$16:$J$100, AD$37)=0, "", IF(SUMIFS(Equipements_SCL!$AV$16:$AV$100, Equipements_SCL!$M$16:$M$100, $G50, Equipements_SCL!$J$16:$J$100, AD$37)=-1, "", SUMIFS(Equipements_SCL!$P$16:$P$100, Equipements_SCL!$M$16:$M$100, $G50, Equipements_SCL!$J$16:$J$100, AD$37))))</f>
        <v/>
      </c>
      <c r="AE50" s="616" t="str">
        <f>IF($G50="", "", IF(COUNTIFS(Equipements_SCL!$M$16:$M$100, $G50, Equipements_SCL!$J$16:$J$100, AE$37)=0, "", IF(SUMIFS(Equipements_SCL!$AV$16:$AV$100, Equipements_SCL!$M$16:$M$100, $G50, Equipements_SCL!$J$16:$J$100, AE$37)=-1, "", SUMIFS(Equipements_SCL!$P$16:$P$100, Equipements_SCL!$M$16:$M$100, $G50, Equipements_SCL!$J$16:$J$100, AE$37))))</f>
        <v/>
      </c>
    </row>
    <row r="51" spans="2:31" ht="20.100000000000001" customHeight="1" outlineLevel="1" x14ac:dyDescent="0.4">
      <c r="B51" s="253"/>
      <c r="C51" s="264"/>
      <c r="D51" s="726"/>
      <c r="E51" s="750"/>
      <c r="F51" s="254"/>
      <c r="G51" s="591"/>
      <c r="H51" s="585" t="str">
        <f t="shared" si="0"/>
        <v/>
      </c>
      <c r="I51" s="433" t="str">
        <f t="shared" si="1"/>
        <v/>
      </c>
      <c r="J51" s="432" t="str">
        <f>IF($G51="", "", IF(COUNTIFS(Equipements_SCL!$M$16:$M$100, $G51, Equipements_SCL!$J$16:$J$100, J$37)=0, "", IF(SUMIFS(Equipements_SCL!$AV$16:$AV$100, Equipements_SCL!$M$16:$M$100, $G51, Equipements_SCL!$J$16:$J$100, J$37)=-1, "", SUMIFS(Equipements_SCL!$P$16:$P$100, Equipements_SCL!$M$16:$M$100, $G51, Equipements_SCL!$J$16:$J$100, J$37))))</f>
        <v/>
      </c>
      <c r="K51" s="592" t="str">
        <f>IF(
    $G51="",
    "",
    IF(
        SUMIFS(Analytique!$AD$3:$AD$20, Analytique!$Z$3:$Z$20, $G51, Analytique!$Y$3:$Y$20, "A1")=0,
        "",
        SUMIFS(Analytique!$AD$3:$AD$20, Analytique!$Z$3:$Z$20, $G51, Analytique!$Y$3:$Y$20, "A1")
    )
)</f>
        <v/>
      </c>
      <c r="L51" s="254"/>
      <c r="M51" s="254"/>
      <c r="N51" s="254"/>
      <c r="O51" s="254"/>
      <c r="P51" s="254"/>
      <c r="Q51" s="254"/>
      <c r="R51" s="254"/>
      <c r="S51" s="254"/>
      <c r="T51" s="254"/>
      <c r="U51" s="254"/>
      <c r="V51" s="254"/>
      <c r="W51" s="254"/>
      <c r="X51" s="254"/>
      <c r="Y51" s="254"/>
      <c r="Z51" s="268"/>
      <c r="AA51" s="265"/>
      <c r="AB51" s="249"/>
      <c r="AD51" s="616" t="str">
        <f>IF($G51="", "", IF(COUNTIFS(Equipements_SCL!$M$16:$M$100, $G51, Equipements_SCL!$J$16:$J$100, AD$37)=0, "", IF(SUMIFS(Equipements_SCL!$AV$16:$AV$100, Equipements_SCL!$M$16:$M$100, $G51, Equipements_SCL!$J$16:$J$100, AD$37)=-1, "", SUMIFS(Equipements_SCL!$P$16:$P$100, Equipements_SCL!$M$16:$M$100, $G51, Equipements_SCL!$J$16:$J$100, AD$37))))</f>
        <v/>
      </c>
      <c r="AE51" s="616" t="str">
        <f>IF($G51="", "", IF(COUNTIFS(Equipements_SCL!$M$16:$M$100, $G51, Equipements_SCL!$J$16:$J$100, AE$37)=0, "", IF(SUMIFS(Equipements_SCL!$AV$16:$AV$100, Equipements_SCL!$M$16:$M$100, $G51, Equipements_SCL!$J$16:$J$100, AE$37)=-1, "", SUMIFS(Equipements_SCL!$P$16:$P$100, Equipements_SCL!$M$16:$M$100, $G51, Equipements_SCL!$J$16:$J$100, AE$37))))</f>
        <v/>
      </c>
    </row>
    <row r="52" spans="2:31" ht="20.100000000000001" customHeight="1" outlineLevel="1" x14ac:dyDescent="0.4">
      <c r="B52" s="253"/>
      <c r="C52" s="264"/>
      <c r="D52" s="726"/>
      <c r="E52" s="750"/>
      <c r="F52" s="254"/>
      <c r="G52" s="591"/>
      <c r="H52" s="585" t="str">
        <f t="shared" si="0"/>
        <v/>
      </c>
      <c r="I52" s="433" t="str">
        <f t="shared" si="1"/>
        <v/>
      </c>
      <c r="J52" s="432" t="str">
        <f>IF($G52="", "", IF(COUNTIFS(Equipements_SCL!$M$16:$M$100, $G52, Equipements_SCL!$J$16:$J$100, J$37)=0, "", IF(SUMIFS(Equipements_SCL!$AV$16:$AV$100, Equipements_SCL!$M$16:$M$100, $G52, Equipements_SCL!$J$16:$J$100, J$37)=-1, "", SUMIFS(Equipements_SCL!$P$16:$P$100, Equipements_SCL!$M$16:$M$100, $G52, Equipements_SCL!$J$16:$J$100, J$37))))</f>
        <v/>
      </c>
      <c r="K52" s="592" t="str">
        <f>IF(
    $G52="",
    "",
    IF(
        SUMIFS(Analytique!$AD$3:$AD$20, Analytique!$Z$3:$Z$20, $G52, Analytique!$Y$3:$Y$20, "A1")=0,
        "",
        SUMIFS(Analytique!$AD$3:$AD$20, Analytique!$Z$3:$Z$20, $G52, Analytique!$Y$3:$Y$20, "A1")
    )
)</f>
        <v/>
      </c>
      <c r="L52" s="254"/>
      <c r="M52" s="254"/>
      <c r="N52" s="254"/>
      <c r="O52" s="254"/>
      <c r="P52" s="254"/>
      <c r="Q52" s="254"/>
      <c r="R52" s="254"/>
      <c r="S52" s="254"/>
      <c r="T52" s="254"/>
      <c r="U52" s="254"/>
      <c r="V52" s="254"/>
      <c r="W52" s="254"/>
      <c r="X52" s="254"/>
      <c r="Y52" s="254"/>
      <c r="Z52" s="268"/>
      <c r="AA52" s="265"/>
      <c r="AB52" s="249"/>
      <c r="AD52" s="616" t="str">
        <f>IF($G52="", "", IF(COUNTIFS(Equipements_SCL!$M$16:$M$100, $G52, Equipements_SCL!$J$16:$J$100, AD$37)=0, "", IF(SUMIFS(Equipements_SCL!$AV$16:$AV$100, Equipements_SCL!$M$16:$M$100, $G52, Equipements_SCL!$J$16:$J$100, AD$37)=-1, "", SUMIFS(Equipements_SCL!$P$16:$P$100, Equipements_SCL!$M$16:$M$100, $G52, Equipements_SCL!$J$16:$J$100, AD$37))))</f>
        <v/>
      </c>
      <c r="AE52" s="616" t="str">
        <f>IF($G52="", "", IF(COUNTIFS(Equipements_SCL!$M$16:$M$100, $G52, Equipements_SCL!$J$16:$J$100, AE$37)=0, "", IF(SUMIFS(Equipements_SCL!$AV$16:$AV$100, Equipements_SCL!$M$16:$M$100, $G52, Equipements_SCL!$J$16:$J$100, AE$37)=-1, "", SUMIFS(Equipements_SCL!$P$16:$P$100, Equipements_SCL!$M$16:$M$100, $G52, Equipements_SCL!$J$16:$J$100, AE$37))))</f>
        <v/>
      </c>
    </row>
    <row r="53" spans="2:31" ht="20.100000000000001" customHeight="1" outlineLevel="1" x14ac:dyDescent="0.4">
      <c r="B53" s="253"/>
      <c r="C53" s="264"/>
      <c r="D53" s="726"/>
      <c r="E53" s="750"/>
      <c r="F53" s="254"/>
      <c r="G53" s="591"/>
      <c r="H53" s="585" t="str">
        <f t="shared" si="0"/>
        <v/>
      </c>
      <c r="I53" s="433" t="str">
        <f t="shared" si="1"/>
        <v/>
      </c>
      <c r="J53" s="432" t="str">
        <f>IF($G53="", "", IF(COUNTIFS(Equipements_SCL!$M$16:$M$100, $G53, Equipements_SCL!$J$16:$J$100, J$37)=0, "", IF(SUMIFS(Equipements_SCL!$AV$16:$AV$100, Equipements_SCL!$M$16:$M$100, $G53, Equipements_SCL!$J$16:$J$100, J$37)=-1, "", SUMIFS(Equipements_SCL!$P$16:$P$100, Equipements_SCL!$M$16:$M$100, $G53, Equipements_SCL!$J$16:$J$100, J$37))))</f>
        <v/>
      </c>
      <c r="K53" s="592" t="str">
        <f>IF(
    $G53="",
    "",
    IF(
        SUMIFS(Analytique!$AD$3:$AD$20, Analytique!$Z$3:$Z$20, $G53, Analytique!$Y$3:$Y$20, "A1")=0,
        "",
        SUMIFS(Analytique!$AD$3:$AD$20, Analytique!$Z$3:$Z$20, $G53, Analytique!$Y$3:$Y$20, "A1")
    )
)</f>
        <v/>
      </c>
      <c r="L53" s="254"/>
      <c r="M53" s="254"/>
      <c r="N53" s="254"/>
      <c r="O53" s="254"/>
      <c r="P53" s="254"/>
      <c r="Q53" s="254"/>
      <c r="R53" s="254"/>
      <c r="S53" s="254"/>
      <c r="T53" s="254"/>
      <c r="U53" s="254"/>
      <c r="V53" s="254"/>
      <c r="W53" s="254"/>
      <c r="X53" s="254"/>
      <c r="Y53" s="254"/>
      <c r="Z53" s="268"/>
      <c r="AA53" s="265"/>
      <c r="AB53" s="249"/>
      <c r="AD53" s="616" t="str">
        <f>IF($G53="", "", IF(COUNTIFS(Equipements_SCL!$M$16:$M$100, $G53, Equipements_SCL!$J$16:$J$100, AD$37)=0, "", IF(SUMIFS(Equipements_SCL!$AV$16:$AV$100, Equipements_SCL!$M$16:$M$100, $G53, Equipements_SCL!$J$16:$J$100, AD$37)=-1, "", SUMIFS(Equipements_SCL!$P$16:$P$100, Equipements_SCL!$M$16:$M$100, $G53, Equipements_SCL!$J$16:$J$100, AD$37))))</f>
        <v/>
      </c>
      <c r="AE53" s="616" t="str">
        <f>IF($G53="", "", IF(COUNTIFS(Equipements_SCL!$M$16:$M$100, $G53, Equipements_SCL!$J$16:$J$100, AE$37)=0, "", IF(SUMIFS(Equipements_SCL!$AV$16:$AV$100, Equipements_SCL!$M$16:$M$100, $G53, Equipements_SCL!$J$16:$J$100, AE$37)=-1, "", SUMIFS(Equipements_SCL!$P$16:$P$100, Equipements_SCL!$M$16:$M$100, $G53, Equipements_SCL!$J$16:$J$100, AE$37))))</f>
        <v/>
      </c>
    </row>
    <row r="54" spans="2:31" ht="20.100000000000001" customHeight="1" outlineLevel="1" x14ac:dyDescent="0.4">
      <c r="B54" s="253"/>
      <c r="C54" s="264"/>
      <c r="D54" s="726"/>
      <c r="E54" s="750"/>
      <c r="F54" s="254"/>
      <c r="G54" s="591"/>
      <c r="H54" s="585" t="str">
        <f t="shared" si="0"/>
        <v/>
      </c>
      <c r="I54" s="433" t="str">
        <f t="shared" si="1"/>
        <v/>
      </c>
      <c r="J54" s="432" t="str">
        <f>IF($G54="", "", IF(COUNTIFS(Equipements_SCL!$M$16:$M$100, $G54, Equipements_SCL!$J$16:$J$100, J$37)=0, "", IF(SUMIFS(Equipements_SCL!$AV$16:$AV$100, Equipements_SCL!$M$16:$M$100, $G54, Equipements_SCL!$J$16:$J$100, J$37)=-1, "", SUMIFS(Equipements_SCL!$P$16:$P$100, Equipements_SCL!$M$16:$M$100, $G54, Equipements_SCL!$J$16:$J$100, J$37))))</f>
        <v/>
      </c>
      <c r="K54" s="592" t="str">
        <f>IF(
    $G54="",
    "",
    IF(
        SUMIFS(Analytique!$AD$3:$AD$20, Analytique!$Z$3:$Z$20, $G54, Analytique!$Y$3:$Y$20, "A1")=0,
        "",
        SUMIFS(Analytique!$AD$3:$AD$20, Analytique!$Z$3:$Z$20, $G54, Analytique!$Y$3:$Y$20, "A1")
    )
)</f>
        <v/>
      </c>
      <c r="L54" s="254"/>
      <c r="M54" s="254"/>
      <c r="N54" s="254"/>
      <c r="O54" s="254"/>
      <c r="P54" s="254"/>
      <c r="Q54" s="254"/>
      <c r="R54" s="254"/>
      <c r="S54" s="254"/>
      <c r="T54" s="254"/>
      <c r="U54" s="254"/>
      <c r="V54" s="254"/>
      <c r="W54" s="254"/>
      <c r="X54" s="254"/>
      <c r="Y54" s="254"/>
      <c r="Z54" s="268"/>
      <c r="AA54" s="265"/>
      <c r="AB54" s="249"/>
      <c r="AD54" s="616" t="str">
        <f>IF($G54="", "", IF(COUNTIFS(Equipements_SCL!$M$16:$M$100, $G54, Equipements_SCL!$J$16:$J$100, AD$37)=0, "", IF(SUMIFS(Equipements_SCL!$AV$16:$AV$100, Equipements_SCL!$M$16:$M$100, $G54, Equipements_SCL!$J$16:$J$100, AD$37)=-1, "", SUMIFS(Equipements_SCL!$P$16:$P$100, Equipements_SCL!$M$16:$M$100, $G54, Equipements_SCL!$J$16:$J$100, AD$37))))</f>
        <v/>
      </c>
      <c r="AE54" s="616" t="str">
        <f>IF($G54="", "", IF(COUNTIFS(Equipements_SCL!$M$16:$M$100, $G54, Equipements_SCL!$J$16:$J$100, AE$37)=0, "", IF(SUMIFS(Equipements_SCL!$AV$16:$AV$100, Equipements_SCL!$M$16:$M$100, $G54, Equipements_SCL!$J$16:$J$100, AE$37)=-1, "", SUMIFS(Equipements_SCL!$P$16:$P$100, Equipements_SCL!$M$16:$M$100, $G54, Equipements_SCL!$J$16:$J$100, AE$37))))</f>
        <v/>
      </c>
    </row>
    <row r="55" spans="2:31" ht="20.100000000000001" customHeight="1" outlineLevel="1" x14ac:dyDescent="0.4">
      <c r="B55" s="253"/>
      <c r="C55" s="264"/>
      <c r="D55" s="726"/>
      <c r="E55" s="750"/>
      <c r="F55" s="254"/>
      <c r="G55" s="591"/>
      <c r="H55" s="585" t="str">
        <f t="shared" si="0"/>
        <v/>
      </c>
      <c r="I55" s="433" t="str">
        <f t="shared" si="1"/>
        <v/>
      </c>
      <c r="J55" s="432" t="str">
        <f>IF($G55="", "", IF(COUNTIFS(Equipements_SCL!$M$16:$M$100, $G55, Equipements_SCL!$J$16:$J$100, J$37)=0, "", IF(SUMIFS(Equipements_SCL!$AV$16:$AV$100, Equipements_SCL!$M$16:$M$100, $G55, Equipements_SCL!$J$16:$J$100, J$37)=-1, "", SUMIFS(Equipements_SCL!$P$16:$P$100, Equipements_SCL!$M$16:$M$100, $G55, Equipements_SCL!$J$16:$J$100, J$37))))</f>
        <v/>
      </c>
      <c r="K55" s="592" t="str">
        <f>IF(
    $G55="",
    "",
    IF(
        SUMIFS(Analytique!$AD$3:$AD$20, Analytique!$Z$3:$Z$20, $G55, Analytique!$Y$3:$Y$20, "A1")=0,
        "",
        SUMIFS(Analytique!$AD$3:$AD$20, Analytique!$Z$3:$Z$20, $G55, Analytique!$Y$3:$Y$20, "A1")
    )
)</f>
        <v/>
      </c>
      <c r="L55" s="254"/>
      <c r="M55" s="254"/>
      <c r="N55" s="254"/>
      <c r="O55" s="254"/>
      <c r="P55" s="254"/>
      <c r="Q55" s="254"/>
      <c r="R55" s="254"/>
      <c r="S55" s="254"/>
      <c r="T55" s="254"/>
      <c r="U55" s="254"/>
      <c r="V55" s="254"/>
      <c r="W55" s="254"/>
      <c r="X55" s="254"/>
      <c r="Y55" s="254"/>
      <c r="Z55" s="268"/>
      <c r="AA55" s="265"/>
      <c r="AB55" s="249"/>
      <c r="AD55" s="616" t="str">
        <f>IF($G55="", "", IF(COUNTIFS(Equipements_SCL!$M$16:$M$100, $G55, Equipements_SCL!$J$16:$J$100, AD$37)=0, "", IF(SUMIFS(Equipements_SCL!$AV$16:$AV$100, Equipements_SCL!$M$16:$M$100, $G55, Equipements_SCL!$J$16:$J$100, AD$37)=-1, "", SUMIFS(Equipements_SCL!$P$16:$P$100, Equipements_SCL!$M$16:$M$100, $G55, Equipements_SCL!$J$16:$J$100, AD$37))))</f>
        <v/>
      </c>
      <c r="AE55" s="616" t="str">
        <f>IF($G55="", "", IF(COUNTIFS(Equipements_SCL!$M$16:$M$100, $G55, Equipements_SCL!$J$16:$J$100, AE$37)=0, "", IF(SUMIFS(Equipements_SCL!$AV$16:$AV$100, Equipements_SCL!$M$16:$M$100, $G55, Equipements_SCL!$J$16:$J$100, AE$37)=-1, "", SUMIFS(Equipements_SCL!$P$16:$P$100, Equipements_SCL!$M$16:$M$100, $G55, Equipements_SCL!$J$16:$J$100, AE$37))))</f>
        <v/>
      </c>
    </row>
    <row r="56" spans="2:31" ht="20.100000000000001" customHeight="1" outlineLevel="1" x14ac:dyDescent="0.4">
      <c r="B56" s="253"/>
      <c r="C56" s="264"/>
      <c r="D56" s="726"/>
      <c r="E56" s="750"/>
      <c r="F56" s="254"/>
      <c r="G56" s="591"/>
      <c r="H56" s="585" t="str">
        <f t="shared" si="0"/>
        <v/>
      </c>
      <c r="I56" s="433" t="str">
        <f t="shared" si="1"/>
        <v/>
      </c>
      <c r="J56" s="432" t="str">
        <f>IF($G56="", "", IF(COUNTIFS(Equipements_SCL!$M$16:$M$100, $G56, Equipements_SCL!$J$16:$J$100, J$37)=0, "", IF(SUMIFS(Equipements_SCL!$AV$16:$AV$100, Equipements_SCL!$M$16:$M$100, $G56, Equipements_SCL!$J$16:$J$100, J$37)=-1, "", SUMIFS(Equipements_SCL!$P$16:$P$100, Equipements_SCL!$M$16:$M$100, $G56, Equipements_SCL!$J$16:$J$100, J$37))))</f>
        <v/>
      </c>
      <c r="K56" s="592" t="str">
        <f>IF(
    $G56="",
    "",
    IF(
        SUMIFS(Analytique!$AD$3:$AD$20, Analytique!$Z$3:$Z$20, $G56, Analytique!$Y$3:$Y$20, "A1")=0,
        "",
        SUMIFS(Analytique!$AD$3:$AD$20, Analytique!$Z$3:$Z$20, $G56, Analytique!$Y$3:$Y$20, "A1")
    )
)</f>
        <v/>
      </c>
      <c r="L56" s="254"/>
      <c r="M56" s="254"/>
      <c r="N56" s="254"/>
      <c r="O56" s="254"/>
      <c r="P56" s="254"/>
      <c r="Q56" s="254"/>
      <c r="R56" s="254"/>
      <c r="S56" s="254"/>
      <c r="T56" s="254"/>
      <c r="U56" s="254"/>
      <c r="V56" s="254"/>
      <c r="W56" s="254"/>
      <c r="X56" s="254"/>
      <c r="Y56" s="254"/>
      <c r="Z56" s="268"/>
      <c r="AA56" s="265"/>
      <c r="AB56" s="249"/>
      <c r="AD56" s="616" t="str">
        <f>IF($G56="", "", IF(COUNTIFS(Equipements_SCL!$M$16:$M$100, $G56, Equipements_SCL!$J$16:$J$100, AD$37)=0, "", IF(SUMIFS(Equipements_SCL!$AV$16:$AV$100, Equipements_SCL!$M$16:$M$100, $G56, Equipements_SCL!$J$16:$J$100, AD$37)=-1, "", SUMIFS(Equipements_SCL!$P$16:$P$100, Equipements_SCL!$M$16:$M$100, $G56, Equipements_SCL!$J$16:$J$100, AD$37))))</f>
        <v/>
      </c>
      <c r="AE56" s="616" t="str">
        <f>IF($G56="", "", IF(COUNTIFS(Equipements_SCL!$M$16:$M$100, $G56, Equipements_SCL!$J$16:$J$100, AE$37)=0, "", IF(SUMIFS(Equipements_SCL!$AV$16:$AV$100, Equipements_SCL!$M$16:$M$100, $G56, Equipements_SCL!$J$16:$J$100, AE$37)=-1, "", SUMIFS(Equipements_SCL!$P$16:$P$100, Equipements_SCL!$M$16:$M$100, $G56, Equipements_SCL!$J$16:$J$100, AE$37))))</f>
        <v/>
      </c>
    </row>
    <row r="57" spans="2:31" ht="20.100000000000001" customHeight="1" outlineLevel="1" x14ac:dyDescent="0.4">
      <c r="B57" s="253"/>
      <c r="C57" s="264"/>
      <c r="D57" s="726"/>
      <c r="E57" s="750"/>
      <c r="F57" s="254"/>
      <c r="G57" s="591"/>
      <c r="H57" s="585" t="str">
        <f t="shared" si="0"/>
        <v/>
      </c>
      <c r="I57" s="433" t="str">
        <f t="shared" si="1"/>
        <v/>
      </c>
      <c r="J57" s="432" t="str">
        <f>IF($G57="", "", IF(COUNTIFS(Equipements_SCL!$M$16:$M$100, $G57, Equipements_SCL!$J$16:$J$100, J$37)=0, "", IF(SUMIFS(Equipements_SCL!$AV$16:$AV$100, Equipements_SCL!$M$16:$M$100, $G57, Equipements_SCL!$J$16:$J$100, J$37)=-1, "", SUMIFS(Equipements_SCL!$P$16:$P$100, Equipements_SCL!$M$16:$M$100, $G57, Equipements_SCL!$J$16:$J$100, J$37))))</f>
        <v/>
      </c>
      <c r="K57" s="592" t="str">
        <f>IF(
    $G57="",
    "",
    IF(
        SUMIFS(Analytique!$AD$3:$AD$20, Analytique!$Z$3:$Z$20, $G57, Analytique!$Y$3:$Y$20, "A1")=0,
        "",
        SUMIFS(Analytique!$AD$3:$AD$20, Analytique!$Z$3:$Z$20, $G57, Analytique!$Y$3:$Y$20, "A1")
    )
)</f>
        <v/>
      </c>
      <c r="L57" s="254"/>
      <c r="M57" s="254"/>
      <c r="N57" s="254"/>
      <c r="O57" s="254"/>
      <c r="P57" s="254"/>
      <c r="Q57" s="254"/>
      <c r="R57" s="254"/>
      <c r="S57" s="254"/>
      <c r="T57" s="254"/>
      <c r="U57" s="254"/>
      <c r="V57" s="254"/>
      <c r="W57" s="254"/>
      <c r="X57" s="254"/>
      <c r="Y57" s="254"/>
      <c r="Z57" s="268"/>
      <c r="AA57" s="265"/>
      <c r="AB57" s="249"/>
      <c r="AD57" s="616" t="str">
        <f>IF($G57="", "", IF(COUNTIFS(Equipements_SCL!$M$16:$M$100, $G57, Equipements_SCL!$J$16:$J$100, AD$37)=0, "", IF(SUMIFS(Equipements_SCL!$AV$16:$AV$100, Equipements_SCL!$M$16:$M$100, $G57, Equipements_SCL!$J$16:$J$100, AD$37)=-1, "", SUMIFS(Equipements_SCL!$P$16:$P$100, Equipements_SCL!$M$16:$M$100, $G57, Equipements_SCL!$J$16:$J$100, AD$37))))</f>
        <v/>
      </c>
      <c r="AE57" s="616" t="str">
        <f>IF($G57="", "", IF(COUNTIFS(Equipements_SCL!$M$16:$M$100, $G57, Equipements_SCL!$J$16:$J$100, AE$37)=0, "", IF(SUMIFS(Equipements_SCL!$AV$16:$AV$100, Equipements_SCL!$M$16:$M$100, $G57, Equipements_SCL!$J$16:$J$100, AE$37)=-1, "", SUMIFS(Equipements_SCL!$P$16:$P$100, Equipements_SCL!$M$16:$M$100, $G57, Equipements_SCL!$J$16:$J$100, AE$37))))</f>
        <v/>
      </c>
    </row>
    <row r="58" spans="2:31" ht="20.100000000000001" customHeight="1" outlineLevel="1" x14ac:dyDescent="0.4">
      <c r="B58" s="253"/>
      <c r="C58" s="264"/>
      <c r="D58" s="726"/>
      <c r="E58" s="750"/>
      <c r="F58" s="254"/>
      <c r="G58" s="591"/>
      <c r="H58" s="585" t="str">
        <f t="shared" si="0"/>
        <v/>
      </c>
      <c r="I58" s="433" t="str">
        <f t="shared" si="1"/>
        <v/>
      </c>
      <c r="J58" s="432" t="str">
        <f>IF($G58="", "", IF(COUNTIFS(Equipements_SCL!$M$16:$M$100, $G58, Equipements_SCL!$J$16:$J$100, J$37)=0, "", IF(SUMIFS(Equipements_SCL!$AV$16:$AV$100, Equipements_SCL!$M$16:$M$100, $G58, Equipements_SCL!$J$16:$J$100, J$37)=-1, "", SUMIFS(Equipements_SCL!$P$16:$P$100, Equipements_SCL!$M$16:$M$100, $G58, Equipements_SCL!$J$16:$J$100, J$37))))</f>
        <v/>
      </c>
      <c r="K58" s="592" t="str">
        <f>IF(
    $G58="",
    "",
    IF(
        SUMIFS(Analytique!$AD$3:$AD$20, Analytique!$Z$3:$Z$20, $G58, Analytique!$Y$3:$Y$20, "A1")=0,
        "",
        SUMIFS(Analytique!$AD$3:$AD$20, Analytique!$Z$3:$Z$20, $G58, Analytique!$Y$3:$Y$20, "A1")
    )
)</f>
        <v/>
      </c>
      <c r="L58" s="254"/>
      <c r="M58" s="254"/>
      <c r="N58" s="254"/>
      <c r="O58" s="254"/>
      <c r="P58" s="254"/>
      <c r="Q58" s="254"/>
      <c r="R58" s="254"/>
      <c r="S58" s="254"/>
      <c r="T58" s="254"/>
      <c r="U58" s="254"/>
      <c r="V58" s="254"/>
      <c r="W58" s="254"/>
      <c r="X58" s="254"/>
      <c r="Y58" s="254"/>
      <c r="Z58" s="268"/>
      <c r="AA58" s="265"/>
      <c r="AB58" s="249"/>
      <c r="AD58" s="616" t="str">
        <f>IF($G58="", "", IF(COUNTIFS(Equipements_SCL!$M$16:$M$100, $G58, Equipements_SCL!$J$16:$J$100, AD$37)=0, "", IF(SUMIFS(Equipements_SCL!$AV$16:$AV$100, Equipements_SCL!$M$16:$M$100, $G58, Equipements_SCL!$J$16:$J$100, AD$37)=-1, "", SUMIFS(Equipements_SCL!$P$16:$P$100, Equipements_SCL!$M$16:$M$100, $G58, Equipements_SCL!$J$16:$J$100, AD$37))))</f>
        <v/>
      </c>
      <c r="AE58" s="616" t="str">
        <f>IF($G58="", "", IF(COUNTIFS(Equipements_SCL!$M$16:$M$100, $G58, Equipements_SCL!$J$16:$J$100, AE$37)=0, "", IF(SUMIFS(Equipements_SCL!$AV$16:$AV$100, Equipements_SCL!$M$16:$M$100, $G58, Equipements_SCL!$J$16:$J$100, AE$37)=-1, "", SUMIFS(Equipements_SCL!$P$16:$P$100, Equipements_SCL!$M$16:$M$100, $G58, Equipements_SCL!$J$16:$J$100, AE$37))))</f>
        <v/>
      </c>
    </row>
    <row r="59" spans="2:31" ht="20.100000000000001" customHeight="1" outlineLevel="1" x14ac:dyDescent="0.4">
      <c r="B59" s="253"/>
      <c r="C59" s="264"/>
      <c r="D59" s="726"/>
      <c r="E59" s="750"/>
      <c r="F59" s="254"/>
      <c r="G59" s="591"/>
      <c r="H59" s="585" t="str">
        <f t="shared" si="0"/>
        <v/>
      </c>
      <c r="I59" s="433" t="str">
        <f t="shared" si="1"/>
        <v/>
      </c>
      <c r="J59" s="432" t="str">
        <f>IF($G59="", "", IF(COUNTIFS(Equipements_SCL!$M$16:$M$100, $G59, Equipements_SCL!$J$16:$J$100, J$37)=0, "", IF(SUMIFS(Equipements_SCL!$AV$16:$AV$100, Equipements_SCL!$M$16:$M$100, $G59, Equipements_SCL!$J$16:$J$100, J$37)=-1, "", SUMIFS(Equipements_SCL!$P$16:$P$100, Equipements_SCL!$M$16:$M$100, $G59, Equipements_SCL!$J$16:$J$100, J$37))))</f>
        <v/>
      </c>
      <c r="K59" s="592" t="str">
        <f>IF(
    $G59="",
    "",
    IF(
        SUMIFS(Analytique!$AD$3:$AD$20, Analytique!$Z$3:$Z$20, $G59, Analytique!$Y$3:$Y$20, "A1")=0,
        "",
        SUMIFS(Analytique!$AD$3:$AD$20, Analytique!$Z$3:$Z$20, $G59, Analytique!$Y$3:$Y$20, "A1")
    )
)</f>
        <v/>
      </c>
      <c r="L59" s="254"/>
      <c r="M59" s="254"/>
      <c r="N59" s="254"/>
      <c r="O59" s="254"/>
      <c r="P59" s="254"/>
      <c r="Q59" s="254"/>
      <c r="R59" s="254"/>
      <c r="S59" s="254"/>
      <c r="T59" s="254"/>
      <c r="U59" s="254"/>
      <c r="V59" s="254"/>
      <c r="W59" s="254"/>
      <c r="X59" s="254"/>
      <c r="Y59" s="254"/>
      <c r="Z59" s="268"/>
      <c r="AA59" s="265"/>
      <c r="AB59" s="249"/>
      <c r="AD59" s="616" t="str">
        <f>IF($G59="", "", IF(COUNTIFS(Equipements_SCL!$M$16:$M$100, $G59, Equipements_SCL!$J$16:$J$100, AD$37)=0, "", IF(SUMIFS(Equipements_SCL!$AV$16:$AV$100, Equipements_SCL!$M$16:$M$100, $G59, Equipements_SCL!$J$16:$J$100, AD$37)=-1, "", SUMIFS(Equipements_SCL!$P$16:$P$100, Equipements_SCL!$M$16:$M$100, $G59, Equipements_SCL!$J$16:$J$100, AD$37))))</f>
        <v/>
      </c>
      <c r="AE59" s="616" t="str">
        <f>IF($G59="", "", IF(COUNTIFS(Equipements_SCL!$M$16:$M$100, $G59, Equipements_SCL!$J$16:$J$100, AE$37)=0, "", IF(SUMIFS(Equipements_SCL!$AV$16:$AV$100, Equipements_SCL!$M$16:$M$100, $G59, Equipements_SCL!$J$16:$J$100, AE$37)=-1, "", SUMIFS(Equipements_SCL!$P$16:$P$100, Equipements_SCL!$M$16:$M$100, $G59, Equipements_SCL!$J$16:$J$100, AE$37))))</f>
        <v/>
      </c>
    </row>
    <row r="60" spans="2:31" ht="20.100000000000001" customHeight="1" outlineLevel="1" x14ac:dyDescent="0.4">
      <c r="B60" s="253"/>
      <c r="C60" s="264"/>
      <c r="D60" s="726"/>
      <c r="E60" s="750"/>
      <c r="F60" s="254"/>
      <c r="G60" s="591"/>
      <c r="H60" s="585" t="str">
        <f t="shared" si="0"/>
        <v/>
      </c>
      <c r="I60" s="433" t="str">
        <f t="shared" si="1"/>
        <v/>
      </c>
      <c r="J60" s="432" t="str">
        <f>IF($G60="", "", IF(COUNTIFS(Equipements_SCL!$M$16:$M$100, $G60, Equipements_SCL!$J$16:$J$100, J$37)=0, "", IF(SUMIFS(Equipements_SCL!$AV$16:$AV$100, Equipements_SCL!$M$16:$M$100, $G60, Equipements_SCL!$J$16:$J$100, J$37)=-1, "", SUMIFS(Equipements_SCL!$P$16:$P$100, Equipements_SCL!$M$16:$M$100, $G60, Equipements_SCL!$J$16:$J$100, J$37))))</f>
        <v/>
      </c>
      <c r="K60" s="592" t="str">
        <f>IF(
    $G60="",
    "",
    IF(
        SUMIFS(Analytique!$AD$3:$AD$20, Analytique!$Z$3:$Z$20, $G60, Analytique!$Y$3:$Y$20, "A1")=0,
        "",
        SUMIFS(Analytique!$AD$3:$AD$20, Analytique!$Z$3:$Z$20, $G60, Analytique!$Y$3:$Y$20, "A1")
    )
)</f>
        <v/>
      </c>
      <c r="L60" s="254"/>
      <c r="M60" s="254"/>
      <c r="N60" s="254"/>
      <c r="O60" s="254"/>
      <c r="P60" s="254"/>
      <c r="Q60" s="254"/>
      <c r="R60" s="254"/>
      <c r="S60" s="254"/>
      <c r="T60" s="254"/>
      <c r="U60" s="254"/>
      <c r="V60" s="254"/>
      <c r="W60" s="254"/>
      <c r="X60" s="254"/>
      <c r="Y60" s="254"/>
      <c r="Z60" s="268"/>
      <c r="AA60" s="265"/>
      <c r="AB60" s="249"/>
      <c r="AD60" s="616" t="str">
        <f>IF($G60="", "", IF(COUNTIFS(Equipements_SCL!$M$16:$M$100, $G60, Equipements_SCL!$J$16:$J$100, AD$37)=0, "", IF(SUMIFS(Equipements_SCL!$AV$16:$AV$100, Equipements_SCL!$M$16:$M$100, $G60, Equipements_SCL!$J$16:$J$100, AD$37)=-1, "", SUMIFS(Equipements_SCL!$P$16:$P$100, Equipements_SCL!$M$16:$M$100, $G60, Equipements_SCL!$J$16:$J$100, AD$37))))</f>
        <v/>
      </c>
      <c r="AE60" s="616" t="str">
        <f>IF($G60="", "", IF(COUNTIFS(Equipements_SCL!$M$16:$M$100, $G60, Equipements_SCL!$J$16:$J$100, AE$37)=0, "", IF(SUMIFS(Equipements_SCL!$AV$16:$AV$100, Equipements_SCL!$M$16:$M$100, $G60, Equipements_SCL!$J$16:$J$100, AE$37)=-1, "", SUMIFS(Equipements_SCL!$P$16:$P$100, Equipements_SCL!$M$16:$M$100, $G60, Equipements_SCL!$J$16:$J$100, AE$37))))</f>
        <v/>
      </c>
    </row>
    <row r="61" spans="2:31" ht="20.100000000000001" customHeight="1" outlineLevel="1" x14ac:dyDescent="0.4">
      <c r="B61" s="253"/>
      <c r="C61" s="264"/>
      <c r="D61" s="726"/>
      <c r="E61" s="750"/>
      <c r="F61" s="254"/>
      <c r="G61" s="591"/>
      <c r="H61" s="585" t="str">
        <f t="shared" si="0"/>
        <v/>
      </c>
      <c r="I61" s="433" t="str">
        <f t="shared" si="1"/>
        <v/>
      </c>
      <c r="J61" s="432" t="str">
        <f>IF($G61="", "", IF(COUNTIFS(Equipements_SCL!$M$16:$M$100, $G61, Equipements_SCL!$J$16:$J$100, J$37)=0, "", IF(SUMIFS(Equipements_SCL!$AV$16:$AV$100, Equipements_SCL!$M$16:$M$100, $G61, Equipements_SCL!$J$16:$J$100, J$37)=-1, "", SUMIFS(Equipements_SCL!$P$16:$P$100, Equipements_SCL!$M$16:$M$100, $G61, Equipements_SCL!$J$16:$J$100, J$37))))</f>
        <v/>
      </c>
      <c r="K61" s="592" t="str">
        <f>IF(
    $G61="",
    "",
    IF(
        SUMIFS(Analytique!$AD$3:$AD$20, Analytique!$Z$3:$Z$20, $G61, Analytique!$Y$3:$Y$20, "A1")=0,
        "",
        SUMIFS(Analytique!$AD$3:$AD$20, Analytique!$Z$3:$Z$20, $G61, Analytique!$Y$3:$Y$20, "A1")
    )
)</f>
        <v/>
      </c>
      <c r="L61" s="254"/>
      <c r="M61" s="254"/>
      <c r="N61" s="254"/>
      <c r="O61" s="254"/>
      <c r="P61" s="254"/>
      <c r="Q61" s="254"/>
      <c r="R61" s="254"/>
      <c r="S61" s="254"/>
      <c r="T61" s="254"/>
      <c r="U61" s="254"/>
      <c r="V61" s="254"/>
      <c r="W61" s="254"/>
      <c r="X61" s="254"/>
      <c r="Y61" s="254"/>
      <c r="Z61" s="268"/>
      <c r="AA61" s="265"/>
      <c r="AB61" s="249"/>
      <c r="AD61" s="616" t="str">
        <f>IF($G61="", "", IF(COUNTIFS(Equipements_SCL!$M$16:$M$100, $G61, Equipements_SCL!$J$16:$J$100, AD$37)=0, "", IF(SUMIFS(Equipements_SCL!$AV$16:$AV$100, Equipements_SCL!$M$16:$M$100, $G61, Equipements_SCL!$J$16:$J$100, AD$37)=-1, "", SUMIFS(Equipements_SCL!$P$16:$P$100, Equipements_SCL!$M$16:$M$100, $G61, Equipements_SCL!$J$16:$J$100, AD$37))))</f>
        <v/>
      </c>
      <c r="AE61" s="616" t="str">
        <f>IF($G61="", "", IF(COUNTIFS(Equipements_SCL!$M$16:$M$100, $G61, Equipements_SCL!$J$16:$J$100, AE$37)=0, "", IF(SUMIFS(Equipements_SCL!$AV$16:$AV$100, Equipements_SCL!$M$16:$M$100, $G61, Equipements_SCL!$J$16:$J$100, AE$37)=-1, "", SUMIFS(Equipements_SCL!$P$16:$P$100, Equipements_SCL!$M$16:$M$100, $G61, Equipements_SCL!$J$16:$J$100, AE$37))))</f>
        <v/>
      </c>
    </row>
    <row r="62" spans="2:31" ht="20.100000000000001" customHeight="1" outlineLevel="1" x14ac:dyDescent="0.4">
      <c r="B62" s="253"/>
      <c r="C62" s="264"/>
      <c r="D62" s="726"/>
      <c r="E62" s="750"/>
      <c r="F62" s="254"/>
      <c r="G62" s="591"/>
      <c r="H62" s="585" t="str">
        <f t="shared" si="0"/>
        <v/>
      </c>
      <c r="I62" s="433" t="str">
        <f t="shared" si="1"/>
        <v/>
      </c>
      <c r="J62" s="432" t="str">
        <f>IF($G62="", "", IF(COUNTIFS(Equipements_SCL!$M$16:$M$100, $G62, Equipements_SCL!$J$16:$J$100, J$37)=0, "", IF(SUMIFS(Equipements_SCL!$AV$16:$AV$100, Equipements_SCL!$M$16:$M$100, $G62, Equipements_SCL!$J$16:$J$100, J$37)=-1, "", SUMIFS(Equipements_SCL!$P$16:$P$100, Equipements_SCL!$M$16:$M$100, $G62, Equipements_SCL!$J$16:$J$100, J$37))))</f>
        <v/>
      </c>
      <c r="K62" s="592" t="str">
        <f>IF(
    $G62="",
    "",
    IF(
        SUMIFS(Analytique!$AD$3:$AD$20, Analytique!$Z$3:$Z$20, $G62, Analytique!$Y$3:$Y$20, "A1")=0,
        "",
        SUMIFS(Analytique!$AD$3:$AD$20, Analytique!$Z$3:$Z$20, $G62, Analytique!$Y$3:$Y$20, "A1")
    )
)</f>
        <v/>
      </c>
      <c r="L62" s="254"/>
      <c r="M62" s="254"/>
      <c r="N62" s="254"/>
      <c r="O62" s="254"/>
      <c r="P62" s="254"/>
      <c r="Q62" s="254"/>
      <c r="R62" s="254"/>
      <c r="S62" s="254"/>
      <c r="T62" s="254"/>
      <c r="U62" s="254"/>
      <c r="V62" s="254"/>
      <c r="W62" s="254"/>
      <c r="X62" s="254"/>
      <c r="Y62" s="254"/>
      <c r="Z62" s="268"/>
      <c r="AA62" s="265"/>
      <c r="AB62" s="249"/>
      <c r="AD62" s="616" t="str">
        <f>IF($G62="", "", IF(COUNTIFS(Equipements_SCL!$M$16:$M$100, $G62, Equipements_SCL!$J$16:$J$100, AD$37)=0, "", IF(SUMIFS(Equipements_SCL!$AV$16:$AV$100, Equipements_SCL!$M$16:$M$100, $G62, Equipements_SCL!$J$16:$J$100, AD$37)=-1, "", SUMIFS(Equipements_SCL!$P$16:$P$100, Equipements_SCL!$M$16:$M$100, $G62, Equipements_SCL!$J$16:$J$100, AD$37))))</f>
        <v/>
      </c>
      <c r="AE62" s="616" t="str">
        <f>IF($G62="", "", IF(COUNTIFS(Equipements_SCL!$M$16:$M$100, $G62, Equipements_SCL!$J$16:$J$100, AE$37)=0, "", IF(SUMIFS(Equipements_SCL!$AV$16:$AV$100, Equipements_SCL!$M$16:$M$100, $G62, Equipements_SCL!$J$16:$J$100, AE$37)=-1, "", SUMIFS(Equipements_SCL!$P$16:$P$100, Equipements_SCL!$M$16:$M$100, $G62, Equipements_SCL!$J$16:$J$100, AE$37))))</f>
        <v/>
      </c>
    </row>
    <row r="63" spans="2:31" ht="20.100000000000001" customHeight="1" outlineLevel="1" x14ac:dyDescent="0.4">
      <c r="B63" s="253"/>
      <c r="C63" s="264"/>
      <c r="D63" s="726"/>
      <c r="E63" s="750"/>
      <c r="F63" s="254"/>
      <c r="G63" s="591"/>
      <c r="H63" s="585" t="str">
        <f t="shared" si="0"/>
        <v/>
      </c>
      <c r="I63" s="433" t="str">
        <f t="shared" si="1"/>
        <v/>
      </c>
      <c r="J63" s="432" t="str">
        <f>IF($G63="", "", IF(COUNTIFS(Equipements_SCL!$M$16:$M$100, $G63, Equipements_SCL!$J$16:$J$100, J$37)=0, "", IF(SUMIFS(Equipements_SCL!$AV$16:$AV$100, Equipements_SCL!$M$16:$M$100, $G63, Equipements_SCL!$J$16:$J$100, J$37)=-1, "", SUMIFS(Equipements_SCL!$P$16:$P$100, Equipements_SCL!$M$16:$M$100, $G63, Equipements_SCL!$J$16:$J$100, J$37))))</f>
        <v/>
      </c>
      <c r="K63" s="592" t="str">
        <f>IF(
    $G63="",
    "",
    IF(
        SUMIFS(Analytique!$AD$3:$AD$20, Analytique!$Z$3:$Z$20, $G63, Analytique!$Y$3:$Y$20, "A1")=0,
        "",
        SUMIFS(Analytique!$AD$3:$AD$20, Analytique!$Z$3:$Z$20, $G63, Analytique!$Y$3:$Y$20, "A1")
    )
)</f>
        <v/>
      </c>
      <c r="L63" s="254"/>
      <c r="M63" s="254"/>
      <c r="N63" s="254"/>
      <c r="O63" s="254"/>
      <c r="P63" s="254"/>
      <c r="Q63" s="254"/>
      <c r="R63" s="254"/>
      <c r="S63" s="254"/>
      <c r="T63" s="254"/>
      <c r="U63" s="254"/>
      <c r="V63" s="254"/>
      <c r="W63" s="254"/>
      <c r="X63" s="254"/>
      <c r="Y63" s="254"/>
      <c r="Z63" s="268"/>
      <c r="AA63" s="265"/>
      <c r="AB63" s="249"/>
      <c r="AD63" s="616" t="str">
        <f>IF($G63="", "", IF(COUNTIFS(Equipements_SCL!$M$16:$M$100, $G63, Equipements_SCL!$J$16:$J$100, AD$37)=0, "", IF(SUMIFS(Equipements_SCL!$AV$16:$AV$100, Equipements_SCL!$M$16:$M$100, $G63, Equipements_SCL!$J$16:$J$100, AD$37)=-1, "", SUMIFS(Equipements_SCL!$P$16:$P$100, Equipements_SCL!$M$16:$M$100, $G63, Equipements_SCL!$J$16:$J$100, AD$37))))</f>
        <v/>
      </c>
      <c r="AE63" s="616" t="str">
        <f>IF($G63="", "", IF(COUNTIFS(Equipements_SCL!$M$16:$M$100, $G63, Equipements_SCL!$J$16:$J$100, AE$37)=0, "", IF(SUMIFS(Equipements_SCL!$AV$16:$AV$100, Equipements_SCL!$M$16:$M$100, $G63, Equipements_SCL!$J$16:$J$100, AE$37)=-1, "", SUMIFS(Equipements_SCL!$P$16:$P$100, Equipements_SCL!$M$16:$M$100, $G63, Equipements_SCL!$J$16:$J$100, AE$37))))</f>
        <v/>
      </c>
    </row>
    <row r="64" spans="2:31" ht="20.100000000000001" customHeight="1" outlineLevel="1" x14ac:dyDescent="0.4">
      <c r="B64" s="253"/>
      <c r="C64" s="264"/>
      <c r="D64" s="726"/>
      <c r="E64" s="750"/>
      <c r="F64" s="254"/>
      <c r="G64" s="591"/>
      <c r="H64" s="585" t="str">
        <f t="shared" si="0"/>
        <v/>
      </c>
      <c r="I64" s="433" t="str">
        <f t="shared" si="1"/>
        <v/>
      </c>
      <c r="J64" s="432" t="str">
        <f>IF($G64="", "", IF(COUNTIFS(Equipements_SCL!$M$16:$M$100, $G64, Equipements_SCL!$J$16:$J$100, J$37)=0, "", IF(SUMIFS(Equipements_SCL!$AV$16:$AV$100, Equipements_SCL!$M$16:$M$100, $G64, Equipements_SCL!$J$16:$J$100, J$37)=-1, "", SUMIFS(Equipements_SCL!$P$16:$P$100, Equipements_SCL!$M$16:$M$100, $G64, Equipements_SCL!$J$16:$J$100, J$37))))</f>
        <v/>
      </c>
      <c r="K64" s="592" t="str">
        <f>IF(
    $G64="",
    "",
    IF(
        SUMIFS(Analytique!$AD$3:$AD$20, Analytique!$Z$3:$Z$20, $G64, Analytique!$Y$3:$Y$20, "A1")=0,
        "",
        SUMIFS(Analytique!$AD$3:$AD$20, Analytique!$Z$3:$Z$20, $G64, Analytique!$Y$3:$Y$20, "A1")
    )
)</f>
        <v/>
      </c>
      <c r="L64" s="254"/>
      <c r="M64" s="254"/>
      <c r="N64" s="254"/>
      <c r="O64" s="254"/>
      <c r="P64" s="254"/>
      <c r="Q64" s="254"/>
      <c r="R64" s="254"/>
      <c r="S64" s="254"/>
      <c r="T64" s="254"/>
      <c r="U64" s="254"/>
      <c r="V64" s="254"/>
      <c r="W64" s="254"/>
      <c r="X64" s="254"/>
      <c r="Y64" s="254"/>
      <c r="Z64" s="268"/>
      <c r="AA64" s="265"/>
      <c r="AB64" s="249"/>
      <c r="AD64" s="616" t="str">
        <f>IF($G64="", "", IF(COUNTIFS(Equipements_SCL!$M$16:$M$100, $G64, Equipements_SCL!$J$16:$J$100, AD$37)=0, "", IF(SUMIFS(Equipements_SCL!$AV$16:$AV$100, Equipements_SCL!$M$16:$M$100, $G64, Equipements_SCL!$J$16:$J$100, AD$37)=-1, "", SUMIFS(Equipements_SCL!$P$16:$P$100, Equipements_SCL!$M$16:$M$100, $G64, Equipements_SCL!$J$16:$J$100, AD$37))))</f>
        <v/>
      </c>
      <c r="AE64" s="616" t="str">
        <f>IF($G64="", "", IF(COUNTIFS(Equipements_SCL!$M$16:$M$100, $G64, Equipements_SCL!$J$16:$J$100, AE$37)=0, "", IF(SUMIFS(Equipements_SCL!$AV$16:$AV$100, Equipements_SCL!$M$16:$M$100, $G64, Equipements_SCL!$J$16:$J$100, AE$37)=-1, "", SUMIFS(Equipements_SCL!$P$16:$P$100, Equipements_SCL!$M$16:$M$100, $G64, Equipements_SCL!$J$16:$J$100, AE$37))))</f>
        <v/>
      </c>
    </row>
    <row r="65" spans="2:31" ht="20.100000000000001" customHeight="1" outlineLevel="1" x14ac:dyDescent="0.4">
      <c r="B65" s="253"/>
      <c r="C65" s="264"/>
      <c r="D65" s="726"/>
      <c r="E65" s="750"/>
      <c r="F65" s="254"/>
      <c r="G65" s="591"/>
      <c r="H65" s="585" t="str">
        <f t="shared" si="0"/>
        <v/>
      </c>
      <c r="I65" s="433" t="str">
        <f t="shared" si="1"/>
        <v/>
      </c>
      <c r="J65" s="432" t="str">
        <f>IF($G65="", "", IF(COUNTIFS(Equipements_SCL!$M$16:$M$100, $G65, Equipements_SCL!$J$16:$J$100, J$37)=0, "", IF(SUMIFS(Equipements_SCL!$AV$16:$AV$100, Equipements_SCL!$M$16:$M$100, $G65, Equipements_SCL!$J$16:$J$100, J$37)=-1, "", SUMIFS(Equipements_SCL!$P$16:$P$100, Equipements_SCL!$M$16:$M$100, $G65, Equipements_SCL!$J$16:$J$100, J$37))))</f>
        <v/>
      </c>
      <c r="K65" s="592" t="str">
        <f>IF(
    $G65="",
    "",
    IF(
        SUMIFS(Analytique!$AD$3:$AD$20, Analytique!$Z$3:$Z$20, $G65, Analytique!$Y$3:$Y$20, "A1")=0,
        "",
        SUMIFS(Analytique!$AD$3:$AD$20, Analytique!$Z$3:$Z$20, $G65, Analytique!$Y$3:$Y$20, "A1")
    )
)</f>
        <v/>
      </c>
      <c r="L65" s="254"/>
      <c r="M65" s="254"/>
      <c r="N65" s="254"/>
      <c r="O65" s="254"/>
      <c r="P65" s="254"/>
      <c r="Q65" s="254"/>
      <c r="R65" s="254"/>
      <c r="S65" s="254"/>
      <c r="T65" s="254"/>
      <c r="U65" s="254"/>
      <c r="V65" s="254"/>
      <c r="W65" s="254"/>
      <c r="X65" s="254"/>
      <c r="Y65" s="254"/>
      <c r="Z65" s="268"/>
      <c r="AA65" s="265"/>
      <c r="AB65" s="249"/>
      <c r="AD65" s="616" t="str">
        <f>IF($G65="", "", IF(COUNTIFS(Equipements_SCL!$M$16:$M$100, $G65, Equipements_SCL!$J$16:$J$100, AD$37)=0, "", IF(SUMIFS(Equipements_SCL!$AV$16:$AV$100, Equipements_SCL!$M$16:$M$100, $G65, Equipements_SCL!$J$16:$J$100, AD$37)=-1, "", SUMIFS(Equipements_SCL!$P$16:$P$100, Equipements_SCL!$M$16:$M$100, $G65, Equipements_SCL!$J$16:$J$100, AD$37))))</f>
        <v/>
      </c>
      <c r="AE65" s="616" t="str">
        <f>IF($G65="", "", IF(COUNTIFS(Equipements_SCL!$M$16:$M$100, $G65, Equipements_SCL!$J$16:$J$100, AE$37)=0, "", IF(SUMIFS(Equipements_SCL!$AV$16:$AV$100, Equipements_SCL!$M$16:$M$100, $G65, Equipements_SCL!$J$16:$J$100, AE$37)=-1, "", SUMIFS(Equipements_SCL!$P$16:$P$100, Equipements_SCL!$M$16:$M$100, $G65, Equipements_SCL!$J$16:$J$100, AE$37))))</f>
        <v/>
      </c>
    </row>
    <row r="66" spans="2:31" ht="20.100000000000001" customHeight="1" outlineLevel="1" x14ac:dyDescent="0.4">
      <c r="B66" s="253"/>
      <c r="C66" s="264"/>
      <c r="D66" s="726"/>
      <c r="E66" s="750"/>
      <c r="F66" s="254"/>
      <c r="G66" s="591"/>
      <c r="H66" s="585" t="str">
        <f t="shared" si="0"/>
        <v/>
      </c>
      <c r="I66" s="433" t="str">
        <f t="shared" si="1"/>
        <v/>
      </c>
      <c r="J66" s="432" t="str">
        <f>IF($G66="", "", IF(COUNTIFS(Equipements_SCL!$M$16:$M$100, $G66, Equipements_SCL!$J$16:$J$100, J$37)=0, "", IF(SUMIFS(Equipements_SCL!$AV$16:$AV$100, Equipements_SCL!$M$16:$M$100, $G66, Equipements_SCL!$J$16:$J$100, J$37)=-1, "", SUMIFS(Equipements_SCL!$P$16:$P$100, Equipements_SCL!$M$16:$M$100, $G66, Equipements_SCL!$J$16:$J$100, J$37))))</f>
        <v/>
      </c>
      <c r="K66" s="592" t="str">
        <f>IF(
    $G66="",
    "",
    IF(
        SUMIFS(Analytique!$AD$3:$AD$20, Analytique!$Z$3:$Z$20, $G66, Analytique!$Y$3:$Y$20, "A1")=0,
        "",
        SUMIFS(Analytique!$AD$3:$AD$20, Analytique!$Z$3:$Z$20, $G66, Analytique!$Y$3:$Y$20, "A1")
    )
)</f>
        <v/>
      </c>
      <c r="L66" s="254"/>
      <c r="M66" s="254"/>
      <c r="N66" s="254"/>
      <c r="O66" s="254"/>
      <c r="P66" s="254"/>
      <c r="Q66" s="254"/>
      <c r="R66" s="254"/>
      <c r="S66" s="254"/>
      <c r="T66" s="254"/>
      <c r="U66" s="254"/>
      <c r="V66" s="254"/>
      <c r="W66" s="254"/>
      <c r="X66" s="254"/>
      <c r="Y66" s="254"/>
      <c r="Z66" s="268"/>
      <c r="AA66" s="265"/>
      <c r="AB66" s="249"/>
      <c r="AD66" s="616" t="str">
        <f>IF($G66="", "", IF(COUNTIFS(Equipements_SCL!$M$16:$M$100, $G66, Equipements_SCL!$J$16:$J$100, AD$37)=0, "", IF(SUMIFS(Equipements_SCL!$AV$16:$AV$100, Equipements_SCL!$M$16:$M$100, $G66, Equipements_SCL!$J$16:$J$100, AD$37)=-1, "", SUMIFS(Equipements_SCL!$P$16:$P$100, Equipements_SCL!$M$16:$M$100, $G66, Equipements_SCL!$J$16:$J$100, AD$37))))</f>
        <v/>
      </c>
      <c r="AE66" s="616" t="str">
        <f>IF($G66="", "", IF(COUNTIFS(Equipements_SCL!$M$16:$M$100, $G66, Equipements_SCL!$J$16:$J$100, AE$37)=0, "", IF(SUMIFS(Equipements_SCL!$AV$16:$AV$100, Equipements_SCL!$M$16:$M$100, $G66, Equipements_SCL!$J$16:$J$100, AE$37)=-1, "", SUMIFS(Equipements_SCL!$P$16:$P$100, Equipements_SCL!$M$16:$M$100, $G66, Equipements_SCL!$J$16:$J$100, AE$37))))</f>
        <v/>
      </c>
    </row>
    <row r="67" spans="2:31" ht="20.100000000000001" customHeight="1" outlineLevel="1" x14ac:dyDescent="0.4">
      <c r="B67" s="253"/>
      <c r="C67" s="264"/>
      <c r="D67" s="726"/>
      <c r="E67" s="750"/>
      <c r="F67" s="254"/>
      <c r="G67" s="591"/>
      <c r="H67" s="585" t="str">
        <f t="shared" si="0"/>
        <v/>
      </c>
      <c r="I67" s="433" t="str">
        <f t="shared" si="1"/>
        <v/>
      </c>
      <c r="J67" s="432" t="str">
        <f>IF($G67="", "", IF(COUNTIFS(Equipements_SCL!$M$16:$M$100, $G67, Equipements_SCL!$J$16:$J$100, J$37)=0, "", IF(SUMIFS(Equipements_SCL!$AV$16:$AV$100, Equipements_SCL!$M$16:$M$100, $G67, Equipements_SCL!$J$16:$J$100, J$37)=-1, "", SUMIFS(Equipements_SCL!$P$16:$P$100, Equipements_SCL!$M$16:$M$100, $G67, Equipements_SCL!$J$16:$J$100, J$37))))</f>
        <v/>
      </c>
      <c r="K67" s="592" t="str">
        <f>IF(
    $G67="",
    "",
    IF(
        SUMIFS(Analytique!$AD$3:$AD$20, Analytique!$Z$3:$Z$20, $G67, Analytique!$Y$3:$Y$20, "A1")=0,
        "",
        SUMIFS(Analytique!$AD$3:$AD$20, Analytique!$Z$3:$Z$20, $G67, Analytique!$Y$3:$Y$20, "A1")
    )
)</f>
        <v/>
      </c>
      <c r="L67" s="254"/>
      <c r="M67" s="254"/>
      <c r="N67" s="254"/>
      <c r="O67" s="254"/>
      <c r="P67" s="254"/>
      <c r="Q67" s="254"/>
      <c r="R67" s="254"/>
      <c r="S67" s="254"/>
      <c r="T67" s="254"/>
      <c r="U67" s="254"/>
      <c r="V67" s="254"/>
      <c r="W67" s="254"/>
      <c r="X67" s="254"/>
      <c r="Y67" s="254"/>
      <c r="Z67" s="268"/>
      <c r="AA67" s="265"/>
      <c r="AB67" s="249"/>
      <c r="AD67" s="616" t="str">
        <f>IF($G67="", "", IF(COUNTIFS(Equipements_SCL!$M$16:$M$100, $G67, Equipements_SCL!$J$16:$J$100, AD$37)=0, "", IF(SUMIFS(Equipements_SCL!$AV$16:$AV$100, Equipements_SCL!$M$16:$M$100, $G67, Equipements_SCL!$J$16:$J$100, AD$37)=-1, "", SUMIFS(Equipements_SCL!$P$16:$P$100, Equipements_SCL!$M$16:$M$100, $G67, Equipements_SCL!$J$16:$J$100, AD$37))))</f>
        <v/>
      </c>
      <c r="AE67" s="616" t="str">
        <f>IF($G67="", "", IF(COUNTIFS(Equipements_SCL!$M$16:$M$100, $G67, Equipements_SCL!$J$16:$J$100, AE$37)=0, "", IF(SUMIFS(Equipements_SCL!$AV$16:$AV$100, Equipements_SCL!$M$16:$M$100, $G67, Equipements_SCL!$J$16:$J$100, AE$37)=-1, "", SUMIFS(Equipements_SCL!$P$16:$P$100, Equipements_SCL!$M$16:$M$100, $G67, Equipements_SCL!$J$16:$J$100, AE$37))))</f>
        <v/>
      </c>
    </row>
    <row r="68" spans="2:31" ht="20.100000000000001" customHeight="1" outlineLevel="1" x14ac:dyDescent="0.4">
      <c r="B68" s="253"/>
      <c r="C68" s="264"/>
      <c r="D68" s="726"/>
      <c r="E68" s="750"/>
      <c r="F68" s="254"/>
      <c r="G68" s="591"/>
      <c r="H68" s="585" t="str">
        <f t="shared" si="0"/>
        <v/>
      </c>
      <c r="I68" s="433" t="str">
        <f t="shared" si="1"/>
        <v/>
      </c>
      <c r="J68" s="432" t="str">
        <f>IF($G68="", "", IF(COUNTIFS(Equipements_SCL!$M$16:$M$100, $G68, Equipements_SCL!$J$16:$J$100, J$37)=0, "", IF(SUMIFS(Equipements_SCL!$AV$16:$AV$100, Equipements_SCL!$M$16:$M$100, $G68, Equipements_SCL!$J$16:$J$100, J$37)=-1, "", SUMIFS(Equipements_SCL!$P$16:$P$100, Equipements_SCL!$M$16:$M$100, $G68, Equipements_SCL!$J$16:$J$100, J$37))))</f>
        <v/>
      </c>
      <c r="K68" s="592" t="str">
        <f>IF(
    $G68="",
    "",
    IF(
        SUMIFS(Analytique!$AD$3:$AD$20, Analytique!$Z$3:$Z$20, $G68, Analytique!$Y$3:$Y$20, "A1")=0,
        "",
        SUMIFS(Analytique!$AD$3:$AD$20, Analytique!$Z$3:$Z$20, $G68, Analytique!$Y$3:$Y$20, "A1")
    )
)</f>
        <v/>
      </c>
      <c r="L68" s="254"/>
      <c r="M68" s="254"/>
      <c r="N68" s="254"/>
      <c r="O68" s="254"/>
      <c r="P68" s="254"/>
      <c r="Q68" s="254"/>
      <c r="R68" s="254"/>
      <c r="S68" s="254"/>
      <c r="T68" s="254"/>
      <c r="U68" s="254"/>
      <c r="V68" s="254"/>
      <c r="W68" s="254"/>
      <c r="X68" s="254"/>
      <c r="Y68" s="254"/>
      <c r="Z68" s="268"/>
      <c r="AA68" s="265"/>
      <c r="AB68" s="249"/>
      <c r="AD68" s="616" t="str">
        <f>IF($G68="", "", IF(COUNTIFS(Equipements_SCL!$M$16:$M$100, $G68, Equipements_SCL!$J$16:$J$100, AD$37)=0, "", IF(SUMIFS(Equipements_SCL!$AV$16:$AV$100, Equipements_SCL!$M$16:$M$100, $G68, Equipements_SCL!$J$16:$J$100, AD$37)=-1, "", SUMIFS(Equipements_SCL!$P$16:$P$100, Equipements_SCL!$M$16:$M$100, $G68, Equipements_SCL!$J$16:$J$100, AD$37))))</f>
        <v/>
      </c>
      <c r="AE68" s="616" t="str">
        <f>IF($G68="", "", IF(COUNTIFS(Equipements_SCL!$M$16:$M$100, $G68, Equipements_SCL!$J$16:$J$100, AE$37)=0, "", IF(SUMIFS(Equipements_SCL!$AV$16:$AV$100, Equipements_SCL!$M$16:$M$100, $G68, Equipements_SCL!$J$16:$J$100, AE$37)=-1, "", SUMIFS(Equipements_SCL!$P$16:$P$100, Equipements_SCL!$M$16:$M$100, $G68, Equipements_SCL!$J$16:$J$100, AE$37))))</f>
        <v/>
      </c>
    </row>
    <row r="69" spans="2:31" ht="20.100000000000001" customHeight="1" outlineLevel="1" x14ac:dyDescent="0.4">
      <c r="B69" s="253"/>
      <c r="C69" s="264"/>
      <c r="D69" s="726"/>
      <c r="E69" s="750"/>
      <c r="F69" s="254"/>
      <c r="G69" s="591"/>
      <c r="H69" s="585" t="str">
        <f t="shared" si="0"/>
        <v/>
      </c>
      <c r="I69" s="433" t="str">
        <f t="shared" si="1"/>
        <v/>
      </c>
      <c r="J69" s="432" t="str">
        <f>IF($G69="", "", IF(COUNTIFS(Equipements_SCL!$M$16:$M$100, $G69, Equipements_SCL!$J$16:$J$100, J$37)=0, "", IF(SUMIFS(Equipements_SCL!$AV$16:$AV$100, Equipements_SCL!$M$16:$M$100, $G69, Equipements_SCL!$J$16:$J$100, J$37)=-1, "", SUMIFS(Equipements_SCL!$P$16:$P$100, Equipements_SCL!$M$16:$M$100, $G69, Equipements_SCL!$J$16:$J$100, J$37))))</f>
        <v/>
      </c>
      <c r="K69" s="592" t="str">
        <f>IF(
    $G69="",
    "",
    IF(
        SUMIFS(Analytique!$AD$3:$AD$20, Analytique!$Z$3:$Z$20, $G69, Analytique!$Y$3:$Y$20, "A1")=0,
        "",
        SUMIFS(Analytique!$AD$3:$AD$20, Analytique!$Z$3:$Z$20, $G69, Analytique!$Y$3:$Y$20, "A1")
    )
)</f>
        <v/>
      </c>
      <c r="L69" s="254"/>
      <c r="M69" s="254"/>
      <c r="N69" s="254"/>
      <c r="O69" s="254"/>
      <c r="P69" s="254"/>
      <c r="Q69" s="254"/>
      <c r="R69" s="254"/>
      <c r="S69" s="254"/>
      <c r="T69" s="254"/>
      <c r="U69" s="254"/>
      <c r="V69" s="254"/>
      <c r="W69" s="254"/>
      <c r="X69" s="254"/>
      <c r="Y69" s="254"/>
      <c r="Z69" s="268"/>
      <c r="AA69" s="265"/>
      <c r="AB69" s="249"/>
      <c r="AD69" s="616" t="str">
        <f>IF($G69="", "", IF(COUNTIFS(Equipements_SCL!$M$16:$M$100, $G69, Equipements_SCL!$J$16:$J$100, AD$37)=0, "", IF(SUMIFS(Equipements_SCL!$AV$16:$AV$100, Equipements_SCL!$M$16:$M$100, $G69, Equipements_SCL!$J$16:$J$100, AD$37)=-1, "", SUMIFS(Equipements_SCL!$P$16:$P$100, Equipements_SCL!$M$16:$M$100, $G69, Equipements_SCL!$J$16:$J$100, AD$37))))</f>
        <v/>
      </c>
      <c r="AE69" s="616" t="str">
        <f>IF($G69="", "", IF(COUNTIFS(Equipements_SCL!$M$16:$M$100, $G69, Equipements_SCL!$J$16:$J$100, AE$37)=0, "", IF(SUMIFS(Equipements_SCL!$AV$16:$AV$100, Equipements_SCL!$M$16:$M$100, $G69, Equipements_SCL!$J$16:$J$100, AE$37)=-1, "", SUMIFS(Equipements_SCL!$P$16:$P$100, Equipements_SCL!$M$16:$M$100, $G69, Equipements_SCL!$J$16:$J$100, AE$37))))</f>
        <v/>
      </c>
    </row>
    <row r="70" spans="2:31" ht="20.100000000000001" customHeight="1" outlineLevel="1" x14ac:dyDescent="0.4">
      <c r="B70" s="253"/>
      <c r="C70" s="264"/>
      <c r="D70" s="726"/>
      <c r="E70" s="750"/>
      <c r="F70" s="254"/>
      <c r="G70" s="591"/>
      <c r="H70" s="585" t="str">
        <f t="shared" ref="H70:H92" si="2">IF(AND($G70&lt;&gt;"",OR($I70&lt;&gt;"",$J70&lt;&gt;"",$K70&lt;&gt;"")),AVERAGE($I70,$J70,$K70),"")</f>
        <v/>
      </c>
      <c r="I70" s="433" t="str">
        <f t="shared" ref="I70:I92" si="3">IF(AND($G70&lt;&gt;"",OR($AD70&lt;&gt;"",$AE70&lt;&gt;"")),MAX($AD70,$AE70),"")</f>
        <v/>
      </c>
      <c r="J70" s="432" t="str">
        <f>IF($G70="", "", IF(COUNTIFS(Equipements_SCL!$M$16:$M$100, $G70, Equipements_SCL!$J$16:$J$100, J$37)=0, "", IF(SUMIFS(Equipements_SCL!$AV$16:$AV$100, Equipements_SCL!$M$16:$M$100, $G70, Equipements_SCL!$J$16:$J$100, J$37)=-1, "", SUMIFS(Equipements_SCL!$P$16:$P$100, Equipements_SCL!$M$16:$M$100, $G70, Equipements_SCL!$J$16:$J$100, J$37))))</f>
        <v/>
      </c>
      <c r="K70" s="592" t="str">
        <f>IF(
    $G70="",
    "",
    IF(
        SUMIFS(Analytique!$AD$3:$AD$20, Analytique!$Z$3:$Z$20, $G70, Analytique!$Y$3:$Y$20, "A1")=0,
        "",
        SUMIFS(Analytique!$AD$3:$AD$20, Analytique!$Z$3:$Z$20, $G70, Analytique!$Y$3:$Y$20, "A1")
    )
)</f>
        <v/>
      </c>
      <c r="L70" s="254"/>
      <c r="M70" s="254"/>
      <c r="N70" s="254"/>
      <c r="O70" s="254"/>
      <c r="P70" s="254"/>
      <c r="Q70" s="254"/>
      <c r="R70" s="254"/>
      <c r="S70" s="254"/>
      <c r="T70" s="254"/>
      <c r="U70" s="254"/>
      <c r="V70" s="254"/>
      <c r="W70" s="254"/>
      <c r="X70" s="254"/>
      <c r="Y70" s="254"/>
      <c r="Z70" s="268"/>
      <c r="AA70" s="265"/>
      <c r="AB70" s="249"/>
      <c r="AD70" s="616" t="str">
        <f>IF($G70="", "", IF(COUNTIFS(Equipements_SCL!$M$16:$M$100, $G70, Equipements_SCL!$J$16:$J$100, AD$37)=0, "", IF(SUMIFS(Equipements_SCL!$AV$16:$AV$100, Equipements_SCL!$M$16:$M$100, $G70, Equipements_SCL!$J$16:$J$100, AD$37)=-1, "", SUMIFS(Equipements_SCL!$P$16:$P$100, Equipements_SCL!$M$16:$M$100, $G70, Equipements_SCL!$J$16:$J$100, AD$37))))</f>
        <v/>
      </c>
      <c r="AE70" s="616" t="str">
        <f>IF($G70="", "", IF(COUNTIFS(Equipements_SCL!$M$16:$M$100, $G70, Equipements_SCL!$J$16:$J$100, AE$37)=0, "", IF(SUMIFS(Equipements_SCL!$AV$16:$AV$100, Equipements_SCL!$M$16:$M$100, $G70, Equipements_SCL!$J$16:$J$100, AE$37)=-1, "", SUMIFS(Equipements_SCL!$P$16:$P$100, Equipements_SCL!$M$16:$M$100, $G70, Equipements_SCL!$J$16:$J$100, AE$37))))</f>
        <v/>
      </c>
    </row>
    <row r="71" spans="2:31" ht="20.100000000000001" customHeight="1" outlineLevel="1" x14ac:dyDescent="0.4">
      <c r="B71" s="253"/>
      <c r="C71" s="264"/>
      <c r="D71" s="726"/>
      <c r="E71" s="750"/>
      <c r="F71" s="254"/>
      <c r="G71" s="591"/>
      <c r="H71" s="585" t="str">
        <f t="shared" si="2"/>
        <v/>
      </c>
      <c r="I71" s="433" t="str">
        <f t="shared" si="3"/>
        <v/>
      </c>
      <c r="J71" s="432" t="str">
        <f>IF($G71="", "", IF(COUNTIFS(Equipements_SCL!$M$16:$M$100, $G71, Equipements_SCL!$J$16:$J$100, J$37)=0, "", IF(SUMIFS(Equipements_SCL!$AV$16:$AV$100, Equipements_SCL!$M$16:$M$100, $G71, Equipements_SCL!$J$16:$J$100, J$37)=-1, "", SUMIFS(Equipements_SCL!$P$16:$P$100, Equipements_SCL!$M$16:$M$100, $G71, Equipements_SCL!$J$16:$J$100, J$37))))</f>
        <v/>
      </c>
      <c r="K71" s="592" t="str">
        <f>IF(
    $G71="",
    "",
    IF(
        SUMIFS(Analytique!$AD$3:$AD$20, Analytique!$Z$3:$Z$20, $G71, Analytique!$Y$3:$Y$20, "A1")=0,
        "",
        SUMIFS(Analytique!$AD$3:$AD$20, Analytique!$Z$3:$Z$20, $G71, Analytique!$Y$3:$Y$20, "A1")
    )
)</f>
        <v/>
      </c>
      <c r="L71" s="254"/>
      <c r="M71" s="254"/>
      <c r="N71" s="254"/>
      <c r="O71" s="254"/>
      <c r="P71" s="254"/>
      <c r="Q71" s="254"/>
      <c r="R71" s="254"/>
      <c r="S71" s="254"/>
      <c r="T71" s="254"/>
      <c r="U71" s="254"/>
      <c r="V71" s="254"/>
      <c r="W71" s="254"/>
      <c r="X71" s="254"/>
      <c r="Y71" s="254"/>
      <c r="Z71" s="268"/>
      <c r="AA71" s="265"/>
      <c r="AB71" s="249"/>
      <c r="AD71" s="616" t="str">
        <f>IF($G71="", "", IF(COUNTIFS(Equipements_SCL!$M$16:$M$100, $G71, Equipements_SCL!$J$16:$J$100, AD$37)=0, "", IF(SUMIFS(Equipements_SCL!$AV$16:$AV$100, Equipements_SCL!$M$16:$M$100, $G71, Equipements_SCL!$J$16:$J$100, AD$37)=-1, "", SUMIFS(Equipements_SCL!$P$16:$P$100, Equipements_SCL!$M$16:$M$100, $G71, Equipements_SCL!$J$16:$J$100, AD$37))))</f>
        <v/>
      </c>
      <c r="AE71" s="616" t="str">
        <f>IF($G71="", "", IF(COUNTIFS(Equipements_SCL!$M$16:$M$100, $G71, Equipements_SCL!$J$16:$J$100, AE$37)=0, "", IF(SUMIFS(Equipements_SCL!$AV$16:$AV$100, Equipements_SCL!$M$16:$M$100, $G71, Equipements_SCL!$J$16:$J$100, AE$37)=-1, "", SUMIFS(Equipements_SCL!$P$16:$P$100, Equipements_SCL!$M$16:$M$100, $G71, Equipements_SCL!$J$16:$J$100, AE$37))))</f>
        <v/>
      </c>
    </row>
    <row r="72" spans="2:31" ht="20.100000000000001" customHeight="1" outlineLevel="1" x14ac:dyDescent="0.4">
      <c r="B72" s="253"/>
      <c r="C72" s="264"/>
      <c r="D72" s="726"/>
      <c r="E72" s="750"/>
      <c r="F72" s="254"/>
      <c r="G72" s="591"/>
      <c r="H72" s="585" t="str">
        <f t="shared" si="2"/>
        <v/>
      </c>
      <c r="I72" s="433" t="str">
        <f t="shared" si="3"/>
        <v/>
      </c>
      <c r="J72" s="432" t="str">
        <f>IF($G72="", "", IF(COUNTIFS(Equipements_SCL!$M$16:$M$100, $G72, Equipements_SCL!$J$16:$J$100, J$37)=0, "", IF(SUMIFS(Equipements_SCL!$AV$16:$AV$100, Equipements_SCL!$M$16:$M$100, $G72, Equipements_SCL!$J$16:$J$100, J$37)=-1, "", SUMIFS(Equipements_SCL!$P$16:$P$100, Equipements_SCL!$M$16:$M$100, $G72, Equipements_SCL!$J$16:$J$100, J$37))))</f>
        <v/>
      </c>
      <c r="K72" s="592" t="str">
        <f>IF(
    $G72="",
    "",
    IF(
        SUMIFS(Analytique!$AD$3:$AD$20, Analytique!$Z$3:$Z$20, $G72, Analytique!$Y$3:$Y$20, "A1")=0,
        "",
        SUMIFS(Analytique!$AD$3:$AD$20, Analytique!$Z$3:$Z$20, $G72, Analytique!$Y$3:$Y$20, "A1")
    )
)</f>
        <v/>
      </c>
      <c r="L72" s="254"/>
      <c r="M72" s="254"/>
      <c r="N72" s="254"/>
      <c r="O72" s="254"/>
      <c r="P72" s="254"/>
      <c r="Q72" s="254"/>
      <c r="R72" s="254"/>
      <c r="S72" s="254"/>
      <c r="T72" s="254"/>
      <c r="U72" s="254"/>
      <c r="V72" s="254"/>
      <c r="W72" s="254"/>
      <c r="X72" s="254"/>
      <c r="Y72" s="254"/>
      <c r="Z72" s="268"/>
      <c r="AA72" s="265"/>
      <c r="AB72" s="249"/>
      <c r="AD72" s="616" t="str">
        <f>IF($G72="", "", IF(COUNTIFS(Equipements_SCL!$M$16:$M$100, $G72, Equipements_SCL!$J$16:$J$100, AD$37)=0, "", IF(SUMIFS(Equipements_SCL!$AV$16:$AV$100, Equipements_SCL!$M$16:$M$100, $G72, Equipements_SCL!$J$16:$J$100, AD$37)=-1, "", SUMIFS(Equipements_SCL!$P$16:$P$100, Equipements_SCL!$M$16:$M$100, $G72, Equipements_SCL!$J$16:$J$100, AD$37))))</f>
        <v/>
      </c>
      <c r="AE72" s="616" t="str">
        <f>IF($G72="", "", IF(COUNTIFS(Equipements_SCL!$M$16:$M$100, $G72, Equipements_SCL!$J$16:$J$100, AE$37)=0, "", IF(SUMIFS(Equipements_SCL!$AV$16:$AV$100, Equipements_SCL!$M$16:$M$100, $G72, Equipements_SCL!$J$16:$J$100, AE$37)=-1, "", SUMIFS(Equipements_SCL!$P$16:$P$100, Equipements_SCL!$M$16:$M$100, $G72, Equipements_SCL!$J$16:$J$100, AE$37))))</f>
        <v/>
      </c>
    </row>
    <row r="73" spans="2:31" ht="20.100000000000001" customHeight="1" outlineLevel="1" x14ac:dyDescent="0.4">
      <c r="B73" s="253"/>
      <c r="C73" s="264"/>
      <c r="D73" s="726"/>
      <c r="E73" s="750"/>
      <c r="F73" s="254"/>
      <c r="G73" s="591"/>
      <c r="H73" s="585" t="str">
        <f t="shared" si="2"/>
        <v/>
      </c>
      <c r="I73" s="433" t="str">
        <f t="shared" si="3"/>
        <v/>
      </c>
      <c r="J73" s="432" t="str">
        <f>IF($G73="", "", IF(COUNTIFS(Equipements_SCL!$M$16:$M$100, $G73, Equipements_SCL!$J$16:$J$100, J$37)=0, "", IF(SUMIFS(Equipements_SCL!$AV$16:$AV$100, Equipements_SCL!$M$16:$M$100, $G73, Equipements_SCL!$J$16:$J$100, J$37)=-1, "", SUMIFS(Equipements_SCL!$P$16:$P$100, Equipements_SCL!$M$16:$M$100, $G73, Equipements_SCL!$J$16:$J$100, J$37))))</f>
        <v/>
      </c>
      <c r="K73" s="592" t="str">
        <f>IF(
    $G73="",
    "",
    IF(
        SUMIFS(Analytique!$AD$3:$AD$20, Analytique!$Z$3:$Z$20, $G73, Analytique!$Y$3:$Y$20, "A1")=0,
        "",
        SUMIFS(Analytique!$AD$3:$AD$20, Analytique!$Z$3:$Z$20, $G73, Analytique!$Y$3:$Y$20, "A1")
    )
)</f>
        <v/>
      </c>
      <c r="L73" s="254"/>
      <c r="M73" s="254"/>
      <c r="N73" s="254"/>
      <c r="O73" s="254"/>
      <c r="P73" s="254"/>
      <c r="Q73" s="254"/>
      <c r="R73" s="254"/>
      <c r="S73" s="254"/>
      <c r="T73" s="254"/>
      <c r="U73" s="254"/>
      <c r="V73" s="254"/>
      <c r="W73" s="254"/>
      <c r="X73" s="254"/>
      <c r="Y73" s="254"/>
      <c r="Z73" s="268"/>
      <c r="AA73" s="265"/>
      <c r="AB73" s="249"/>
      <c r="AD73" s="616" t="str">
        <f>IF($G73="", "", IF(COUNTIFS(Equipements_SCL!$M$16:$M$100, $G73, Equipements_SCL!$J$16:$J$100, AD$37)=0, "", IF(SUMIFS(Equipements_SCL!$AV$16:$AV$100, Equipements_SCL!$M$16:$M$100, $G73, Equipements_SCL!$J$16:$J$100, AD$37)=-1, "", SUMIFS(Equipements_SCL!$P$16:$P$100, Equipements_SCL!$M$16:$M$100, $G73, Equipements_SCL!$J$16:$J$100, AD$37))))</f>
        <v/>
      </c>
      <c r="AE73" s="616" t="str">
        <f>IF($G73="", "", IF(COUNTIFS(Equipements_SCL!$M$16:$M$100, $G73, Equipements_SCL!$J$16:$J$100, AE$37)=0, "", IF(SUMIFS(Equipements_SCL!$AV$16:$AV$100, Equipements_SCL!$M$16:$M$100, $G73, Equipements_SCL!$J$16:$J$100, AE$37)=-1, "", SUMIFS(Equipements_SCL!$P$16:$P$100, Equipements_SCL!$M$16:$M$100, $G73, Equipements_SCL!$J$16:$J$100, AE$37))))</f>
        <v/>
      </c>
    </row>
    <row r="74" spans="2:31" ht="20.100000000000001" customHeight="1" outlineLevel="1" x14ac:dyDescent="0.4">
      <c r="B74" s="253"/>
      <c r="C74" s="264"/>
      <c r="D74" s="726"/>
      <c r="E74" s="750"/>
      <c r="F74" s="254"/>
      <c r="G74" s="591"/>
      <c r="H74" s="585" t="str">
        <f t="shared" si="2"/>
        <v/>
      </c>
      <c r="I74" s="433" t="str">
        <f t="shared" si="3"/>
        <v/>
      </c>
      <c r="J74" s="432" t="str">
        <f>IF($G74="", "", IF(COUNTIFS(Equipements_SCL!$M$16:$M$100, $G74, Equipements_SCL!$J$16:$J$100, J$37)=0, "", IF(SUMIFS(Equipements_SCL!$AV$16:$AV$100, Equipements_SCL!$M$16:$M$100, $G74, Equipements_SCL!$J$16:$J$100, J$37)=-1, "", SUMIFS(Equipements_SCL!$P$16:$P$100, Equipements_SCL!$M$16:$M$100, $G74, Equipements_SCL!$J$16:$J$100, J$37))))</f>
        <v/>
      </c>
      <c r="K74" s="592" t="str">
        <f>IF(
    $G74="",
    "",
    IF(
        SUMIFS(Analytique!$AD$3:$AD$20, Analytique!$Z$3:$Z$20, $G74, Analytique!$Y$3:$Y$20, "A1")=0,
        "",
        SUMIFS(Analytique!$AD$3:$AD$20, Analytique!$Z$3:$Z$20, $G74, Analytique!$Y$3:$Y$20, "A1")
    )
)</f>
        <v/>
      </c>
      <c r="L74" s="254"/>
      <c r="M74" s="254"/>
      <c r="N74" s="254"/>
      <c r="O74" s="254"/>
      <c r="P74" s="254"/>
      <c r="Q74" s="254"/>
      <c r="R74" s="254"/>
      <c r="S74" s="254"/>
      <c r="T74" s="254"/>
      <c r="U74" s="254"/>
      <c r="V74" s="254"/>
      <c r="W74" s="254"/>
      <c r="X74" s="254"/>
      <c r="Y74" s="254"/>
      <c r="Z74" s="268"/>
      <c r="AA74" s="265"/>
      <c r="AB74" s="249"/>
      <c r="AD74" s="616" t="str">
        <f>IF($G74="", "", IF(COUNTIFS(Equipements_SCL!$M$16:$M$100, $G74, Equipements_SCL!$J$16:$J$100, AD$37)=0, "", IF(SUMIFS(Equipements_SCL!$AV$16:$AV$100, Equipements_SCL!$M$16:$M$100, $G74, Equipements_SCL!$J$16:$J$100, AD$37)=-1, "", SUMIFS(Equipements_SCL!$P$16:$P$100, Equipements_SCL!$M$16:$M$100, $G74, Equipements_SCL!$J$16:$J$100, AD$37))))</f>
        <v/>
      </c>
      <c r="AE74" s="616" t="str">
        <f>IF($G74="", "", IF(COUNTIFS(Equipements_SCL!$M$16:$M$100, $G74, Equipements_SCL!$J$16:$J$100, AE$37)=0, "", IF(SUMIFS(Equipements_SCL!$AV$16:$AV$100, Equipements_SCL!$M$16:$M$100, $G74, Equipements_SCL!$J$16:$J$100, AE$37)=-1, "", SUMIFS(Equipements_SCL!$P$16:$P$100, Equipements_SCL!$M$16:$M$100, $G74, Equipements_SCL!$J$16:$J$100, AE$37))))</f>
        <v/>
      </c>
    </row>
    <row r="75" spans="2:31" ht="20.100000000000001" customHeight="1" outlineLevel="1" x14ac:dyDescent="0.4">
      <c r="B75" s="253"/>
      <c r="C75" s="264"/>
      <c r="D75" s="726"/>
      <c r="E75" s="750"/>
      <c r="F75" s="254"/>
      <c r="G75" s="591"/>
      <c r="H75" s="585" t="str">
        <f t="shared" si="2"/>
        <v/>
      </c>
      <c r="I75" s="433" t="str">
        <f t="shared" si="3"/>
        <v/>
      </c>
      <c r="J75" s="432" t="str">
        <f>IF($G75="", "", IF(COUNTIFS(Equipements_SCL!$M$16:$M$100, $G75, Equipements_SCL!$J$16:$J$100, J$37)=0, "", IF(SUMIFS(Equipements_SCL!$AV$16:$AV$100, Equipements_SCL!$M$16:$M$100, $G75, Equipements_SCL!$J$16:$J$100, J$37)=-1, "", SUMIFS(Equipements_SCL!$P$16:$P$100, Equipements_SCL!$M$16:$M$100, $G75, Equipements_SCL!$J$16:$J$100, J$37))))</f>
        <v/>
      </c>
      <c r="K75" s="592" t="str">
        <f>IF(
    $G75="",
    "",
    IF(
        SUMIFS(Analytique!$AD$3:$AD$20, Analytique!$Z$3:$Z$20, $G75, Analytique!$Y$3:$Y$20, "A1")=0,
        "",
        SUMIFS(Analytique!$AD$3:$AD$20, Analytique!$Z$3:$Z$20, $G75, Analytique!$Y$3:$Y$20, "A1")
    )
)</f>
        <v/>
      </c>
      <c r="L75" s="254"/>
      <c r="M75" s="254"/>
      <c r="N75" s="254"/>
      <c r="O75" s="254"/>
      <c r="P75" s="254"/>
      <c r="Q75" s="254"/>
      <c r="R75" s="254"/>
      <c r="S75" s="254"/>
      <c r="T75" s="254"/>
      <c r="U75" s="254"/>
      <c r="V75" s="254"/>
      <c r="W75" s="254"/>
      <c r="X75" s="254"/>
      <c r="Y75" s="254"/>
      <c r="Z75" s="268"/>
      <c r="AA75" s="265"/>
      <c r="AB75" s="249"/>
      <c r="AD75" s="616" t="str">
        <f>IF($G75="", "", IF(COUNTIFS(Equipements_SCL!$M$16:$M$100, $G75, Equipements_SCL!$J$16:$J$100, AD$37)=0, "", IF(SUMIFS(Equipements_SCL!$AV$16:$AV$100, Equipements_SCL!$M$16:$M$100, $G75, Equipements_SCL!$J$16:$J$100, AD$37)=-1, "", SUMIFS(Equipements_SCL!$P$16:$P$100, Equipements_SCL!$M$16:$M$100, $G75, Equipements_SCL!$J$16:$J$100, AD$37))))</f>
        <v/>
      </c>
      <c r="AE75" s="616" t="str">
        <f>IF($G75="", "", IF(COUNTIFS(Equipements_SCL!$M$16:$M$100, $G75, Equipements_SCL!$J$16:$J$100, AE$37)=0, "", IF(SUMIFS(Equipements_SCL!$AV$16:$AV$100, Equipements_SCL!$M$16:$M$100, $G75, Equipements_SCL!$J$16:$J$100, AE$37)=-1, "", SUMIFS(Equipements_SCL!$P$16:$P$100, Equipements_SCL!$M$16:$M$100, $G75, Equipements_SCL!$J$16:$J$100, AE$37))))</f>
        <v/>
      </c>
    </row>
    <row r="76" spans="2:31" ht="20.100000000000001" customHeight="1" outlineLevel="1" x14ac:dyDescent="0.4">
      <c r="B76" s="253"/>
      <c r="C76" s="264"/>
      <c r="D76" s="726"/>
      <c r="E76" s="750"/>
      <c r="F76" s="254"/>
      <c r="G76" s="591"/>
      <c r="H76" s="585" t="str">
        <f t="shared" si="2"/>
        <v/>
      </c>
      <c r="I76" s="433" t="str">
        <f t="shared" si="3"/>
        <v/>
      </c>
      <c r="J76" s="432" t="str">
        <f>IF($G76="", "", IF(COUNTIFS(Equipements_SCL!$M$16:$M$100, $G76, Equipements_SCL!$J$16:$J$100, J$37)=0, "", IF(SUMIFS(Equipements_SCL!$AV$16:$AV$100, Equipements_SCL!$M$16:$M$100, $G76, Equipements_SCL!$J$16:$J$100, J$37)=-1, "", SUMIFS(Equipements_SCL!$P$16:$P$100, Equipements_SCL!$M$16:$M$100, $G76, Equipements_SCL!$J$16:$J$100, J$37))))</f>
        <v/>
      </c>
      <c r="K76" s="592" t="str">
        <f>IF(
    $G76="",
    "",
    IF(
        SUMIFS(Analytique!$AD$3:$AD$20, Analytique!$Z$3:$Z$20, $G76, Analytique!$Y$3:$Y$20, "A1")=0,
        "",
        SUMIFS(Analytique!$AD$3:$AD$20, Analytique!$Z$3:$Z$20, $G76, Analytique!$Y$3:$Y$20, "A1")
    )
)</f>
        <v/>
      </c>
      <c r="L76" s="254"/>
      <c r="M76" s="254"/>
      <c r="N76" s="254"/>
      <c r="O76" s="254"/>
      <c r="P76" s="254"/>
      <c r="Q76" s="254"/>
      <c r="R76" s="254"/>
      <c r="S76" s="254"/>
      <c r="T76" s="254"/>
      <c r="U76" s="254"/>
      <c r="V76" s="254"/>
      <c r="W76" s="254"/>
      <c r="X76" s="254"/>
      <c r="Y76" s="254"/>
      <c r="Z76" s="268"/>
      <c r="AA76" s="265"/>
      <c r="AB76" s="249"/>
      <c r="AD76" s="616" t="str">
        <f>IF($G76="", "", IF(COUNTIFS(Equipements_SCL!$M$16:$M$100, $G76, Equipements_SCL!$J$16:$J$100, AD$37)=0, "", IF(SUMIFS(Equipements_SCL!$AV$16:$AV$100, Equipements_SCL!$M$16:$M$100, $G76, Equipements_SCL!$J$16:$J$100, AD$37)=-1, "", SUMIFS(Equipements_SCL!$P$16:$P$100, Equipements_SCL!$M$16:$M$100, $G76, Equipements_SCL!$J$16:$J$100, AD$37))))</f>
        <v/>
      </c>
      <c r="AE76" s="616" t="str">
        <f>IF($G76="", "", IF(COUNTIFS(Equipements_SCL!$M$16:$M$100, $G76, Equipements_SCL!$J$16:$J$100, AE$37)=0, "", IF(SUMIFS(Equipements_SCL!$AV$16:$AV$100, Equipements_SCL!$M$16:$M$100, $G76, Equipements_SCL!$J$16:$J$100, AE$37)=-1, "", SUMIFS(Equipements_SCL!$P$16:$P$100, Equipements_SCL!$M$16:$M$100, $G76, Equipements_SCL!$J$16:$J$100, AE$37))))</f>
        <v/>
      </c>
    </row>
    <row r="77" spans="2:31" ht="20.100000000000001" customHeight="1" outlineLevel="1" x14ac:dyDescent="0.4">
      <c r="B77" s="253"/>
      <c r="C77" s="264"/>
      <c r="D77" s="726"/>
      <c r="E77" s="750"/>
      <c r="F77" s="254"/>
      <c r="G77" s="591"/>
      <c r="H77" s="585" t="str">
        <f t="shared" si="2"/>
        <v/>
      </c>
      <c r="I77" s="433" t="str">
        <f t="shared" si="3"/>
        <v/>
      </c>
      <c r="J77" s="432" t="str">
        <f>IF($G77="", "", IF(COUNTIFS(Equipements_SCL!$M$16:$M$100, $G77, Equipements_SCL!$J$16:$J$100, J$37)=0, "", IF(SUMIFS(Equipements_SCL!$AV$16:$AV$100, Equipements_SCL!$M$16:$M$100, $G77, Equipements_SCL!$J$16:$J$100, J$37)=-1, "", SUMIFS(Equipements_SCL!$P$16:$P$100, Equipements_SCL!$M$16:$M$100, $G77, Equipements_SCL!$J$16:$J$100, J$37))))</f>
        <v/>
      </c>
      <c r="K77" s="592" t="str">
        <f>IF(
    $G77="",
    "",
    IF(
        SUMIFS(Analytique!$AD$3:$AD$20, Analytique!$Z$3:$Z$20, $G77, Analytique!$Y$3:$Y$20, "A1")=0,
        "",
        SUMIFS(Analytique!$AD$3:$AD$20, Analytique!$Z$3:$Z$20, $G77, Analytique!$Y$3:$Y$20, "A1")
    )
)</f>
        <v/>
      </c>
      <c r="L77" s="254"/>
      <c r="M77" s="254"/>
      <c r="N77" s="254"/>
      <c r="O77" s="254"/>
      <c r="P77" s="254"/>
      <c r="Q77" s="254"/>
      <c r="R77" s="254"/>
      <c r="S77" s="254"/>
      <c r="T77" s="254"/>
      <c r="U77" s="254"/>
      <c r="V77" s="254"/>
      <c r="W77" s="254"/>
      <c r="X77" s="254"/>
      <c r="Y77" s="254"/>
      <c r="Z77" s="268"/>
      <c r="AA77" s="265"/>
      <c r="AB77" s="249"/>
      <c r="AD77" s="616" t="str">
        <f>IF($G77="", "", IF(COUNTIFS(Equipements_SCL!$M$16:$M$100, $G77, Equipements_SCL!$J$16:$J$100, AD$37)=0, "", IF(SUMIFS(Equipements_SCL!$AV$16:$AV$100, Equipements_SCL!$M$16:$M$100, $G77, Equipements_SCL!$J$16:$J$100, AD$37)=-1, "", SUMIFS(Equipements_SCL!$P$16:$P$100, Equipements_SCL!$M$16:$M$100, $G77, Equipements_SCL!$J$16:$J$100, AD$37))))</f>
        <v/>
      </c>
      <c r="AE77" s="616" t="str">
        <f>IF($G77="", "", IF(COUNTIFS(Equipements_SCL!$M$16:$M$100, $G77, Equipements_SCL!$J$16:$J$100, AE$37)=0, "", IF(SUMIFS(Equipements_SCL!$AV$16:$AV$100, Equipements_SCL!$M$16:$M$100, $G77, Equipements_SCL!$J$16:$J$100, AE$37)=-1, "", SUMIFS(Equipements_SCL!$P$16:$P$100, Equipements_SCL!$M$16:$M$100, $G77, Equipements_SCL!$J$16:$J$100, AE$37))))</f>
        <v/>
      </c>
    </row>
    <row r="78" spans="2:31" ht="20.100000000000001" customHeight="1" outlineLevel="1" x14ac:dyDescent="0.4">
      <c r="B78" s="253"/>
      <c r="C78" s="264"/>
      <c r="D78" s="726"/>
      <c r="E78" s="750"/>
      <c r="F78" s="254"/>
      <c r="G78" s="591"/>
      <c r="H78" s="585" t="str">
        <f t="shared" si="2"/>
        <v/>
      </c>
      <c r="I78" s="433" t="str">
        <f t="shared" si="3"/>
        <v/>
      </c>
      <c r="J78" s="432" t="str">
        <f>IF($G78="", "", IF(COUNTIFS(Equipements_SCL!$M$16:$M$100, $G78, Equipements_SCL!$J$16:$J$100, J$37)=0, "", IF(SUMIFS(Equipements_SCL!$AV$16:$AV$100, Equipements_SCL!$M$16:$M$100, $G78, Equipements_SCL!$J$16:$J$100, J$37)=-1, "", SUMIFS(Equipements_SCL!$P$16:$P$100, Equipements_SCL!$M$16:$M$100, $G78, Equipements_SCL!$J$16:$J$100, J$37))))</f>
        <v/>
      </c>
      <c r="K78" s="592" t="str">
        <f>IF(
    $G78="",
    "",
    IF(
        SUMIFS(Analytique!$AD$3:$AD$20, Analytique!$Z$3:$Z$20, $G78, Analytique!$Y$3:$Y$20, "A1")=0,
        "",
        SUMIFS(Analytique!$AD$3:$AD$20, Analytique!$Z$3:$Z$20, $G78, Analytique!$Y$3:$Y$20, "A1")
    )
)</f>
        <v/>
      </c>
      <c r="L78" s="254"/>
      <c r="M78" s="254"/>
      <c r="N78" s="254"/>
      <c r="O78" s="254"/>
      <c r="P78" s="254"/>
      <c r="Q78" s="254"/>
      <c r="R78" s="254"/>
      <c r="S78" s="254"/>
      <c r="T78" s="254"/>
      <c r="U78" s="254"/>
      <c r="V78" s="254"/>
      <c r="W78" s="254"/>
      <c r="X78" s="254"/>
      <c r="Y78" s="254"/>
      <c r="Z78" s="268"/>
      <c r="AA78" s="265"/>
      <c r="AB78" s="249"/>
      <c r="AD78" s="616" t="str">
        <f>IF($G78="", "", IF(COUNTIFS(Equipements_SCL!$M$16:$M$100, $G78, Equipements_SCL!$J$16:$J$100, AD$37)=0, "", IF(SUMIFS(Equipements_SCL!$AV$16:$AV$100, Equipements_SCL!$M$16:$M$100, $G78, Equipements_SCL!$J$16:$J$100, AD$37)=-1, "", SUMIFS(Equipements_SCL!$P$16:$P$100, Equipements_SCL!$M$16:$M$100, $G78, Equipements_SCL!$J$16:$J$100, AD$37))))</f>
        <v/>
      </c>
      <c r="AE78" s="616" t="str">
        <f>IF($G78="", "", IF(COUNTIFS(Equipements_SCL!$M$16:$M$100, $G78, Equipements_SCL!$J$16:$J$100, AE$37)=0, "", IF(SUMIFS(Equipements_SCL!$AV$16:$AV$100, Equipements_SCL!$M$16:$M$100, $G78, Equipements_SCL!$J$16:$J$100, AE$37)=-1, "", SUMIFS(Equipements_SCL!$P$16:$P$100, Equipements_SCL!$M$16:$M$100, $G78, Equipements_SCL!$J$16:$J$100, AE$37))))</f>
        <v/>
      </c>
    </row>
    <row r="79" spans="2:31" ht="20.100000000000001" customHeight="1" outlineLevel="1" x14ac:dyDescent="0.4">
      <c r="B79" s="253"/>
      <c r="C79" s="264"/>
      <c r="D79" s="726"/>
      <c r="E79" s="750"/>
      <c r="F79" s="254"/>
      <c r="G79" s="591"/>
      <c r="H79" s="585" t="str">
        <f t="shared" si="2"/>
        <v/>
      </c>
      <c r="I79" s="433" t="str">
        <f t="shared" si="3"/>
        <v/>
      </c>
      <c r="J79" s="432" t="str">
        <f>IF($G79="", "", IF(COUNTIFS(Equipements_SCL!$M$16:$M$100, $G79, Equipements_SCL!$J$16:$J$100, J$37)=0, "", IF(SUMIFS(Equipements_SCL!$AV$16:$AV$100, Equipements_SCL!$M$16:$M$100, $G79, Equipements_SCL!$J$16:$J$100, J$37)=-1, "", SUMIFS(Equipements_SCL!$P$16:$P$100, Equipements_SCL!$M$16:$M$100, $G79, Equipements_SCL!$J$16:$J$100, J$37))))</f>
        <v/>
      </c>
      <c r="K79" s="592" t="str">
        <f>IF(
    $G79="",
    "",
    IF(
        SUMIFS(Analytique!$AD$3:$AD$20, Analytique!$Z$3:$Z$20, $G79, Analytique!$Y$3:$Y$20, "A1")=0,
        "",
        SUMIFS(Analytique!$AD$3:$AD$20, Analytique!$Z$3:$Z$20, $G79, Analytique!$Y$3:$Y$20, "A1")
    )
)</f>
        <v/>
      </c>
      <c r="L79" s="254"/>
      <c r="M79" s="254"/>
      <c r="N79" s="254"/>
      <c r="O79" s="254"/>
      <c r="P79" s="254"/>
      <c r="Q79" s="254"/>
      <c r="R79" s="254"/>
      <c r="S79" s="254"/>
      <c r="T79" s="254"/>
      <c r="U79" s="254"/>
      <c r="V79" s="254"/>
      <c r="W79" s="254"/>
      <c r="X79" s="254"/>
      <c r="Y79" s="254"/>
      <c r="Z79" s="268"/>
      <c r="AA79" s="265"/>
      <c r="AB79" s="249"/>
      <c r="AD79" s="616" t="str">
        <f>IF($G79="", "", IF(COUNTIFS(Equipements_SCL!$M$16:$M$100, $G79, Equipements_SCL!$J$16:$J$100, AD$37)=0, "", IF(SUMIFS(Equipements_SCL!$AV$16:$AV$100, Equipements_SCL!$M$16:$M$100, $G79, Equipements_SCL!$J$16:$J$100, AD$37)=-1, "", SUMIFS(Equipements_SCL!$P$16:$P$100, Equipements_SCL!$M$16:$M$100, $G79, Equipements_SCL!$J$16:$J$100, AD$37))))</f>
        <v/>
      </c>
      <c r="AE79" s="616" t="str">
        <f>IF($G79="", "", IF(COUNTIFS(Equipements_SCL!$M$16:$M$100, $G79, Equipements_SCL!$J$16:$J$100, AE$37)=0, "", IF(SUMIFS(Equipements_SCL!$AV$16:$AV$100, Equipements_SCL!$M$16:$M$100, $G79, Equipements_SCL!$J$16:$J$100, AE$37)=-1, "", SUMIFS(Equipements_SCL!$P$16:$P$100, Equipements_SCL!$M$16:$M$100, $G79, Equipements_SCL!$J$16:$J$100, AE$37))))</f>
        <v/>
      </c>
    </row>
    <row r="80" spans="2:31" ht="20.100000000000001" customHeight="1" outlineLevel="1" x14ac:dyDescent="0.4">
      <c r="B80" s="253"/>
      <c r="C80" s="264"/>
      <c r="D80" s="726"/>
      <c r="E80" s="750"/>
      <c r="F80" s="254"/>
      <c r="G80" s="591"/>
      <c r="H80" s="585" t="str">
        <f t="shared" si="2"/>
        <v/>
      </c>
      <c r="I80" s="433" t="str">
        <f t="shared" si="3"/>
        <v/>
      </c>
      <c r="J80" s="432" t="str">
        <f>IF($G80="", "", IF(COUNTIFS(Equipements_SCL!$M$16:$M$100, $G80, Equipements_SCL!$J$16:$J$100, J$37)=0, "", IF(SUMIFS(Equipements_SCL!$AV$16:$AV$100, Equipements_SCL!$M$16:$M$100, $G80, Equipements_SCL!$J$16:$J$100, J$37)=-1, "", SUMIFS(Equipements_SCL!$P$16:$P$100, Equipements_SCL!$M$16:$M$100, $G80, Equipements_SCL!$J$16:$J$100, J$37))))</f>
        <v/>
      </c>
      <c r="K80" s="592" t="str">
        <f>IF(
    $G80="",
    "",
    IF(
        SUMIFS(Analytique!$AD$3:$AD$20, Analytique!$Z$3:$Z$20, $G80, Analytique!$Y$3:$Y$20, "A1")=0,
        "",
        SUMIFS(Analytique!$AD$3:$AD$20, Analytique!$Z$3:$Z$20, $G80, Analytique!$Y$3:$Y$20, "A1")
    )
)</f>
        <v/>
      </c>
      <c r="L80" s="254"/>
      <c r="M80" s="254"/>
      <c r="N80" s="254"/>
      <c r="O80" s="254"/>
      <c r="P80" s="254"/>
      <c r="Q80" s="254"/>
      <c r="R80" s="254"/>
      <c r="S80" s="254"/>
      <c r="T80" s="254"/>
      <c r="U80" s="254"/>
      <c r="V80" s="254"/>
      <c r="W80" s="254"/>
      <c r="X80" s="254"/>
      <c r="Y80" s="254"/>
      <c r="Z80" s="268"/>
      <c r="AA80" s="265"/>
      <c r="AB80" s="249"/>
      <c r="AD80" s="616" t="str">
        <f>IF($G80="", "", IF(COUNTIFS(Equipements_SCL!$M$16:$M$100, $G80, Equipements_SCL!$J$16:$J$100, AD$37)=0, "", IF(SUMIFS(Equipements_SCL!$AV$16:$AV$100, Equipements_SCL!$M$16:$M$100, $G80, Equipements_SCL!$J$16:$J$100, AD$37)=-1, "", SUMIFS(Equipements_SCL!$P$16:$P$100, Equipements_SCL!$M$16:$M$100, $G80, Equipements_SCL!$J$16:$J$100, AD$37))))</f>
        <v/>
      </c>
      <c r="AE80" s="616" t="str">
        <f>IF($G80="", "", IF(COUNTIFS(Equipements_SCL!$M$16:$M$100, $G80, Equipements_SCL!$J$16:$J$100, AE$37)=0, "", IF(SUMIFS(Equipements_SCL!$AV$16:$AV$100, Equipements_SCL!$M$16:$M$100, $G80, Equipements_SCL!$J$16:$J$100, AE$37)=-1, "", SUMIFS(Equipements_SCL!$P$16:$P$100, Equipements_SCL!$M$16:$M$100, $G80, Equipements_SCL!$J$16:$J$100, AE$37))))</f>
        <v/>
      </c>
    </row>
    <row r="81" spans="2:31" ht="20.100000000000001" customHeight="1" outlineLevel="1" x14ac:dyDescent="0.4">
      <c r="B81" s="253"/>
      <c r="C81" s="264"/>
      <c r="D81" s="726"/>
      <c r="E81" s="750"/>
      <c r="F81" s="254"/>
      <c r="G81" s="591"/>
      <c r="H81" s="585" t="str">
        <f t="shared" si="2"/>
        <v/>
      </c>
      <c r="I81" s="433" t="str">
        <f t="shared" si="3"/>
        <v/>
      </c>
      <c r="J81" s="432" t="str">
        <f>IF($G81="", "", IF(COUNTIFS(Equipements_SCL!$M$16:$M$100, $G81, Equipements_SCL!$J$16:$J$100, J$37)=0, "", IF(SUMIFS(Equipements_SCL!$AV$16:$AV$100, Equipements_SCL!$M$16:$M$100, $G81, Equipements_SCL!$J$16:$J$100, J$37)=-1, "", SUMIFS(Equipements_SCL!$P$16:$P$100, Equipements_SCL!$M$16:$M$100, $G81, Equipements_SCL!$J$16:$J$100, J$37))))</f>
        <v/>
      </c>
      <c r="K81" s="592" t="str">
        <f>IF(
    $G81="",
    "",
    IF(
        SUMIFS(Analytique!$AD$3:$AD$20, Analytique!$Z$3:$Z$20, $G81, Analytique!$Y$3:$Y$20, "A1")=0,
        "",
        SUMIFS(Analytique!$AD$3:$AD$20, Analytique!$Z$3:$Z$20, $G81, Analytique!$Y$3:$Y$20, "A1")
    )
)</f>
        <v/>
      </c>
      <c r="L81" s="254"/>
      <c r="M81" s="254"/>
      <c r="N81" s="254"/>
      <c r="O81" s="254"/>
      <c r="P81" s="254"/>
      <c r="Q81" s="254"/>
      <c r="R81" s="254"/>
      <c r="S81" s="254"/>
      <c r="T81" s="254"/>
      <c r="U81" s="254"/>
      <c r="V81" s="254"/>
      <c r="W81" s="254"/>
      <c r="X81" s="254"/>
      <c r="Y81" s="254"/>
      <c r="Z81" s="268"/>
      <c r="AA81" s="265"/>
      <c r="AB81" s="249"/>
      <c r="AD81" s="616" t="str">
        <f>IF($G81="", "", IF(COUNTIFS(Equipements_SCL!$M$16:$M$100, $G81, Equipements_SCL!$J$16:$J$100, AD$37)=0, "", IF(SUMIFS(Equipements_SCL!$AV$16:$AV$100, Equipements_SCL!$M$16:$M$100, $G81, Equipements_SCL!$J$16:$J$100, AD$37)=-1, "", SUMIFS(Equipements_SCL!$P$16:$P$100, Equipements_SCL!$M$16:$M$100, $G81, Equipements_SCL!$J$16:$J$100, AD$37))))</f>
        <v/>
      </c>
      <c r="AE81" s="616" t="str">
        <f>IF($G81="", "", IF(COUNTIFS(Equipements_SCL!$M$16:$M$100, $G81, Equipements_SCL!$J$16:$J$100, AE$37)=0, "", IF(SUMIFS(Equipements_SCL!$AV$16:$AV$100, Equipements_SCL!$M$16:$M$100, $G81, Equipements_SCL!$J$16:$J$100, AE$37)=-1, "", SUMIFS(Equipements_SCL!$P$16:$P$100, Equipements_SCL!$M$16:$M$100, $G81, Equipements_SCL!$J$16:$J$100, AE$37))))</f>
        <v/>
      </c>
    </row>
    <row r="82" spans="2:31" ht="20.100000000000001" customHeight="1" outlineLevel="1" x14ac:dyDescent="0.4">
      <c r="B82" s="253"/>
      <c r="C82" s="264"/>
      <c r="D82" s="726"/>
      <c r="E82" s="750"/>
      <c r="F82" s="254"/>
      <c r="G82" s="591"/>
      <c r="H82" s="585" t="str">
        <f t="shared" si="2"/>
        <v/>
      </c>
      <c r="I82" s="433" t="str">
        <f t="shared" si="3"/>
        <v/>
      </c>
      <c r="J82" s="432" t="str">
        <f>IF($G82="", "", IF(COUNTIFS(Equipements_SCL!$M$16:$M$100, $G82, Equipements_SCL!$J$16:$J$100, J$37)=0, "", IF(SUMIFS(Equipements_SCL!$AV$16:$AV$100, Equipements_SCL!$M$16:$M$100, $G82, Equipements_SCL!$J$16:$J$100, J$37)=-1, "", SUMIFS(Equipements_SCL!$P$16:$P$100, Equipements_SCL!$M$16:$M$100, $G82, Equipements_SCL!$J$16:$J$100, J$37))))</f>
        <v/>
      </c>
      <c r="K82" s="592" t="str">
        <f>IF(
    $G82="",
    "",
    IF(
        SUMIFS(Analytique!$AD$3:$AD$20, Analytique!$Z$3:$Z$20, $G82, Analytique!$Y$3:$Y$20, "A1")=0,
        "",
        SUMIFS(Analytique!$AD$3:$AD$20, Analytique!$Z$3:$Z$20, $G82, Analytique!$Y$3:$Y$20, "A1")
    )
)</f>
        <v/>
      </c>
      <c r="L82" s="254"/>
      <c r="M82" s="254"/>
      <c r="N82" s="254"/>
      <c r="O82" s="254"/>
      <c r="P82" s="254"/>
      <c r="Q82" s="254"/>
      <c r="R82" s="254"/>
      <c r="S82" s="254"/>
      <c r="T82" s="254"/>
      <c r="U82" s="254"/>
      <c r="V82" s="254"/>
      <c r="W82" s="254"/>
      <c r="X82" s="254"/>
      <c r="Y82" s="254"/>
      <c r="Z82" s="268"/>
      <c r="AA82" s="265"/>
      <c r="AB82" s="249"/>
      <c r="AD82" s="616" t="str">
        <f>IF($G82="", "", IF(COUNTIFS(Equipements_SCL!$M$16:$M$100, $G82, Equipements_SCL!$J$16:$J$100, AD$37)=0, "", IF(SUMIFS(Equipements_SCL!$AV$16:$AV$100, Equipements_SCL!$M$16:$M$100, $G82, Equipements_SCL!$J$16:$J$100, AD$37)=-1, "", SUMIFS(Equipements_SCL!$P$16:$P$100, Equipements_SCL!$M$16:$M$100, $G82, Equipements_SCL!$J$16:$J$100, AD$37))))</f>
        <v/>
      </c>
      <c r="AE82" s="616" t="str">
        <f>IF($G82="", "", IF(COUNTIFS(Equipements_SCL!$M$16:$M$100, $G82, Equipements_SCL!$J$16:$J$100, AE$37)=0, "", IF(SUMIFS(Equipements_SCL!$AV$16:$AV$100, Equipements_SCL!$M$16:$M$100, $G82, Equipements_SCL!$J$16:$J$100, AE$37)=-1, "", SUMIFS(Equipements_SCL!$P$16:$P$100, Equipements_SCL!$M$16:$M$100, $G82, Equipements_SCL!$J$16:$J$100, AE$37))))</f>
        <v/>
      </c>
    </row>
    <row r="83" spans="2:31" ht="25.35" customHeight="1" outlineLevel="1" x14ac:dyDescent="0.4">
      <c r="B83" s="253"/>
      <c r="C83" s="264"/>
      <c r="D83" s="726"/>
      <c r="E83" s="750"/>
      <c r="F83" s="254"/>
      <c r="G83" s="591"/>
      <c r="H83" s="585" t="str">
        <f t="shared" si="2"/>
        <v/>
      </c>
      <c r="I83" s="433" t="str">
        <f t="shared" si="3"/>
        <v/>
      </c>
      <c r="J83" s="432" t="str">
        <f>IF($G83="", "", IF(COUNTIFS(Equipements_SCL!$M$16:$M$100, $G83, Equipements_SCL!$J$16:$J$100, J$37)=0, "", IF(SUMIFS(Equipements_SCL!$AV$16:$AV$100, Equipements_SCL!$M$16:$M$100, $G83, Equipements_SCL!$J$16:$J$100, J$37)=-1, "", SUMIFS(Equipements_SCL!$P$16:$P$100, Equipements_SCL!$M$16:$M$100, $G83, Equipements_SCL!$J$16:$J$100, J$37))))</f>
        <v/>
      </c>
      <c r="K83" s="592" t="str">
        <f>IF(
    $G83="",
    "",
    IF(
        SUMIFS(Analytique!$AD$3:$AD$20, Analytique!$Z$3:$Z$20, $G83, Analytique!$Y$3:$Y$20, "A1")=0,
        "",
        SUMIFS(Analytique!$AD$3:$AD$20, Analytique!$Z$3:$Z$20, $G83, Analytique!$Y$3:$Y$20, "A1")
    )
)</f>
        <v/>
      </c>
      <c r="L83" s="254"/>
      <c r="M83" s="254"/>
      <c r="N83" s="254"/>
      <c r="O83" s="254"/>
      <c r="P83" s="254"/>
      <c r="Q83" s="254"/>
      <c r="R83" s="254"/>
      <c r="S83" s="254"/>
      <c r="T83" s="254"/>
      <c r="U83" s="254"/>
      <c r="V83" s="254"/>
      <c r="W83" s="254"/>
      <c r="X83" s="254"/>
      <c r="Y83" s="254"/>
      <c r="Z83" s="268"/>
      <c r="AA83" s="265"/>
      <c r="AB83" s="249"/>
      <c r="AD83" s="616" t="str">
        <f>IF($G83="", "", IF(COUNTIFS(Equipements_SCL!$M$16:$M$100, $G83, Equipements_SCL!$J$16:$J$100, AD$37)=0, "", IF(SUMIFS(Equipements_SCL!$AV$16:$AV$100, Equipements_SCL!$M$16:$M$100, $G83, Equipements_SCL!$J$16:$J$100, AD$37)=-1, "", SUMIFS(Equipements_SCL!$P$16:$P$100, Equipements_SCL!$M$16:$M$100, $G83, Equipements_SCL!$J$16:$J$100, AD$37))))</f>
        <v/>
      </c>
      <c r="AE83" s="616" t="str">
        <f>IF($G83="", "", IF(COUNTIFS(Equipements_SCL!$M$16:$M$100, $G83, Equipements_SCL!$J$16:$J$100, AE$37)=0, "", IF(SUMIFS(Equipements_SCL!$AV$16:$AV$100, Equipements_SCL!$M$16:$M$100, $G83, Equipements_SCL!$J$16:$J$100, AE$37)=-1, "", SUMIFS(Equipements_SCL!$P$16:$P$100, Equipements_SCL!$M$16:$M$100, $G83, Equipements_SCL!$J$16:$J$100, AE$37))))</f>
        <v/>
      </c>
    </row>
    <row r="84" spans="2:31" ht="20.100000000000001" customHeight="1" outlineLevel="1" x14ac:dyDescent="0.4">
      <c r="B84" s="253"/>
      <c r="C84" s="264"/>
      <c r="D84" s="726"/>
      <c r="E84" s="750"/>
      <c r="F84" s="254"/>
      <c r="G84" s="591"/>
      <c r="H84" s="585" t="str">
        <f t="shared" si="2"/>
        <v/>
      </c>
      <c r="I84" s="433" t="str">
        <f t="shared" si="3"/>
        <v/>
      </c>
      <c r="J84" s="432" t="str">
        <f>IF($G84="", "", IF(COUNTIFS(Equipements_SCL!$M$16:$M$100, $G84, Equipements_SCL!$J$16:$J$100, J$37)=0, "", IF(SUMIFS(Equipements_SCL!$AV$16:$AV$100, Equipements_SCL!$M$16:$M$100, $G84, Equipements_SCL!$J$16:$J$100, J$37)=-1, "", SUMIFS(Equipements_SCL!$P$16:$P$100, Equipements_SCL!$M$16:$M$100, $G84, Equipements_SCL!$J$16:$J$100, J$37))))</f>
        <v/>
      </c>
      <c r="K84" s="592" t="str">
        <f>IF(
    $G84="",
    "",
    IF(
        SUMIFS(Analytique!$AD$3:$AD$20, Analytique!$Z$3:$Z$20, $G84, Analytique!$Y$3:$Y$20, "A1")=0,
        "",
        SUMIFS(Analytique!$AD$3:$AD$20, Analytique!$Z$3:$Z$20, $G84, Analytique!$Y$3:$Y$20, "A1")
    )
)</f>
        <v/>
      </c>
      <c r="L84" s="254"/>
      <c r="M84" s="254"/>
      <c r="N84" s="254"/>
      <c r="O84" s="254"/>
      <c r="P84" s="254"/>
      <c r="Q84" s="254"/>
      <c r="R84" s="254"/>
      <c r="S84" s="254"/>
      <c r="T84" s="254"/>
      <c r="U84" s="254"/>
      <c r="V84" s="254"/>
      <c r="W84" s="254"/>
      <c r="X84" s="254"/>
      <c r="Y84" s="254"/>
      <c r="Z84" s="268"/>
      <c r="AA84" s="265"/>
      <c r="AB84" s="249"/>
      <c r="AD84" s="616" t="str">
        <f>IF($G84="", "", IF(COUNTIFS(Equipements_SCL!$M$16:$M$100, $G84, Equipements_SCL!$J$16:$J$100, AD$37)=0, "", IF(SUMIFS(Equipements_SCL!$AV$16:$AV$100, Equipements_SCL!$M$16:$M$100, $G84, Equipements_SCL!$J$16:$J$100, AD$37)=-1, "", SUMIFS(Equipements_SCL!$P$16:$P$100, Equipements_SCL!$M$16:$M$100, $G84, Equipements_SCL!$J$16:$J$100, AD$37))))</f>
        <v/>
      </c>
      <c r="AE84" s="616" t="str">
        <f>IF($G84="", "", IF(COUNTIFS(Equipements_SCL!$M$16:$M$100, $G84, Equipements_SCL!$J$16:$J$100, AE$37)=0, "", IF(SUMIFS(Equipements_SCL!$AV$16:$AV$100, Equipements_SCL!$M$16:$M$100, $G84, Equipements_SCL!$J$16:$J$100, AE$37)=-1, "", SUMIFS(Equipements_SCL!$P$16:$P$100, Equipements_SCL!$M$16:$M$100, $G84, Equipements_SCL!$J$16:$J$100, AE$37))))</f>
        <v/>
      </c>
    </row>
    <row r="85" spans="2:31" ht="20.100000000000001" customHeight="1" outlineLevel="1" x14ac:dyDescent="0.4">
      <c r="B85" s="253"/>
      <c r="C85" s="264"/>
      <c r="D85" s="726"/>
      <c r="E85" s="750"/>
      <c r="F85" s="254"/>
      <c r="G85" s="591"/>
      <c r="H85" s="585" t="str">
        <f t="shared" si="2"/>
        <v/>
      </c>
      <c r="I85" s="433" t="str">
        <f t="shared" si="3"/>
        <v/>
      </c>
      <c r="J85" s="432" t="str">
        <f>IF($G85="", "", IF(COUNTIFS(Equipements_SCL!$M$16:$M$100, $G85, Equipements_SCL!$J$16:$J$100, J$37)=0, "", IF(SUMIFS(Equipements_SCL!$AV$16:$AV$100, Equipements_SCL!$M$16:$M$100, $G85, Equipements_SCL!$J$16:$J$100, J$37)=-1, "", SUMIFS(Equipements_SCL!$P$16:$P$100, Equipements_SCL!$M$16:$M$100, $G85, Equipements_SCL!$J$16:$J$100, J$37))))</f>
        <v/>
      </c>
      <c r="K85" s="592" t="str">
        <f>IF(
    $G85="",
    "",
    IF(
        SUMIFS(Analytique!$AD$3:$AD$20, Analytique!$Z$3:$Z$20, $G85, Analytique!$Y$3:$Y$20, "A1")=0,
        "",
        SUMIFS(Analytique!$AD$3:$AD$20, Analytique!$Z$3:$Z$20, $G85, Analytique!$Y$3:$Y$20, "A1")
    )
)</f>
        <v/>
      </c>
      <c r="L85" s="254"/>
      <c r="M85" s="254"/>
      <c r="N85" s="254"/>
      <c r="O85" s="254"/>
      <c r="P85" s="254"/>
      <c r="Q85" s="254"/>
      <c r="R85" s="254"/>
      <c r="S85" s="254"/>
      <c r="T85" s="254"/>
      <c r="U85" s="254"/>
      <c r="V85" s="254"/>
      <c r="W85" s="254"/>
      <c r="X85" s="254"/>
      <c r="Y85" s="254"/>
      <c r="Z85" s="268"/>
      <c r="AA85" s="265"/>
      <c r="AB85" s="249"/>
      <c r="AD85" s="616" t="str">
        <f>IF($G85="", "", IF(COUNTIFS(Equipements_SCL!$M$16:$M$100, $G85, Equipements_SCL!$J$16:$J$100, AD$37)=0, "", IF(SUMIFS(Equipements_SCL!$AV$16:$AV$100, Equipements_SCL!$M$16:$M$100, $G85, Equipements_SCL!$J$16:$J$100, AD$37)=-1, "", SUMIFS(Equipements_SCL!$P$16:$P$100, Equipements_SCL!$M$16:$M$100, $G85, Equipements_SCL!$J$16:$J$100, AD$37))))</f>
        <v/>
      </c>
      <c r="AE85" s="616" t="str">
        <f>IF($G85="", "", IF(COUNTIFS(Equipements_SCL!$M$16:$M$100, $G85, Equipements_SCL!$J$16:$J$100, AE$37)=0, "", IF(SUMIFS(Equipements_SCL!$AV$16:$AV$100, Equipements_SCL!$M$16:$M$100, $G85, Equipements_SCL!$J$16:$J$100, AE$37)=-1, "", SUMIFS(Equipements_SCL!$P$16:$P$100, Equipements_SCL!$M$16:$M$100, $G85, Equipements_SCL!$J$16:$J$100, AE$37))))</f>
        <v/>
      </c>
    </row>
    <row r="86" spans="2:31" ht="20.100000000000001" customHeight="1" outlineLevel="1" x14ac:dyDescent="0.4">
      <c r="B86" s="253"/>
      <c r="C86" s="264"/>
      <c r="D86" s="726"/>
      <c r="E86" s="750"/>
      <c r="F86" s="254"/>
      <c r="G86" s="591"/>
      <c r="H86" s="585" t="str">
        <f t="shared" si="2"/>
        <v/>
      </c>
      <c r="I86" s="433" t="str">
        <f t="shared" si="3"/>
        <v/>
      </c>
      <c r="J86" s="432" t="str">
        <f>IF($G86="", "", IF(COUNTIFS(Equipements_SCL!$M$16:$M$100, $G86, Equipements_SCL!$J$16:$J$100, J$37)=0, "", IF(SUMIFS(Equipements_SCL!$AV$16:$AV$100, Equipements_SCL!$M$16:$M$100, $G86, Equipements_SCL!$J$16:$J$100, J$37)=-1, "", SUMIFS(Equipements_SCL!$P$16:$P$100, Equipements_SCL!$M$16:$M$100, $G86, Equipements_SCL!$J$16:$J$100, J$37))))</f>
        <v/>
      </c>
      <c r="K86" s="592" t="str">
        <f>IF(
    $G86="",
    "",
    IF(
        SUMIFS(Analytique!$AD$3:$AD$20, Analytique!$Z$3:$Z$20, $G86, Analytique!$Y$3:$Y$20, "A1")=0,
        "",
        SUMIFS(Analytique!$AD$3:$AD$20, Analytique!$Z$3:$Z$20, $G86, Analytique!$Y$3:$Y$20, "A1")
    )
)</f>
        <v/>
      </c>
      <c r="L86" s="254"/>
      <c r="M86" s="254"/>
      <c r="N86" s="254"/>
      <c r="O86" s="254"/>
      <c r="P86" s="254"/>
      <c r="Q86" s="254"/>
      <c r="R86" s="254"/>
      <c r="S86" s="254"/>
      <c r="T86" s="254"/>
      <c r="U86" s="254"/>
      <c r="V86" s="254"/>
      <c r="W86" s="254"/>
      <c r="X86" s="254"/>
      <c r="Y86" s="254"/>
      <c r="Z86" s="268"/>
      <c r="AA86" s="265"/>
      <c r="AB86" s="249"/>
      <c r="AD86" s="616" t="str">
        <f>IF($G86="", "", IF(COUNTIFS(Equipements_SCL!$M$16:$M$100, $G86, Equipements_SCL!$J$16:$J$100, AD$37)=0, "", IF(SUMIFS(Equipements_SCL!$AV$16:$AV$100, Equipements_SCL!$M$16:$M$100, $G86, Equipements_SCL!$J$16:$J$100, AD$37)=-1, "", SUMIFS(Equipements_SCL!$P$16:$P$100, Equipements_SCL!$M$16:$M$100, $G86, Equipements_SCL!$J$16:$J$100, AD$37))))</f>
        <v/>
      </c>
      <c r="AE86" s="616" t="str">
        <f>IF($G86="", "", IF(COUNTIFS(Equipements_SCL!$M$16:$M$100, $G86, Equipements_SCL!$J$16:$J$100, AE$37)=0, "", IF(SUMIFS(Equipements_SCL!$AV$16:$AV$100, Equipements_SCL!$M$16:$M$100, $G86, Equipements_SCL!$J$16:$J$100, AE$37)=-1, "", SUMIFS(Equipements_SCL!$P$16:$P$100, Equipements_SCL!$M$16:$M$100, $G86, Equipements_SCL!$J$16:$J$100, AE$37))))</f>
        <v/>
      </c>
    </row>
    <row r="87" spans="2:31" ht="20.100000000000001" customHeight="1" outlineLevel="1" x14ac:dyDescent="0.4">
      <c r="B87" s="253"/>
      <c r="C87" s="264"/>
      <c r="D87" s="726"/>
      <c r="E87" s="750"/>
      <c r="F87" s="254"/>
      <c r="G87" s="591"/>
      <c r="H87" s="585" t="str">
        <f t="shared" si="2"/>
        <v/>
      </c>
      <c r="I87" s="433" t="str">
        <f t="shared" si="3"/>
        <v/>
      </c>
      <c r="J87" s="432" t="str">
        <f>IF($G87="", "", IF(COUNTIFS(Equipements_SCL!$M$16:$M$100, $G87, Equipements_SCL!$J$16:$J$100, J$37)=0, "", IF(SUMIFS(Equipements_SCL!$AV$16:$AV$100, Equipements_SCL!$M$16:$M$100, $G87, Equipements_SCL!$J$16:$J$100, J$37)=-1, "", SUMIFS(Equipements_SCL!$P$16:$P$100, Equipements_SCL!$M$16:$M$100, $G87, Equipements_SCL!$J$16:$J$100, J$37))))</f>
        <v/>
      </c>
      <c r="K87" s="592" t="str">
        <f>IF(
    $G87="",
    "",
    IF(
        SUMIFS(Analytique!$AD$3:$AD$20, Analytique!$Z$3:$Z$20, $G87, Analytique!$Y$3:$Y$20, "A1")=0,
        "",
        SUMIFS(Analytique!$AD$3:$AD$20, Analytique!$Z$3:$Z$20, $G87, Analytique!$Y$3:$Y$20, "A1")
    )
)</f>
        <v/>
      </c>
      <c r="L87" s="254"/>
      <c r="M87" s="254"/>
      <c r="N87" s="254"/>
      <c r="O87" s="254"/>
      <c r="P87" s="254"/>
      <c r="Q87" s="254"/>
      <c r="R87" s="254"/>
      <c r="S87" s="254"/>
      <c r="T87" s="254"/>
      <c r="U87" s="254"/>
      <c r="V87" s="254"/>
      <c r="W87" s="254"/>
      <c r="X87" s="254"/>
      <c r="Y87" s="254"/>
      <c r="Z87" s="268"/>
      <c r="AA87" s="265"/>
      <c r="AB87" s="249"/>
      <c r="AD87" s="616" t="str">
        <f>IF($G87="", "", IF(COUNTIFS(Equipements_SCL!$M$16:$M$100, $G87, Equipements_SCL!$J$16:$J$100, AD$37)=0, "", IF(SUMIFS(Equipements_SCL!$AV$16:$AV$100, Equipements_SCL!$M$16:$M$100, $G87, Equipements_SCL!$J$16:$J$100, AD$37)=-1, "", SUMIFS(Equipements_SCL!$P$16:$P$100, Equipements_SCL!$M$16:$M$100, $G87, Equipements_SCL!$J$16:$J$100, AD$37))))</f>
        <v/>
      </c>
      <c r="AE87" s="616" t="str">
        <f>IF($G87="", "", IF(COUNTIFS(Equipements_SCL!$M$16:$M$100, $G87, Equipements_SCL!$J$16:$J$100, AE$37)=0, "", IF(SUMIFS(Equipements_SCL!$AV$16:$AV$100, Equipements_SCL!$M$16:$M$100, $G87, Equipements_SCL!$J$16:$J$100, AE$37)=-1, "", SUMIFS(Equipements_SCL!$P$16:$P$100, Equipements_SCL!$M$16:$M$100, $G87, Equipements_SCL!$J$16:$J$100, AE$37))))</f>
        <v/>
      </c>
    </row>
    <row r="88" spans="2:31" ht="20.100000000000001" customHeight="1" outlineLevel="1" x14ac:dyDescent="0.4">
      <c r="B88" s="253"/>
      <c r="C88" s="264"/>
      <c r="D88" s="726"/>
      <c r="E88" s="750"/>
      <c r="F88" s="254"/>
      <c r="G88" s="591"/>
      <c r="H88" s="585" t="str">
        <f t="shared" si="2"/>
        <v/>
      </c>
      <c r="I88" s="433" t="str">
        <f t="shared" si="3"/>
        <v/>
      </c>
      <c r="J88" s="432" t="str">
        <f>IF($G88="", "", IF(COUNTIFS(Equipements_SCL!$M$16:$M$100, $G88, Equipements_SCL!$J$16:$J$100, J$37)=0, "", IF(SUMIFS(Equipements_SCL!$AV$16:$AV$100, Equipements_SCL!$M$16:$M$100, $G88, Equipements_SCL!$J$16:$J$100, J$37)=-1, "", SUMIFS(Equipements_SCL!$P$16:$P$100, Equipements_SCL!$M$16:$M$100, $G88, Equipements_SCL!$J$16:$J$100, J$37))))</f>
        <v/>
      </c>
      <c r="K88" s="592" t="str">
        <f>IF(
    $G88="",
    "",
    IF(
        SUMIFS(Analytique!$AD$3:$AD$20, Analytique!$Z$3:$Z$20, $G88, Analytique!$Y$3:$Y$20, "A1")=0,
        "",
        SUMIFS(Analytique!$AD$3:$AD$20, Analytique!$Z$3:$Z$20, $G88, Analytique!$Y$3:$Y$20, "A1")
    )
)</f>
        <v/>
      </c>
      <c r="L88" s="254"/>
      <c r="M88" s="254"/>
      <c r="N88" s="254"/>
      <c r="O88" s="254"/>
      <c r="P88" s="254"/>
      <c r="Q88" s="254"/>
      <c r="R88" s="254"/>
      <c r="S88" s="254"/>
      <c r="T88" s="254"/>
      <c r="U88" s="254"/>
      <c r="V88" s="254"/>
      <c r="W88" s="254"/>
      <c r="X88" s="254"/>
      <c r="Y88" s="254"/>
      <c r="Z88" s="268"/>
      <c r="AA88" s="265"/>
      <c r="AB88" s="249"/>
      <c r="AD88" s="616" t="str">
        <f>IF($G88="", "", IF(COUNTIFS(Equipements_SCL!$M$16:$M$100, $G88, Equipements_SCL!$J$16:$J$100, AD$37)=0, "", IF(SUMIFS(Equipements_SCL!$AV$16:$AV$100, Equipements_SCL!$M$16:$M$100, $G88, Equipements_SCL!$J$16:$J$100, AD$37)=-1, "", SUMIFS(Equipements_SCL!$P$16:$P$100, Equipements_SCL!$M$16:$M$100, $G88, Equipements_SCL!$J$16:$J$100, AD$37))))</f>
        <v/>
      </c>
      <c r="AE88" s="616" t="str">
        <f>IF($G88="", "", IF(COUNTIFS(Equipements_SCL!$M$16:$M$100, $G88, Equipements_SCL!$J$16:$J$100, AE$37)=0, "", IF(SUMIFS(Equipements_SCL!$AV$16:$AV$100, Equipements_SCL!$M$16:$M$100, $G88, Equipements_SCL!$J$16:$J$100, AE$37)=-1, "", SUMIFS(Equipements_SCL!$P$16:$P$100, Equipements_SCL!$M$16:$M$100, $G88, Equipements_SCL!$J$16:$J$100, AE$37))))</f>
        <v/>
      </c>
    </row>
    <row r="89" spans="2:31" ht="20.100000000000001" customHeight="1" outlineLevel="1" x14ac:dyDescent="0.4">
      <c r="B89" s="253"/>
      <c r="C89" s="264"/>
      <c r="D89" s="726"/>
      <c r="E89" s="750"/>
      <c r="F89" s="254"/>
      <c r="G89" s="591"/>
      <c r="H89" s="585" t="str">
        <f t="shared" si="2"/>
        <v/>
      </c>
      <c r="I89" s="433" t="str">
        <f t="shared" si="3"/>
        <v/>
      </c>
      <c r="J89" s="432" t="str">
        <f>IF($G89="", "", IF(COUNTIFS(Equipements_SCL!$M$16:$M$100, $G89, Equipements_SCL!$J$16:$J$100, J$37)=0, "", IF(SUMIFS(Equipements_SCL!$AV$16:$AV$100, Equipements_SCL!$M$16:$M$100, $G89, Equipements_SCL!$J$16:$J$100, J$37)=-1, "", SUMIFS(Equipements_SCL!$P$16:$P$100, Equipements_SCL!$M$16:$M$100, $G89, Equipements_SCL!$J$16:$J$100, J$37))))</f>
        <v/>
      </c>
      <c r="K89" s="592" t="str">
        <f>IF(
    $G89="",
    "",
    IF(
        SUMIFS(Analytique!$AD$3:$AD$20, Analytique!$Z$3:$Z$20, $G89, Analytique!$Y$3:$Y$20, "A1")=0,
        "",
        SUMIFS(Analytique!$AD$3:$AD$20, Analytique!$Z$3:$Z$20, $G89, Analytique!$Y$3:$Y$20, "A1")
    )
)</f>
        <v/>
      </c>
      <c r="L89" s="254"/>
      <c r="M89" s="254"/>
      <c r="N89" s="254"/>
      <c r="O89" s="254"/>
      <c r="P89" s="254"/>
      <c r="Q89" s="254"/>
      <c r="R89" s="254"/>
      <c r="S89" s="254"/>
      <c r="T89" s="254"/>
      <c r="U89" s="254"/>
      <c r="V89" s="254"/>
      <c r="W89" s="254"/>
      <c r="X89" s="254"/>
      <c r="Y89" s="254"/>
      <c r="Z89" s="268"/>
      <c r="AA89" s="265"/>
      <c r="AB89" s="249"/>
      <c r="AD89" s="616" t="str">
        <f>IF($G89="", "", IF(COUNTIFS(Equipements_SCL!$M$16:$M$100, $G89, Equipements_SCL!$J$16:$J$100, AD$37)=0, "", IF(SUMIFS(Equipements_SCL!$AV$16:$AV$100, Equipements_SCL!$M$16:$M$100, $G89, Equipements_SCL!$J$16:$J$100, AD$37)=-1, "", SUMIFS(Equipements_SCL!$P$16:$P$100, Equipements_SCL!$M$16:$M$100, $G89, Equipements_SCL!$J$16:$J$100, AD$37))))</f>
        <v/>
      </c>
      <c r="AE89" s="616" t="str">
        <f>IF($G89="", "", IF(COUNTIFS(Equipements_SCL!$M$16:$M$100, $G89, Equipements_SCL!$J$16:$J$100, AE$37)=0, "", IF(SUMIFS(Equipements_SCL!$AV$16:$AV$100, Equipements_SCL!$M$16:$M$100, $G89, Equipements_SCL!$J$16:$J$100, AE$37)=-1, "", SUMIFS(Equipements_SCL!$P$16:$P$100, Equipements_SCL!$M$16:$M$100, $G89, Equipements_SCL!$J$16:$J$100, AE$37))))</f>
        <v/>
      </c>
    </row>
    <row r="90" spans="2:31" ht="20.100000000000001" customHeight="1" outlineLevel="1" x14ac:dyDescent="0.4">
      <c r="B90" s="253"/>
      <c r="C90" s="264"/>
      <c r="D90" s="726"/>
      <c r="E90" s="750"/>
      <c r="F90" s="254"/>
      <c r="G90" s="591"/>
      <c r="H90" s="585" t="str">
        <f t="shared" si="2"/>
        <v/>
      </c>
      <c r="I90" s="433" t="str">
        <f t="shared" si="3"/>
        <v/>
      </c>
      <c r="J90" s="432" t="str">
        <f>IF($G90="", "", IF(COUNTIFS(Equipements_SCL!$M$16:$M$100, $G90, Equipements_SCL!$J$16:$J$100, J$37)=0, "", IF(SUMIFS(Equipements_SCL!$AV$16:$AV$100, Equipements_SCL!$M$16:$M$100, $G90, Equipements_SCL!$J$16:$J$100, J$37)=-1, "", SUMIFS(Equipements_SCL!$P$16:$P$100, Equipements_SCL!$M$16:$M$100, $G90, Equipements_SCL!$J$16:$J$100, J$37))))</f>
        <v/>
      </c>
      <c r="K90" s="592" t="str">
        <f>IF(
    $G90="",
    "",
    IF(
        SUMIFS(Analytique!$AD$3:$AD$20, Analytique!$Z$3:$Z$20, $G90, Analytique!$Y$3:$Y$20, "A1")=0,
        "",
        SUMIFS(Analytique!$AD$3:$AD$20, Analytique!$Z$3:$Z$20, $G90, Analytique!$Y$3:$Y$20, "A1")
    )
)</f>
        <v/>
      </c>
      <c r="L90" s="254"/>
      <c r="M90" s="254"/>
      <c r="N90" s="254"/>
      <c r="O90" s="254"/>
      <c r="P90" s="254"/>
      <c r="Q90" s="254"/>
      <c r="R90" s="254"/>
      <c r="S90" s="254"/>
      <c r="T90" s="254"/>
      <c r="U90" s="254"/>
      <c r="V90" s="254"/>
      <c r="W90" s="254"/>
      <c r="X90" s="254"/>
      <c r="Y90" s="254"/>
      <c r="Z90" s="268"/>
      <c r="AA90" s="265"/>
      <c r="AB90" s="249"/>
      <c r="AD90" s="616" t="str">
        <f>IF($G90="", "", IF(COUNTIFS(Equipements_SCL!$M$16:$M$100, $G90, Equipements_SCL!$J$16:$J$100, AD$37)=0, "", IF(SUMIFS(Equipements_SCL!$AV$16:$AV$100, Equipements_SCL!$M$16:$M$100, $G90, Equipements_SCL!$J$16:$J$100, AD$37)=-1, "", SUMIFS(Equipements_SCL!$P$16:$P$100, Equipements_SCL!$M$16:$M$100, $G90, Equipements_SCL!$J$16:$J$100, AD$37))))</f>
        <v/>
      </c>
      <c r="AE90" s="616" t="str">
        <f>IF($G90="", "", IF(COUNTIFS(Equipements_SCL!$M$16:$M$100, $G90, Equipements_SCL!$J$16:$J$100, AE$37)=0, "", IF(SUMIFS(Equipements_SCL!$AV$16:$AV$100, Equipements_SCL!$M$16:$M$100, $G90, Equipements_SCL!$J$16:$J$100, AE$37)=-1, "", SUMIFS(Equipements_SCL!$P$16:$P$100, Equipements_SCL!$M$16:$M$100, $G90, Equipements_SCL!$J$16:$J$100, AE$37))))</f>
        <v/>
      </c>
    </row>
    <row r="91" spans="2:31" ht="20.100000000000001" customHeight="1" outlineLevel="1" x14ac:dyDescent="0.4">
      <c r="B91" s="253"/>
      <c r="C91" s="264"/>
      <c r="D91" s="726"/>
      <c r="E91" s="750"/>
      <c r="F91" s="254"/>
      <c r="G91" s="591"/>
      <c r="H91" s="585" t="str">
        <f t="shared" si="2"/>
        <v/>
      </c>
      <c r="I91" s="433" t="str">
        <f t="shared" si="3"/>
        <v/>
      </c>
      <c r="J91" s="432" t="str">
        <f>IF($G91="", "", IF(COUNTIFS(Equipements_SCL!$M$16:$M$100, $G91, Equipements_SCL!$J$16:$J$100, J$37)=0, "", IF(SUMIFS(Equipements_SCL!$AV$16:$AV$100, Equipements_SCL!$M$16:$M$100, $G91, Equipements_SCL!$J$16:$J$100, J$37)=-1, "", SUMIFS(Equipements_SCL!$P$16:$P$100, Equipements_SCL!$M$16:$M$100, $G91, Equipements_SCL!$J$16:$J$100, J$37))))</f>
        <v/>
      </c>
      <c r="K91" s="592" t="str">
        <f>IF(
    $G91="",
    "",
    IF(
        SUMIFS(Analytique!$AD$3:$AD$20, Analytique!$Z$3:$Z$20, $G91, Analytique!$Y$3:$Y$20, "A1")=0,
        "",
        SUMIFS(Analytique!$AD$3:$AD$20, Analytique!$Z$3:$Z$20, $G91, Analytique!$Y$3:$Y$20, "A1")
    )
)</f>
        <v/>
      </c>
      <c r="L91" s="254"/>
      <c r="M91" s="254"/>
      <c r="N91" s="254"/>
      <c r="O91" s="254"/>
      <c r="P91" s="254"/>
      <c r="Q91" s="254"/>
      <c r="R91" s="254"/>
      <c r="S91" s="254"/>
      <c r="T91" s="254"/>
      <c r="U91" s="254"/>
      <c r="V91" s="254"/>
      <c r="W91" s="254"/>
      <c r="X91" s="254"/>
      <c r="Y91" s="254"/>
      <c r="Z91" s="268"/>
      <c r="AA91" s="265"/>
      <c r="AB91" s="249"/>
      <c r="AD91" s="616" t="str">
        <f>IF($G91="", "", IF(COUNTIFS(Equipements_SCL!$M$16:$M$100, $G91, Equipements_SCL!$J$16:$J$100, AD$37)=0, "", IF(SUMIFS(Equipements_SCL!$AV$16:$AV$100, Equipements_SCL!$M$16:$M$100, $G91, Equipements_SCL!$J$16:$J$100, AD$37)=-1, "", SUMIFS(Equipements_SCL!$P$16:$P$100, Equipements_SCL!$M$16:$M$100, $G91, Equipements_SCL!$J$16:$J$100, AD$37))))</f>
        <v/>
      </c>
      <c r="AE91" s="616" t="str">
        <f>IF($G91="", "", IF(COUNTIFS(Equipements_SCL!$M$16:$M$100, $G91, Equipements_SCL!$J$16:$J$100, AE$37)=0, "", IF(SUMIFS(Equipements_SCL!$AV$16:$AV$100, Equipements_SCL!$M$16:$M$100, $G91, Equipements_SCL!$J$16:$J$100, AE$37)=-1, "", SUMIFS(Equipements_SCL!$P$16:$P$100, Equipements_SCL!$M$16:$M$100, $G91, Equipements_SCL!$J$16:$J$100, AE$37))))</f>
        <v/>
      </c>
    </row>
    <row r="92" spans="2:31" ht="20.100000000000001" customHeight="1" outlineLevel="1" x14ac:dyDescent="0.4">
      <c r="B92" s="253"/>
      <c r="C92" s="264"/>
      <c r="D92" s="726"/>
      <c r="E92" s="750"/>
      <c r="F92" s="254"/>
      <c r="G92" s="591"/>
      <c r="H92" s="585" t="str">
        <f t="shared" si="2"/>
        <v/>
      </c>
      <c r="I92" s="433" t="str">
        <f t="shared" si="3"/>
        <v/>
      </c>
      <c r="J92" s="432" t="str">
        <f>IF($G92="", "", IF(COUNTIFS(Equipements_SCL!$M$16:$M$100, $G92, Equipements_SCL!$J$16:$J$100, J$37)=0, "", IF(SUMIFS(Equipements_SCL!$AV$16:$AV$100, Equipements_SCL!$M$16:$M$100, $G92, Equipements_SCL!$J$16:$J$100, J$37)=-1, "", SUMIFS(Equipements_SCL!$P$16:$P$100, Equipements_SCL!$M$16:$M$100, $G92, Equipements_SCL!$J$16:$J$100, J$37))))</f>
        <v/>
      </c>
      <c r="K92" s="592" t="str">
        <f>IF(
    $G92="",
    "",
    IF(
        SUMIFS(Analytique!$AD$3:$AD$20, Analytique!$Z$3:$Z$20, $G92, Analytique!$Y$3:$Y$20, "A1")=0,
        "",
        SUMIFS(Analytique!$AD$3:$AD$20, Analytique!$Z$3:$Z$20, $G92, Analytique!$Y$3:$Y$20, "A1")
    )
)</f>
        <v/>
      </c>
      <c r="L92" s="254"/>
      <c r="M92" s="254"/>
      <c r="N92" s="254"/>
      <c r="O92" s="254"/>
      <c r="P92" s="254"/>
      <c r="Q92" s="254"/>
      <c r="R92" s="254"/>
      <c r="S92" s="254"/>
      <c r="T92" s="254"/>
      <c r="U92" s="254"/>
      <c r="V92" s="254"/>
      <c r="W92" s="254"/>
      <c r="X92" s="254"/>
      <c r="Y92" s="254"/>
      <c r="Z92" s="268"/>
      <c r="AA92" s="265"/>
      <c r="AB92" s="249"/>
      <c r="AD92" s="616" t="str">
        <f>IF($G92="", "", IF(COUNTIFS(Equipements_SCL!$M$16:$M$100, $G92, Equipements_SCL!$J$16:$J$100, AD$37)=0, "", IF(SUMIFS(Equipements_SCL!$AV$16:$AV$100, Equipements_SCL!$M$16:$M$100, $G92, Equipements_SCL!$J$16:$J$100, AD$37)=-1, "", SUMIFS(Equipements_SCL!$P$16:$P$100, Equipements_SCL!$M$16:$M$100, $G92, Equipements_SCL!$J$16:$J$100, AD$37))))</f>
        <v/>
      </c>
      <c r="AE92" s="616" t="str">
        <f>IF($G92="", "", IF(COUNTIFS(Equipements_SCL!$M$16:$M$100, $G92, Equipements_SCL!$J$16:$J$100, AE$37)=0, "", IF(SUMIFS(Equipements_SCL!$AV$16:$AV$100, Equipements_SCL!$M$16:$M$100, $G92, Equipements_SCL!$J$16:$J$100, AE$37)=-1, "", SUMIFS(Equipements_SCL!$P$16:$P$100, Equipements_SCL!$M$16:$M$100, $G92, Equipements_SCL!$J$16:$J$100, AE$37))))</f>
        <v/>
      </c>
    </row>
    <row r="93" spans="2:31" ht="20.100000000000001" customHeight="1" outlineLevel="1" thickBot="1" x14ac:dyDescent="0.45">
      <c r="B93" s="253"/>
      <c r="C93" s="264"/>
      <c r="D93" s="728"/>
      <c r="E93" s="751"/>
      <c r="F93" s="270"/>
      <c r="G93" s="270"/>
      <c r="H93" s="270"/>
      <c r="I93" s="270"/>
      <c r="J93" s="270"/>
      <c r="K93" s="270"/>
      <c r="L93" s="270"/>
      <c r="M93" s="270"/>
      <c r="N93" s="270"/>
      <c r="O93" s="270"/>
      <c r="P93" s="270"/>
      <c r="Q93" s="270"/>
      <c r="R93" s="270"/>
      <c r="S93" s="270"/>
      <c r="T93" s="270"/>
      <c r="U93" s="270"/>
      <c r="V93" s="270"/>
      <c r="W93" s="270"/>
      <c r="X93" s="270"/>
      <c r="Y93" s="270"/>
      <c r="Z93" s="269"/>
      <c r="AA93" s="265"/>
      <c r="AB93" s="249"/>
      <c r="AD93" s="614"/>
      <c r="AE93" s="614"/>
    </row>
    <row r="94" spans="2:31" ht="20.100000000000001" customHeight="1" outlineLevel="1" x14ac:dyDescent="0.4">
      <c r="B94" s="253"/>
      <c r="C94" s="264"/>
      <c r="D94" s="275"/>
      <c r="E94" s="275"/>
      <c r="F94" s="254"/>
      <c r="G94" s="254"/>
      <c r="H94" s="254"/>
      <c r="I94" s="254"/>
      <c r="J94" s="254"/>
      <c r="K94" s="254"/>
      <c r="L94" s="254"/>
      <c r="M94" s="254"/>
      <c r="N94" s="254"/>
      <c r="O94" s="254"/>
      <c r="P94" s="254"/>
      <c r="Q94" s="254"/>
      <c r="R94" s="254"/>
      <c r="S94" s="254"/>
      <c r="T94" s="254"/>
      <c r="U94" s="254"/>
      <c r="V94" s="254"/>
      <c r="W94" s="254"/>
      <c r="X94" s="254"/>
      <c r="Y94" s="254"/>
      <c r="Z94" s="254"/>
      <c r="AA94" s="265"/>
      <c r="AB94" s="249"/>
    </row>
    <row r="95" spans="2:31" ht="20.100000000000001" customHeight="1" outlineLevel="1" x14ac:dyDescent="0.4">
      <c r="B95" s="253"/>
      <c r="C95" s="264"/>
      <c r="D95" s="275"/>
      <c r="E95" s="275"/>
      <c r="F95" s="254"/>
      <c r="G95" s="254"/>
      <c r="H95" s="254"/>
      <c r="I95" s="254"/>
      <c r="J95" s="254"/>
      <c r="K95" s="254"/>
      <c r="L95" s="254"/>
      <c r="M95" s="254"/>
      <c r="N95" s="254"/>
      <c r="O95" s="254"/>
      <c r="P95" s="254"/>
      <c r="Q95" s="254"/>
      <c r="R95" s="254"/>
      <c r="S95" s="254"/>
      <c r="T95" s="254"/>
      <c r="U95" s="254"/>
      <c r="V95" s="254"/>
      <c r="W95" s="254"/>
      <c r="X95" s="254"/>
      <c r="Y95" s="254"/>
      <c r="Z95" s="254"/>
      <c r="AA95" s="265"/>
      <c r="AB95" s="249"/>
    </row>
    <row r="96" spans="2:31" ht="20.100000000000001" customHeight="1" outlineLevel="1" thickBot="1" x14ac:dyDescent="0.45">
      <c r="B96" s="253"/>
      <c r="C96" s="264"/>
      <c r="D96" s="275"/>
      <c r="E96" s="275"/>
      <c r="F96" s="254"/>
      <c r="G96" s="254"/>
      <c r="H96" s="254"/>
      <c r="I96" s="254"/>
      <c r="J96" s="254"/>
      <c r="K96" s="254"/>
      <c r="L96" s="254"/>
      <c r="M96" s="254"/>
      <c r="N96" s="254"/>
      <c r="O96" s="254"/>
      <c r="P96" s="254"/>
      <c r="Q96" s="254"/>
      <c r="R96" s="254"/>
      <c r="S96" s="254"/>
      <c r="T96" s="254"/>
      <c r="U96" s="254"/>
      <c r="V96" s="254"/>
      <c r="W96" s="254"/>
      <c r="X96" s="254"/>
      <c r="Y96" s="254"/>
      <c r="Z96" s="254"/>
      <c r="AA96" s="265"/>
      <c r="AB96" s="249"/>
    </row>
    <row r="97" spans="2:28" ht="20.100000000000001" customHeight="1" outlineLevel="1" x14ac:dyDescent="0.4">
      <c r="B97" s="253"/>
      <c r="C97" s="264"/>
      <c r="D97" s="724" t="s">
        <v>13</v>
      </c>
      <c r="E97" s="725"/>
      <c r="F97" s="775"/>
      <c r="G97" s="776"/>
      <c r="H97" s="776"/>
      <c r="I97" s="776"/>
      <c r="J97" s="776"/>
      <c r="K97" s="776"/>
      <c r="L97" s="776"/>
      <c r="M97" s="776"/>
      <c r="N97" s="776"/>
      <c r="O97" s="776"/>
      <c r="P97" s="776"/>
      <c r="Q97" s="776"/>
      <c r="R97" s="776"/>
      <c r="S97" s="776"/>
      <c r="T97" s="776"/>
      <c r="U97" s="776"/>
      <c r="V97" s="776"/>
      <c r="W97" s="776"/>
      <c r="X97" s="776"/>
      <c r="Y97" s="776"/>
      <c r="Z97" s="777"/>
      <c r="AA97" s="257"/>
      <c r="AB97" s="249"/>
    </row>
    <row r="98" spans="2:28" ht="20.100000000000001" customHeight="1" outlineLevel="1" x14ac:dyDescent="0.4">
      <c r="B98" s="253"/>
      <c r="C98" s="264"/>
      <c r="D98" s="726"/>
      <c r="E98" s="727"/>
      <c r="F98" s="778"/>
      <c r="G98" s="779"/>
      <c r="H98" s="779"/>
      <c r="I98" s="779"/>
      <c r="J98" s="779"/>
      <c r="K98" s="779"/>
      <c r="L98" s="779"/>
      <c r="M98" s="779"/>
      <c r="N98" s="779"/>
      <c r="O98" s="779"/>
      <c r="P98" s="779"/>
      <c r="Q98" s="779"/>
      <c r="R98" s="779"/>
      <c r="S98" s="779"/>
      <c r="T98" s="779"/>
      <c r="U98" s="779"/>
      <c r="V98" s="779"/>
      <c r="W98" s="779"/>
      <c r="X98" s="779"/>
      <c r="Y98" s="779"/>
      <c r="Z98" s="780"/>
      <c r="AA98" s="265"/>
      <c r="AB98" s="249"/>
    </row>
    <row r="99" spans="2:28" ht="20.100000000000001" customHeight="1" outlineLevel="1" x14ac:dyDescent="0.4">
      <c r="B99" s="253"/>
      <c r="C99" s="264"/>
      <c r="D99" s="726"/>
      <c r="E99" s="727"/>
      <c r="F99" s="778"/>
      <c r="G99" s="779"/>
      <c r="H99" s="779"/>
      <c r="I99" s="779"/>
      <c r="J99" s="779"/>
      <c r="K99" s="779"/>
      <c r="L99" s="779"/>
      <c r="M99" s="779"/>
      <c r="N99" s="779"/>
      <c r="O99" s="779"/>
      <c r="P99" s="779"/>
      <c r="Q99" s="779"/>
      <c r="R99" s="779"/>
      <c r="S99" s="779"/>
      <c r="T99" s="779"/>
      <c r="U99" s="779"/>
      <c r="V99" s="779"/>
      <c r="W99" s="779"/>
      <c r="X99" s="779"/>
      <c r="Y99" s="779"/>
      <c r="Z99" s="780"/>
      <c r="AA99" s="265"/>
      <c r="AB99" s="249"/>
    </row>
    <row r="100" spans="2:28" ht="20.100000000000001" customHeight="1" outlineLevel="1" thickBot="1" x14ac:dyDescent="0.45">
      <c r="B100" s="253"/>
      <c r="C100" s="256"/>
      <c r="D100" s="728"/>
      <c r="E100" s="729"/>
      <c r="F100" s="781"/>
      <c r="G100" s="782"/>
      <c r="H100" s="782"/>
      <c r="I100" s="782"/>
      <c r="J100" s="782"/>
      <c r="K100" s="782"/>
      <c r="L100" s="782"/>
      <c r="M100" s="782"/>
      <c r="N100" s="782"/>
      <c r="O100" s="782"/>
      <c r="P100" s="782"/>
      <c r="Q100" s="782"/>
      <c r="R100" s="782"/>
      <c r="S100" s="782"/>
      <c r="T100" s="782"/>
      <c r="U100" s="782"/>
      <c r="V100" s="782"/>
      <c r="W100" s="782"/>
      <c r="X100" s="782"/>
      <c r="Y100" s="782"/>
      <c r="Z100" s="783"/>
      <c r="AA100" s="265"/>
      <c r="AB100" s="249"/>
    </row>
    <row r="101" spans="2:28" ht="20.100000000000001" customHeight="1" outlineLevel="1" thickBot="1" x14ac:dyDescent="0.45">
      <c r="B101" s="253"/>
      <c r="C101" s="261"/>
      <c r="D101" s="266"/>
      <c r="E101" s="266"/>
      <c r="F101" s="266"/>
      <c r="G101" s="266"/>
      <c r="H101" s="266"/>
      <c r="I101" s="266"/>
      <c r="J101" s="266"/>
      <c r="K101" s="266"/>
      <c r="L101" s="266"/>
      <c r="M101" s="266"/>
      <c r="N101" s="266"/>
      <c r="O101" s="266"/>
      <c r="P101" s="266"/>
      <c r="Q101" s="266"/>
      <c r="R101" s="266"/>
      <c r="S101" s="266"/>
      <c r="T101" s="266"/>
      <c r="U101" s="266"/>
      <c r="V101" s="266"/>
      <c r="W101" s="266"/>
      <c r="X101" s="266"/>
      <c r="Y101" s="266"/>
      <c r="Z101" s="266"/>
      <c r="AA101" s="263"/>
      <c r="AB101" s="249"/>
    </row>
    <row r="102" spans="2:28" ht="9.9499999999999993" customHeight="1" thickTop="1" thickBot="1" x14ac:dyDescent="0.45">
      <c r="B102" s="253"/>
      <c r="C102" s="254"/>
      <c r="D102" s="254"/>
      <c r="E102" s="254"/>
      <c r="F102" s="254"/>
      <c r="G102" s="254"/>
      <c r="H102" s="254"/>
      <c r="I102" s="254"/>
      <c r="J102" s="254"/>
      <c r="K102" s="254"/>
      <c r="L102" s="254"/>
      <c r="M102" s="254"/>
      <c r="N102" s="254"/>
      <c r="O102" s="254"/>
      <c r="P102" s="254"/>
      <c r="Q102" s="254"/>
      <c r="R102" s="254"/>
      <c r="S102" s="254"/>
      <c r="T102" s="254"/>
      <c r="U102" s="254"/>
      <c r="V102" s="254"/>
      <c r="W102" s="254"/>
      <c r="X102" s="254"/>
      <c r="Y102" s="254"/>
      <c r="Z102" s="254"/>
      <c r="AA102" s="254"/>
      <c r="AB102" s="249"/>
    </row>
    <row r="103" spans="2:28" ht="20.100000000000001" customHeight="1" thickTop="1" thickBot="1" x14ac:dyDescent="0.45">
      <c r="B103" s="255"/>
      <c r="C103" s="661" t="s">
        <v>488</v>
      </c>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3"/>
      <c r="AB103" s="245"/>
    </row>
    <row r="104" spans="2:28" ht="20.100000000000001" customHeight="1" outlineLevel="1" thickTop="1" thickBot="1" x14ac:dyDescent="0.45">
      <c r="B104" s="253"/>
      <c r="C104" s="264"/>
      <c r="D104" s="254"/>
      <c r="E104" s="254"/>
      <c r="F104" s="254"/>
      <c r="G104" s="254"/>
      <c r="H104" s="254"/>
      <c r="I104" s="254"/>
      <c r="J104" s="254"/>
      <c r="K104" s="254"/>
      <c r="L104" s="254"/>
      <c r="M104" s="254"/>
      <c r="N104" s="254"/>
      <c r="O104" s="254"/>
      <c r="P104" s="254"/>
      <c r="Q104" s="254"/>
      <c r="R104" s="254"/>
      <c r="S104" s="254"/>
      <c r="T104" s="254"/>
      <c r="U104" s="254"/>
      <c r="V104" s="254"/>
      <c r="W104" s="254"/>
      <c r="X104" s="254"/>
      <c r="Y104" s="254"/>
      <c r="Z104" s="254"/>
      <c r="AA104" s="265"/>
      <c r="AB104" s="249"/>
    </row>
    <row r="105" spans="2:28" ht="20.100000000000001" customHeight="1" outlineLevel="1" x14ac:dyDescent="0.4">
      <c r="B105" s="253"/>
      <c r="C105" s="264"/>
      <c r="D105" s="762" t="s">
        <v>14</v>
      </c>
      <c r="E105" s="763"/>
      <c r="F105" s="763"/>
      <c r="G105" s="763"/>
      <c r="H105" s="763"/>
      <c r="I105" s="763"/>
      <c r="J105" s="763"/>
      <c r="K105" s="763"/>
      <c r="L105" s="763"/>
      <c r="M105" s="763"/>
      <c r="N105" s="764" t="s">
        <v>386</v>
      </c>
      <c r="O105" s="766" t="s">
        <v>264</v>
      </c>
      <c r="P105" s="766"/>
      <c r="Q105" s="766"/>
      <c r="R105" s="766"/>
      <c r="S105" s="766"/>
      <c r="T105" s="766"/>
      <c r="U105" s="766"/>
      <c r="V105" s="766"/>
      <c r="W105" s="766"/>
      <c r="X105" s="767"/>
      <c r="Y105" s="254"/>
      <c r="Z105" s="254"/>
      <c r="AA105" s="265"/>
      <c r="AB105" s="249"/>
    </row>
    <row r="106" spans="2:28" ht="20.100000000000001" customHeight="1" outlineLevel="1" x14ac:dyDescent="0.4">
      <c r="B106" s="253"/>
      <c r="C106" s="264"/>
      <c r="D106" s="768" t="s">
        <v>15</v>
      </c>
      <c r="E106" s="769"/>
      <c r="F106" s="442" t="s">
        <v>387</v>
      </c>
      <c r="G106" s="442" t="s">
        <v>489</v>
      </c>
      <c r="H106" s="770" t="s">
        <v>388</v>
      </c>
      <c r="I106" s="771"/>
      <c r="J106" s="770" t="s">
        <v>391</v>
      </c>
      <c r="K106" s="772"/>
      <c r="L106" s="772"/>
      <c r="M106" s="772"/>
      <c r="N106" s="765"/>
      <c r="O106" s="443">
        <v>1</v>
      </c>
      <c r="P106" s="442">
        <v>2</v>
      </c>
      <c r="Q106" s="442">
        <v>3</v>
      </c>
      <c r="R106" s="442">
        <v>4</v>
      </c>
      <c r="S106" s="442">
        <v>5</v>
      </c>
      <c r="T106" s="442">
        <v>6</v>
      </c>
      <c r="U106" s="442">
        <v>7</v>
      </c>
      <c r="V106" s="442">
        <v>8</v>
      </c>
      <c r="W106" s="442">
        <v>9</v>
      </c>
      <c r="X106" s="444">
        <v>10</v>
      </c>
      <c r="Y106" s="254"/>
      <c r="Z106" s="254"/>
      <c r="AA106" s="265"/>
      <c r="AB106" s="249"/>
    </row>
    <row r="107" spans="2:28" ht="20.100000000000001" customHeight="1" outlineLevel="1" x14ac:dyDescent="0.4">
      <c r="B107" s="253"/>
      <c r="C107" s="264"/>
      <c r="D107" s="752" t="str">
        <f ca="1">Equipements_SCL!H16</f>
        <v/>
      </c>
      <c r="E107" s="753"/>
      <c r="F107" s="333" t="str">
        <f ca="1">Equipements_SCL!I16</f>
        <v/>
      </c>
      <c r="G107" s="334" t="str">
        <f ca="1">Equipements_SCL!M16</f>
        <v/>
      </c>
      <c r="H107" s="754" t="str">
        <f ca="1">Equipements_SCL!J16</f>
        <v/>
      </c>
      <c r="I107" s="755"/>
      <c r="J107" s="754" t="str">
        <f ca="1">Equipements_SCL!K16</f>
        <v/>
      </c>
      <c r="K107" s="756"/>
      <c r="L107" s="756"/>
      <c r="M107" s="756"/>
      <c r="N107" s="335" t="str">
        <f ca="1">Equipements_SCL!P16</f>
        <v/>
      </c>
      <c r="O107" s="336" t="str">
        <f ca="1">IF(Equipements_SCL!Y16&lt;&gt;"",Equipements_SCL!AK16,"")</f>
        <v/>
      </c>
      <c r="P107" s="336" t="str">
        <f ca="1">IF(Equipements_SCL!Z16&lt;&gt;"",Equipements_SCL!AL16,"")</f>
        <v/>
      </c>
      <c r="Q107" s="336" t="str">
        <f ca="1">IF(Equipements_SCL!AA16&lt;&gt;"",Equipements_SCL!AM16,"")</f>
        <v/>
      </c>
      <c r="R107" s="336" t="str">
        <f ca="1">IF(Equipements_SCL!AB16&lt;&gt;"",Equipements_SCL!AN16,"")</f>
        <v/>
      </c>
      <c r="S107" s="336" t="str">
        <f ca="1">IF(Equipements_SCL!AC16&lt;&gt;"",Equipements_SCL!AO16,"")</f>
        <v/>
      </c>
      <c r="T107" s="336" t="str">
        <f ca="1">IF(Equipements_SCL!AD16&lt;&gt;"",Equipements_SCL!AP16,"")</f>
        <v/>
      </c>
      <c r="U107" s="336" t="str">
        <f ca="1">IF(Equipements_SCL!AE16&lt;&gt;"",Equipements_SCL!AQ16,"")</f>
        <v/>
      </c>
      <c r="V107" s="336" t="str">
        <f ca="1">IF(Equipements_SCL!AF16&lt;&gt;"",Equipements_SCL!AR16,"")</f>
        <v/>
      </c>
      <c r="W107" s="336" t="str">
        <f ca="1">IF(Equipements_SCL!AG16&lt;&gt;"",Equipements_SCL!AS16,"")</f>
        <v/>
      </c>
      <c r="X107" s="436" t="str">
        <f ca="1">IF(Equipements_SCL!AH16&lt;&gt;"",Equipements_SCL!AT16,"")</f>
        <v/>
      </c>
      <c r="Y107" s="254"/>
      <c r="Z107" s="254"/>
      <c r="AA107" s="265"/>
      <c r="AB107" s="249"/>
    </row>
    <row r="108" spans="2:28" ht="20.100000000000001" customHeight="1" outlineLevel="1" x14ac:dyDescent="0.4">
      <c r="B108" s="253"/>
      <c r="C108" s="264"/>
      <c r="D108" s="752" t="str">
        <f ca="1">Equipements_SCL!H17</f>
        <v/>
      </c>
      <c r="E108" s="753"/>
      <c r="F108" s="333" t="str">
        <f ca="1">Equipements_SCL!I17</f>
        <v/>
      </c>
      <c r="G108" s="334" t="str">
        <f ca="1">Equipements_SCL!M17</f>
        <v/>
      </c>
      <c r="H108" s="754" t="str">
        <f ca="1">Equipements_SCL!J17</f>
        <v/>
      </c>
      <c r="I108" s="755"/>
      <c r="J108" s="754" t="str">
        <f ca="1">Equipements_SCL!K17</f>
        <v/>
      </c>
      <c r="K108" s="756"/>
      <c r="L108" s="756"/>
      <c r="M108" s="756"/>
      <c r="N108" s="335" t="str">
        <f ca="1">Equipements_SCL!P17</f>
        <v/>
      </c>
      <c r="O108" s="336" t="str">
        <f ca="1">IF(Equipements_SCL!Y17&lt;&gt;"",Equipements_SCL!AK17,"")</f>
        <v/>
      </c>
      <c r="P108" s="336" t="str">
        <f ca="1">IF(Equipements_SCL!Z17&lt;&gt;"",Equipements_SCL!AL17,"")</f>
        <v/>
      </c>
      <c r="Q108" s="336" t="str">
        <f ca="1">IF(Equipements_SCL!AA17&lt;&gt;"",Equipements_SCL!AM17,"")</f>
        <v/>
      </c>
      <c r="R108" s="336" t="str">
        <f ca="1">IF(Equipements_SCL!AB17&lt;&gt;"",Equipements_SCL!AN17,"")</f>
        <v/>
      </c>
      <c r="S108" s="336" t="str">
        <f ca="1">IF(Equipements_SCL!AC17&lt;&gt;"",Equipements_SCL!AO17,"")</f>
        <v/>
      </c>
      <c r="T108" s="336" t="str">
        <f ca="1">IF(Equipements_SCL!AD17&lt;&gt;"",Equipements_SCL!AP17,"")</f>
        <v/>
      </c>
      <c r="U108" s="336" t="str">
        <f ca="1">IF(Equipements_SCL!AE17&lt;&gt;"",Equipements_SCL!AQ17,"")</f>
        <v/>
      </c>
      <c r="V108" s="336" t="str">
        <f ca="1">IF(Equipements_SCL!AF17&lt;&gt;"",Equipements_SCL!AR17,"")</f>
        <v/>
      </c>
      <c r="W108" s="336" t="str">
        <f ca="1">IF(Equipements_SCL!AG17&lt;&gt;"",Equipements_SCL!AS17,"")</f>
        <v/>
      </c>
      <c r="X108" s="436" t="str">
        <f ca="1">IF(Equipements_SCL!AH17&lt;&gt;"",Equipements_SCL!AT17,"")</f>
        <v/>
      </c>
      <c r="Y108" s="254"/>
      <c r="Z108" s="254"/>
      <c r="AA108" s="265"/>
      <c r="AB108" s="249"/>
    </row>
    <row r="109" spans="2:28" ht="20.100000000000001" customHeight="1" outlineLevel="1" x14ac:dyDescent="0.4">
      <c r="B109" s="253"/>
      <c r="C109" s="264"/>
      <c r="D109" s="752" t="str">
        <f ca="1">Equipements_SCL!H18</f>
        <v/>
      </c>
      <c r="E109" s="753"/>
      <c r="F109" s="333" t="str">
        <f ca="1">Equipements_SCL!I18</f>
        <v/>
      </c>
      <c r="G109" s="334" t="str">
        <f ca="1">Equipements_SCL!M18</f>
        <v/>
      </c>
      <c r="H109" s="754" t="str">
        <f ca="1">Equipements_SCL!J18</f>
        <v/>
      </c>
      <c r="I109" s="755"/>
      <c r="J109" s="754" t="str">
        <f ca="1">Equipements_SCL!K18</f>
        <v/>
      </c>
      <c r="K109" s="756"/>
      <c r="L109" s="756"/>
      <c r="M109" s="756"/>
      <c r="N109" s="335" t="str">
        <f ca="1">Equipements_SCL!P18</f>
        <v/>
      </c>
      <c r="O109" s="336" t="str">
        <f ca="1">IF(Equipements_SCL!Y18&lt;&gt;"",Equipements_SCL!AK18,"")</f>
        <v/>
      </c>
      <c r="P109" s="336" t="str">
        <f ca="1">IF(Equipements_SCL!Z18&lt;&gt;"",Equipements_SCL!AL18,"")</f>
        <v/>
      </c>
      <c r="Q109" s="336" t="str">
        <f ca="1">IF(Equipements_SCL!AA18&lt;&gt;"",Equipements_SCL!AM18,"")</f>
        <v/>
      </c>
      <c r="R109" s="336" t="str">
        <f ca="1">IF(Equipements_SCL!AB18&lt;&gt;"",Equipements_SCL!AN18,"")</f>
        <v/>
      </c>
      <c r="S109" s="336" t="str">
        <f ca="1">IF(Equipements_SCL!AC18&lt;&gt;"",Equipements_SCL!AO18,"")</f>
        <v/>
      </c>
      <c r="T109" s="336" t="str">
        <f ca="1">IF(Equipements_SCL!AD18&lt;&gt;"",Equipements_SCL!AP18,"")</f>
        <v/>
      </c>
      <c r="U109" s="336" t="str">
        <f ca="1">IF(Equipements_SCL!AE18&lt;&gt;"",Equipements_SCL!AQ18,"")</f>
        <v/>
      </c>
      <c r="V109" s="336" t="str">
        <f ca="1">IF(Equipements_SCL!AF18&lt;&gt;"",Equipements_SCL!AR18,"")</f>
        <v/>
      </c>
      <c r="W109" s="336" t="str">
        <f ca="1">IF(Equipements_SCL!AG18&lt;&gt;"",Equipements_SCL!AS18,"")</f>
        <v/>
      </c>
      <c r="X109" s="436" t="str">
        <f ca="1">IF(Equipements_SCL!AH18&lt;&gt;"",Equipements_SCL!AT18,"")</f>
        <v/>
      </c>
      <c r="Y109" s="254"/>
      <c r="Z109" s="254"/>
      <c r="AA109" s="265"/>
      <c r="AB109" s="249"/>
    </row>
    <row r="110" spans="2:28" ht="20.100000000000001" customHeight="1" outlineLevel="1" x14ac:dyDescent="0.4">
      <c r="B110" s="253"/>
      <c r="C110" s="264"/>
      <c r="D110" s="752" t="str">
        <f ca="1">Equipements_SCL!H19</f>
        <v/>
      </c>
      <c r="E110" s="753"/>
      <c r="F110" s="333" t="str">
        <f ca="1">Equipements_SCL!I19</f>
        <v/>
      </c>
      <c r="G110" s="334" t="str">
        <f ca="1">Equipements_SCL!M19</f>
        <v/>
      </c>
      <c r="H110" s="754" t="str">
        <f ca="1">Equipements_SCL!J19</f>
        <v/>
      </c>
      <c r="I110" s="755"/>
      <c r="J110" s="754" t="str">
        <f ca="1">Equipements_SCL!K19</f>
        <v/>
      </c>
      <c r="K110" s="756"/>
      <c r="L110" s="756"/>
      <c r="M110" s="756"/>
      <c r="N110" s="335" t="str">
        <f ca="1">Equipements_SCL!P19</f>
        <v/>
      </c>
      <c r="O110" s="336" t="str">
        <f ca="1">IF(Equipements_SCL!Y19&lt;&gt;"",Equipements_SCL!AK19,"")</f>
        <v/>
      </c>
      <c r="P110" s="336" t="str">
        <f ca="1">IF(Equipements_SCL!Z19&lt;&gt;"",Equipements_SCL!AL19,"")</f>
        <v/>
      </c>
      <c r="Q110" s="336" t="str">
        <f ca="1">IF(Equipements_SCL!AA19&lt;&gt;"",Equipements_SCL!AM19,"")</f>
        <v/>
      </c>
      <c r="R110" s="336" t="str">
        <f ca="1">IF(Equipements_SCL!AB19&lt;&gt;"",Equipements_SCL!AN19,"")</f>
        <v/>
      </c>
      <c r="S110" s="336" t="str">
        <f ca="1">IF(Equipements_SCL!AC19&lt;&gt;"",Equipements_SCL!AO19,"")</f>
        <v/>
      </c>
      <c r="T110" s="336" t="str">
        <f ca="1">IF(Equipements_SCL!AD19&lt;&gt;"",Equipements_SCL!AP19,"")</f>
        <v/>
      </c>
      <c r="U110" s="336" t="str">
        <f ca="1">IF(Equipements_SCL!AE19&lt;&gt;"",Equipements_SCL!AQ19,"")</f>
        <v/>
      </c>
      <c r="V110" s="336" t="str">
        <f ca="1">IF(Equipements_SCL!AF19&lt;&gt;"",Equipements_SCL!AR19,"")</f>
        <v/>
      </c>
      <c r="W110" s="336" t="str">
        <f ca="1">IF(Equipements_SCL!AG19&lt;&gt;"",Equipements_SCL!AS19,"")</f>
        <v/>
      </c>
      <c r="X110" s="436" t="str">
        <f ca="1">IF(Equipements_SCL!AH19&lt;&gt;"",Equipements_SCL!AT19,"")</f>
        <v/>
      </c>
      <c r="Y110" s="254"/>
      <c r="Z110" s="254"/>
      <c r="AA110" s="265"/>
      <c r="AB110" s="249"/>
    </row>
    <row r="111" spans="2:28" ht="20.100000000000001" customHeight="1" outlineLevel="1" x14ac:dyDescent="0.4">
      <c r="B111" s="253"/>
      <c r="C111" s="264"/>
      <c r="D111" s="752" t="str">
        <f ca="1">Equipements_SCL!H20</f>
        <v/>
      </c>
      <c r="E111" s="753"/>
      <c r="F111" s="333" t="str">
        <f ca="1">Equipements_SCL!I20</f>
        <v/>
      </c>
      <c r="G111" s="334" t="str">
        <f ca="1">Equipements_SCL!M20</f>
        <v/>
      </c>
      <c r="H111" s="754" t="str">
        <f ca="1">Equipements_SCL!J20</f>
        <v/>
      </c>
      <c r="I111" s="755"/>
      <c r="J111" s="754" t="str">
        <f ca="1">Equipements_SCL!K20</f>
        <v/>
      </c>
      <c r="K111" s="756"/>
      <c r="L111" s="756"/>
      <c r="M111" s="756"/>
      <c r="N111" s="335" t="str">
        <f ca="1">Equipements_SCL!P20</f>
        <v/>
      </c>
      <c r="O111" s="336" t="str">
        <f ca="1">IF(Equipements_SCL!Y20&lt;&gt;"",Equipements_SCL!AK20,"")</f>
        <v/>
      </c>
      <c r="P111" s="336" t="str">
        <f ca="1">IF(Equipements_SCL!Z20&lt;&gt;"",Equipements_SCL!AL20,"")</f>
        <v/>
      </c>
      <c r="Q111" s="336" t="str">
        <f ca="1">IF(Equipements_SCL!AA20&lt;&gt;"",Equipements_SCL!AM20,"")</f>
        <v/>
      </c>
      <c r="R111" s="336" t="str">
        <f ca="1">IF(Equipements_SCL!AB20&lt;&gt;"",Equipements_SCL!AN20,"")</f>
        <v/>
      </c>
      <c r="S111" s="336" t="str">
        <f ca="1">IF(Equipements_SCL!AC20&lt;&gt;"",Equipements_SCL!AO20,"")</f>
        <v/>
      </c>
      <c r="T111" s="336" t="str">
        <f ca="1">IF(Equipements_SCL!AD20&lt;&gt;"",Equipements_SCL!AP20,"")</f>
        <v/>
      </c>
      <c r="U111" s="336" t="str">
        <f ca="1">IF(Equipements_SCL!AE20&lt;&gt;"",Equipements_SCL!AQ20,"")</f>
        <v/>
      </c>
      <c r="V111" s="336" t="str">
        <f ca="1">IF(Equipements_SCL!AF20&lt;&gt;"",Equipements_SCL!AR20,"")</f>
        <v/>
      </c>
      <c r="W111" s="336" t="str">
        <f ca="1">IF(Equipements_SCL!AG20&lt;&gt;"",Equipements_SCL!AS20,"")</f>
        <v/>
      </c>
      <c r="X111" s="436" t="str">
        <f ca="1">IF(Equipements_SCL!AH20&lt;&gt;"",Equipements_SCL!AT20,"")</f>
        <v/>
      </c>
      <c r="Y111" s="254"/>
      <c r="Z111" s="254"/>
      <c r="AA111" s="265"/>
      <c r="AB111" s="249"/>
    </row>
    <row r="112" spans="2:28" ht="20.100000000000001" customHeight="1" outlineLevel="1" x14ac:dyDescent="0.4">
      <c r="B112" s="253"/>
      <c r="C112" s="264"/>
      <c r="D112" s="752" t="str">
        <f ca="1">Equipements_SCL!H21</f>
        <v/>
      </c>
      <c r="E112" s="753"/>
      <c r="F112" s="333" t="str">
        <f ca="1">Equipements_SCL!I21</f>
        <v/>
      </c>
      <c r="G112" s="334" t="str">
        <f ca="1">Equipements_SCL!M21</f>
        <v/>
      </c>
      <c r="H112" s="754" t="str">
        <f ca="1">Equipements_SCL!J21</f>
        <v/>
      </c>
      <c r="I112" s="755"/>
      <c r="J112" s="754" t="str">
        <f ca="1">Equipements_SCL!K21</f>
        <v/>
      </c>
      <c r="K112" s="756"/>
      <c r="L112" s="756"/>
      <c r="M112" s="756"/>
      <c r="N112" s="335" t="str">
        <f ca="1">Equipements_SCL!P21</f>
        <v/>
      </c>
      <c r="O112" s="336" t="str">
        <f ca="1">IF(Equipements_SCL!Y21&lt;&gt;"",Equipements_SCL!AK21,"")</f>
        <v/>
      </c>
      <c r="P112" s="336" t="str">
        <f ca="1">IF(Equipements_SCL!Z21&lt;&gt;"",Equipements_SCL!AL21,"")</f>
        <v/>
      </c>
      <c r="Q112" s="336" t="str">
        <f ca="1">IF(Equipements_SCL!AA21&lt;&gt;"",Equipements_SCL!AM21,"")</f>
        <v/>
      </c>
      <c r="R112" s="336" t="str">
        <f ca="1">IF(Equipements_SCL!AB21&lt;&gt;"",Equipements_SCL!AN21,"")</f>
        <v/>
      </c>
      <c r="S112" s="336" t="str">
        <f ca="1">IF(Equipements_SCL!AC21&lt;&gt;"",Equipements_SCL!AO21,"")</f>
        <v/>
      </c>
      <c r="T112" s="336" t="str">
        <f ca="1">IF(Equipements_SCL!AD21&lt;&gt;"",Equipements_SCL!AP21,"")</f>
        <v/>
      </c>
      <c r="U112" s="336" t="str">
        <f ca="1">IF(Equipements_SCL!AE21&lt;&gt;"",Equipements_SCL!AQ21,"")</f>
        <v/>
      </c>
      <c r="V112" s="336" t="str">
        <f ca="1">IF(Equipements_SCL!AF21&lt;&gt;"",Equipements_SCL!AR21,"")</f>
        <v/>
      </c>
      <c r="W112" s="336" t="str">
        <f ca="1">IF(Equipements_SCL!AG21&lt;&gt;"",Equipements_SCL!AS21,"")</f>
        <v/>
      </c>
      <c r="X112" s="436" t="str">
        <f ca="1">IF(Equipements_SCL!AH21&lt;&gt;"",Equipements_SCL!AT21,"")</f>
        <v/>
      </c>
      <c r="Y112" s="254"/>
      <c r="Z112" s="254"/>
      <c r="AA112" s="265"/>
      <c r="AB112" s="249"/>
    </row>
    <row r="113" spans="2:28" ht="20.100000000000001" customHeight="1" outlineLevel="1" x14ac:dyDescent="0.4">
      <c r="B113" s="253"/>
      <c r="C113" s="264"/>
      <c r="D113" s="752" t="str">
        <f ca="1">Equipements_SCL!H22</f>
        <v/>
      </c>
      <c r="E113" s="753"/>
      <c r="F113" s="333" t="str">
        <f ca="1">Equipements_SCL!I22</f>
        <v/>
      </c>
      <c r="G113" s="334" t="str">
        <f ca="1">Equipements_SCL!M22</f>
        <v/>
      </c>
      <c r="H113" s="754" t="str">
        <f ca="1">Equipements_SCL!J22</f>
        <v/>
      </c>
      <c r="I113" s="755"/>
      <c r="J113" s="754" t="str">
        <f ca="1">Equipements_SCL!K22</f>
        <v/>
      </c>
      <c r="K113" s="756"/>
      <c r="L113" s="756"/>
      <c r="M113" s="756"/>
      <c r="N113" s="335" t="str">
        <f ca="1">Equipements_SCL!P22</f>
        <v/>
      </c>
      <c r="O113" s="336" t="str">
        <f ca="1">IF(Equipements_SCL!Y22&lt;&gt;"",Equipements_SCL!AK22,"")</f>
        <v/>
      </c>
      <c r="P113" s="336" t="str">
        <f ca="1">IF(Equipements_SCL!Z22&lt;&gt;"",Equipements_SCL!AL22,"")</f>
        <v/>
      </c>
      <c r="Q113" s="336" t="str">
        <f ca="1">IF(Equipements_SCL!AA22&lt;&gt;"",Equipements_SCL!AM22,"")</f>
        <v/>
      </c>
      <c r="R113" s="336" t="str">
        <f ca="1">IF(Equipements_SCL!AB22&lt;&gt;"",Equipements_SCL!AN22,"")</f>
        <v/>
      </c>
      <c r="S113" s="336" t="str">
        <f ca="1">IF(Equipements_SCL!AC22&lt;&gt;"",Equipements_SCL!AO22,"")</f>
        <v/>
      </c>
      <c r="T113" s="336" t="str">
        <f ca="1">IF(Equipements_SCL!AD22&lt;&gt;"",Equipements_SCL!AP22,"")</f>
        <v/>
      </c>
      <c r="U113" s="336" t="str">
        <f ca="1">IF(Equipements_SCL!AE22&lt;&gt;"",Equipements_SCL!AQ22,"")</f>
        <v/>
      </c>
      <c r="V113" s="336" t="str">
        <f ca="1">IF(Equipements_SCL!AF22&lt;&gt;"",Equipements_SCL!AR22,"")</f>
        <v/>
      </c>
      <c r="W113" s="336" t="str">
        <f ca="1">IF(Equipements_SCL!AG22&lt;&gt;"",Equipements_SCL!AS22,"")</f>
        <v/>
      </c>
      <c r="X113" s="436" t="str">
        <f ca="1">IF(Equipements_SCL!AH22&lt;&gt;"",Equipements_SCL!AT22,"")</f>
        <v/>
      </c>
      <c r="Y113" s="254"/>
      <c r="Z113" s="254"/>
      <c r="AA113" s="265"/>
      <c r="AB113" s="249"/>
    </row>
    <row r="114" spans="2:28" ht="20.100000000000001" customHeight="1" outlineLevel="1" x14ac:dyDescent="0.4">
      <c r="B114" s="253"/>
      <c r="C114" s="264"/>
      <c r="D114" s="752" t="str">
        <f ca="1">Equipements_SCL!H23</f>
        <v/>
      </c>
      <c r="E114" s="753"/>
      <c r="F114" s="333" t="str">
        <f ca="1">Equipements_SCL!I23</f>
        <v/>
      </c>
      <c r="G114" s="334" t="str">
        <f ca="1">Equipements_SCL!M23</f>
        <v/>
      </c>
      <c r="H114" s="754" t="str">
        <f ca="1">Equipements_SCL!J23</f>
        <v/>
      </c>
      <c r="I114" s="755"/>
      <c r="J114" s="754" t="str">
        <f ca="1">Equipements_SCL!K23</f>
        <v/>
      </c>
      <c r="K114" s="756"/>
      <c r="L114" s="756"/>
      <c r="M114" s="756"/>
      <c r="N114" s="335" t="str">
        <f ca="1">Equipements_SCL!P23</f>
        <v/>
      </c>
      <c r="O114" s="336" t="str">
        <f ca="1">IF(Equipements_SCL!Y23&lt;&gt;"",Equipements_SCL!AK23,"")</f>
        <v/>
      </c>
      <c r="P114" s="336" t="str">
        <f ca="1">IF(Equipements_SCL!Z23&lt;&gt;"",Equipements_SCL!AL23,"")</f>
        <v/>
      </c>
      <c r="Q114" s="336" t="str">
        <f ca="1">IF(Equipements_SCL!AA23&lt;&gt;"",Equipements_SCL!AM23,"")</f>
        <v/>
      </c>
      <c r="R114" s="336" t="str">
        <f ca="1">IF(Equipements_SCL!AB23&lt;&gt;"",Equipements_SCL!AN23,"")</f>
        <v/>
      </c>
      <c r="S114" s="336" t="str">
        <f ca="1">IF(Equipements_SCL!AC23&lt;&gt;"",Equipements_SCL!AO23,"")</f>
        <v/>
      </c>
      <c r="T114" s="336" t="str">
        <f ca="1">IF(Equipements_SCL!AD23&lt;&gt;"",Equipements_SCL!AP23,"")</f>
        <v/>
      </c>
      <c r="U114" s="336" t="str">
        <f ca="1">IF(Equipements_SCL!AE23&lt;&gt;"",Equipements_SCL!AQ23,"")</f>
        <v/>
      </c>
      <c r="V114" s="336" t="str">
        <f ca="1">IF(Equipements_SCL!AF23&lt;&gt;"",Equipements_SCL!AR23,"")</f>
        <v/>
      </c>
      <c r="W114" s="336" t="str">
        <f ca="1">IF(Equipements_SCL!AG23&lt;&gt;"",Equipements_SCL!AS23,"")</f>
        <v/>
      </c>
      <c r="X114" s="436" t="str">
        <f ca="1">IF(Equipements_SCL!AH23&lt;&gt;"",Equipements_SCL!AT23,"")</f>
        <v/>
      </c>
      <c r="Y114" s="254"/>
      <c r="Z114" s="254"/>
      <c r="AA114" s="265"/>
      <c r="AB114" s="249"/>
    </row>
    <row r="115" spans="2:28" ht="20.100000000000001" customHeight="1" outlineLevel="1" x14ac:dyDescent="0.4">
      <c r="B115" s="253"/>
      <c r="C115" s="264"/>
      <c r="D115" s="752" t="str">
        <f ca="1">Equipements_SCL!H24</f>
        <v/>
      </c>
      <c r="E115" s="753"/>
      <c r="F115" s="333" t="str">
        <f ca="1">Equipements_SCL!I24</f>
        <v/>
      </c>
      <c r="G115" s="334" t="str">
        <f ca="1">Equipements_SCL!M24</f>
        <v/>
      </c>
      <c r="H115" s="754" t="str">
        <f ca="1">Equipements_SCL!J24</f>
        <v/>
      </c>
      <c r="I115" s="755"/>
      <c r="J115" s="754" t="str">
        <f ca="1">Equipements_SCL!K24</f>
        <v/>
      </c>
      <c r="K115" s="756"/>
      <c r="L115" s="756"/>
      <c r="M115" s="756"/>
      <c r="N115" s="335" t="str">
        <f ca="1">Equipements_SCL!P24</f>
        <v/>
      </c>
      <c r="O115" s="336" t="str">
        <f ca="1">IF(Equipements_SCL!Y24&lt;&gt;"",Equipements_SCL!AK24,"")</f>
        <v/>
      </c>
      <c r="P115" s="336" t="str">
        <f ca="1">IF(Equipements_SCL!Z24&lt;&gt;"",Equipements_SCL!AL24,"")</f>
        <v/>
      </c>
      <c r="Q115" s="336" t="str">
        <f ca="1">IF(Equipements_SCL!AA24&lt;&gt;"",Equipements_SCL!AM24,"")</f>
        <v/>
      </c>
      <c r="R115" s="336" t="str">
        <f ca="1">IF(Equipements_SCL!AB24&lt;&gt;"",Equipements_SCL!AN24,"")</f>
        <v/>
      </c>
      <c r="S115" s="336" t="str">
        <f ca="1">IF(Equipements_SCL!AC24&lt;&gt;"",Equipements_SCL!AO24,"")</f>
        <v/>
      </c>
      <c r="T115" s="336" t="str">
        <f ca="1">IF(Equipements_SCL!AD24&lt;&gt;"",Equipements_SCL!AP24,"")</f>
        <v/>
      </c>
      <c r="U115" s="336" t="str">
        <f ca="1">IF(Equipements_SCL!AE24&lt;&gt;"",Equipements_SCL!AQ24,"")</f>
        <v/>
      </c>
      <c r="V115" s="336" t="str">
        <f ca="1">IF(Equipements_SCL!AF24&lt;&gt;"",Equipements_SCL!AR24,"")</f>
        <v/>
      </c>
      <c r="W115" s="336" t="str">
        <f ca="1">IF(Equipements_SCL!AG24&lt;&gt;"",Equipements_SCL!AS24,"")</f>
        <v/>
      </c>
      <c r="X115" s="436" t="str">
        <f ca="1">IF(Equipements_SCL!AH24&lt;&gt;"",Equipements_SCL!AT24,"")</f>
        <v/>
      </c>
      <c r="Y115" s="254"/>
      <c r="Z115" s="254"/>
      <c r="AA115" s="265"/>
      <c r="AB115" s="249"/>
    </row>
    <row r="116" spans="2:28" ht="20.100000000000001" customHeight="1" outlineLevel="1" x14ac:dyDescent="0.4">
      <c r="B116" s="253"/>
      <c r="C116" s="264"/>
      <c r="D116" s="752" t="str">
        <f ca="1">Equipements_SCL!H25</f>
        <v/>
      </c>
      <c r="E116" s="753"/>
      <c r="F116" s="333" t="str">
        <f ca="1">Equipements_SCL!I25</f>
        <v/>
      </c>
      <c r="G116" s="334" t="str">
        <f ca="1">Equipements_SCL!M25</f>
        <v/>
      </c>
      <c r="H116" s="754" t="str">
        <f ca="1">Equipements_SCL!J25</f>
        <v/>
      </c>
      <c r="I116" s="755"/>
      <c r="J116" s="754" t="str">
        <f ca="1">Equipements_SCL!K25</f>
        <v/>
      </c>
      <c r="K116" s="756"/>
      <c r="L116" s="756"/>
      <c r="M116" s="756"/>
      <c r="N116" s="335" t="str">
        <f ca="1">Equipements_SCL!P25</f>
        <v/>
      </c>
      <c r="O116" s="336" t="str">
        <f ca="1">IF(Equipements_SCL!Y25&lt;&gt;"",Equipements_SCL!AK25,"")</f>
        <v/>
      </c>
      <c r="P116" s="336" t="str">
        <f ca="1">IF(Equipements_SCL!Z25&lt;&gt;"",Equipements_SCL!AL25,"")</f>
        <v/>
      </c>
      <c r="Q116" s="336" t="str">
        <f ca="1">IF(Equipements_SCL!AA25&lt;&gt;"",Equipements_SCL!AM25,"")</f>
        <v/>
      </c>
      <c r="R116" s="336" t="str">
        <f ca="1">IF(Equipements_SCL!AB25&lt;&gt;"",Equipements_SCL!AN25,"")</f>
        <v/>
      </c>
      <c r="S116" s="336" t="str">
        <f ca="1">IF(Equipements_SCL!AC25&lt;&gt;"",Equipements_SCL!AO25,"")</f>
        <v/>
      </c>
      <c r="T116" s="336" t="str">
        <f ca="1">IF(Equipements_SCL!AD25&lt;&gt;"",Equipements_SCL!AP25,"")</f>
        <v/>
      </c>
      <c r="U116" s="336" t="str">
        <f ca="1">IF(Equipements_SCL!AE25&lt;&gt;"",Equipements_SCL!AQ25,"")</f>
        <v/>
      </c>
      <c r="V116" s="336" t="str">
        <f ca="1">IF(Equipements_SCL!AF25&lt;&gt;"",Equipements_SCL!AR25,"")</f>
        <v/>
      </c>
      <c r="W116" s="336" t="str">
        <f ca="1">IF(Equipements_SCL!AG25&lt;&gt;"",Equipements_SCL!AS25,"")</f>
        <v/>
      </c>
      <c r="X116" s="436" t="str">
        <f ca="1">IF(Equipements_SCL!AH25&lt;&gt;"",Equipements_SCL!AT25,"")</f>
        <v/>
      </c>
      <c r="Y116" s="254"/>
      <c r="Z116" s="254"/>
      <c r="AA116" s="265"/>
      <c r="AB116" s="249"/>
    </row>
    <row r="117" spans="2:28" ht="20.100000000000001" customHeight="1" outlineLevel="1" x14ac:dyDescent="0.4">
      <c r="B117" s="253"/>
      <c r="C117" s="264"/>
      <c r="D117" s="752" t="str">
        <f ca="1">Equipements_SCL!H26</f>
        <v/>
      </c>
      <c r="E117" s="753"/>
      <c r="F117" s="333" t="str">
        <f ca="1">Equipements_SCL!I26</f>
        <v/>
      </c>
      <c r="G117" s="334" t="str">
        <f ca="1">Equipements_SCL!M26</f>
        <v/>
      </c>
      <c r="H117" s="754" t="str">
        <f ca="1">Equipements_SCL!J26</f>
        <v/>
      </c>
      <c r="I117" s="755"/>
      <c r="J117" s="754" t="str">
        <f ca="1">Equipements_SCL!K26</f>
        <v/>
      </c>
      <c r="K117" s="756"/>
      <c r="L117" s="756"/>
      <c r="M117" s="756"/>
      <c r="N117" s="335" t="str">
        <f ca="1">Equipements_SCL!P26</f>
        <v/>
      </c>
      <c r="O117" s="336" t="str">
        <f ca="1">IF(Equipements_SCL!Y26&lt;&gt;"",Equipements_SCL!AK26,"")</f>
        <v/>
      </c>
      <c r="P117" s="336" t="str">
        <f ca="1">IF(Equipements_SCL!Z26&lt;&gt;"",Equipements_SCL!AL26,"")</f>
        <v/>
      </c>
      <c r="Q117" s="336" t="str">
        <f ca="1">IF(Equipements_SCL!AA26&lt;&gt;"",Equipements_SCL!AM26,"")</f>
        <v/>
      </c>
      <c r="R117" s="336" t="str">
        <f ca="1">IF(Equipements_SCL!AB26&lt;&gt;"",Equipements_SCL!AN26,"")</f>
        <v/>
      </c>
      <c r="S117" s="336" t="str">
        <f ca="1">IF(Equipements_SCL!AC26&lt;&gt;"",Equipements_SCL!AO26,"")</f>
        <v/>
      </c>
      <c r="T117" s="336" t="str">
        <f ca="1">IF(Equipements_SCL!AD26&lt;&gt;"",Equipements_SCL!AP26,"")</f>
        <v/>
      </c>
      <c r="U117" s="336" t="str">
        <f ca="1">IF(Equipements_SCL!AE26&lt;&gt;"",Equipements_SCL!AQ26,"")</f>
        <v/>
      </c>
      <c r="V117" s="336" t="str">
        <f ca="1">IF(Equipements_SCL!AF26&lt;&gt;"",Equipements_SCL!AR26,"")</f>
        <v/>
      </c>
      <c r="W117" s="336" t="str">
        <f ca="1">IF(Equipements_SCL!AG26&lt;&gt;"",Equipements_SCL!AS26,"")</f>
        <v/>
      </c>
      <c r="X117" s="436" t="str">
        <f ca="1">IF(Equipements_SCL!AH26&lt;&gt;"",Equipements_SCL!AT26,"")</f>
        <v/>
      </c>
      <c r="Y117" s="254"/>
      <c r="Z117" s="254"/>
      <c r="AA117" s="265"/>
      <c r="AB117" s="249"/>
    </row>
    <row r="118" spans="2:28" ht="20.100000000000001" customHeight="1" outlineLevel="1" x14ac:dyDescent="0.4">
      <c r="B118" s="253"/>
      <c r="C118" s="264"/>
      <c r="D118" s="752" t="str">
        <f ca="1">Equipements_SCL!H27</f>
        <v/>
      </c>
      <c r="E118" s="753"/>
      <c r="F118" s="333" t="str">
        <f ca="1">Equipements_SCL!I27</f>
        <v/>
      </c>
      <c r="G118" s="334" t="str">
        <f ca="1">Equipements_SCL!M27</f>
        <v/>
      </c>
      <c r="H118" s="754" t="str">
        <f ca="1">Equipements_SCL!J27</f>
        <v/>
      </c>
      <c r="I118" s="755"/>
      <c r="J118" s="754" t="str">
        <f ca="1">Equipements_SCL!K27</f>
        <v/>
      </c>
      <c r="K118" s="756"/>
      <c r="L118" s="756"/>
      <c r="M118" s="756"/>
      <c r="N118" s="335" t="str">
        <f ca="1">Equipements_SCL!P27</f>
        <v/>
      </c>
      <c r="O118" s="336" t="str">
        <f ca="1">IF(Equipements_SCL!Y27&lt;&gt;"",Equipements_SCL!AK27,"")</f>
        <v/>
      </c>
      <c r="P118" s="336" t="str">
        <f ca="1">IF(Equipements_SCL!Z27&lt;&gt;"",Equipements_SCL!AL27,"")</f>
        <v/>
      </c>
      <c r="Q118" s="336" t="str">
        <f ca="1">IF(Equipements_SCL!AA27&lt;&gt;"",Equipements_SCL!AM27,"")</f>
        <v/>
      </c>
      <c r="R118" s="336" t="str">
        <f ca="1">IF(Equipements_SCL!AB27&lt;&gt;"",Equipements_SCL!AN27,"")</f>
        <v/>
      </c>
      <c r="S118" s="336" t="str">
        <f ca="1">IF(Equipements_SCL!AC27&lt;&gt;"",Equipements_SCL!AO27,"")</f>
        <v/>
      </c>
      <c r="T118" s="336" t="str">
        <f ca="1">IF(Equipements_SCL!AD27&lt;&gt;"",Equipements_SCL!AP27,"")</f>
        <v/>
      </c>
      <c r="U118" s="336" t="str">
        <f ca="1">IF(Equipements_SCL!AE27&lt;&gt;"",Equipements_SCL!AQ27,"")</f>
        <v/>
      </c>
      <c r="V118" s="336" t="str">
        <f ca="1">IF(Equipements_SCL!AF27&lt;&gt;"",Equipements_SCL!AR27,"")</f>
        <v/>
      </c>
      <c r="W118" s="336" t="str">
        <f ca="1">IF(Equipements_SCL!AG27&lt;&gt;"",Equipements_SCL!AS27,"")</f>
        <v/>
      </c>
      <c r="X118" s="436" t="str">
        <f ca="1">IF(Equipements_SCL!AH27&lt;&gt;"",Equipements_SCL!AT27,"")</f>
        <v/>
      </c>
      <c r="Y118" s="254"/>
      <c r="Z118" s="254"/>
      <c r="AA118" s="265"/>
      <c r="AB118" s="249"/>
    </row>
    <row r="119" spans="2:28" ht="20.100000000000001" customHeight="1" outlineLevel="1" x14ac:dyDescent="0.4">
      <c r="B119" s="253"/>
      <c r="C119" s="264"/>
      <c r="D119" s="752" t="str">
        <f ca="1">Equipements_SCL!H28</f>
        <v/>
      </c>
      <c r="E119" s="753"/>
      <c r="F119" s="333" t="str">
        <f ca="1">Equipements_SCL!I28</f>
        <v/>
      </c>
      <c r="G119" s="334" t="str">
        <f ca="1">Equipements_SCL!M28</f>
        <v/>
      </c>
      <c r="H119" s="754" t="str">
        <f ca="1">Equipements_SCL!J28</f>
        <v/>
      </c>
      <c r="I119" s="755"/>
      <c r="J119" s="754" t="str">
        <f ca="1">Equipements_SCL!K28</f>
        <v/>
      </c>
      <c r="K119" s="756"/>
      <c r="L119" s="756"/>
      <c r="M119" s="756"/>
      <c r="N119" s="335" t="str">
        <f ca="1">Equipements_SCL!P28</f>
        <v/>
      </c>
      <c r="O119" s="336" t="str">
        <f ca="1">IF(Equipements_SCL!Y28&lt;&gt;"",Equipements_SCL!AK28,"")</f>
        <v/>
      </c>
      <c r="P119" s="336" t="str">
        <f ca="1">IF(Equipements_SCL!Z28&lt;&gt;"",Equipements_SCL!AL28,"")</f>
        <v/>
      </c>
      <c r="Q119" s="336" t="str">
        <f ca="1">IF(Equipements_SCL!AA28&lt;&gt;"",Equipements_SCL!AM28,"")</f>
        <v/>
      </c>
      <c r="R119" s="336" t="str">
        <f ca="1">IF(Equipements_SCL!AB28&lt;&gt;"",Equipements_SCL!AN28,"")</f>
        <v/>
      </c>
      <c r="S119" s="336" t="str">
        <f ca="1">IF(Equipements_SCL!AC28&lt;&gt;"",Equipements_SCL!AO28,"")</f>
        <v/>
      </c>
      <c r="T119" s="336" t="str">
        <f ca="1">IF(Equipements_SCL!AD28&lt;&gt;"",Equipements_SCL!AP28,"")</f>
        <v/>
      </c>
      <c r="U119" s="336" t="str">
        <f ca="1">IF(Equipements_SCL!AE28&lt;&gt;"",Equipements_SCL!AQ28,"")</f>
        <v/>
      </c>
      <c r="V119" s="336" t="str">
        <f ca="1">IF(Equipements_SCL!AF28&lt;&gt;"",Equipements_SCL!AR28,"")</f>
        <v/>
      </c>
      <c r="W119" s="336" t="str">
        <f ca="1">IF(Equipements_SCL!AG28&lt;&gt;"",Equipements_SCL!AS28,"")</f>
        <v/>
      </c>
      <c r="X119" s="436" t="str">
        <f ca="1">IF(Equipements_SCL!AH28&lt;&gt;"",Equipements_SCL!AT28,"")</f>
        <v/>
      </c>
      <c r="Y119" s="254"/>
      <c r="Z119" s="254"/>
      <c r="AA119" s="265"/>
      <c r="AB119" s="249"/>
    </row>
    <row r="120" spans="2:28" ht="20.100000000000001" customHeight="1" outlineLevel="1" x14ac:dyDescent="0.4">
      <c r="B120" s="253"/>
      <c r="C120" s="264"/>
      <c r="D120" s="752" t="str">
        <f ca="1">Equipements_SCL!H29</f>
        <v/>
      </c>
      <c r="E120" s="753"/>
      <c r="F120" s="333" t="str">
        <f ca="1">Equipements_SCL!I29</f>
        <v/>
      </c>
      <c r="G120" s="334" t="str">
        <f ca="1">Equipements_SCL!M29</f>
        <v/>
      </c>
      <c r="H120" s="754" t="str">
        <f ca="1">Equipements_SCL!J29</f>
        <v/>
      </c>
      <c r="I120" s="755"/>
      <c r="J120" s="754" t="str">
        <f ca="1">Equipements_SCL!K29</f>
        <v/>
      </c>
      <c r="K120" s="756"/>
      <c r="L120" s="756"/>
      <c r="M120" s="756"/>
      <c r="N120" s="335" t="str">
        <f ca="1">Equipements_SCL!P29</f>
        <v/>
      </c>
      <c r="O120" s="336" t="str">
        <f ca="1">IF(Equipements_SCL!Y29&lt;&gt;"",Equipements_SCL!AK29,"")</f>
        <v/>
      </c>
      <c r="P120" s="336" t="str">
        <f ca="1">IF(Equipements_SCL!Z29&lt;&gt;"",Equipements_SCL!AL29,"")</f>
        <v/>
      </c>
      <c r="Q120" s="336" t="str">
        <f ca="1">IF(Equipements_SCL!AA29&lt;&gt;"",Equipements_SCL!AM29,"")</f>
        <v/>
      </c>
      <c r="R120" s="336" t="str">
        <f ca="1">IF(Equipements_SCL!AB29&lt;&gt;"",Equipements_SCL!AN29,"")</f>
        <v/>
      </c>
      <c r="S120" s="336" t="str">
        <f ca="1">IF(Equipements_SCL!AC29&lt;&gt;"",Equipements_SCL!AO29,"")</f>
        <v/>
      </c>
      <c r="T120" s="336" t="str">
        <f ca="1">IF(Equipements_SCL!AD29&lt;&gt;"",Equipements_SCL!AP29,"")</f>
        <v/>
      </c>
      <c r="U120" s="336" t="str">
        <f ca="1">IF(Equipements_SCL!AE29&lt;&gt;"",Equipements_SCL!AQ29,"")</f>
        <v/>
      </c>
      <c r="V120" s="336" t="str">
        <f ca="1">IF(Equipements_SCL!AF29&lt;&gt;"",Equipements_SCL!AR29,"")</f>
        <v/>
      </c>
      <c r="W120" s="336" t="str">
        <f ca="1">IF(Equipements_SCL!AG29&lt;&gt;"",Equipements_SCL!AS29,"")</f>
        <v/>
      </c>
      <c r="X120" s="436" t="str">
        <f ca="1">IF(Equipements_SCL!AH29&lt;&gt;"",Equipements_SCL!AT29,"")</f>
        <v/>
      </c>
      <c r="Y120" s="254"/>
      <c r="Z120" s="254"/>
      <c r="AA120" s="265"/>
      <c r="AB120" s="249"/>
    </row>
    <row r="121" spans="2:28" ht="20.100000000000001" customHeight="1" outlineLevel="1" x14ac:dyDescent="0.4">
      <c r="B121" s="253"/>
      <c r="C121" s="264"/>
      <c r="D121" s="752" t="str">
        <f ca="1">Equipements_SCL!H30</f>
        <v/>
      </c>
      <c r="E121" s="753"/>
      <c r="F121" s="333" t="str">
        <f ca="1">Equipements_SCL!I30</f>
        <v/>
      </c>
      <c r="G121" s="334" t="str">
        <f ca="1">Equipements_SCL!M30</f>
        <v/>
      </c>
      <c r="H121" s="754" t="str">
        <f ca="1">Equipements_SCL!J30</f>
        <v/>
      </c>
      <c r="I121" s="755"/>
      <c r="J121" s="754" t="str">
        <f ca="1">Equipements_SCL!K30</f>
        <v/>
      </c>
      <c r="K121" s="756"/>
      <c r="L121" s="756"/>
      <c r="M121" s="756"/>
      <c r="N121" s="335" t="str">
        <f ca="1">Equipements_SCL!P30</f>
        <v/>
      </c>
      <c r="O121" s="336" t="str">
        <f ca="1">IF(Equipements_SCL!Y30&lt;&gt;"",Equipements_SCL!AK30,"")</f>
        <v/>
      </c>
      <c r="P121" s="336" t="str">
        <f ca="1">IF(Equipements_SCL!Z30&lt;&gt;"",Equipements_SCL!AL30,"")</f>
        <v/>
      </c>
      <c r="Q121" s="336" t="str">
        <f ca="1">IF(Equipements_SCL!AA30&lt;&gt;"",Equipements_SCL!AM30,"")</f>
        <v/>
      </c>
      <c r="R121" s="336" t="str">
        <f ca="1">IF(Equipements_SCL!AB30&lt;&gt;"",Equipements_SCL!AN30,"")</f>
        <v/>
      </c>
      <c r="S121" s="336" t="str">
        <f ca="1">IF(Equipements_SCL!AC30&lt;&gt;"",Equipements_SCL!AO30,"")</f>
        <v/>
      </c>
      <c r="T121" s="336" t="str">
        <f ca="1">IF(Equipements_SCL!AD30&lt;&gt;"",Equipements_SCL!AP30,"")</f>
        <v/>
      </c>
      <c r="U121" s="336" t="str">
        <f ca="1">IF(Equipements_SCL!AE30&lt;&gt;"",Equipements_SCL!AQ30,"")</f>
        <v/>
      </c>
      <c r="V121" s="336" t="str">
        <f ca="1">IF(Equipements_SCL!AF30&lt;&gt;"",Equipements_SCL!AR30,"")</f>
        <v/>
      </c>
      <c r="W121" s="336" t="str">
        <f ca="1">IF(Equipements_SCL!AG30&lt;&gt;"",Equipements_SCL!AS30,"")</f>
        <v/>
      </c>
      <c r="X121" s="436" t="str">
        <f ca="1">IF(Equipements_SCL!AH30&lt;&gt;"",Equipements_SCL!AT30,"")</f>
        <v/>
      </c>
      <c r="Y121" s="254"/>
      <c r="Z121" s="254"/>
      <c r="AA121" s="265"/>
      <c r="AB121" s="249"/>
    </row>
    <row r="122" spans="2:28" ht="20.100000000000001" customHeight="1" outlineLevel="1" x14ac:dyDescent="0.4">
      <c r="B122" s="253"/>
      <c r="C122" s="264"/>
      <c r="D122" s="752" t="str">
        <f ca="1">Equipements_SCL!H31</f>
        <v/>
      </c>
      <c r="E122" s="753"/>
      <c r="F122" s="333" t="str">
        <f ca="1">Equipements_SCL!I31</f>
        <v/>
      </c>
      <c r="G122" s="334" t="str">
        <f ca="1">Equipements_SCL!M31</f>
        <v/>
      </c>
      <c r="H122" s="754" t="str">
        <f ca="1">Equipements_SCL!J31</f>
        <v/>
      </c>
      <c r="I122" s="755"/>
      <c r="J122" s="754" t="str">
        <f ca="1">Equipements_SCL!K31</f>
        <v/>
      </c>
      <c r="K122" s="756"/>
      <c r="L122" s="756"/>
      <c r="M122" s="756"/>
      <c r="N122" s="335" t="str">
        <f ca="1">Equipements_SCL!P31</f>
        <v/>
      </c>
      <c r="O122" s="336" t="str">
        <f ca="1">IF(Equipements_SCL!Y31&lt;&gt;"",Equipements_SCL!AK31,"")</f>
        <v/>
      </c>
      <c r="P122" s="336" t="str">
        <f ca="1">IF(Equipements_SCL!Z31&lt;&gt;"",Equipements_SCL!AL31,"")</f>
        <v/>
      </c>
      <c r="Q122" s="336" t="str">
        <f ca="1">IF(Equipements_SCL!AA31&lt;&gt;"",Equipements_SCL!AM31,"")</f>
        <v/>
      </c>
      <c r="R122" s="336" t="str">
        <f ca="1">IF(Equipements_SCL!AB31&lt;&gt;"",Equipements_SCL!AN31,"")</f>
        <v/>
      </c>
      <c r="S122" s="336" t="str">
        <f ca="1">IF(Equipements_SCL!AC31&lt;&gt;"",Equipements_SCL!AO31,"")</f>
        <v/>
      </c>
      <c r="T122" s="336" t="str">
        <f ca="1">IF(Equipements_SCL!AD31&lt;&gt;"",Equipements_SCL!AP31,"")</f>
        <v/>
      </c>
      <c r="U122" s="336" t="str">
        <f ca="1">IF(Equipements_SCL!AE31&lt;&gt;"",Equipements_SCL!AQ31,"")</f>
        <v/>
      </c>
      <c r="V122" s="336" t="str">
        <f ca="1">IF(Equipements_SCL!AF31&lt;&gt;"",Equipements_SCL!AR31,"")</f>
        <v/>
      </c>
      <c r="W122" s="336" t="str">
        <f ca="1">IF(Equipements_SCL!AG31&lt;&gt;"",Equipements_SCL!AS31,"")</f>
        <v/>
      </c>
      <c r="X122" s="436" t="str">
        <f ca="1">IF(Equipements_SCL!AH31&lt;&gt;"",Equipements_SCL!AT31,"")</f>
        <v/>
      </c>
      <c r="Y122" s="254"/>
      <c r="Z122" s="254"/>
      <c r="AA122" s="265"/>
      <c r="AB122" s="249"/>
    </row>
    <row r="123" spans="2:28" ht="20.100000000000001" customHeight="1" outlineLevel="1" x14ac:dyDescent="0.4">
      <c r="B123" s="253"/>
      <c r="C123" s="264"/>
      <c r="D123" s="752" t="str">
        <f ca="1">Equipements_SCL!H32</f>
        <v/>
      </c>
      <c r="E123" s="753"/>
      <c r="F123" s="333" t="str">
        <f ca="1">Equipements_SCL!I32</f>
        <v/>
      </c>
      <c r="G123" s="334" t="str">
        <f ca="1">Equipements_SCL!M32</f>
        <v/>
      </c>
      <c r="H123" s="754" t="str">
        <f ca="1">Equipements_SCL!J32</f>
        <v/>
      </c>
      <c r="I123" s="755"/>
      <c r="J123" s="754" t="str">
        <f ca="1">Equipements_SCL!K32</f>
        <v/>
      </c>
      <c r="K123" s="756"/>
      <c r="L123" s="756"/>
      <c r="M123" s="756"/>
      <c r="N123" s="335" t="str">
        <f ca="1">Equipements_SCL!P32</f>
        <v/>
      </c>
      <c r="O123" s="336" t="str">
        <f ca="1">IF(Equipements_SCL!Y32&lt;&gt;"",Equipements_SCL!AK32,"")</f>
        <v/>
      </c>
      <c r="P123" s="336" t="str">
        <f ca="1">IF(Equipements_SCL!Z32&lt;&gt;"",Equipements_SCL!AL32,"")</f>
        <v/>
      </c>
      <c r="Q123" s="336" t="str">
        <f ca="1">IF(Equipements_SCL!AA32&lt;&gt;"",Equipements_SCL!AM32,"")</f>
        <v/>
      </c>
      <c r="R123" s="336" t="str">
        <f ca="1">IF(Equipements_SCL!AB32&lt;&gt;"",Equipements_SCL!AN32,"")</f>
        <v/>
      </c>
      <c r="S123" s="336" t="str">
        <f ca="1">IF(Equipements_SCL!AC32&lt;&gt;"",Equipements_SCL!AO32,"")</f>
        <v/>
      </c>
      <c r="T123" s="336" t="str">
        <f ca="1">IF(Equipements_SCL!AD32&lt;&gt;"",Equipements_SCL!AP32,"")</f>
        <v/>
      </c>
      <c r="U123" s="336" t="str">
        <f ca="1">IF(Equipements_SCL!AE32&lt;&gt;"",Equipements_SCL!AQ32,"")</f>
        <v/>
      </c>
      <c r="V123" s="336" t="str">
        <f ca="1">IF(Equipements_SCL!AF32&lt;&gt;"",Equipements_SCL!AR32,"")</f>
        <v/>
      </c>
      <c r="W123" s="336" t="str">
        <f ca="1">IF(Equipements_SCL!AG32&lt;&gt;"",Equipements_SCL!AS32,"")</f>
        <v/>
      </c>
      <c r="X123" s="436" t="str">
        <f ca="1">IF(Equipements_SCL!AH32&lt;&gt;"",Equipements_SCL!AT32,"")</f>
        <v/>
      </c>
      <c r="Y123" s="254"/>
      <c r="Z123" s="254"/>
      <c r="AA123" s="265"/>
      <c r="AB123" s="249"/>
    </row>
    <row r="124" spans="2:28" ht="20.100000000000001" customHeight="1" outlineLevel="1" x14ac:dyDescent="0.4">
      <c r="B124" s="253"/>
      <c r="C124" s="264"/>
      <c r="D124" s="752" t="str">
        <f ca="1">Equipements_SCL!H33</f>
        <v/>
      </c>
      <c r="E124" s="753"/>
      <c r="F124" s="333" t="str">
        <f ca="1">Equipements_SCL!I33</f>
        <v/>
      </c>
      <c r="G124" s="334" t="str">
        <f ca="1">Equipements_SCL!M33</f>
        <v/>
      </c>
      <c r="H124" s="754" t="str">
        <f ca="1">Equipements_SCL!J33</f>
        <v/>
      </c>
      <c r="I124" s="755"/>
      <c r="J124" s="754" t="str">
        <f ca="1">Equipements_SCL!K33</f>
        <v/>
      </c>
      <c r="K124" s="756"/>
      <c r="L124" s="756"/>
      <c r="M124" s="756"/>
      <c r="N124" s="335" t="str">
        <f ca="1">Equipements_SCL!P33</f>
        <v/>
      </c>
      <c r="O124" s="336" t="str">
        <f ca="1">IF(Equipements_SCL!Y33&lt;&gt;"",Equipements_SCL!AK33,"")</f>
        <v/>
      </c>
      <c r="P124" s="336" t="str">
        <f ca="1">IF(Equipements_SCL!Z33&lt;&gt;"",Equipements_SCL!AL33,"")</f>
        <v/>
      </c>
      <c r="Q124" s="336" t="str">
        <f ca="1">IF(Equipements_SCL!AA33&lt;&gt;"",Equipements_SCL!AM33,"")</f>
        <v/>
      </c>
      <c r="R124" s="336" t="str">
        <f ca="1">IF(Equipements_SCL!AB33&lt;&gt;"",Equipements_SCL!AN33,"")</f>
        <v/>
      </c>
      <c r="S124" s="336" t="str">
        <f ca="1">IF(Equipements_SCL!AC33&lt;&gt;"",Equipements_SCL!AO33,"")</f>
        <v/>
      </c>
      <c r="T124" s="336" t="str">
        <f ca="1">IF(Equipements_SCL!AD33&lt;&gt;"",Equipements_SCL!AP33,"")</f>
        <v/>
      </c>
      <c r="U124" s="336" t="str">
        <f ca="1">IF(Equipements_SCL!AE33&lt;&gt;"",Equipements_SCL!AQ33,"")</f>
        <v/>
      </c>
      <c r="V124" s="336" t="str">
        <f ca="1">IF(Equipements_SCL!AF33&lt;&gt;"",Equipements_SCL!AR33,"")</f>
        <v/>
      </c>
      <c r="W124" s="336" t="str">
        <f ca="1">IF(Equipements_SCL!AG33&lt;&gt;"",Equipements_SCL!AS33,"")</f>
        <v/>
      </c>
      <c r="X124" s="436" t="str">
        <f ca="1">IF(Equipements_SCL!AH33&lt;&gt;"",Equipements_SCL!AT33,"")</f>
        <v/>
      </c>
      <c r="Y124" s="254"/>
      <c r="Z124" s="254"/>
      <c r="AA124" s="265"/>
      <c r="AB124" s="249"/>
    </row>
    <row r="125" spans="2:28" ht="20.100000000000001" customHeight="1" outlineLevel="1" x14ac:dyDescent="0.4">
      <c r="B125" s="253"/>
      <c r="C125" s="264"/>
      <c r="D125" s="752" t="str">
        <f ca="1">Equipements_SCL!H34</f>
        <v/>
      </c>
      <c r="E125" s="753"/>
      <c r="F125" s="333" t="str">
        <f ca="1">Equipements_SCL!I34</f>
        <v/>
      </c>
      <c r="G125" s="334" t="str">
        <f ca="1">Equipements_SCL!M34</f>
        <v/>
      </c>
      <c r="H125" s="754" t="str">
        <f ca="1">Equipements_SCL!J34</f>
        <v/>
      </c>
      <c r="I125" s="755"/>
      <c r="J125" s="754" t="str">
        <f ca="1">Equipements_SCL!K34</f>
        <v/>
      </c>
      <c r="K125" s="756"/>
      <c r="L125" s="756"/>
      <c r="M125" s="756"/>
      <c r="N125" s="335" t="str">
        <f ca="1">Equipements_SCL!P34</f>
        <v/>
      </c>
      <c r="O125" s="336" t="str">
        <f ca="1">IF(Equipements_SCL!Y34&lt;&gt;"",Equipements_SCL!AK34,"")</f>
        <v/>
      </c>
      <c r="P125" s="336" t="str">
        <f ca="1">IF(Equipements_SCL!Z34&lt;&gt;"",Equipements_SCL!AL34,"")</f>
        <v/>
      </c>
      <c r="Q125" s="336" t="str">
        <f ca="1">IF(Equipements_SCL!AA34&lt;&gt;"",Equipements_SCL!AM34,"")</f>
        <v/>
      </c>
      <c r="R125" s="336" t="str">
        <f ca="1">IF(Equipements_SCL!AB34&lt;&gt;"",Equipements_SCL!AN34,"")</f>
        <v/>
      </c>
      <c r="S125" s="336" t="str">
        <f ca="1">IF(Equipements_SCL!AC34&lt;&gt;"",Equipements_SCL!AO34,"")</f>
        <v/>
      </c>
      <c r="T125" s="336" t="str">
        <f ca="1">IF(Equipements_SCL!AD34&lt;&gt;"",Equipements_SCL!AP34,"")</f>
        <v/>
      </c>
      <c r="U125" s="336" t="str">
        <f ca="1">IF(Equipements_SCL!AE34&lt;&gt;"",Equipements_SCL!AQ34,"")</f>
        <v/>
      </c>
      <c r="V125" s="336" t="str">
        <f ca="1">IF(Equipements_SCL!AF34&lt;&gt;"",Equipements_SCL!AR34,"")</f>
        <v/>
      </c>
      <c r="W125" s="336" t="str">
        <f ca="1">IF(Equipements_SCL!AG34&lt;&gt;"",Equipements_SCL!AS34,"")</f>
        <v/>
      </c>
      <c r="X125" s="436" t="str">
        <f ca="1">IF(Equipements_SCL!AH34&lt;&gt;"",Equipements_SCL!AT34,"")</f>
        <v/>
      </c>
      <c r="Y125" s="254"/>
      <c r="Z125" s="254"/>
      <c r="AA125" s="265"/>
      <c r="AB125" s="249"/>
    </row>
    <row r="126" spans="2:28" ht="20.100000000000001" customHeight="1" outlineLevel="1" x14ac:dyDescent="0.4">
      <c r="B126" s="253"/>
      <c r="C126" s="264"/>
      <c r="D126" s="752" t="str">
        <f ca="1">Equipements_SCL!H35</f>
        <v/>
      </c>
      <c r="E126" s="753"/>
      <c r="F126" s="333" t="str">
        <f ca="1">Equipements_SCL!I35</f>
        <v/>
      </c>
      <c r="G126" s="334" t="str">
        <f ca="1">Equipements_SCL!M35</f>
        <v/>
      </c>
      <c r="H126" s="754" t="str">
        <f ca="1">Equipements_SCL!J35</f>
        <v/>
      </c>
      <c r="I126" s="755"/>
      <c r="J126" s="754" t="str">
        <f ca="1">Equipements_SCL!K35</f>
        <v/>
      </c>
      <c r="K126" s="756"/>
      <c r="L126" s="756"/>
      <c r="M126" s="756"/>
      <c r="N126" s="335" t="str">
        <f ca="1">Equipements_SCL!P35</f>
        <v/>
      </c>
      <c r="O126" s="336" t="str">
        <f ca="1">IF(Equipements_SCL!Y35&lt;&gt;"",Equipements_SCL!AK35,"")</f>
        <v/>
      </c>
      <c r="P126" s="336" t="str">
        <f ca="1">IF(Equipements_SCL!Z35&lt;&gt;"",Equipements_SCL!AL35,"")</f>
        <v/>
      </c>
      <c r="Q126" s="336" t="str">
        <f ca="1">IF(Equipements_SCL!AA35&lt;&gt;"",Equipements_SCL!AM35,"")</f>
        <v/>
      </c>
      <c r="R126" s="336" t="str">
        <f ca="1">IF(Equipements_SCL!AB35&lt;&gt;"",Equipements_SCL!AN35,"")</f>
        <v/>
      </c>
      <c r="S126" s="336" t="str">
        <f ca="1">IF(Equipements_SCL!AC35&lt;&gt;"",Equipements_SCL!AO35,"")</f>
        <v/>
      </c>
      <c r="T126" s="336" t="str">
        <f ca="1">IF(Equipements_SCL!AD35&lt;&gt;"",Equipements_SCL!AP35,"")</f>
        <v/>
      </c>
      <c r="U126" s="336" t="str">
        <f ca="1">IF(Equipements_SCL!AE35&lt;&gt;"",Equipements_SCL!AQ35,"")</f>
        <v/>
      </c>
      <c r="V126" s="336" t="str">
        <f ca="1">IF(Equipements_SCL!AF35&lt;&gt;"",Equipements_SCL!AR35,"")</f>
        <v/>
      </c>
      <c r="W126" s="336" t="str">
        <f ca="1">IF(Equipements_SCL!AG35&lt;&gt;"",Equipements_SCL!AS35,"")</f>
        <v/>
      </c>
      <c r="X126" s="436" t="str">
        <f ca="1">IF(Equipements_SCL!AH35&lt;&gt;"",Equipements_SCL!AT35,"")</f>
        <v/>
      </c>
      <c r="Y126" s="254"/>
      <c r="Z126" s="254"/>
      <c r="AA126" s="265"/>
      <c r="AB126" s="249"/>
    </row>
    <row r="127" spans="2:28" ht="20.100000000000001" customHeight="1" outlineLevel="1" x14ac:dyDescent="0.4">
      <c r="B127" s="253"/>
      <c r="C127" s="264"/>
      <c r="D127" s="752" t="str">
        <f ca="1">Equipements_SCL!H36</f>
        <v/>
      </c>
      <c r="E127" s="753"/>
      <c r="F127" s="333" t="str">
        <f ca="1">Equipements_SCL!I36</f>
        <v/>
      </c>
      <c r="G127" s="334" t="str">
        <f ca="1">Equipements_SCL!M36</f>
        <v/>
      </c>
      <c r="H127" s="754" t="str">
        <f ca="1">Equipements_SCL!J36</f>
        <v/>
      </c>
      <c r="I127" s="755"/>
      <c r="J127" s="754" t="str">
        <f ca="1">Equipements_SCL!K36</f>
        <v/>
      </c>
      <c r="K127" s="756"/>
      <c r="L127" s="756"/>
      <c r="M127" s="756"/>
      <c r="N127" s="335" t="str">
        <f ca="1">Equipements_SCL!P36</f>
        <v/>
      </c>
      <c r="O127" s="336" t="str">
        <f ca="1">IF(Equipements_SCL!Y36&lt;&gt;"",Equipements_SCL!AK36,"")</f>
        <v/>
      </c>
      <c r="P127" s="336" t="str">
        <f ca="1">IF(Equipements_SCL!Z36&lt;&gt;"",Equipements_SCL!AL36,"")</f>
        <v/>
      </c>
      <c r="Q127" s="336" t="str">
        <f ca="1">IF(Equipements_SCL!AA36&lt;&gt;"",Equipements_SCL!AM36,"")</f>
        <v/>
      </c>
      <c r="R127" s="336" t="str">
        <f ca="1">IF(Equipements_SCL!AB36&lt;&gt;"",Equipements_SCL!AN36,"")</f>
        <v/>
      </c>
      <c r="S127" s="336" t="str">
        <f ca="1">IF(Equipements_SCL!AC36&lt;&gt;"",Equipements_SCL!AO36,"")</f>
        <v/>
      </c>
      <c r="T127" s="336" t="str">
        <f ca="1">IF(Equipements_SCL!AD36&lt;&gt;"",Equipements_SCL!AP36,"")</f>
        <v/>
      </c>
      <c r="U127" s="336" t="str">
        <f ca="1">IF(Equipements_SCL!AE36&lt;&gt;"",Equipements_SCL!AQ36,"")</f>
        <v/>
      </c>
      <c r="V127" s="336" t="str">
        <f ca="1">IF(Equipements_SCL!AF36&lt;&gt;"",Equipements_SCL!AR36,"")</f>
        <v/>
      </c>
      <c r="W127" s="336" t="str">
        <f ca="1">IF(Equipements_SCL!AG36&lt;&gt;"",Equipements_SCL!AS36,"")</f>
        <v/>
      </c>
      <c r="X127" s="436" t="str">
        <f ca="1">IF(Equipements_SCL!AH36&lt;&gt;"",Equipements_SCL!AT36,"")</f>
        <v/>
      </c>
      <c r="Y127" s="254"/>
      <c r="Z127" s="254"/>
      <c r="AA127" s="265"/>
      <c r="AB127" s="249"/>
    </row>
    <row r="128" spans="2:28" ht="20.100000000000001" customHeight="1" outlineLevel="1" x14ac:dyDescent="0.4">
      <c r="B128" s="253"/>
      <c r="C128" s="264"/>
      <c r="D128" s="752" t="str">
        <f ca="1">Equipements_SCL!H37</f>
        <v/>
      </c>
      <c r="E128" s="753"/>
      <c r="F128" s="333" t="str">
        <f ca="1">Equipements_SCL!I37</f>
        <v/>
      </c>
      <c r="G128" s="334" t="str">
        <f ca="1">Equipements_SCL!M37</f>
        <v/>
      </c>
      <c r="H128" s="754" t="str">
        <f ca="1">Equipements_SCL!J37</f>
        <v/>
      </c>
      <c r="I128" s="755"/>
      <c r="J128" s="754" t="str">
        <f ca="1">Equipements_SCL!K37</f>
        <v/>
      </c>
      <c r="K128" s="756"/>
      <c r="L128" s="756"/>
      <c r="M128" s="756"/>
      <c r="N128" s="335" t="str">
        <f ca="1">Equipements_SCL!P37</f>
        <v/>
      </c>
      <c r="O128" s="336" t="str">
        <f ca="1">IF(Equipements_SCL!Y37&lt;&gt;"",Equipements_SCL!AK37,"")</f>
        <v/>
      </c>
      <c r="P128" s="336" t="str">
        <f ca="1">IF(Equipements_SCL!Z37&lt;&gt;"",Equipements_SCL!AL37,"")</f>
        <v/>
      </c>
      <c r="Q128" s="336" t="str">
        <f ca="1">IF(Equipements_SCL!AA37&lt;&gt;"",Equipements_SCL!AM37,"")</f>
        <v/>
      </c>
      <c r="R128" s="336" t="str">
        <f ca="1">IF(Equipements_SCL!AB37&lt;&gt;"",Equipements_SCL!AN37,"")</f>
        <v/>
      </c>
      <c r="S128" s="336" t="str">
        <f ca="1">IF(Equipements_SCL!AC37&lt;&gt;"",Equipements_SCL!AO37,"")</f>
        <v/>
      </c>
      <c r="T128" s="336" t="str">
        <f ca="1">IF(Equipements_SCL!AD37&lt;&gt;"",Equipements_SCL!AP37,"")</f>
        <v/>
      </c>
      <c r="U128" s="336" t="str">
        <f ca="1">IF(Equipements_SCL!AE37&lt;&gt;"",Equipements_SCL!AQ37,"")</f>
        <v/>
      </c>
      <c r="V128" s="336" t="str">
        <f ca="1">IF(Equipements_SCL!AF37&lt;&gt;"",Equipements_SCL!AR37,"")</f>
        <v/>
      </c>
      <c r="W128" s="336" t="str">
        <f ca="1">IF(Equipements_SCL!AG37&lt;&gt;"",Equipements_SCL!AS37,"")</f>
        <v/>
      </c>
      <c r="X128" s="436" t="str">
        <f ca="1">IF(Equipements_SCL!AH37&lt;&gt;"",Equipements_SCL!AT37,"")</f>
        <v/>
      </c>
      <c r="Y128" s="254"/>
      <c r="Z128" s="254"/>
      <c r="AA128" s="265"/>
      <c r="AB128" s="249"/>
    </row>
    <row r="129" spans="2:28" ht="20.100000000000001" customHeight="1" outlineLevel="1" x14ac:dyDescent="0.4">
      <c r="B129" s="253"/>
      <c r="C129" s="264"/>
      <c r="D129" s="752" t="str">
        <f ca="1">Equipements_SCL!H38</f>
        <v/>
      </c>
      <c r="E129" s="753"/>
      <c r="F129" s="333" t="str">
        <f ca="1">Equipements_SCL!I38</f>
        <v/>
      </c>
      <c r="G129" s="334" t="str">
        <f ca="1">Equipements_SCL!M38</f>
        <v/>
      </c>
      <c r="H129" s="754" t="str">
        <f ca="1">Equipements_SCL!J38</f>
        <v/>
      </c>
      <c r="I129" s="755"/>
      <c r="J129" s="754" t="str">
        <f ca="1">Equipements_SCL!K38</f>
        <v/>
      </c>
      <c r="K129" s="756"/>
      <c r="L129" s="756"/>
      <c r="M129" s="756"/>
      <c r="N129" s="335" t="str">
        <f ca="1">Equipements_SCL!P38</f>
        <v/>
      </c>
      <c r="O129" s="336" t="str">
        <f ca="1">IF(Equipements_SCL!Y38&lt;&gt;"",Equipements_SCL!AK38,"")</f>
        <v/>
      </c>
      <c r="P129" s="336" t="str">
        <f ca="1">IF(Equipements_SCL!Z38&lt;&gt;"",Equipements_SCL!AL38,"")</f>
        <v/>
      </c>
      <c r="Q129" s="336" t="str">
        <f ca="1">IF(Equipements_SCL!AA38&lt;&gt;"",Equipements_SCL!AM38,"")</f>
        <v/>
      </c>
      <c r="R129" s="336" t="str">
        <f ca="1">IF(Equipements_SCL!AB38&lt;&gt;"",Equipements_SCL!AN38,"")</f>
        <v/>
      </c>
      <c r="S129" s="336" t="str">
        <f ca="1">IF(Equipements_SCL!AC38&lt;&gt;"",Equipements_SCL!AO38,"")</f>
        <v/>
      </c>
      <c r="T129" s="336" t="str">
        <f ca="1">IF(Equipements_SCL!AD38&lt;&gt;"",Equipements_SCL!AP38,"")</f>
        <v/>
      </c>
      <c r="U129" s="336" t="str">
        <f ca="1">IF(Equipements_SCL!AE38&lt;&gt;"",Equipements_SCL!AQ38,"")</f>
        <v/>
      </c>
      <c r="V129" s="336" t="str">
        <f ca="1">IF(Equipements_SCL!AF38&lt;&gt;"",Equipements_SCL!AR38,"")</f>
        <v/>
      </c>
      <c r="W129" s="336" t="str">
        <f ca="1">IF(Equipements_SCL!AG38&lt;&gt;"",Equipements_SCL!AS38,"")</f>
        <v/>
      </c>
      <c r="X129" s="436" t="str">
        <f ca="1">IF(Equipements_SCL!AH38&lt;&gt;"",Equipements_SCL!AT38,"")</f>
        <v/>
      </c>
      <c r="Y129" s="254"/>
      <c r="Z129" s="254"/>
      <c r="AA129" s="265"/>
      <c r="AB129" s="249"/>
    </row>
    <row r="130" spans="2:28" ht="20.100000000000001" customHeight="1" outlineLevel="1" x14ac:dyDescent="0.4">
      <c r="B130" s="253"/>
      <c r="C130" s="264"/>
      <c r="D130" s="752" t="str">
        <f ca="1">Equipements_SCL!H39</f>
        <v/>
      </c>
      <c r="E130" s="753"/>
      <c r="F130" s="333" t="str">
        <f ca="1">Equipements_SCL!I39</f>
        <v/>
      </c>
      <c r="G130" s="334" t="str">
        <f ca="1">Equipements_SCL!M39</f>
        <v/>
      </c>
      <c r="H130" s="754" t="str">
        <f ca="1">Equipements_SCL!J39</f>
        <v/>
      </c>
      <c r="I130" s="755"/>
      <c r="J130" s="754" t="str">
        <f ca="1">Equipements_SCL!K39</f>
        <v/>
      </c>
      <c r="K130" s="756"/>
      <c r="L130" s="756"/>
      <c r="M130" s="756"/>
      <c r="N130" s="335" t="str">
        <f ca="1">Equipements_SCL!P39</f>
        <v/>
      </c>
      <c r="O130" s="336" t="str">
        <f ca="1">IF(Equipements_SCL!Y39&lt;&gt;"",Equipements_SCL!AK39,"")</f>
        <v/>
      </c>
      <c r="P130" s="336" t="str">
        <f ca="1">IF(Equipements_SCL!Z39&lt;&gt;"",Equipements_SCL!AL39,"")</f>
        <v/>
      </c>
      <c r="Q130" s="336" t="str">
        <f ca="1">IF(Equipements_SCL!AA39&lt;&gt;"",Equipements_SCL!AM39,"")</f>
        <v/>
      </c>
      <c r="R130" s="336" t="str">
        <f ca="1">IF(Equipements_SCL!AB39&lt;&gt;"",Equipements_SCL!AN39,"")</f>
        <v/>
      </c>
      <c r="S130" s="336" t="str">
        <f ca="1">IF(Equipements_SCL!AC39&lt;&gt;"",Equipements_SCL!AO39,"")</f>
        <v/>
      </c>
      <c r="T130" s="336" t="str">
        <f ca="1">IF(Equipements_SCL!AD39&lt;&gt;"",Equipements_SCL!AP39,"")</f>
        <v/>
      </c>
      <c r="U130" s="336" t="str">
        <f ca="1">IF(Equipements_SCL!AE39&lt;&gt;"",Equipements_SCL!AQ39,"")</f>
        <v/>
      </c>
      <c r="V130" s="336" t="str">
        <f ca="1">IF(Equipements_SCL!AF39&lt;&gt;"",Equipements_SCL!AR39,"")</f>
        <v/>
      </c>
      <c r="W130" s="336" t="str">
        <f ca="1">IF(Equipements_SCL!AG39&lt;&gt;"",Equipements_SCL!AS39,"")</f>
        <v/>
      </c>
      <c r="X130" s="436" t="str">
        <f ca="1">IF(Equipements_SCL!AH39&lt;&gt;"",Equipements_SCL!AT39,"")</f>
        <v/>
      </c>
      <c r="Y130" s="254"/>
      <c r="Z130" s="254"/>
      <c r="AA130" s="265"/>
      <c r="AB130" s="249"/>
    </row>
    <row r="131" spans="2:28" ht="20.100000000000001" customHeight="1" outlineLevel="1" x14ac:dyDescent="0.4">
      <c r="B131" s="253"/>
      <c r="C131" s="264"/>
      <c r="D131" s="752" t="str">
        <f ca="1">Equipements_SCL!H40</f>
        <v/>
      </c>
      <c r="E131" s="753"/>
      <c r="F131" s="333" t="str">
        <f ca="1">Equipements_SCL!I40</f>
        <v/>
      </c>
      <c r="G131" s="334" t="str">
        <f ca="1">Equipements_SCL!M40</f>
        <v/>
      </c>
      <c r="H131" s="754" t="str">
        <f ca="1">Equipements_SCL!J40</f>
        <v/>
      </c>
      <c r="I131" s="755"/>
      <c r="J131" s="754" t="str">
        <f ca="1">Equipements_SCL!K40</f>
        <v/>
      </c>
      <c r="K131" s="756"/>
      <c r="L131" s="756"/>
      <c r="M131" s="756"/>
      <c r="N131" s="335" t="str">
        <f ca="1">Equipements_SCL!P40</f>
        <v/>
      </c>
      <c r="O131" s="336" t="str">
        <f ca="1">IF(Equipements_SCL!Y40&lt;&gt;"",Equipements_SCL!AK40,"")</f>
        <v/>
      </c>
      <c r="P131" s="336" t="str">
        <f ca="1">IF(Equipements_SCL!Z40&lt;&gt;"",Equipements_SCL!AL40,"")</f>
        <v/>
      </c>
      <c r="Q131" s="336" t="str">
        <f ca="1">IF(Equipements_SCL!AA40&lt;&gt;"",Equipements_SCL!AM40,"")</f>
        <v/>
      </c>
      <c r="R131" s="336" t="str">
        <f ca="1">IF(Equipements_SCL!AB40&lt;&gt;"",Equipements_SCL!AN40,"")</f>
        <v/>
      </c>
      <c r="S131" s="336" t="str">
        <f ca="1">IF(Equipements_SCL!AC40&lt;&gt;"",Equipements_SCL!AO40,"")</f>
        <v/>
      </c>
      <c r="T131" s="336" t="str">
        <f ca="1">IF(Equipements_SCL!AD40&lt;&gt;"",Equipements_SCL!AP40,"")</f>
        <v/>
      </c>
      <c r="U131" s="336" t="str">
        <f ca="1">IF(Equipements_SCL!AE40&lt;&gt;"",Equipements_SCL!AQ40,"")</f>
        <v/>
      </c>
      <c r="V131" s="336" t="str">
        <f ca="1">IF(Equipements_SCL!AF40&lt;&gt;"",Equipements_SCL!AR40,"")</f>
        <v/>
      </c>
      <c r="W131" s="336" t="str">
        <f ca="1">IF(Equipements_SCL!AG40&lt;&gt;"",Equipements_SCL!AS40,"")</f>
        <v/>
      </c>
      <c r="X131" s="436" t="str">
        <f ca="1">IF(Equipements_SCL!AH40&lt;&gt;"",Equipements_SCL!AT40,"")</f>
        <v/>
      </c>
      <c r="Y131" s="254"/>
      <c r="Z131" s="254"/>
      <c r="AA131" s="265"/>
      <c r="AB131" s="249"/>
    </row>
    <row r="132" spans="2:28" ht="20.100000000000001" customHeight="1" outlineLevel="1" x14ac:dyDescent="0.4">
      <c r="B132" s="253"/>
      <c r="C132" s="264"/>
      <c r="D132" s="752" t="str">
        <f ca="1">Equipements_SCL!H41</f>
        <v/>
      </c>
      <c r="E132" s="753"/>
      <c r="F132" s="333" t="str">
        <f ca="1">Equipements_SCL!I41</f>
        <v/>
      </c>
      <c r="G132" s="334" t="str">
        <f ca="1">Equipements_SCL!M41</f>
        <v/>
      </c>
      <c r="H132" s="754" t="str">
        <f ca="1">Equipements_SCL!J41</f>
        <v/>
      </c>
      <c r="I132" s="755"/>
      <c r="J132" s="754" t="str">
        <f ca="1">Equipements_SCL!K41</f>
        <v/>
      </c>
      <c r="K132" s="756"/>
      <c r="L132" s="756"/>
      <c r="M132" s="756"/>
      <c r="N132" s="335" t="str">
        <f ca="1">Equipements_SCL!P41</f>
        <v/>
      </c>
      <c r="O132" s="336" t="str">
        <f ca="1">IF(Equipements_SCL!Y41&lt;&gt;"",Equipements_SCL!AK41,"")</f>
        <v/>
      </c>
      <c r="P132" s="336" t="str">
        <f ca="1">IF(Equipements_SCL!Z41&lt;&gt;"",Equipements_SCL!AL41,"")</f>
        <v/>
      </c>
      <c r="Q132" s="336" t="str">
        <f ca="1">IF(Equipements_SCL!AA41&lt;&gt;"",Equipements_SCL!AM41,"")</f>
        <v/>
      </c>
      <c r="R132" s="336" t="str">
        <f ca="1">IF(Equipements_SCL!AB41&lt;&gt;"",Equipements_SCL!AN41,"")</f>
        <v/>
      </c>
      <c r="S132" s="336" t="str">
        <f ca="1">IF(Equipements_SCL!AC41&lt;&gt;"",Equipements_SCL!AO41,"")</f>
        <v/>
      </c>
      <c r="T132" s="336" t="str">
        <f ca="1">IF(Equipements_SCL!AD41&lt;&gt;"",Equipements_SCL!AP41,"")</f>
        <v/>
      </c>
      <c r="U132" s="336" t="str">
        <f ca="1">IF(Equipements_SCL!AE41&lt;&gt;"",Equipements_SCL!AQ41,"")</f>
        <v/>
      </c>
      <c r="V132" s="336" t="str">
        <f ca="1">IF(Equipements_SCL!AF41&lt;&gt;"",Equipements_SCL!AR41,"")</f>
        <v/>
      </c>
      <c r="W132" s="336" t="str">
        <f ca="1">IF(Equipements_SCL!AG41&lt;&gt;"",Equipements_SCL!AS41,"")</f>
        <v/>
      </c>
      <c r="X132" s="436" t="str">
        <f ca="1">IF(Equipements_SCL!AH41&lt;&gt;"",Equipements_SCL!AT41,"")</f>
        <v/>
      </c>
      <c r="Y132" s="254"/>
      <c r="Z132" s="254"/>
      <c r="AA132" s="265"/>
      <c r="AB132" s="249"/>
    </row>
    <row r="133" spans="2:28" ht="20.100000000000001" customHeight="1" outlineLevel="1" x14ac:dyDescent="0.4">
      <c r="B133" s="253"/>
      <c r="C133" s="264"/>
      <c r="D133" s="752" t="str">
        <f ca="1">Equipements_SCL!H42</f>
        <v/>
      </c>
      <c r="E133" s="753"/>
      <c r="F133" s="333" t="str">
        <f ca="1">Equipements_SCL!I42</f>
        <v/>
      </c>
      <c r="G133" s="334" t="str">
        <f ca="1">Equipements_SCL!M42</f>
        <v/>
      </c>
      <c r="H133" s="754" t="str">
        <f ca="1">Equipements_SCL!J42</f>
        <v/>
      </c>
      <c r="I133" s="755"/>
      <c r="J133" s="754" t="str">
        <f ca="1">Equipements_SCL!K42</f>
        <v/>
      </c>
      <c r="K133" s="756"/>
      <c r="L133" s="756"/>
      <c r="M133" s="756"/>
      <c r="N133" s="335" t="str">
        <f ca="1">Equipements_SCL!P42</f>
        <v/>
      </c>
      <c r="O133" s="336" t="str">
        <f ca="1">IF(Equipements_SCL!Y42&lt;&gt;"",Equipements_SCL!AK42,"")</f>
        <v/>
      </c>
      <c r="P133" s="336" t="str">
        <f ca="1">IF(Equipements_SCL!Z42&lt;&gt;"",Equipements_SCL!AL42,"")</f>
        <v/>
      </c>
      <c r="Q133" s="336" t="str">
        <f ca="1">IF(Equipements_SCL!AA42&lt;&gt;"",Equipements_SCL!AM42,"")</f>
        <v/>
      </c>
      <c r="R133" s="336" t="str">
        <f ca="1">IF(Equipements_SCL!AB42&lt;&gt;"",Equipements_SCL!AN42,"")</f>
        <v/>
      </c>
      <c r="S133" s="336" t="str">
        <f ca="1">IF(Equipements_SCL!AC42&lt;&gt;"",Equipements_SCL!AO42,"")</f>
        <v/>
      </c>
      <c r="T133" s="336" t="str">
        <f ca="1">IF(Equipements_SCL!AD42&lt;&gt;"",Equipements_SCL!AP42,"")</f>
        <v/>
      </c>
      <c r="U133" s="336" t="str">
        <f ca="1">IF(Equipements_SCL!AE42&lt;&gt;"",Equipements_SCL!AQ42,"")</f>
        <v/>
      </c>
      <c r="V133" s="336" t="str">
        <f ca="1">IF(Equipements_SCL!AF42&lt;&gt;"",Equipements_SCL!AR42,"")</f>
        <v/>
      </c>
      <c r="W133" s="336" t="str">
        <f ca="1">IF(Equipements_SCL!AG42&lt;&gt;"",Equipements_SCL!AS42,"")</f>
        <v/>
      </c>
      <c r="X133" s="436" t="str">
        <f ca="1">IF(Equipements_SCL!AH42&lt;&gt;"",Equipements_SCL!AT42,"")</f>
        <v/>
      </c>
      <c r="Y133" s="254"/>
      <c r="Z133" s="254"/>
      <c r="AA133" s="265"/>
      <c r="AB133" s="249"/>
    </row>
    <row r="134" spans="2:28" ht="20.100000000000001" customHeight="1" outlineLevel="1" x14ac:dyDescent="0.4">
      <c r="B134" s="253"/>
      <c r="C134" s="264"/>
      <c r="D134" s="752" t="str">
        <f ca="1">Equipements_SCL!H43</f>
        <v/>
      </c>
      <c r="E134" s="753"/>
      <c r="F134" s="333" t="str">
        <f ca="1">Equipements_SCL!I43</f>
        <v/>
      </c>
      <c r="G134" s="334" t="str">
        <f ca="1">Equipements_SCL!M43</f>
        <v/>
      </c>
      <c r="H134" s="754" t="str">
        <f ca="1">Equipements_SCL!J43</f>
        <v/>
      </c>
      <c r="I134" s="755"/>
      <c r="J134" s="754" t="str">
        <f ca="1">Equipements_SCL!K43</f>
        <v/>
      </c>
      <c r="K134" s="756"/>
      <c r="L134" s="756"/>
      <c r="M134" s="756"/>
      <c r="N134" s="335" t="str">
        <f ca="1">Equipements_SCL!P43</f>
        <v/>
      </c>
      <c r="O134" s="336" t="str">
        <f ca="1">IF(Equipements_SCL!Y43&lt;&gt;"",Equipements_SCL!AK43,"")</f>
        <v/>
      </c>
      <c r="P134" s="336" t="str">
        <f ca="1">IF(Equipements_SCL!Z43&lt;&gt;"",Equipements_SCL!AL43,"")</f>
        <v/>
      </c>
      <c r="Q134" s="336" t="str">
        <f ca="1">IF(Equipements_SCL!AA43&lt;&gt;"",Equipements_SCL!AM43,"")</f>
        <v/>
      </c>
      <c r="R134" s="336" t="str">
        <f ca="1">IF(Equipements_SCL!AB43&lt;&gt;"",Equipements_SCL!AN43,"")</f>
        <v/>
      </c>
      <c r="S134" s="336" t="str">
        <f ca="1">IF(Equipements_SCL!AC43&lt;&gt;"",Equipements_SCL!AO43,"")</f>
        <v/>
      </c>
      <c r="T134" s="336" t="str">
        <f ca="1">IF(Equipements_SCL!AD43&lt;&gt;"",Equipements_SCL!AP43,"")</f>
        <v/>
      </c>
      <c r="U134" s="336" t="str">
        <f ca="1">IF(Equipements_SCL!AE43&lt;&gt;"",Equipements_SCL!AQ43,"")</f>
        <v/>
      </c>
      <c r="V134" s="336" t="str">
        <f ca="1">IF(Equipements_SCL!AF43&lt;&gt;"",Equipements_SCL!AR43,"")</f>
        <v/>
      </c>
      <c r="W134" s="336" t="str">
        <f ca="1">IF(Equipements_SCL!AG43&lt;&gt;"",Equipements_SCL!AS43,"")</f>
        <v/>
      </c>
      <c r="X134" s="436" t="str">
        <f ca="1">IF(Equipements_SCL!AH43&lt;&gt;"",Equipements_SCL!AT43,"")</f>
        <v/>
      </c>
      <c r="Y134" s="254"/>
      <c r="Z134" s="254"/>
      <c r="AA134" s="265"/>
      <c r="AB134" s="249"/>
    </row>
    <row r="135" spans="2:28" ht="20.100000000000001" customHeight="1" outlineLevel="1" x14ac:dyDescent="0.4">
      <c r="B135" s="253"/>
      <c r="C135" s="264"/>
      <c r="D135" s="752" t="str">
        <f ca="1">Equipements_SCL!H44</f>
        <v/>
      </c>
      <c r="E135" s="753"/>
      <c r="F135" s="333" t="str">
        <f ca="1">Equipements_SCL!I44</f>
        <v/>
      </c>
      <c r="G135" s="334" t="str">
        <f ca="1">Equipements_SCL!M44</f>
        <v/>
      </c>
      <c r="H135" s="754" t="str">
        <f ca="1">Equipements_SCL!J44</f>
        <v/>
      </c>
      <c r="I135" s="755"/>
      <c r="J135" s="754" t="str">
        <f ca="1">Equipements_SCL!K44</f>
        <v/>
      </c>
      <c r="K135" s="756"/>
      <c r="L135" s="756"/>
      <c r="M135" s="756"/>
      <c r="N135" s="335" t="str">
        <f ca="1">Equipements_SCL!P44</f>
        <v/>
      </c>
      <c r="O135" s="336" t="str">
        <f ca="1">IF(Equipements_SCL!Y44&lt;&gt;"",Equipements_SCL!AK44,"")</f>
        <v/>
      </c>
      <c r="P135" s="336" t="str">
        <f ca="1">IF(Equipements_SCL!Z44&lt;&gt;"",Equipements_SCL!AL44,"")</f>
        <v/>
      </c>
      <c r="Q135" s="336" t="str">
        <f ca="1">IF(Equipements_SCL!AA44&lt;&gt;"",Equipements_SCL!AM44,"")</f>
        <v/>
      </c>
      <c r="R135" s="336" t="str">
        <f ca="1">IF(Equipements_SCL!AB44&lt;&gt;"",Equipements_SCL!AN44,"")</f>
        <v/>
      </c>
      <c r="S135" s="336" t="str">
        <f ca="1">IF(Equipements_SCL!AC44&lt;&gt;"",Equipements_SCL!AO44,"")</f>
        <v/>
      </c>
      <c r="T135" s="336" t="str">
        <f ca="1">IF(Equipements_SCL!AD44&lt;&gt;"",Equipements_SCL!AP44,"")</f>
        <v/>
      </c>
      <c r="U135" s="336" t="str">
        <f ca="1">IF(Equipements_SCL!AE44&lt;&gt;"",Equipements_SCL!AQ44,"")</f>
        <v/>
      </c>
      <c r="V135" s="336" t="str">
        <f ca="1">IF(Equipements_SCL!AF44&lt;&gt;"",Equipements_SCL!AR44,"")</f>
        <v/>
      </c>
      <c r="W135" s="336" t="str">
        <f ca="1">IF(Equipements_SCL!AG44&lt;&gt;"",Equipements_SCL!AS44,"")</f>
        <v/>
      </c>
      <c r="X135" s="436" t="str">
        <f ca="1">IF(Equipements_SCL!AH44&lt;&gt;"",Equipements_SCL!AT44,"")</f>
        <v/>
      </c>
      <c r="Y135" s="254"/>
      <c r="Z135" s="254"/>
      <c r="AA135" s="265"/>
      <c r="AB135" s="249"/>
    </row>
    <row r="136" spans="2:28" ht="20.100000000000001" customHeight="1" outlineLevel="1" x14ac:dyDescent="0.4">
      <c r="B136" s="253"/>
      <c r="C136" s="264"/>
      <c r="D136" s="752" t="str">
        <f ca="1">Equipements_SCL!H45</f>
        <v/>
      </c>
      <c r="E136" s="753"/>
      <c r="F136" s="333" t="str">
        <f ca="1">Equipements_SCL!I45</f>
        <v/>
      </c>
      <c r="G136" s="334" t="str">
        <f ca="1">Equipements_SCL!M45</f>
        <v/>
      </c>
      <c r="H136" s="754" t="str">
        <f ca="1">Equipements_SCL!J45</f>
        <v/>
      </c>
      <c r="I136" s="755"/>
      <c r="J136" s="754" t="str">
        <f ca="1">Equipements_SCL!K45</f>
        <v/>
      </c>
      <c r="K136" s="756"/>
      <c r="L136" s="756"/>
      <c r="M136" s="756"/>
      <c r="N136" s="335" t="str">
        <f ca="1">Equipements_SCL!P45</f>
        <v/>
      </c>
      <c r="O136" s="336" t="str">
        <f ca="1">IF(Equipements_SCL!Y45&lt;&gt;"",Equipements_SCL!AK45,"")</f>
        <v/>
      </c>
      <c r="P136" s="336" t="str">
        <f ca="1">IF(Equipements_SCL!Z45&lt;&gt;"",Equipements_SCL!AL45,"")</f>
        <v/>
      </c>
      <c r="Q136" s="336" t="str">
        <f ca="1">IF(Equipements_SCL!AA45&lt;&gt;"",Equipements_SCL!AM45,"")</f>
        <v/>
      </c>
      <c r="R136" s="336" t="str">
        <f ca="1">IF(Equipements_SCL!AB45&lt;&gt;"",Equipements_SCL!AN45,"")</f>
        <v/>
      </c>
      <c r="S136" s="336" t="str">
        <f ca="1">IF(Equipements_SCL!AC45&lt;&gt;"",Equipements_SCL!AO45,"")</f>
        <v/>
      </c>
      <c r="T136" s="336" t="str">
        <f ca="1">IF(Equipements_SCL!AD45&lt;&gt;"",Equipements_SCL!AP45,"")</f>
        <v/>
      </c>
      <c r="U136" s="336" t="str">
        <f ca="1">IF(Equipements_SCL!AE45&lt;&gt;"",Equipements_SCL!AQ45,"")</f>
        <v/>
      </c>
      <c r="V136" s="336" t="str">
        <f ca="1">IF(Equipements_SCL!AF45&lt;&gt;"",Equipements_SCL!AR45,"")</f>
        <v/>
      </c>
      <c r="W136" s="336" t="str">
        <f ca="1">IF(Equipements_SCL!AG45&lt;&gt;"",Equipements_SCL!AS45,"")</f>
        <v/>
      </c>
      <c r="X136" s="436" t="str">
        <f ca="1">IF(Equipements_SCL!AH45&lt;&gt;"",Equipements_SCL!AT45,"")</f>
        <v/>
      </c>
      <c r="Y136" s="254"/>
      <c r="Z136" s="254"/>
      <c r="AA136" s="265"/>
      <c r="AB136" s="249"/>
    </row>
    <row r="137" spans="2:28" ht="20.100000000000001" customHeight="1" outlineLevel="1" x14ac:dyDescent="0.4">
      <c r="B137" s="253"/>
      <c r="C137" s="264"/>
      <c r="D137" s="752" t="str">
        <f ca="1">Equipements_SCL!H46</f>
        <v/>
      </c>
      <c r="E137" s="753"/>
      <c r="F137" s="333" t="str">
        <f ca="1">Equipements_SCL!I46</f>
        <v/>
      </c>
      <c r="G137" s="334" t="str">
        <f ca="1">Equipements_SCL!M46</f>
        <v/>
      </c>
      <c r="H137" s="754" t="str">
        <f ca="1">Equipements_SCL!J46</f>
        <v/>
      </c>
      <c r="I137" s="755"/>
      <c r="J137" s="754" t="str">
        <f ca="1">Equipements_SCL!K46</f>
        <v/>
      </c>
      <c r="K137" s="756"/>
      <c r="L137" s="756"/>
      <c r="M137" s="756"/>
      <c r="N137" s="335" t="str">
        <f ca="1">Equipements_SCL!P46</f>
        <v/>
      </c>
      <c r="O137" s="336" t="str">
        <f ca="1">IF(Equipements_SCL!Y46&lt;&gt;"",Equipements_SCL!AK46,"")</f>
        <v/>
      </c>
      <c r="P137" s="336" t="str">
        <f ca="1">IF(Equipements_SCL!Z46&lt;&gt;"",Equipements_SCL!AL46,"")</f>
        <v/>
      </c>
      <c r="Q137" s="336" t="str">
        <f ca="1">IF(Equipements_SCL!AA46&lt;&gt;"",Equipements_SCL!AM46,"")</f>
        <v/>
      </c>
      <c r="R137" s="336" t="str">
        <f ca="1">IF(Equipements_SCL!AB46&lt;&gt;"",Equipements_SCL!AN46,"")</f>
        <v/>
      </c>
      <c r="S137" s="336" t="str">
        <f ca="1">IF(Equipements_SCL!AC46&lt;&gt;"",Equipements_SCL!AO46,"")</f>
        <v/>
      </c>
      <c r="T137" s="336" t="str">
        <f ca="1">IF(Equipements_SCL!AD46&lt;&gt;"",Equipements_SCL!AP46,"")</f>
        <v/>
      </c>
      <c r="U137" s="336" t="str">
        <f ca="1">IF(Equipements_SCL!AE46&lt;&gt;"",Equipements_SCL!AQ46,"")</f>
        <v/>
      </c>
      <c r="V137" s="336" t="str">
        <f ca="1">IF(Equipements_SCL!AF46&lt;&gt;"",Equipements_SCL!AR46,"")</f>
        <v/>
      </c>
      <c r="W137" s="336" t="str">
        <f ca="1">IF(Equipements_SCL!AG46&lt;&gt;"",Equipements_SCL!AS46,"")</f>
        <v/>
      </c>
      <c r="X137" s="436" t="str">
        <f ca="1">IF(Equipements_SCL!AH46&lt;&gt;"",Equipements_SCL!AT46,"")</f>
        <v/>
      </c>
      <c r="Y137" s="254"/>
      <c r="Z137" s="254"/>
      <c r="AA137" s="265"/>
      <c r="AB137" s="249"/>
    </row>
    <row r="138" spans="2:28" ht="20.100000000000001" customHeight="1" outlineLevel="1" x14ac:dyDescent="0.4">
      <c r="B138" s="253"/>
      <c r="C138" s="264"/>
      <c r="D138" s="752" t="str">
        <f ca="1">Equipements_SCL!H47</f>
        <v/>
      </c>
      <c r="E138" s="753"/>
      <c r="F138" s="333" t="str">
        <f ca="1">Equipements_SCL!I47</f>
        <v/>
      </c>
      <c r="G138" s="334" t="str">
        <f ca="1">Equipements_SCL!M47</f>
        <v/>
      </c>
      <c r="H138" s="754" t="str">
        <f ca="1">Equipements_SCL!J47</f>
        <v/>
      </c>
      <c r="I138" s="755"/>
      <c r="J138" s="754" t="str">
        <f ca="1">Equipements_SCL!K47</f>
        <v/>
      </c>
      <c r="K138" s="756"/>
      <c r="L138" s="756"/>
      <c r="M138" s="756"/>
      <c r="N138" s="335" t="str">
        <f ca="1">Equipements_SCL!P47</f>
        <v/>
      </c>
      <c r="O138" s="336" t="str">
        <f ca="1">IF(Equipements_SCL!Y47&lt;&gt;"",Equipements_SCL!AK47,"")</f>
        <v/>
      </c>
      <c r="P138" s="336" t="str">
        <f ca="1">IF(Equipements_SCL!Z47&lt;&gt;"",Equipements_SCL!AL47,"")</f>
        <v/>
      </c>
      <c r="Q138" s="336" t="str">
        <f ca="1">IF(Equipements_SCL!AA47&lt;&gt;"",Equipements_SCL!AM47,"")</f>
        <v/>
      </c>
      <c r="R138" s="336" t="str">
        <f ca="1">IF(Equipements_SCL!AB47&lt;&gt;"",Equipements_SCL!AN47,"")</f>
        <v/>
      </c>
      <c r="S138" s="336" t="str">
        <f ca="1">IF(Equipements_SCL!AC47&lt;&gt;"",Equipements_SCL!AO47,"")</f>
        <v/>
      </c>
      <c r="T138" s="336" t="str">
        <f ca="1">IF(Equipements_SCL!AD47&lt;&gt;"",Equipements_SCL!AP47,"")</f>
        <v/>
      </c>
      <c r="U138" s="336" t="str">
        <f ca="1">IF(Equipements_SCL!AE47&lt;&gt;"",Equipements_SCL!AQ47,"")</f>
        <v/>
      </c>
      <c r="V138" s="336" t="str">
        <f ca="1">IF(Equipements_SCL!AF47&lt;&gt;"",Equipements_SCL!AR47,"")</f>
        <v/>
      </c>
      <c r="W138" s="336" t="str">
        <f ca="1">IF(Equipements_SCL!AG47&lt;&gt;"",Equipements_SCL!AS47,"")</f>
        <v/>
      </c>
      <c r="X138" s="436" t="str">
        <f ca="1">IF(Equipements_SCL!AH47&lt;&gt;"",Equipements_SCL!AT47,"")</f>
        <v/>
      </c>
      <c r="Y138" s="254"/>
      <c r="Z138" s="254"/>
      <c r="AA138" s="265"/>
      <c r="AB138" s="249"/>
    </row>
    <row r="139" spans="2:28" ht="20.100000000000001" customHeight="1" outlineLevel="1" x14ac:dyDescent="0.4">
      <c r="B139" s="253"/>
      <c r="C139" s="264"/>
      <c r="D139" s="752" t="str">
        <f ca="1">Equipements_SCL!H48</f>
        <v/>
      </c>
      <c r="E139" s="753"/>
      <c r="F139" s="333" t="str">
        <f ca="1">Equipements_SCL!I48</f>
        <v/>
      </c>
      <c r="G139" s="334" t="str">
        <f ca="1">Equipements_SCL!M48</f>
        <v/>
      </c>
      <c r="H139" s="754" t="str">
        <f ca="1">Equipements_SCL!J48</f>
        <v/>
      </c>
      <c r="I139" s="755"/>
      <c r="J139" s="754" t="str">
        <f ca="1">Equipements_SCL!K48</f>
        <v/>
      </c>
      <c r="K139" s="756"/>
      <c r="L139" s="756"/>
      <c r="M139" s="756"/>
      <c r="N139" s="335" t="str">
        <f ca="1">Equipements_SCL!P48</f>
        <v/>
      </c>
      <c r="O139" s="336" t="str">
        <f ca="1">IF(Equipements_SCL!Y48&lt;&gt;"",Equipements_SCL!AK48,"")</f>
        <v/>
      </c>
      <c r="P139" s="336" t="str">
        <f ca="1">IF(Equipements_SCL!Z48&lt;&gt;"",Equipements_SCL!AL48,"")</f>
        <v/>
      </c>
      <c r="Q139" s="336" t="str">
        <f ca="1">IF(Equipements_SCL!AA48&lt;&gt;"",Equipements_SCL!AM48,"")</f>
        <v/>
      </c>
      <c r="R139" s="336" t="str">
        <f ca="1">IF(Equipements_SCL!AB48&lt;&gt;"",Equipements_SCL!AN48,"")</f>
        <v/>
      </c>
      <c r="S139" s="336" t="str">
        <f ca="1">IF(Equipements_SCL!AC48&lt;&gt;"",Equipements_SCL!AO48,"")</f>
        <v/>
      </c>
      <c r="T139" s="336" t="str">
        <f ca="1">IF(Equipements_SCL!AD48&lt;&gt;"",Equipements_SCL!AP48,"")</f>
        <v/>
      </c>
      <c r="U139" s="336" t="str">
        <f ca="1">IF(Equipements_SCL!AE48&lt;&gt;"",Equipements_SCL!AQ48,"")</f>
        <v/>
      </c>
      <c r="V139" s="336" t="str">
        <f ca="1">IF(Equipements_SCL!AF48&lt;&gt;"",Equipements_SCL!AR48,"")</f>
        <v/>
      </c>
      <c r="W139" s="336" t="str">
        <f ca="1">IF(Equipements_SCL!AG48&lt;&gt;"",Equipements_SCL!AS48,"")</f>
        <v/>
      </c>
      <c r="X139" s="436" t="str">
        <f ca="1">IF(Equipements_SCL!AH48&lt;&gt;"",Equipements_SCL!AT48,"")</f>
        <v/>
      </c>
      <c r="Y139" s="254"/>
      <c r="Z139" s="254"/>
      <c r="AA139" s="265"/>
      <c r="AB139" s="249"/>
    </row>
    <row r="140" spans="2:28" ht="20.100000000000001" customHeight="1" outlineLevel="1" x14ac:dyDescent="0.4">
      <c r="B140" s="253"/>
      <c r="C140" s="264"/>
      <c r="D140" s="752" t="str">
        <f ca="1">Equipements_SCL!H49</f>
        <v/>
      </c>
      <c r="E140" s="753"/>
      <c r="F140" s="333" t="str">
        <f ca="1">Equipements_SCL!I49</f>
        <v/>
      </c>
      <c r="G140" s="334" t="str">
        <f ca="1">Equipements_SCL!M49</f>
        <v/>
      </c>
      <c r="H140" s="754" t="str">
        <f ca="1">Equipements_SCL!J49</f>
        <v/>
      </c>
      <c r="I140" s="755"/>
      <c r="J140" s="754" t="str">
        <f ca="1">Equipements_SCL!K49</f>
        <v/>
      </c>
      <c r="K140" s="756"/>
      <c r="L140" s="756"/>
      <c r="M140" s="756"/>
      <c r="N140" s="335" t="str">
        <f ca="1">Equipements_SCL!P49</f>
        <v/>
      </c>
      <c r="O140" s="336" t="str">
        <f ca="1">IF(Equipements_SCL!Y49&lt;&gt;"",Equipements_SCL!AK49,"")</f>
        <v/>
      </c>
      <c r="P140" s="336" t="str">
        <f ca="1">IF(Equipements_SCL!Z49&lt;&gt;"",Equipements_SCL!AL49,"")</f>
        <v/>
      </c>
      <c r="Q140" s="336" t="str">
        <f ca="1">IF(Equipements_SCL!AA49&lt;&gt;"",Equipements_SCL!AM49,"")</f>
        <v/>
      </c>
      <c r="R140" s="336" t="str">
        <f ca="1">IF(Equipements_SCL!AB49&lt;&gt;"",Equipements_SCL!AN49,"")</f>
        <v/>
      </c>
      <c r="S140" s="336" t="str">
        <f ca="1">IF(Equipements_SCL!AC49&lt;&gt;"",Equipements_SCL!AO49,"")</f>
        <v/>
      </c>
      <c r="T140" s="336" t="str">
        <f ca="1">IF(Equipements_SCL!AD49&lt;&gt;"",Equipements_SCL!AP49,"")</f>
        <v/>
      </c>
      <c r="U140" s="336" t="str">
        <f ca="1">IF(Equipements_SCL!AE49&lt;&gt;"",Equipements_SCL!AQ49,"")</f>
        <v/>
      </c>
      <c r="V140" s="336" t="str">
        <f ca="1">IF(Equipements_SCL!AF49&lt;&gt;"",Equipements_SCL!AR49,"")</f>
        <v/>
      </c>
      <c r="W140" s="336" t="str">
        <f ca="1">IF(Equipements_SCL!AG49&lt;&gt;"",Equipements_SCL!AS49,"")</f>
        <v/>
      </c>
      <c r="X140" s="436" t="str">
        <f ca="1">IF(Equipements_SCL!AH49&lt;&gt;"",Equipements_SCL!AT49,"")</f>
        <v/>
      </c>
      <c r="Y140" s="254"/>
      <c r="Z140" s="254"/>
      <c r="AA140" s="265"/>
      <c r="AB140" s="249"/>
    </row>
    <row r="141" spans="2:28" ht="20.100000000000001" customHeight="1" outlineLevel="1" x14ac:dyDescent="0.4">
      <c r="B141" s="253"/>
      <c r="C141" s="264"/>
      <c r="D141" s="752" t="str">
        <f ca="1">Equipements_SCL!H50</f>
        <v/>
      </c>
      <c r="E141" s="753"/>
      <c r="F141" s="333" t="str">
        <f ca="1">Equipements_SCL!I50</f>
        <v/>
      </c>
      <c r="G141" s="334" t="str">
        <f ca="1">Equipements_SCL!M50</f>
        <v/>
      </c>
      <c r="H141" s="754" t="str">
        <f ca="1">Equipements_SCL!J50</f>
        <v/>
      </c>
      <c r="I141" s="755"/>
      <c r="J141" s="754" t="str">
        <f ca="1">Equipements_SCL!K50</f>
        <v/>
      </c>
      <c r="K141" s="756"/>
      <c r="L141" s="756"/>
      <c r="M141" s="756"/>
      <c r="N141" s="335" t="str">
        <f ca="1">Equipements_SCL!P50</f>
        <v/>
      </c>
      <c r="O141" s="336" t="str">
        <f ca="1">IF(Equipements_SCL!Y50&lt;&gt;"",Equipements_SCL!AK50,"")</f>
        <v/>
      </c>
      <c r="P141" s="336" t="str">
        <f ca="1">IF(Equipements_SCL!Z50&lt;&gt;"",Equipements_SCL!AL50,"")</f>
        <v/>
      </c>
      <c r="Q141" s="336" t="str">
        <f ca="1">IF(Equipements_SCL!AA50&lt;&gt;"",Equipements_SCL!AM50,"")</f>
        <v/>
      </c>
      <c r="R141" s="336" t="str">
        <f ca="1">IF(Equipements_SCL!AB50&lt;&gt;"",Equipements_SCL!AN50,"")</f>
        <v/>
      </c>
      <c r="S141" s="336" t="str">
        <f ca="1">IF(Equipements_SCL!AC50&lt;&gt;"",Equipements_SCL!AO50,"")</f>
        <v/>
      </c>
      <c r="T141" s="336" t="str">
        <f ca="1">IF(Equipements_SCL!AD50&lt;&gt;"",Equipements_SCL!AP50,"")</f>
        <v/>
      </c>
      <c r="U141" s="336" t="str">
        <f ca="1">IF(Equipements_SCL!AE50&lt;&gt;"",Equipements_SCL!AQ50,"")</f>
        <v/>
      </c>
      <c r="V141" s="336" t="str">
        <f ca="1">IF(Equipements_SCL!AF50&lt;&gt;"",Equipements_SCL!AR50,"")</f>
        <v/>
      </c>
      <c r="W141" s="336" t="str">
        <f ca="1">IF(Equipements_SCL!AG50&lt;&gt;"",Equipements_SCL!AS50,"")</f>
        <v/>
      </c>
      <c r="X141" s="436" t="str">
        <f ca="1">IF(Equipements_SCL!AH50&lt;&gt;"",Equipements_SCL!AT50,"")</f>
        <v/>
      </c>
      <c r="Y141" s="254"/>
      <c r="Z141" s="254"/>
      <c r="AA141" s="265"/>
      <c r="AB141" s="249"/>
    </row>
    <row r="142" spans="2:28" ht="20.100000000000001" customHeight="1" outlineLevel="1" x14ac:dyDescent="0.4">
      <c r="B142" s="253"/>
      <c r="C142" s="264"/>
      <c r="D142" s="752" t="str">
        <f ca="1">Equipements_SCL!H51</f>
        <v/>
      </c>
      <c r="E142" s="753"/>
      <c r="F142" s="333" t="str">
        <f ca="1">Equipements_SCL!I51</f>
        <v/>
      </c>
      <c r="G142" s="334" t="str">
        <f ca="1">Equipements_SCL!M51</f>
        <v/>
      </c>
      <c r="H142" s="754" t="str">
        <f ca="1">Equipements_SCL!J51</f>
        <v/>
      </c>
      <c r="I142" s="755"/>
      <c r="J142" s="754" t="str">
        <f ca="1">Equipements_SCL!K51</f>
        <v/>
      </c>
      <c r="K142" s="756"/>
      <c r="L142" s="756"/>
      <c r="M142" s="756"/>
      <c r="N142" s="335" t="str">
        <f ca="1">Equipements_SCL!P51</f>
        <v/>
      </c>
      <c r="O142" s="336" t="str">
        <f ca="1">IF(Equipements_SCL!Y51&lt;&gt;"",Equipements_SCL!AK51,"")</f>
        <v/>
      </c>
      <c r="P142" s="336" t="str">
        <f ca="1">IF(Equipements_SCL!Z51&lt;&gt;"",Equipements_SCL!AL51,"")</f>
        <v/>
      </c>
      <c r="Q142" s="336" t="str">
        <f ca="1">IF(Equipements_SCL!AA51&lt;&gt;"",Equipements_SCL!AM51,"")</f>
        <v/>
      </c>
      <c r="R142" s="336" t="str">
        <f ca="1">IF(Equipements_SCL!AB51&lt;&gt;"",Equipements_SCL!AN51,"")</f>
        <v/>
      </c>
      <c r="S142" s="336" t="str">
        <f ca="1">IF(Equipements_SCL!AC51&lt;&gt;"",Equipements_SCL!AO51,"")</f>
        <v/>
      </c>
      <c r="T142" s="336" t="str">
        <f ca="1">IF(Equipements_SCL!AD51&lt;&gt;"",Equipements_SCL!AP51,"")</f>
        <v/>
      </c>
      <c r="U142" s="336" t="str">
        <f ca="1">IF(Equipements_SCL!AE51&lt;&gt;"",Equipements_SCL!AQ51,"")</f>
        <v/>
      </c>
      <c r="V142" s="336" t="str">
        <f ca="1">IF(Equipements_SCL!AF51&lt;&gt;"",Equipements_SCL!AR51,"")</f>
        <v/>
      </c>
      <c r="W142" s="336" t="str">
        <f ca="1">IF(Equipements_SCL!AG51&lt;&gt;"",Equipements_SCL!AS51,"")</f>
        <v/>
      </c>
      <c r="X142" s="436" t="str">
        <f ca="1">IF(Equipements_SCL!AH51&lt;&gt;"",Equipements_SCL!AT51,"")</f>
        <v/>
      </c>
      <c r="Y142" s="254"/>
      <c r="Z142" s="254"/>
      <c r="AA142" s="265"/>
      <c r="AB142" s="249"/>
    </row>
    <row r="143" spans="2:28" ht="20.100000000000001" customHeight="1" outlineLevel="1" x14ac:dyDescent="0.4">
      <c r="B143" s="253"/>
      <c r="C143" s="264"/>
      <c r="D143" s="752" t="str">
        <f ca="1">Equipements_SCL!H52</f>
        <v/>
      </c>
      <c r="E143" s="753"/>
      <c r="F143" s="333" t="str">
        <f ca="1">Equipements_SCL!I52</f>
        <v/>
      </c>
      <c r="G143" s="334" t="str">
        <f ca="1">Equipements_SCL!M52</f>
        <v/>
      </c>
      <c r="H143" s="754" t="str">
        <f ca="1">Equipements_SCL!J52</f>
        <v/>
      </c>
      <c r="I143" s="755"/>
      <c r="J143" s="754" t="str">
        <f ca="1">Equipements_SCL!K52</f>
        <v/>
      </c>
      <c r="K143" s="756"/>
      <c r="L143" s="756"/>
      <c r="M143" s="756"/>
      <c r="N143" s="335" t="str">
        <f ca="1">Equipements_SCL!P52</f>
        <v/>
      </c>
      <c r="O143" s="336" t="str">
        <f ca="1">IF(Equipements_SCL!Y52&lt;&gt;"",Equipements_SCL!AK52,"")</f>
        <v/>
      </c>
      <c r="P143" s="336" t="str">
        <f ca="1">IF(Equipements_SCL!Z52&lt;&gt;"",Equipements_SCL!AL52,"")</f>
        <v/>
      </c>
      <c r="Q143" s="336" t="str">
        <f ca="1">IF(Equipements_SCL!AA52&lt;&gt;"",Equipements_SCL!AM52,"")</f>
        <v/>
      </c>
      <c r="R143" s="336" t="str">
        <f ca="1">IF(Equipements_SCL!AB52&lt;&gt;"",Equipements_SCL!AN52,"")</f>
        <v/>
      </c>
      <c r="S143" s="336" t="str">
        <f ca="1">IF(Equipements_SCL!AC52&lt;&gt;"",Equipements_SCL!AO52,"")</f>
        <v/>
      </c>
      <c r="T143" s="336" t="str">
        <f ca="1">IF(Equipements_SCL!AD52&lt;&gt;"",Equipements_SCL!AP52,"")</f>
        <v/>
      </c>
      <c r="U143" s="336" t="str">
        <f ca="1">IF(Equipements_SCL!AE52&lt;&gt;"",Equipements_SCL!AQ52,"")</f>
        <v/>
      </c>
      <c r="V143" s="336" t="str">
        <f ca="1">IF(Equipements_SCL!AF52&lt;&gt;"",Equipements_SCL!AR52,"")</f>
        <v/>
      </c>
      <c r="W143" s="336" t="str">
        <f ca="1">IF(Equipements_SCL!AG52&lt;&gt;"",Equipements_SCL!AS52,"")</f>
        <v/>
      </c>
      <c r="X143" s="436" t="str">
        <f ca="1">IF(Equipements_SCL!AH52&lt;&gt;"",Equipements_SCL!AT52,"")</f>
        <v/>
      </c>
      <c r="Y143" s="254"/>
      <c r="Z143" s="254"/>
      <c r="AA143" s="265"/>
      <c r="AB143" s="249"/>
    </row>
    <row r="144" spans="2:28" ht="20.100000000000001" customHeight="1" outlineLevel="1" x14ac:dyDescent="0.4">
      <c r="B144" s="253"/>
      <c r="C144" s="264"/>
      <c r="D144" s="752" t="str">
        <f ca="1">Equipements_SCL!H53</f>
        <v/>
      </c>
      <c r="E144" s="753"/>
      <c r="F144" s="333" t="str">
        <f ca="1">Equipements_SCL!I53</f>
        <v/>
      </c>
      <c r="G144" s="334" t="str">
        <f ca="1">Equipements_SCL!M53</f>
        <v/>
      </c>
      <c r="H144" s="754" t="str">
        <f ca="1">Equipements_SCL!J53</f>
        <v/>
      </c>
      <c r="I144" s="755"/>
      <c r="J144" s="754" t="str">
        <f ca="1">Equipements_SCL!K53</f>
        <v/>
      </c>
      <c r="K144" s="756"/>
      <c r="L144" s="756"/>
      <c r="M144" s="756"/>
      <c r="N144" s="335" t="str">
        <f ca="1">Equipements_SCL!P53</f>
        <v/>
      </c>
      <c r="O144" s="336" t="str">
        <f ca="1">IF(Equipements_SCL!Y53&lt;&gt;"",Equipements_SCL!AK53,"")</f>
        <v/>
      </c>
      <c r="P144" s="336" t="str">
        <f ca="1">IF(Equipements_SCL!Z53&lt;&gt;"",Equipements_SCL!AL53,"")</f>
        <v/>
      </c>
      <c r="Q144" s="336" t="str">
        <f ca="1">IF(Equipements_SCL!AA53&lt;&gt;"",Equipements_SCL!AM53,"")</f>
        <v/>
      </c>
      <c r="R144" s="336" t="str">
        <f ca="1">IF(Equipements_SCL!AB53&lt;&gt;"",Equipements_SCL!AN53,"")</f>
        <v/>
      </c>
      <c r="S144" s="336" t="str">
        <f ca="1">IF(Equipements_SCL!AC53&lt;&gt;"",Equipements_SCL!AO53,"")</f>
        <v/>
      </c>
      <c r="T144" s="336" t="str">
        <f ca="1">IF(Equipements_SCL!AD53&lt;&gt;"",Equipements_SCL!AP53,"")</f>
        <v/>
      </c>
      <c r="U144" s="336" t="str">
        <f ca="1">IF(Equipements_SCL!AE53&lt;&gt;"",Equipements_SCL!AQ53,"")</f>
        <v/>
      </c>
      <c r="V144" s="336" t="str">
        <f ca="1">IF(Equipements_SCL!AF53&lt;&gt;"",Equipements_SCL!AR53,"")</f>
        <v/>
      </c>
      <c r="W144" s="336" t="str">
        <f ca="1">IF(Equipements_SCL!AG53&lt;&gt;"",Equipements_SCL!AS53,"")</f>
        <v/>
      </c>
      <c r="X144" s="436" t="str">
        <f ca="1">IF(Equipements_SCL!AH53&lt;&gt;"",Equipements_SCL!AT53,"")</f>
        <v/>
      </c>
      <c r="Y144" s="254"/>
      <c r="Z144" s="254"/>
      <c r="AA144" s="265"/>
      <c r="AB144" s="249"/>
    </row>
    <row r="145" spans="2:28" ht="20.100000000000001" customHeight="1" outlineLevel="1" x14ac:dyDescent="0.4">
      <c r="B145" s="253"/>
      <c r="C145" s="264"/>
      <c r="D145" s="752" t="str">
        <f ca="1">Equipements_SCL!H54</f>
        <v/>
      </c>
      <c r="E145" s="753"/>
      <c r="F145" s="333" t="str">
        <f ca="1">Equipements_SCL!I54</f>
        <v/>
      </c>
      <c r="G145" s="334" t="str">
        <f ca="1">Equipements_SCL!M54</f>
        <v/>
      </c>
      <c r="H145" s="754" t="str">
        <f ca="1">Equipements_SCL!J54</f>
        <v/>
      </c>
      <c r="I145" s="755"/>
      <c r="J145" s="754" t="str">
        <f ca="1">Equipements_SCL!K54</f>
        <v/>
      </c>
      <c r="K145" s="756"/>
      <c r="L145" s="756"/>
      <c r="M145" s="756"/>
      <c r="N145" s="335" t="str">
        <f ca="1">Equipements_SCL!P54</f>
        <v/>
      </c>
      <c r="O145" s="336" t="str">
        <f ca="1">IF(Equipements_SCL!Y54&lt;&gt;"",Equipements_SCL!AK54,"")</f>
        <v/>
      </c>
      <c r="P145" s="336" t="str">
        <f ca="1">IF(Equipements_SCL!Z54&lt;&gt;"",Equipements_SCL!AL54,"")</f>
        <v/>
      </c>
      <c r="Q145" s="336" t="str">
        <f ca="1">IF(Equipements_SCL!AA54&lt;&gt;"",Equipements_SCL!AM54,"")</f>
        <v/>
      </c>
      <c r="R145" s="336" t="str">
        <f ca="1">IF(Equipements_SCL!AB54&lt;&gt;"",Equipements_SCL!AN54,"")</f>
        <v/>
      </c>
      <c r="S145" s="336" t="str">
        <f ca="1">IF(Equipements_SCL!AC54&lt;&gt;"",Equipements_SCL!AO54,"")</f>
        <v/>
      </c>
      <c r="T145" s="336" t="str">
        <f ca="1">IF(Equipements_SCL!AD54&lt;&gt;"",Equipements_SCL!AP54,"")</f>
        <v/>
      </c>
      <c r="U145" s="336" t="str">
        <f ca="1">IF(Equipements_SCL!AE54&lt;&gt;"",Equipements_SCL!AQ54,"")</f>
        <v/>
      </c>
      <c r="V145" s="336" t="str">
        <f ca="1">IF(Equipements_SCL!AF54&lt;&gt;"",Equipements_SCL!AR54,"")</f>
        <v/>
      </c>
      <c r="W145" s="336" t="str">
        <f ca="1">IF(Equipements_SCL!AG54&lt;&gt;"",Equipements_SCL!AS54,"")</f>
        <v/>
      </c>
      <c r="X145" s="436" t="str">
        <f ca="1">IF(Equipements_SCL!AH54&lt;&gt;"",Equipements_SCL!AT54,"")</f>
        <v/>
      </c>
      <c r="Y145" s="254"/>
      <c r="Z145" s="254"/>
      <c r="AA145" s="265"/>
      <c r="AB145" s="249"/>
    </row>
    <row r="146" spans="2:28" ht="20.100000000000001" customHeight="1" outlineLevel="1" x14ac:dyDescent="0.4">
      <c r="B146" s="253"/>
      <c r="C146" s="264"/>
      <c r="D146" s="752" t="str">
        <f ca="1">Equipements_SCL!H55</f>
        <v/>
      </c>
      <c r="E146" s="753"/>
      <c r="F146" s="333" t="str">
        <f ca="1">Equipements_SCL!I55</f>
        <v/>
      </c>
      <c r="G146" s="334" t="str">
        <f ca="1">Equipements_SCL!M55</f>
        <v/>
      </c>
      <c r="H146" s="754" t="str">
        <f ca="1">Equipements_SCL!J55</f>
        <v/>
      </c>
      <c r="I146" s="755"/>
      <c r="J146" s="754" t="str">
        <f ca="1">Equipements_SCL!K55</f>
        <v/>
      </c>
      <c r="K146" s="756"/>
      <c r="L146" s="756"/>
      <c r="M146" s="756"/>
      <c r="N146" s="335" t="str">
        <f ca="1">Equipements_SCL!P55</f>
        <v/>
      </c>
      <c r="O146" s="336" t="str">
        <f ca="1">IF(Equipements_SCL!Y55&lt;&gt;"",Equipements_SCL!AK55,"")</f>
        <v/>
      </c>
      <c r="P146" s="336" t="str">
        <f ca="1">IF(Equipements_SCL!Z55&lt;&gt;"",Equipements_SCL!AL55,"")</f>
        <v/>
      </c>
      <c r="Q146" s="336" t="str">
        <f ca="1">IF(Equipements_SCL!AA55&lt;&gt;"",Equipements_SCL!AM55,"")</f>
        <v/>
      </c>
      <c r="R146" s="336" t="str">
        <f ca="1">IF(Equipements_SCL!AB55&lt;&gt;"",Equipements_SCL!AN55,"")</f>
        <v/>
      </c>
      <c r="S146" s="336" t="str">
        <f ca="1">IF(Equipements_SCL!AC55&lt;&gt;"",Equipements_SCL!AO55,"")</f>
        <v/>
      </c>
      <c r="T146" s="336" t="str">
        <f ca="1">IF(Equipements_SCL!AD55&lt;&gt;"",Equipements_SCL!AP55,"")</f>
        <v/>
      </c>
      <c r="U146" s="336" t="str">
        <f ca="1">IF(Equipements_SCL!AE55&lt;&gt;"",Equipements_SCL!AQ55,"")</f>
        <v/>
      </c>
      <c r="V146" s="336" t="str">
        <f ca="1">IF(Equipements_SCL!AF55&lt;&gt;"",Equipements_SCL!AR55,"")</f>
        <v/>
      </c>
      <c r="W146" s="336" t="str">
        <f ca="1">IF(Equipements_SCL!AG55&lt;&gt;"",Equipements_SCL!AS55,"")</f>
        <v/>
      </c>
      <c r="X146" s="436" t="str">
        <f ca="1">IF(Equipements_SCL!AH55&lt;&gt;"",Equipements_SCL!AT55,"")</f>
        <v/>
      </c>
      <c r="Y146" s="254"/>
      <c r="Z146" s="254"/>
      <c r="AA146" s="265"/>
      <c r="AB146" s="249"/>
    </row>
    <row r="147" spans="2:28" ht="20.100000000000001" customHeight="1" outlineLevel="1" x14ac:dyDescent="0.4">
      <c r="B147" s="253"/>
      <c r="C147" s="264"/>
      <c r="D147" s="752" t="str">
        <f ca="1">Equipements_SCL!H56</f>
        <v/>
      </c>
      <c r="E147" s="753"/>
      <c r="F147" s="333" t="str">
        <f ca="1">Equipements_SCL!I56</f>
        <v/>
      </c>
      <c r="G147" s="334" t="str">
        <f ca="1">Equipements_SCL!M56</f>
        <v/>
      </c>
      <c r="H147" s="754" t="str">
        <f ca="1">Equipements_SCL!J56</f>
        <v/>
      </c>
      <c r="I147" s="755"/>
      <c r="J147" s="754" t="str">
        <f ca="1">Equipements_SCL!K56</f>
        <v/>
      </c>
      <c r="K147" s="756"/>
      <c r="L147" s="756"/>
      <c r="M147" s="756"/>
      <c r="N147" s="335" t="str">
        <f ca="1">Equipements_SCL!P56</f>
        <v/>
      </c>
      <c r="O147" s="336" t="str">
        <f ca="1">IF(Equipements_SCL!Y56&lt;&gt;"",Equipements_SCL!AK56,"")</f>
        <v/>
      </c>
      <c r="P147" s="336" t="str">
        <f ca="1">IF(Equipements_SCL!Z56&lt;&gt;"",Equipements_SCL!AL56,"")</f>
        <v/>
      </c>
      <c r="Q147" s="336" t="str">
        <f ca="1">IF(Equipements_SCL!AA56&lt;&gt;"",Equipements_SCL!AM56,"")</f>
        <v/>
      </c>
      <c r="R147" s="336" t="str">
        <f ca="1">IF(Equipements_SCL!AB56&lt;&gt;"",Equipements_SCL!AN56,"")</f>
        <v/>
      </c>
      <c r="S147" s="336" t="str">
        <f ca="1">IF(Equipements_SCL!AC56&lt;&gt;"",Equipements_SCL!AO56,"")</f>
        <v/>
      </c>
      <c r="T147" s="336" t="str">
        <f ca="1">IF(Equipements_SCL!AD56&lt;&gt;"",Equipements_SCL!AP56,"")</f>
        <v/>
      </c>
      <c r="U147" s="336" t="str">
        <f ca="1">IF(Equipements_SCL!AE56&lt;&gt;"",Equipements_SCL!AQ56,"")</f>
        <v/>
      </c>
      <c r="V147" s="336" t="str">
        <f ca="1">IF(Equipements_SCL!AF56&lt;&gt;"",Equipements_SCL!AR56,"")</f>
        <v/>
      </c>
      <c r="W147" s="336" t="str">
        <f ca="1">IF(Equipements_SCL!AG56&lt;&gt;"",Equipements_SCL!AS56,"")</f>
        <v/>
      </c>
      <c r="X147" s="436" t="str">
        <f ca="1">IF(Equipements_SCL!AH56&lt;&gt;"",Equipements_SCL!AT56,"")</f>
        <v/>
      </c>
      <c r="Y147" s="254"/>
      <c r="Z147" s="254"/>
      <c r="AA147" s="265"/>
      <c r="AB147" s="249"/>
    </row>
    <row r="148" spans="2:28" ht="20.100000000000001" customHeight="1" outlineLevel="1" x14ac:dyDescent="0.4">
      <c r="B148" s="253"/>
      <c r="C148" s="264"/>
      <c r="D148" s="752" t="str">
        <f ca="1">Equipements_SCL!H57</f>
        <v/>
      </c>
      <c r="E148" s="753"/>
      <c r="F148" s="333" t="str">
        <f ca="1">Equipements_SCL!I57</f>
        <v/>
      </c>
      <c r="G148" s="334" t="str">
        <f ca="1">Equipements_SCL!M57</f>
        <v/>
      </c>
      <c r="H148" s="754" t="str">
        <f ca="1">Equipements_SCL!J57</f>
        <v/>
      </c>
      <c r="I148" s="755"/>
      <c r="J148" s="754" t="str">
        <f ca="1">Equipements_SCL!K57</f>
        <v/>
      </c>
      <c r="K148" s="756"/>
      <c r="L148" s="756"/>
      <c r="M148" s="756"/>
      <c r="N148" s="335" t="str">
        <f ca="1">Equipements_SCL!P57</f>
        <v/>
      </c>
      <c r="O148" s="336" t="str">
        <f ca="1">IF(Equipements_SCL!Y57&lt;&gt;"",Equipements_SCL!AK57,"")</f>
        <v/>
      </c>
      <c r="P148" s="336" t="str">
        <f ca="1">IF(Equipements_SCL!Z57&lt;&gt;"",Equipements_SCL!AL57,"")</f>
        <v/>
      </c>
      <c r="Q148" s="336" t="str">
        <f ca="1">IF(Equipements_SCL!AA57&lt;&gt;"",Equipements_SCL!AM57,"")</f>
        <v/>
      </c>
      <c r="R148" s="336" t="str">
        <f ca="1">IF(Equipements_SCL!AB57&lt;&gt;"",Equipements_SCL!AN57,"")</f>
        <v/>
      </c>
      <c r="S148" s="336" t="str">
        <f ca="1">IF(Equipements_SCL!AC57&lt;&gt;"",Equipements_SCL!AO57,"")</f>
        <v/>
      </c>
      <c r="T148" s="336" t="str">
        <f ca="1">IF(Equipements_SCL!AD57&lt;&gt;"",Equipements_SCL!AP57,"")</f>
        <v/>
      </c>
      <c r="U148" s="336" t="str">
        <f ca="1">IF(Equipements_SCL!AE57&lt;&gt;"",Equipements_SCL!AQ57,"")</f>
        <v/>
      </c>
      <c r="V148" s="336" t="str">
        <f ca="1">IF(Equipements_SCL!AF57&lt;&gt;"",Equipements_SCL!AR57,"")</f>
        <v/>
      </c>
      <c r="W148" s="336" t="str">
        <f ca="1">IF(Equipements_SCL!AG57&lt;&gt;"",Equipements_SCL!AS57,"")</f>
        <v/>
      </c>
      <c r="X148" s="436" t="str">
        <f ca="1">IF(Equipements_SCL!AH57&lt;&gt;"",Equipements_SCL!AT57,"")</f>
        <v/>
      </c>
      <c r="Y148" s="254"/>
      <c r="Z148" s="254"/>
      <c r="AA148" s="265"/>
      <c r="AB148" s="249"/>
    </row>
    <row r="149" spans="2:28" ht="20.100000000000001" customHeight="1" outlineLevel="1" x14ac:dyDescent="0.4">
      <c r="B149" s="253"/>
      <c r="C149" s="264"/>
      <c r="D149" s="752" t="str">
        <f ca="1">Equipements_SCL!H58</f>
        <v/>
      </c>
      <c r="E149" s="753"/>
      <c r="F149" s="333" t="str">
        <f ca="1">Equipements_SCL!I58</f>
        <v/>
      </c>
      <c r="G149" s="334" t="str">
        <f ca="1">Equipements_SCL!M58</f>
        <v/>
      </c>
      <c r="H149" s="754" t="str">
        <f ca="1">Equipements_SCL!J58</f>
        <v/>
      </c>
      <c r="I149" s="755"/>
      <c r="J149" s="754" t="str">
        <f ca="1">Equipements_SCL!K58</f>
        <v/>
      </c>
      <c r="K149" s="756"/>
      <c r="L149" s="756"/>
      <c r="M149" s="756"/>
      <c r="N149" s="335" t="str">
        <f ca="1">Equipements_SCL!P58</f>
        <v/>
      </c>
      <c r="O149" s="336" t="str">
        <f ca="1">IF(Equipements_SCL!Y58&lt;&gt;"",Equipements_SCL!AK58,"")</f>
        <v/>
      </c>
      <c r="P149" s="336" t="str">
        <f ca="1">IF(Equipements_SCL!Z58&lt;&gt;"",Equipements_SCL!AL58,"")</f>
        <v/>
      </c>
      <c r="Q149" s="336" t="str">
        <f ca="1">IF(Equipements_SCL!AA58&lt;&gt;"",Equipements_SCL!AM58,"")</f>
        <v/>
      </c>
      <c r="R149" s="336" t="str">
        <f ca="1">IF(Equipements_SCL!AB58&lt;&gt;"",Equipements_SCL!AN58,"")</f>
        <v/>
      </c>
      <c r="S149" s="336" t="str">
        <f ca="1">IF(Equipements_SCL!AC58&lt;&gt;"",Equipements_SCL!AO58,"")</f>
        <v/>
      </c>
      <c r="T149" s="336" t="str">
        <f ca="1">IF(Equipements_SCL!AD58&lt;&gt;"",Equipements_SCL!AP58,"")</f>
        <v/>
      </c>
      <c r="U149" s="336" t="str">
        <f ca="1">IF(Equipements_SCL!AE58&lt;&gt;"",Equipements_SCL!AQ58,"")</f>
        <v/>
      </c>
      <c r="V149" s="336" t="str">
        <f ca="1">IF(Equipements_SCL!AF58&lt;&gt;"",Equipements_SCL!AR58,"")</f>
        <v/>
      </c>
      <c r="W149" s="336" t="str">
        <f ca="1">IF(Equipements_SCL!AG58&lt;&gt;"",Equipements_SCL!AS58,"")</f>
        <v/>
      </c>
      <c r="X149" s="436" t="str">
        <f ca="1">IF(Equipements_SCL!AH58&lt;&gt;"",Equipements_SCL!AT58,"")</f>
        <v/>
      </c>
      <c r="Y149" s="254"/>
      <c r="Z149" s="254"/>
      <c r="AA149" s="265"/>
      <c r="AB149" s="249"/>
    </row>
    <row r="150" spans="2:28" ht="20.100000000000001" customHeight="1" outlineLevel="1" x14ac:dyDescent="0.4">
      <c r="B150" s="253"/>
      <c r="C150" s="264"/>
      <c r="D150" s="752" t="str">
        <f ca="1">Equipements_SCL!H59</f>
        <v/>
      </c>
      <c r="E150" s="753"/>
      <c r="F150" s="333" t="str">
        <f ca="1">Equipements_SCL!I59</f>
        <v/>
      </c>
      <c r="G150" s="334" t="str">
        <f ca="1">Equipements_SCL!M59</f>
        <v/>
      </c>
      <c r="H150" s="754" t="str">
        <f ca="1">Equipements_SCL!J59</f>
        <v/>
      </c>
      <c r="I150" s="755"/>
      <c r="J150" s="754" t="str">
        <f ca="1">Equipements_SCL!K59</f>
        <v/>
      </c>
      <c r="K150" s="756"/>
      <c r="L150" s="756"/>
      <c r="M150" s="756"/>
      <c r="N150" s="335" t="str">
        <f ca="1">Equipements_SCL!P59</f>
        <v/>
      </c>
      <c r="O150" s="336" t="str">
        <f ca="1">IF(Equipements_SCL!Y59&lt;&gt;"",Equipements_SCL!AK59,"")</f>
        <v/>
      </c>
      <c r="P150" s="336" t="str">
        <f ca="1">IF(Equipements_SCL!Z59&lt;&gt;"",Equipements_SCL!AL59,"")</f>
        <v/>
      </c>
      <c r="Q150" s="336" t="str">
        <f ca="1">IF(Equipements_SCL!AA59&lt;&gt;"",Equipements_SCL!AM59,"")</f>
        <v/>
      </c>
      <c r="R150" s="336" t="str">
        <f ca="1">IF(Equipements_SCL!AB59&lt;&gt;"",Equipements_SCL!AN59,"")</f>
        <v/>
      </c>
      <c r="S150" s="336" t="str">
        <f ca="1">IF(Equipements_SCL!AC59&lt;&gt;"",Equipements_SCL!AO59,"")</f>
        <v/>
      </c>
      <c r="T150" s="336" t="str">
        <f ca="1">IF(Equipements_SCL!AD59&lt;&gt;"",Equipements_SCL!AP59,"")</f>
        <v/>
      </c>
      <c r="U150" s="336" t="str">
        <f ca="1">IF(Equipements_SCL!AE59&lt;&gt;"",Equipements_SCL!AQ59,"")</f>
        <v/>
      </c>
      <c r="V150" s="336" t="str">
        <f ca="1">IF(Equipements_SCL!AF59&lt;&gt;"",Equipements_SCL!AR59,"")</f>
        <v/>
      </c>
      <c r="W150" s="336" t="str">
        <f ca="1">IF(Equipements_SCL!AG59&lt;&gt;"",Equipements_SCL!AS59,"")</f>
        <v/>
      </c>
      <c r="X150" s="436" t="str">
        <f ca="1">IF(Equipements_SCL!AH59&lt;&gt;"",Equipements_SCL!AT59,"")</f>
        <v/>
      </c>
      <c r="Y150" s="254"/>
      <c r="Z150" s="254"/>
      <c r="AA150" s="265"/>
      <c r="AB150" s="249"/>
    </row>
    <row r="151" spans="2:28" ht="20.100000000000001" customHeight="1" outlineLevel="1" x14ac:dyDescent="0.4">
      <c r="B151" s="253"/>
      <c r="C151" s="264"/>
      <c r="D151" s="752" t="str">
        <f ca="1">Equipements_SCL!H60</f>
        <v/>
      </c>
      <c r="E151" s="753"/>
      <c r="F151" s="333" t="str">
        <f ca="1">Equipements_SCL!I60</f>
        <v/>
      </c>
      <c r="G151" s="334" t="str">
        <f ca="1">Equipements_SCL!M60</f>
        <v/>
      </c>
      <c r="H151" s="754" t="str">
        <f ca="1">Equipements_SCL!J60</f>
        <v/>
      </c>
      <c r="I151" s="755"/>
      <c r="J151" s="754" t="str">
        <f ca="1">Equipements_SCL!K60</f>
        <v/>
      </c>
      <c r="K151" s="756"/>
      <c r="L151" s="756"/>
      <c r="M151" s="756"/>
      <c r="N151" s="335" t="str">
        <f ca="1">Equipements_SCL!P60</f>
        <v/>
      </c>
      <c r="O151" s="336" t="str">
        <f ca="1">IF(Equipements_SCL!Y60&lt;&gt;"",Equipements_SCL!AK60,"")</f>
        <v/>
      </c>
      <c r="P151" s="336" t="str">
        <f ca="1">IF(Equipements_SCL!Z60&lt;&gt;"",Equipements_SCL!AL60,"")</f>
        <v/>
      </c>
      <c r="Q151" s="336" t="str">
        <f ca="1">IF(Equipements_SCL!AA60&lt;&gt;"",Equipements_SCL!AM60,"")</f>
        <v/>
      </c>
      <c r="R151" s="336" t="str">
        <f ca="1">IF(Equipements_SCL!AB60&lt;&gt;"",Equipements_SCL!AN60,"")</f>
        <v/>
      </c>
      <c r="S151" s="336" t="str">
        <f ca="1">IF(Equipements_SCL!AC60&lt;&gt;"",Equipements_SCL!AO60,"")</f>
        <v/>
      </c>
      <c r="T151" s="336" t="str">
        <f ca="1">IF(Equipements_SCL!AD60&lt;&gt;"",Equipements_SCL!AP60,"")</f>
        <v/>
      </c>
      <c r="U151" s="336" t="str">
        <f ca="1">IF(Equipements_SCL!AE60&lt;&gt;"",Equipements_SCL!AQ60,"")</f>
        <v/>
      </c>
      <c r="V151" s="336" t="str">
        <f ca="1">IF(Equipements_SCL!AF60&lt;&gt;"",Equipements_SCL!AR60,"")</f>
        <v/>
      </c>
      <c r="W151" s="336" t="str">
        <f ca="1">IF(Equipements_SCL!AG60&lt;&gt;"",Equipements_SCL!AS60,"")</f>
        <v/>
      </c>
      <c r="X151" s="436" t="str">
        <f ca="1">IF(Equipements_SCL!AH60&lt;&gt;"",Equipements_SCL!AT60,"")</f>
        <v/>
      </c>
      <c r="Y151" s="254"/>
      <c r="Z151" s="254"/>
      <c r="AA151" s="265"/>
      <c r="AB151" s="249"/>
    </row>
    <row r="152" spans="2:28" ht="20.100000000000001" customHeight="1" outlineLevel="1" x14ac:dyDescent="0.4">
      <c r="B152" s="253"/>
      <c r="C152" s="264"/>
      <c r="D152" s="752" t="str">
        <f ca="1">Equipements_SCL!H61</f>
        <v/>
      </c>
      <c r="E152" s="753"/>
      <c r="F152" s="333" t="str">
        <f ca="1">Equipements_SCL!I61</f>
        <v/>
      </c>
      <c r="G152" s="334" t="str">
        <f ca="1">Equipements_SCL!M61</f>
        <v/>
      </c>
      <c r="H152" s="754" t="str">
        <f ca="1">Equipements_SCL!J61</f>
        <v/>
      </c>
      <c r="I152" s="755"/>
      <c r="J152" s="754" t="str">
        <f ca="1">Equipements_SCL!K61</f>
        <v/>
      </c>
      <c r="K152" s="756"/>
      <c r="L152" s="756"/>
      <c r="M152" s="756"/>
      <c r="N152" s="335" t="str">
        <f ca="1">Equipements_SCL!P61</f>
        <v/>
      </c>
      <c r="O152" s="336" t="str">
        <f ca="1">IF(Equipements_SCL!Y61&lt;&gt;"",Equipements_SCL!AK61,"")</f>
        <v/>
      </c>
      <c r="P152" s="336" t="str">
        <f ca="1">IF(Equipements_SCL!Z61&lt;&gt;"",Equipements_SCL!AL61,"")</f>
        <v/>
      </c>
      <c r="Q152" s="336" t="str">
        <f ca="1">IF(Equipements_SCL!AA61&lt;&gt;"",Equipements_SCL!AM61,"")</f>
        <v/>
      </c>
      <c r="R152" s="336" t="str">
        <f ca="1">IF(Equipements_SCL!AB61&lt;&gt;"",Equipements_SCL!AN61,"")</f>
        <v/>
      </c>
      <c r="S152" s="336" t="str">
        <f ca="1">IF(Equipements_SCL!AC61&lt;&gt;"",Equipements_SCL!AO61,"")</f>
        <v/>
      </c>
      <c r="T152" s="336" t="str">
        <f ca="1">IF(Equipements_SCL!AD61&lt;&gt;"",Equipements_SCL!AP61,"")</f>
        <v/>
      </c>
      <c r="U152" s="336" t="str">
        <f ca="1">IF(Equipements_SCL!AE61&lt;&gt;"",Equipements_SCL!AQ61,"")</f>
        <v/>
      </c>
      <c r="V152" s="336" t="str">
        <f ca="1">IF(Equipements_SCL!AF61&lt;&gt;"",Equipements_SCL!AR61,"")</f>
        <v/>
      </c>
      <c r="W152" s="336" t="str">
        <f ca="1">IF(Equipements_SCL!AG61&lt;&gt;"",Equipements_SCL!AS61,"")</f>
        <v/>
      </c>
      <c r="X152" s="436" t="str">
        <f ca="1">IF(Equipements_SCL!AH61&lt;&gt;"",Equipements_SCL!AT61,"")</f>
        <v/>
      </c>
      <c r="Y152" s="254"/>
      <c r="Z152" s="254"/>
      <c r="AA152" s="265"/>
      <c r="AB152" s="249"/>
    </row>
    <row r="153" spans="2:28" ht="20.100000000000001" customHeight="1" outlineLevel="1" x14ac:dyDescent="0.4">
      <c r="B153" s="253"/>
      <c r="C153" s="264"/>
      <c r="D153" s="752" t="str">
        <f ca="1">Equipements_SCL!H62</f>
        <v/>
      </c>
      <c r="E153" s="753"/>
      <c r="F153" s="333" t="str">
        <f ca="1">Equipements_SCL!I62</f>
        <v/>
      </c>
      <c r="G153" s="334" t="str">
        <f ca="1">Equipements_SCL!M62</f>
        <v/>
      </c>
      <c r="H153" s="754" t="str">
        <f ca="1">Equipements_SCL!J62</f>
        <v/>
      </c>
      <c r="I153" s="755"/>
      <c r="J153" s="754" t="str">
        <f ca="1">Equipements_SCL!K62</f>
        <v/>
      </c>
      <c r="K153" s="756"/>
      <c r="L153" s="756"/>
      <c r="M153" s="756"/>
      <c r="N153" s="335" t="str">
        <f ca="1">Equipements_SCL!P62</f>
        <v/>
      </c>
      <c r="O153" s="336" t="str">
        <f ca="1">IF(Equipements_SCL!Y62&lt;&gt;"",Equipements_SCL!AK62,"")</f>
        <v/>
      </c>
      <c r="P153" s="336" t="str">
        <f ca="1">IF(Equipements_SCL!Z62&lt;&gt;"",Equipements_SCL!AL62,"")</f>
        <v/>
      </c>
      <c r="Q153" s="336" t="str">
        <f ca="1">IF(Equipements_SCL!AA62&lt;&gt;"",Equipements_SCL!AM62,"")</f>
        <v/>
      </c>
      <c r="R153" s="336" t="str">
        <f ca="1">IF(Equipements_SCL!AB62&lt;&gt;"",Equipements_SCL!AN62,"")</f>
        <v/>
      </c>
      <c r="S153" s="336" t="str">
        <f ca="1">IF(Equipements_SCL!AC62&lt;&gt;"",Equipements_SCL!AO62,"")</f>
        <v/>
      </c>
      <c r="T153" s="336" t="str">
        <f ca="1">IF(Equipements_SCL!AD62&lt;&gt;"",Equipements_SCL!AP62,"")</f>
        <v/>
      </c>
      <c r="U153" s="336" t="str">
        <f ca="1">IF(Equipements_SCL!AE62&lt;&gt;"",Equipements_SCL!AQ62,"")</f>
        <v/>
      </c>
      <c r="V153" s="336" t="str">
        <f ca="1">IF(Equipements_SCL!AF62&lt;&gt;"",Equipements_SCL!AR62,"")</f>
        <v/>
      </c>
      <c r="W153" s="336" t="str">
        <f ca="1">IF(Equipements_SCL!AG62&lt;&gt;"",Equipements_SCL!AS62,"")</f>
        <v/>
      </c>
      <c r="X153" s="436" t="str">
        <f ca="1">IF(Equipements_SCL!AH62&lt;&gt;"",Equipements_SCL!AT62,"")</f>
        <v/>
      </c>
      <c r="Y153" s="254"/>
      <c r="Z153" s="254"/>
      <c r="AA153" s="265"/>
      <c r="AB153" s="249"/>
    </row>
    <row r="154" spans="2:28" ht="20.100000000000001" customHeight="1" outlineLevel="1" x14ac:dyDescent="0.4">
      <c r="B154" s="253"/>
      <c r="C154" s="264"/>
      <c r="D154" s="752" t="str">
        <f ca="1">Equipements_SCL!H63</f>
        <v/>
      </c>
      <c r="E154" s="753"/>
      <c r="F154" s="333" t="str">
        <f ca="1">Equipements_SCL!I63</f>
        <v/>
      </c>
      <c r="G154" s="334" t="str">
        <f ca="1">Equipements_SCL!M63</f>
        <v/>
      </c>
      <c r="H154" s="754" t="str">
        <f ca="1">Equipements_SCL!J63</f>
        <v/>
      </c>
      <c r="I154" s="755"/>
      <c r="J154" s="754" t="str">
        <f ca="1">Equipements_SCL!K63</f>
        <v/>
      </c>
      <c r="K154" s="756"/>
      <c r="L154" s="756"/>
      <c r="M154" s="756"/>
      <c r="N154" s="335" t="str">
        <f ca="1">Equipements_SCL!P63</f>
        <v/>
      </c>
      <c r="O154" s="336" t="str">
        <f ca="1">IF(Equipements_SCL!Y63&lt;&gt;"",Equipements_SCL!AK63,"")</f>
        <v/>
      </c>
      <c r="P154" s="336" t="str">
        <f ca="1">IF(Equipements_SCL!Z63&lt;&gt;"",Equipements_SCL!AL63,"")</f>
        <v/>
      </c>
      <c r="Q154" s="336" t="str">
        <f ca="1">IF(Equipements_SCL!AA63&lt;&gt;"",Equipements_SCL!AM63,"")</f>
        <v/>
      </c>
      <c r="R154" s="336" t="str">
        <f ca="1">IF(Equipements_SCL!AB63&lt;&gt;"",Equipements_SCL!AN63,"")</f>
        <v/>
      </c>
      <c r="S154" s="336" t="str">
        <f ca="1">IF(Equipements_SCL!AC63&lt;&gt;"",Equipements_SCL!AO63,"")</f>
        <v/>
      </c>
      <c r="T154" s="336" t="str">
        <f ca="1">IF(Equipements_SCL!AD63&lt;&gt;"",Equipements_SCL!AP63,"")</f>
        <v/>
      </c>
      <c r="U154" s="336" t="str">
        <f ca="1">IF(Equipements_SCL!AE63&lt;&gt;"",Equipements_SCL!AQ63,"")</f>
        <v/>
      </c>
      <c r="V154" s="336" t="str">
        <f ca="1">IF(Equipements_SCL!AF63&lt;&gt;"",Equipements_SCL!AR63,"")</f>
        <v/>
      </c>
      <c r="W154" s="336" t="str">
        <f ca="1">IF(Equipements_SCL!AG63&lt;&gt;"",Equipements_SCL!AS63,"")</f>
        <v/>
      </c>
      <c r="X154" s="436" t="str">
        <f ca="1">IF(Equipements_SCL!AH63&lt;&gt;"",Equipements_SCL!AT63,"")</f>
        <v/>
      </c>
      <c r="Y154" s="254"/>
      <c r="Z154" s="254"/>
      <c r="AA154" s="265"/>
      <c r="AB154" s="249"/>
    </row>
    <row r="155" spans="2:28" ht="20.100000000000001" customHeight="1" outlineLevel="1" x14ac:dyDescent="0.4">
      <c r="B155" s="253"/>
      <c r="C155" s="264"/>
      <c r="D155" s="752" t="str">
        <f ca="1">Equipements_SCL!H64</f>
        <v/>
      </c>
      <c r="E155" s="753"/>
      <c r="F155" s="333" t="str">
        <f ca="1">Equipements_SCL!I64</f>
        <v/>
      </c>
      <c r="G155" s="334" t="str">
        <f ca="1">Equipements_SCL!M64</f>
        <v/>
      </c>
      <c r="H155" s="754" t="str">
        <f ca="1">Equipements_SCL!J64</f>
        <v/>
      </c>
      <c r="I155" s="755"/>
      <c r="J155" s="754" t="str">
        <f ca="1">Equipements_SCL!K64</f>
        <v/>
      </c>
      <c r="K155" s="756"/>
      <c r="L155" s="756"/>
      <c r="M155" s="756"/>
      <c r="N155" s="335" t="str">
        <f ca="1">Equipements_SCL!P64</f>
        <v/>
      </c>
      <c r="O155" s="336" t="str">
        <f ca="1">IF(Equipements_SCL!Y64&lt;&gt;"",Equipements_SCL!AK64,"")</f>
        <v/>
      </c>
      <c r="P155" s="336" t="str">
        <f ca="1">IF(Equipements_SCL!Z64&lt;&gt;"",Equipements_SCL!AL64,"")</f>
        <v/>
      </c>
      <c r="Q155" s="336" t="str">
        <f ca="1">IF(Equipements_SCL!AA64&lt;&gt;"",Equipements_SCL!AM64,"")</f>
        <v/>
      </c>
      <c r="R155" s="336" t="str">
        <f ca="1">IF(Equipements_SCL!AB64&lt;&gt;"",Equipements_SCL!AN64,"")</f>
        <v/>
      </c>
      <c r="S155" s="336" t="str">
        <f ca="1">IF(Equipements_SCL!AC64&lt;&gt;"",Equipements_SCL!AO64,"")</f>
        <v/>
      </c>
      <c r="T155" s="336" t="str">
        <f ca="1">IF(Equipements_SCL!AD64&lt;&gt;"",Equipements_SCL!AP64,"")</f>
        <v/>
      </c>
      <c r="U155" s="336" t="str">
        <f ca="1">IF(Equipements_SCL!AE64&lt;&gt;"",Equipements_SCL!AQ64,"")</f>
        <v/>
      </c>
      <c r="V155" s="336" t="str">
        <f ca="1">IF(Equipements_SCL!AF64&lt;&gt;"",Equipements_SCL!AR64,"")</f>
        <v/>
      </c>
      <c r="W155" s="336" t="str">
        <f ca="1">IF(Equipements_SCL!AG64&lt;&gt;"",Equipements_SCL!AS64,"")</f>
        <v/>
      </c>
      <c r="X155" s="436" t="str">
        <f ca="1">IF(Equipements_SCL!AH64&lt;&gt;"",Equipements_SCL!AT64,"")</f>
        <v/>
      </c>
      <c r="Y155" s="254"/>
      <c r="Z155" s="254"/>
      <c r="AA155" s="265"/>
      <c r="AB155" s="249"/>
    </row>
    <row r="156" spans="2:28" ht="20.100000000000001" customHeight="1" outlineLevel="1" thickBot="1" x14ac:dyDescent="0.45">
      <c r="B156" s="253"/>
      <c r="C156" s="264"/>
      <c r="D156" s="757" t="str">
        <f ca="1">Equipements_SCL!H65</f>
        <v/>
      </c>
      <c r="E156" s="758"/>
      <c r="F156" s="437" t="str">
        <f ca="1">Equipements_SCL!I65</f>
        <v/>
      </c>
      <c r="G156" s="438" t="str">
        <f ca="1">Equipements_SCL!M65</f>
        <v/>
      </c>
      <c r="H156" s="759" t="str">
        <f ca="1">Equipements_SCL!J65</f>
        <v/>
      </c>
      <c r="I156" s="760"/>
      <c r="J156" s="759" t="str">
        <f ca="1">Equipements_SCL!K65</f>
        <v/>
      </c>
      <c r="K156" s="761"/>
      <c r="L156" s="761"/>
      <c r="M156" s="761"/>
      <c r="N156" s="439" t="str">
        <f ca="1">Equipements_SCL!P65</f>
        <v/>
      </c>
      <c r="O156" s="440" t="str">
        <f ca="1">IF(Equipements_SCL!Y65&lt;&gt;"",Equipements_SCL!AK65,"")</f>
        <v/>
      </c>
      <c r="P156" s="440" t="str">
        <f ca="1">IF(Equipements_SCL!Z65&lt;&gt;"",Equipements_SCL!AL65,"")</f>
        <v/>
      </c>
      <c r="Q156" s="440" t="str">
        <f ca="1">IF(Equipements_SCL!AA65&lt;&gt;"",Equipements_SCL!AM65,"")</f>
        <v/>
      </c>
      <c r="R156" s="440" t="str">
        <f ca="1">IF(Equipements_SCL!AB65&lt;&gt;"",Equipements_SCL!AN65,"")</f>
        <v/>
      </c>
      <c r="S156" s="440" t="str">
        <f ca="1">IF(Equipements_SCL!AC65&lt;&gt;"",Equipements_SCL!AO65,"")</f>
        <v/>
      </c>
      <c r="T156" s="440" t="str">
        <f ca="1">IF(Equipements_SCL!AD65&lt;&gt;"",Equipements_SCL!AP65,"")</f>
        <v/>
      </c>
      <c r="U156" s="440" t="str">
        <f ca="1">IF(Equipements_SCL!AE65&lt;&gt;"",Equipements_SCL!AQ65,"")</f>
        <v/>
      </c>
      <c r="V156" s="440" t="str">
        <f ca="1">IF(Equipements_SCL!AF65&lt;&gt;"",Equipements_SCL!AR65,"")</f>
        <v/>
      </c>
      <c r="W156" s="440" t="str">
        <f ca="1">IF(Equipements_SCL!AG65&lt;&gt;"",Equipements_SCL!AS65,"")</f>
        <v/>
      </c>
      <c r="X156" s="441" t="str">
        <f ca="1">IF(Equipements_SCL!AH65&lt;&gt;"",Equipements_SCL!AT65,"")</f>
        <v/>
      </c>
      <c r="Y156" s="254"/>
      <c r="Z156" s="254"/>
      <c r="AA156" s="265"/>
      <c r="AB156" s="249"/>
    </row>
    <row r="157" spans="2:28" ht="20.100000000000001" customHeight="1" outlineLevel="1" thickBot="1" x14ac:dyDescent="0.45">
      <c r="B157" s="253"/>
      <c r="C157" s="261"/>
      <c r="D157" s="445"/>
      <c r="E157" s="262"/>
      <c r="F157" s="262"/>
      <c r="G157" s="262"/>
      <c r="H157" s="262"/>
      <c r="I157" s="262"/>
      <c r="J157" s="262"/>
      <c r="K157" s="262"/>
      <c r="L157" s="262"/>
      <c r="M157" s="262"/>
      <c r="N157" s="262"/>
      <c r="O157" s="262"/>
      <c r="P157" s="262"/>
      <c r="Q157" s="262"/>
      <c r="R157" s="262"/>
      <c r="S157" s="262"/>
      <c r="T157" s="262"/>
      <c r="U157" s="262"/>
      <c r="V157" s="262"/>
      <c r="W157" s="262"/>
      <c r="X157" s="748"/>
      <c r="Y157" s="748"/>
      <c r="Z157" s="748"/>
      <c r="AA157" s="263"/>
      <c r="AB157" s="249"/>
    </row>
    <row r="158" spans="2:28" ht="9.9499999999999993" customHeight="1" thickTop="1" x14ac:dyDescent="0.4">
      <c r="B158" s="246"/>
      <c r="C158" s="247"/>
      <c r="D158" s="247"/>
      <c r="E158" s="247"/>
      <c r="F158" s="247"/>
      <c r="G158" s="247"/>
      <c r="H158" s="247"/>
      <c r="I158" s="247"/>
      <c r="J158" s="247"/>
      <c r="K158" s="247"/>
      <c r="L158" s="247"/>
      <c r="M158" s="247"/>
      <c r="N158" s="247"/>
      <c r="O158" s="247"/>
      <c r="P158" s="247"/>
      <c r="Q158" s="247"/>
      <c r="R158" s="247"/>
      <c r="S158" s="247"/>
      <c r="T158" s="247"/>
      <c r="U158" s="247"/>
      <c r="V158" s="247"/>
      <c r="W158" s="247"/>
      <c r="X158" s="247"/>
      <c r="Y158" s="247"/>
      <c r="Z158" s="247"/>
      <c r="AA158" s="247"/>
      <c r="AB158" s="248"/>
    </row>
  </sheetData>
  <sheetProtection algorithmName="SHA-512" hashValue="9IEgEARhi8ICgjH+HKhk1deG6+kQ8LFQwRBOicmTDmdtuh8ywwaArwERAEqaOm0m9eW51P4Q4a/qAH6fZbm1qw==" saltValue="Gnjl/0uIgRkDwWydMxWaiA==" spinCount="100000" sheet="1" objects="1" scenarios="1" formatRows="0"/>
  <mergeCells count="246">
    <mergeCell ref="C2:W2"/>
    <mergeCell ref="Y2:Z2"/>
    <mergeCell ref="C3:F3"/>
    <mergeCell ref="G3:I3"/>
    <mergeCell ref="J3:L3"/>
    <mergeCell ref="M3:O3"/>
    <mergeCell ref="P3:R3"/>
    <mergeCell ref="S3:U3"/>
    <mergeCell ref="V3:X3"/>
    <mergeCell ref="Y3:AA3"/>
    <mergeCell ref="V6:X6"/>
    <mergeCell ref="Y6:AA6"/>
    <mergeCell ref="C8:AA8"/>
    <mergeCell ref="C6:F6"/>
    <mergeCell ref="G6:I6"/>
    <mergeCell ref="J6:L6"/>
    <mergeCell ref="M6:O6"/>
    <mergeCell ref="V4:X4"/>
    <mergeCell ref="Y4:AA4"/>
    <mergeCell ref="C5:F5"/>
    <mergeCell ref="G5:I5"/>
    <mergeCell ref="J5:L5"/>
    <mergeCell ref="M5:O5"/>
    <mergeCell ref="P5:R5"/>
    <mergeCell ref="S5:U5"/>
    <mergeCell ref="V5:X5"/>
    <mergeCell ref="Y5:AA5"/>
    <mergeCell ref="C4:F4"/>
    <mergeCell ref="G4:I4"/>
    <mergeCell ref="J4:L4"/>
    <mergeCell ref="M4:O4"/>
    <mergeCell ref="P4:R4"/>
    <mergeCell ref="S4:U4"/>
    <mergeCell ref="P6:R6"/>
    <mergeCell ref="S6:U6"/>
    <mergeCell ref="D16:E22"/>
    <mergeCell ref="G17:J17"/>
    <mergeCell ref="K17:L17"/>
    <mergeCell ref="N25:Y25"/>
    <mergeCell ref="G26:H28"/>
    <mergeCell ref="I26:J26"/>
    <mergeCell ref="K26:L26"/>
    <mergeCell ref="N26:Y26"/>
    <mergeCell ref="I27:J27"/>
    <mergeCell ref="K27:L27"/>
    <mergeCell ref="N27:Y27"/>
    <mergeCell ref="I28:J28"/>
    <mergeCell ref="K28:L28"/>
    <mergeCell ref="N17:Y17"/>
    <mergeCell ref="G18:H18"/>
    <mergeCell ref="I18:J18"/>
    <mergeCell ref="K18:L18"/>
    <mergeCell ref="N18:Y21"/>
    <mergeCell ref="G19:H21"/>
    <mergeCell ref="I19:J19"/>
    <mergeCell ref="K19:L19"/>
    <mergeCell ref="I20:J20"/>
    <mergeCell ref="K20:L20"/>
    <mergeCell ref="I21:J21"/>
    <mergeCell ref="D97:E100"/>
    <mergeCell ref="F97:Z100"/>
    <mergeCell ref="N28:Y28"/>
    <mergeCell ref="G30:J30"/>
    <mergeCell ref="K30:L30"/>
    <mergeCell ref="N30:Y30"/>
    <mergeCell ref="G31:H33"/>
    <mergeCell ref="I31:J31"/>
    <mergeCell ref="K31:L31"/>
    <mergeCell ref="N31:Y31"/>
    <mergeCell ref="I32:J32"/>
    <mergeCell ref="K32:L32"/>
    <mergeCell ref="D24:E34"/>
    <mergeCell ref="G25:J25"/>
    <mergeCell ref="K25:L25"/>
    <mergeCell ref="N32:Y32"/>
    <mergeCell ref="I33:J33"/>
    <mergeCell ref="K33:L33"/>
    <mergeCell ref="N33:Y33"/>
    <mergeCell ref="K21:L21"/>
    <mergeCell ref="D107:E107"/>
    <mergeCell ref="H107:I107"/>
    <mergeCell ref="J107:M107"/>
    <mergeCell ref="D108:E108"/>
    <mergeCell ref="H108:I108"/>
    <mergeCell ref="J108:M108"/>
    <mergeCell ref="C103:AA103"/>
    <mergeCell ref="D105:M105"/>
    <mergeCell ref="N105:N106"/>
    <mergeCell ref="O105:X105"/>
    <mergeCell ref="D106:E106"/>
    <mergeCell ref="H106:I106"/>
    <mergeCell ref="J106:M106"/>
    <mergeCell ref="D111:E111"/>
    <mergeCell ref="H111:I111"/>
    <mergeCell ref="J111:M111"/>
    <mergeCell ref="D112:E112"/>
    <mergeCell ref="H112:I112"/>
    <mergeCell ref="J112:M112"/>
    <mergeCell ref="D109:E109"/>
    <mergeCell ref="H109:I109"/>
    <mergeCell ref="J109:M109"/>
    <mergeCell ref="D110:E110"/>
    <mergeCell ref="H110:I110"/>
    <mergeCell ref="J110:M110"/>
    <mergeCell ref="D115:E115"/>
    <mergeCell ref="H115:I115"/>
    <mergeCell ref="J115:M115"/>
    <mergeCell ref="D116:E116"/>
    <mergeCell ref="H116:I116"/>
    <mergeCell ref="J116:M116"/>
    <mergeCell ref="D113:E113"/>
    <mergeCell ref="H113:I113"/>
    <mergeCell ref="J113:M113"/>
    <mergeCell ref="D114:E114"/>
    <mergeCell ref="H114:I114"/>
    <mergeCell ref="J114:M114"/>
    <mergeCell ref="D119:E119"/>
    <mergeCell ref="H119:I119"/>
    <mergeCell ref="J119:M119"/>
    <mergeCell ref="D120:E120"/>
    <mergeCell ref="H120:I120"/>
    <mergeCell ref="J120:M120"/>
    <mergeCell ref="D117:E117"/>
    <mergeCell ref="H117:I117"/>
    <mergeCell ref="J117:M117"/>
    <mergeCell ref="D118:E118"/>
    <mergeCell ref="H118:I118"/>
    <mergeCell ref="J118:M118"/>
    <mergeCell ref="D123:E123"/>
    <mergeCell ref="H123:I123"/>
    <mergeCell ref="J123:M123"/>
    <mergeCell ref="D124:E124"/>
    <mergeCell ref="H124:I124"/>
    <mergeCell ref="J124:M124"/>
    <mergeCell ref="D121:E121"/>
    <mergeCell ref="H121:I121"/>
    <mergeCell ref="J121:M121"/>
    <mergeCell ref="D122:E122"/>
    <mergeCell ref="H122:I122"/>
    <mergeCell ref="J122:M122"/>
    <mergeCell ref="D127:E127"/>
    <mergeCell ref="H127:I127"/>
    <mergeCell ref="J127:M127"/>
    <mergeCell ref="D128:E128"/>
    <mergeCell ref="H128:I128"/>
    <mergeCell ref="J128:M128"/>
    <mergeCell ref="D125:E125"/>
    <mergeCell ref="H125:I125"/>
    <mergeCell ref="J125:M125"/>
    <mergeCell ref="D126:E126"/>
    <mergeCell ref="H126:I126"/>
    <mergeCell ref="J126:M126"/>
    <mergeCell ref="D131:E131"/>
    <mergeCell ref="H131:I131"/>
    <mergeCell ref="J131:M131"/>
    <mergeCell ref="D132:E132"/>
    <mergeCell ref="H132:I132"/>
    <mergeCell ref="J132:M132"/>
    <mergeCell ref="D129:E129"/>
    <mergeCell ref="H129:I129"/>
    <mergeCell ref="J129:M129"/>
    <mergeCell ref="D130:E130"/>
    <mergeCell ref="H130:I130"/>
    <mergeCell ref="J130:M130"/>
    <mergeCell ref="D135:E135"/>
    <mergeCell ref="H135:I135"/>
    <mergeCell ref="J135:M135"/>
    <mergeCell ref="D136:E136"/>
    <mergeCell ref="H136:I136"/>
    <mergeCell ref="J136:M136"/>
    <mergeCell ref="D133:E133"/>
    <mergeCell ref="H133:I133"/>
    <mergeCell ref="J133:M133"/>
    <mergeCell ref="D134:E134"/>
    <mergeCell ref="H134:I134"/>
    <mergeCell ref="J134:M134"/>
    <mergeCell ref="D139:E139"/>
    <mergeCell ref="H139:I139"/>
    <mergeCell ref="J139:M139"/>
    <mergeCell ref="D140:E140"/>
    <mergeCell ref="H140:I140"/>
    <mergeCell ref="J140:M140"/>
    <mergeCell ref="D137:E137"/>
    <mergeCell ref="H137:I137"/>
    <mergeCell ref="J137:M137"/>
    <mergeCell ref="D138:E138"/>
    <mergeCell ref="H138:I138"/>
    <mergeCell ref="J138:M138"/>
    <mergeCell ref="D143:E143"/>
    <mergeCell ref="H143:I143"/>
    <mergeCell ref="J143:M143"/>
    <mergeCell ref="D144:E144"/>
    <mergeCell ref="H144:I144"/>
    <mergeCell ref="J144:M144"/>
    <mergeCell ref="D141:E141"/>
    <mergeCell ref="H141:I141"/>
    <mergeCell ref="J141:M141"/>
    <mergeCell ref="D142:E142"/>
    <mergeCell ref="H142:I142"/>
    <mergeCell ref="J142:M142"/>
    <mergeCell ref="D147:E147"/>
    <mergeCell ref="H147:I147"/>
    <mergeCell ref="J147:M147"/>
    <mergeCell ref="D148:E148"/>
    <mergeCell ref="H148:I148"/>
    <mergeCell ref="J148:M148"/>
    <mergeCell ref="D145:E145"/>
    <mergeCell ref="H145:I145"/>
    <mergeCell ref="J145:M145"/>
    <mergeCell ref="D146:E146"/>
    <mergeCell ref="H146:I146"/>
    <mergeCell ref="J146:M146"/>
    <mergeCell ref="J151:M151"/>
    <mergeCell ref="D152:E152"/>
    <mergeCell ref="H152:I152"/>
    <mergeCell ref="J152:M152"/>
    <mergeCell ref="D149:E149"/>
    <mergeCell ref="H149:I149"/>
    <mergeCell ref="J149:M149"/>
    <mergeCell ref="D150:E150"/>
    <mergeCell ref="H150:I150"/>
    <mergeCell ref="J150:M150"/>
    <mergeCell ref="D10:E14"/>
    <mergeCell ref="G11:L11"/>
    <mergeCell ref="M11:M12"/>
    <mergeCell ref="N11:Y11"/>
    <mergeCell ref="G12:K12"/>
    <mergeCell ref="N12:Y12"/>
    <mergeCell ref="G13:K13"/>
    <mergeCell ref="N13:Y13"/>
    <mergeCell ref="X157:Z157"/>
    <mergeCell ref="D36:E93"/>
    <mergeCell ref="D155:E155"/>
    <mergeCell ref="H155:I155"/>
    <mergeCell ref="J155:M155"/>
    <mergeCell ref="D156:E156"/>
    <mergeCell ref="H156:I156"/>
    <mergeCell ref="J156:M156"/>
    <mergeCell ref="D153:E153"/>
    <mergeCell ref="H153:I153"/>
    <mergeCell ref="J153:M153"/>
    <mergeCell ref="D154:E154"/>
    <mergeCell ref="H154:I154"/>
    <mergeCell ref="J154:M154"/>
    <mergeCell ref="D151:E151"/>
    <mergeCell ref="H151:I151"/>
  </mergeCells>
  <conditionalFormatting sqref="H38:K92">
    <cfRule type="cellIs" dxfId="58" priority="9" operator="greaterThan">
      <formula>99</formula>
    </cfRule>
    <cfRule type="cellIs" dxfId="57" priority="10" operator="between">
      <formula>70.1</formula>
      <formula>99</formula>
    </cfRule>
    <cfRule type="cellIs" dxfId="56" priority="11" operator="lessThanOrEqual">
      <formula>70</formula>
    </cfRule>
  </conditionalFormatting>
  <conditionalFormatting sqref="K26:K28">
    <cfRule type="cellIs" dxfId="55" priority="24" operator="greaterThan">
      <formula>99</formula>
    </cfRule>
    <cfRule type="cellIs" dxfId="54" priority="25" operator="between">
      <formula>70</formula>
      <formula>99</formula>
    </cfRule>
    <cfRule type="cellIs" dxfId="53" priority="26" operator="lessThan">
      <formula>70</formula>
    </cfRule>
  </conditionalFormatting>
  <conditionalFormatting sqref="K31:K33">
    <cfRule type="cellIs" dxfId="52" priority="15" operator="greaterThan">
      <formula>99</formula>
    </cfRule>
    <cfRule type="cellIs" dxfId="51" priority="16" operator="between">
      <formula>70</formula>
      <formula>99</formula>
    </cfRule>
    <cfRule type="cellIs" dxfId="50" priority="17" operator="lessThan">
      <formula>70</formula>
    </cfRule>
  </conditionalFormatting>
  <conditionalFormatting sqref="K18:L21">
    <cfRule type="containsText" dxfId="49" priority="30" operator="containsText" text="0,1">
      <formula>NOT(ISERROR(SEARCH("0,1",K18)))</formula>
    </cfRule>
    <cfRule type="containsText" dxfId="48" priority="31" operator="containsText" text="0">
      <formula>NOT(ISERROR(SEARCH("0",K18)))</formula>
    </cfRule>
  </conditionalFormatting>
  <conditionalFormatting sqref="L12:L13">
    <cfRule type="cellIs" dxfId="47" priority="3" operator="equal">
      <formula>"Oui"</formula>
    </cfRule>
    <cfRule type="cellIs" dxfId="46" priority="4" operator="equal">
      <formula>"Non"</formula>
    </cfRule>
  </conditionalFormatting>
  <conditionalFormatting sqref="M13">
    <cfRule type="cellIs" dxfId="45" priority="1" operator="lessThan">
      <formula>1</formula>
    </cfRule>
    <cfRule type="cellIs" dxfId="44" priority="2" operator="equal">
      <formula>1</formula>
    </cfRule>
  </conditionalFormatting>
  <conditionalFormatting sqref="N107:N156">
    <cfRule type="cellIs" dxfId="43" priority="27" operator="greaterThan">
      <formula>99</formula>
    </cfRule>
    <cfRule type="cellIs" dxfId="42" priority="28" operator="between">
      <formula>70.1</formula>
      <formula>99</formula>
    </cfRule>
    <cfRule type="cellIs" dxfId="41" priority="29" operator="lessThanOrEqual">
      <formula>70</formula>
    </cfRule>
  </conditionalFormatting>
  <conditionalFormatting sqref="O107:X156">
    <cfRule type="cellIs" dxfId="40" priority="20" operator="equal">
      <formula>0</formula>
    </cfRule>
    <cfRule type="cellIs" dxfId="39" priority="21" operator="greaterThan">
      <formula>0</formula>
    </cfRule>
  </conditionalFormatting>
  <dataValidations count="2">
    <dataValidation allowBlank="1" showInputMessage="1" showErrorMessage="1" promptTitle="Double click" prompt="Faite un double click pour exporter le rapport CDA" sqref="Y2:Z2" xr:uid="{EE23C2AA-FBD4-4149-B59A-40041CDDF707}"/>
    <dataValidation type="list" allowBlank="1" showDropDown="1" showInputMessage="1" showErrorMessage="1" sqref="L12:L13" xr:uid="{3622C604-7BAC-4EF3-A493-2664C7AAA8FF}">
      <formula1>LISTE_1</formula1>
    </dataValidation>
  </dataValidations>
  <pageMargins left="0.7" right="0.7" top="0.75" bottom="0.75" header="0.3" footer="0.3"/>
  <pageSetup paperSize="9" scale="27" orientation="portrait" r:id="rId1"/>
  <rowBreaks count="1" manualBreakCount="1">
    <brk id="102" max="16383" man="1"/>
  </rowBreaks>
  <colBreaks count="1" manualBreakCount="1">
    <brk id="1"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AF9C7-DFAB-4C92-B14C-B04174A8506D}">
  <sheetPr codeName="Feuil1">
    <tabColor theme="9"/>
  </sheetPr>
  <dimension ref="B1:AV109"/>
  <sheetViews>
    <sheetView topLeftCell="W1" zoomScale="73" zoomScaleNormal="73" zoomScaleSheetLayoutView="25" workbookViewId="0">
      <selection activeCell="AC1" sqref="AC1:AV1048576"/>
    </sheetView>
  </sheetViews>
  <sheetFormatPr baseColWidth="10" defaultColWidth="11.41015625" defaultRowHeight="20.100000000000001" customHeight="1" outlineLevelRow="1" x14ac:dyDescent="0.4"/>
  <cols>
    <col min="1" max="2" width="2.703125" style="241" customWidth="1"/>
    <col min="3" max="3" width="3.703125" style="241" customWidth="1"/>
    <col min="4" max="27" width="12.703125" style="241" customWidth="1"/>
    <col min="28" max="28" width="2.703125" style="241" customWidth="1"/>
    <col min="29" max="29" width="2.703125" style="613" customWidth="1"/>
    <col min="30" max="33" width="11.41015625" style="613"/>
    <col min="34" max="35" width="16.41015625" style="613" customWidth="1"/>
    <col min="36" max="36" width="18.1171875" style="613" customWidth="1"/>
    <col min="37" max="37" width="16.41015625" style="613" customWidth="1"/>
    <col min="38" max="41" width="12.703125" style="613" customWidth="1"/>
    <col min="42" max="48" width="11.41015625" style="613"/>
    <col min="49" max="16384" width="11.41015625" style="241"/>
  </cols>
  <sheetData>
    <row r="1" spans="2:28" ht="9.9499999999999993" customHeight="1" thickBot="1" x14ac:dyDescent="0.45">
      <c r="B1" s="250"/>
      <c r="C1" s="251"/>
      <c r="D1" s="251"/>
      <c r="E1" s="251"/>
      <c r="F1" s="251"/>
      <c r="G1" s="251"/>
      <c r="H1" s="251"/>
      <c r="I1" s="251"/>
      <c r="J1" s="251"/>
      <c r="K1" s="251"/>
      <c r="L1" s="251"/>
      <c r="M1" s="251"/>
      <c r="N1" s="251"/>
      <c r="O1" s="251"/>
      <c r="P1" s="251"/>
      <c r="Q1" s="251"/>
      <c r="R1" s="251"/>
      <c r="S1" s="251"/>
      <c r="T1" s="251"/>
      <c r="U1" s="251"/>
      <c r="V1" s="251"/>
      <c r="W1" s="251"/>
      <c r="X1" s="251"/>
      <c r="Y1" s="251"/>
      <c r="Z1" s="251"/>
      <c r="AA1" s="251"/>
      <c r="AB1" s="252"/>
    </row>
    <row r="2" spans="2:28" ht="66.95" customHeight="1" thickTop="1" thickBot="1" x14ac:dyDescent="0.45">
      <c r="B2" s="253"/>
      <c r="C2" s="880" t="s">
        <v>582</v>
      </c>
      <c r="D2" s="881"/>
      <c r="E2" s="881"/>
      <c r="F2" s="881"/>
      <c r="G2" s="881"/>
      <c r="H2" s="881"/>
      <c r="I2" s="881"/>
      <c r="J2" s="881"/>
      <c r="K2" s="881"/>
      <c r="L2" s="881"/>
      <c r="M2" s="881"/>
      <c r="N2" s="881"/>
      <c r="O2" s="881"/>
      <c r="P2" s="881"/>
      <c r="Q2" s="881"/>
      <c r="R2" s="881"/>
      <c r="S2" s="881"/>
      <c r="T2" s="881"/>
      <c r="U2" s="881"/>
      <c r="V2" s="881"/>
      <c r="W2" s="881"/>
      <c r="X2" s="328"/>
      <c r="Y2" s="882" t="s">
        <v>495</v>
      </c>
      <c r="Z2" s="883"/>
      <c r="AA2" s="329"/>
      <c r="AB2" s="249"/>
    </row>
    <row r="3" spans="2:28" ht="20.100000000000001" customHeight="1" x14ac:dyDescent="0.4">
      <c r="B3" s="253"/>
      <c r="C3" s="884" t="s">
        <v>438</v>
      </c>
      <c r="D3" s="885"/>
      <c r="E3" s="885"/>
      <c r="F3" s="886"/>
      <c r="G3" s="870" t="str">
        <f>IF(ISBLANK(Descriptif!F3),"",Descriptif!F3)</f>
        <v/>
      </c>
      <c r="H3" s="871"/>
      <c r="I3" s="876"/>
      <c r="J3" s="637" t="s">
        <v>446</v>
      </c>
      <c r="K3" s="630"/>
      <c r="L3" s="631"/>
      <c r="M3" s="870" t="str">
        <f>IF(ISBLANK(Descriptif!L3),"",Descriptif!L3)</f>
        <v/>
      </c>
      <c r="N3" s="871"/>
      <c r="O3" s="876"/>
      <c r="P3" s="637" t="s">
        <v>447</v>
      </c>
      <c r="Q3" s="630"/>
      <c r="R3" s="631"/>
      <c r="S3" s="870" t="str">
        <f>IF(ISBLANK(Descriptif!Q3),"",Descriptif!Q3)</f>
        <v/>
      </c>
      <c r="T3" s="871"/>
      <c r="U3" s="876"/>
      <c r="V3" s="637" t="s">
        <v>469</v>
      </c>
      <c r="W3" s="630"/>
      <c r="X3" s="631"/>
      <c r="Y3" s="887" t="str">
        <f>IF(ISBLANK(Descriptif!U3),"",Descriptif!U3)</f>
        <v/>
      </c>
      <c r="Z3" s="888"/>
      <c r="AA3" s="872"/>
      <c r="AB3" s="249"/>
    </row>
    <row r="4" spans="2:28" ht="20.100000000000001" customHeight="1" x14ac:dyDescent="0.4">
      <c r="B4" s="253"/>
      <c r="C4" s="873" t="s">
        <v>449</v>
      </c>
      <c r="D4" s="874"/>
      <c r="E4" s="874"/>
      <c r="F4" s="875"/>
      <c r="G4" s="870" t="str">
        <f>IF(ISBLANK(Descriptif!F4),"",Descriptif!F4)</f>
        <v/>
      </c>
      <c r="H4" s="871"/>
      <c r="I4" s="876"/>
      <c r="J4" s="637" t="s">
        <v>440</v>
      </c>
      <c r="K4" s="630"/>
      <c r="L4" s="631"/>
      <c r="M4" s="870" t="str">
        <f>IF(ISBLANK(Descriptif!L4),"",Descriptif!L4)</f>
        <v/>
      </c>
      <c r="N4" s="871"/>
      <c r="O4" s="876"/>
      <c r="P4" s="637" t="s">
        <v>453</v>
      </c>
      <c r="Q4" s="630"/>
      <c r="R4" s="631"/>
      <c r="S4" s="870" t="str">
        <f>IF(ISBLANK(Descriptif!Q4),"",Descriptif!Q4)</f>
        <v/>
      </c>
      <c r="T4" s="871"/>
      <c r="U4" s="876"/>
      <c r="V4" s="637" t="s">
        <v>448</v>
      </c>
      <c r="W4" s="630"/>
      <c r="X4" s="631"/>
      <c r="Y4" s="870" t="str">
        <f>IF(ISBLANK(Descriptif!U4),"",Descriptif!U4)</f>
        <v/>
      </c>
      <c r="Z4" s="871"/>
      <c r="AA4" s="872"/>
      <c r="AB4" s="249"/>
    </row>
    <row r="5" spans="2:28" ht="30" customHeight="1" x14ac:dyDescent="0.4">
      <c r="B5" s="253"/>
      <c r="C5" s="873" t="s">
        <v>470</v>
      </c>
      <c r="D5" s="874"/>
      <c r="E5" s="874"/>
      <c r="F5" s="875"/>
      <c r="G5" s="870" t="str">
        <f>IF(ISBLANK(Descriptif!F5),"",Descriptif!F5)</f>
        <v/>
      </c>
      <c r="H5" s="871"/>
      <c r="I5" s="876"/>
      <c r="J5" s="637" t="s">
        <v>441</v>
      </c>
      <c r="K5" s="630"/>
      <c r="L5" s="631"/>
      <c r="M5" s="870" t="str">
        <f>IF(ISBLANK(Descriptif!L5),"",Descriptif!L5)</f>
        <v/>
      </c>
      <c r="N5" s="871"/>
      <c r="O5" s="876"/>
      <c r="P5" s="637" t="s">
        <v>475</v>
      </c>
      <c r="Q5" s="630"/>
      <c r="R5" s="631"/>
      <c r="S5" s="870" t="str">
        <f>IF(ISBLANK(Descriptif!Q5),"",Descriptif!Q5)</f>
        <v/>
      </c>
      <c r="T5" s="871"/>
      <c r="U5" s="876"/>
      <c r="V5" s="637" t="s">
        <v>444</v>
      </c>
      <c r="W5" s="630"/>
      <c r="X5" s="631"/>
      <c r="Y5" s="877" t="str">
        <f>IF(ISBLANK(Descriptif!U5),"",Descriptif!U5)</f>
        <v/>
      </c>
      <c r="Z5" s="878"/>
      <c r="AA5" s="879"/>
      <c r="AB5" s="249"/>
    </row>
    <row r="6" spans="2:28" ht="20.100000000000001" customHeight="1" thickBot="1" x14ac:dyDescent="0.45">
      <c r="B6" s="253"/>
      <c r="C6" s="867" t="s">
        <v>439</v>
      </c>
      <c r="D6" s="868"/>
      <c r="E6" s="868"/>
      <c r="F6" s="869"/>
      <c r="G6" s="819" t="str">
        <f>IF(ISBLANK(Descriptif!F6),"",Descriptif!F6)</f>
        <v/>
      </c>
      <c r="H6" s="820"/>
      <c r="I6" s="821"/>
      <c r="J6" s="641" t="s">
        <v>476</v>
      </c>
      <c r="K6" s="642"/>
      <c r="L6" s="643"/>
      <c r="M6" s="819" t="str">
        <f>IF(ISBLANK(Descriptif!L6),"",Descriptif!L6)</f>
        <v/>
      </c>
      <c r="N6" s="820"/>
      <c r="O6" s="821"/>
      <c r="P6" s="641" t="s">
        <v>474</v>
      </c>
      <c r="Q6" s="642"/>
      <c r="R6" s="643"/>
      <c r="S6" s="819" t="str">
        <f>IF(ISBLANK(Descriptif!Q6),"",Descriptif!Q6)</f>
        <v/>
      </c>
      <c r="T6" s="820"/>
      <c r="U6" s="821"/>
      <c r="V6" s="654" t="s">
        <v>473</v>
      </c>
      <c r="W6" s="655"/>
      <c r="X6" s="863"/>
      <c r="Y6" s="864" t="str">
        <f>IF(ISBLANK(Descriptif!U6),"",Descriptif!U6)</f>
        <v/>
      </c>
      <c r="Z6" s="865"/>
      <c r="AA6" s="866"/>
      <c r="AB6" s="249"/>
    </row>
    <row r="7" spans="2:28" ht="20.100000000000001" customHeight="1" thickTop="1" thickBot="1" x14ac:dyDescent="0.45">
      <c r="B7" s="253"/>
      <c r="C7" s="254"/>
      <c r="D7" s="254"/>
      <c r="E7" s="254"/>
      <c r="F7" s="254"/>
      <c r="G7" s="254"/>
      <c r="H7" s="254"/>
      <c r="I7" s="254"/>
      <c r="J7" s="254"/>
      <c r="K7" s="254"/>
      <c r="L7" s="254"/>
      <c r="M7" s="254"/>
      <c r="N7" s="254"/>
      <c r="O7" s="254"/>
      <c r="P7" s="254"/>
      <c r="Q7" s="254"/>
      <c r="R7" s="254"/>
      <c r="S7" s="254"/>
      <c r="T7" s="254"/>
      <c r="U7" s="254"/>
      <c r="V7" s="254"/>
      <c r="W7" s="254"/>
      <c r="X7" s="254"/>
      <c r="Y7" s="254"/>
      <c r="Z7" s="254"/>
      <c r="AA7" s="254"/>
      <c r="AB7" s="249"/>
    </row>
    <row r="8" spans="2:28" ht="20.100000000000001" customHeight="1" thickTop="1" thickBot="1" x14ac:dyDescent="0.45">
      <c r="B8" s="253"/>
      <c r="C8" s="661" t="s">
        <v>487</v>
      </c>
      <c r="D8" s="662"/>
      <c r="E8" s="662"/>
      <c r="F8" s="662"/>
      <c r="G8" s="662"/>
      <c r="H8" s="662"/>
      <c r="I8" s="662"/>
      <c r="J8" s="662"/>
      <c r="K8" s="662"/>
      <c r="L8" s="662"/>
      <c r="M8" s="662"/>
      <c r="N8" s="662"/>
      <c r="O8" s="662"/>
      <c r="P8" s="662"/>
      <c r="Q8" s="662"/>
      <c r="R8" s="662"/>
      <c r="S8" s="662"/>
      <c r="T8" s="662"/>
      <c r="U8" s="662"/>
      <c r="V8" s="662"/>
      <c r="W8" s="662"/>
      <c r="X8" s="662"/>
      <c r="Y8" s="662"/>
      <c r="Z8" s="662"/>
      <c r="AA8" s="663"/>
      <c r="AB8" s="245"/>
    </row>
    <row r="9" spans="2:28" ht="20.100000000000001" customHeight="1" outlineLevel="1" thickTop="1" thickBot="1" x14ac:dyDescent="0.45">
      <c r="B9" s="253"/>
      <c r="C9" s="264"/>
      <c r="D9" s="254"/>
      <c r="E9" s="254"/>
      <c r="F9" s="254"/>
      <c r="G9" s="254"/>
      <c r="H9" s="254"/>
      <c r="I9" s="254"/>
      <c r="J9" s="254"/>
      <c r="K9" s="254"/>
      <c r="L9" s="254"/>
      <c r="M9" s="254"/>
      <c r="N9" s="254"/>
      <c r="O9" s="254"/>
      <c r="P9" s="254"/>
      <c r="Q9" s="254"/>
      <c r="R9" s="254"/>
      <c r="S9" s="254"/>
      <c r="T9" s="254"/>
      <c r="U9" s="254"/>
      <c r="V9" s="254"/>
      <c r="W9" s="254"/>
      <c r="X9" s="254"/>
      <c r="Y9" s="254"/>
      <c r="Z9" s="254"/>
      <c r="AA9" s="265"/>
      <c r="AB9" s="249"/>
    </row>
    <row r="10" spans="2:28" ht="20.100000000000001" customHeight="1" outlineLevel="1" thickBot="1" x14ac:dyDescent="0.45">
      <c r="B10" s="253"/>
      <c r="C10" s="264"/>
      <c r="D10" s="724" t="s">
        <v>481</v>
      </c>
      <c r="E10" s="725"/>
      <c r="F10" s="271"/>
      <c r="G10" s="319"/>
      <c r="H10" s="271"/>
      <c r="I10" s="271"/>
      <c r="J10" s="271"/>
      <c r="K10" s="271"/>
      <c r="L10" s="271"/>
      <c r="M10" s="271"/>
      <c r="N10" s="271"/>
      <c r="O10" s="271"/>
      <c r="P10" s="271"/>
      <c r="Q10" s="271"/>
      <c r="R10" s="271"/>
      <c r="S10" s="271"/>
      <c r="T10" s="271"/>
      <c r="U10" s="271"/>
      <c r="V10" s="258"/>
      <c r="W10" s="271"/>
      <c r="X10" s="271"/>
      <c r="Y10" s="271"/>
      <c r="Z10" s="267"/>
      <c r="AA10" s="265"/>
      <c r="AB10" s="245"/>
    </row>
    <row r="11" spans="2:28" ht="20.100000000000001" customHeight="1" outlineLevel="1" thickBot="1" x14ac:dyDescent="0.45">
      <c r="B11" s="253"/>
      <c r="C11" s="264"/>
      <c r="D11" s="726"/>
      <c r="E11" s="727"/>
      <c r="F11" s="254"/>
      <c r="G11" s="1006" t="s">
        <v>477</v>
      </c>
      <c r="H11" s="1007"/>
      <c r="I11" s="1007"/>
      <c r="J11" s="340" t="s">
        <v>29</v>
      </c>
      <c r="K11" s="272"/>
      <c r="L11" s="894" t="s">
        <v>478</v>
      </c>
      <c r="M11" s="895"/>
      <c r="N11" s="895"/>
      <c r="O11" s="340" t="s">
        <v>29</v>
      </c>
      <c r="P11" s="330"/>
      <c r="Q11" s="894" t="s">
        <v>479</v>
      </c>
      <c r="R11" s="895"/>
      <c r="S11" s="895"/>
      <c r="T11" s="340" t="s">
        <v>29</v>
      </c>
      <c r="U11" s="330"/>
      <c r="V11" s="894" t="s">
        <v>519</v>
      </c>
      <c r="W11" s="895"/>
      <c r="X11" s="895"/>
      <c r="Y11" s="340" t="s">
        <v>29</v>
      </c>
      <c r="Z11" s="268"/>
      <c r="AA11" s="265"/>
      <c r="AB11" s="249"/>
    </row>
    <row r="12" spans="2:28" ht="20.100000000000001" customHeight="1" outlineLevel="1" thickBot="1" x14ac:dyDescent="0.45">
      <c r="B12" s="253"/>
      <c r="C12" s="264"/>
      <c r="D12" s="726"/>
      <c r="E12" s="727"/>
      <c r="F12" s="254"/>
      <c r="G12" s="997" t="s">
        <v>0</v>
      </c>
      <c r="H12" s="998"/>
      <c r="I12" s="998"/>
      <c r="J12" s="343" t="str">
        <f ca="1">Recap_equipements!E63</f>
        <v/>
      </c>
      <c r="K12" s="272"/>
      <c r="L12" s="921" t="s">
        <v>3</v>
      </c>
      <c r="M12" s="922"/>
      <c r="N12" s="922"/>
      <c r="O12" s="345" t="str">
        <f ca="1">Recap_equipements!E75</f>
        <v/>
      </c>
      <c r="P12" s="272"/>
      <c r="Q12" s="921" t="s">
        <v>8</v>
      </c>
      <c r="R12" s="922"/>
      <c r="S12" s="922"/>
      <c r="T12" s="346" t="str">
        <f ca="1">Recap_equipements!E87</f>
        <v/>
      </c>
      <c r="U12" s="330"/>
      <c r="V12" s="896" t="s">
        <v>518</v>
      </c>
      <c r="W12" s="897"/>
      <c r="X12" s="897"/>
      <c r="Y12" s="349" t="str">
        <f ca="1">Recap_equipements!E105</f>
        <v/>
      </c>
      <c r="Z12" s="268"/>
      <c r="AA12" s="265"/>
      <c r="AB12" s="249"/>
    </row>
    <row r="13" spans="2:28" ht="20.100000000000001" customHeight="1" outlineLevel="1" x14ac:dyDescent="0.4">
      <c r="B13" s="253"/>
      <c r="C13" s="264"/>
      <c r="D13" s="726"/>
      <c r="E13" s="727"/>
      <c r="F13" s="254"/>
      <c r="G13" s="1001" t="s">
        <v>400</v>
      </c>
      <c r="H13" s="1002"/>
      <c r="I13" s="1002"/>
      <c r="J13" s="344" t="str">
        <f ca="1">IF(Recap_equipements!F65&lt;&gt;"",Recap_equipements!F65,"")</f>
        <v/>
      </c>
      <c r="K13" s="272"/>
      <c r="L13" s="1001" t="s">
        <v>400</v>
      </c>
      <c r="M13" s="1002"/>
      <c r="N13" s="1002"/>
      <c r="O13" s="344" t="str">
        <f ca="1">IF(Recap_equipements!F77&lt;&gt;"",Recap_equipements!F77,"")</f>
        <v/>
      </c>
      <c r="P13" s="272"/>
      <c r="Q13" s="923" t="s">
        <v>400</v>
      </c>
      <c r="R13" s="924"/>
      <c r="S13" s="924"/>
      <c r="T13" s="344" t="str">
        <f ca="1">IF(Recap_equipements!F89&lt;&gt;"",Recap_equipements!F89,"")</f>
        <v/>
      </c>
      <c r="U13" s="330"/>
      <c r="V13" s="898" t="s">
        <v>400</v>
      </c>
      <c r="W13" s="899"/>
      <c r="X13" s="899"/>
      <c r="Y13" s="415" t="str">
        <f ca="1">IF(Recap_equipements!F107&lt;&gt;"",Recap_equipements!F107,"")</f>
        <v/>
      </c>
      <c r="Z13" s="268"/>
      <c r="AA13" s="265"/>
      <c r="AB13" s="249"/>
    </row>
    <row r="14" spans="2:28" ht="20.100000000000001" customHeight="1" outlineLevel="1" x14ac:dyDescent="0.4">
      <c r="B14" s="253"/>
      <c r="C14" s="264"/>
      <c r="D14" s="726"/>
      <c r="E14" s="727"/>
      <c r="F14" s="254"/>
      <c r="G14" s="917" t="s">
        <v>283</v>
      </c>
      <c r="H14" s="918"/>
      <c r="I14" s="918"/>
      <c r="J14" s="341" t="str">
        <f ca="1">IF(Recap_equipements!F66&lt;&gt;"",Recap_equipements!F66,"")</f>
        <v/>
      </c>
      <c r="K14" s="272"/>
      <c r="L14" s="917" t="s">
        <v>283</v>
      </c>
      <c r="M14" s="918"/>
      <c r="N14" s="918"/>
      <c r="O14" s="341" t="str">
        <f ca="1">IF(Recap_equipements!F78&lt;&gt;"",Recap_equipements!F78,"")</f>
        <v/>
      </c>
      <c r="P14" s="272"/>
      <c r="Q14" s="900" t="s">
        <v>283</v>
      </c>
      <c r="R14" s="901"/>
      <c r="S14" s="901"/>
      <c r="T14" s="341" t="str">
        <f ca="1">IF(Recap_equipements!F90&lt;&gt;"",Recap_equipements!F90,"")</f>
        <v/>
      </c>
      <c r="U14" s="330"/>
      <c r="V14" s="900" t="s">
        <v>283</v>
      </c>
      <c r="W14" s="901"/>
      <c r="X14" s="901"/>
      <c r="Y14" s="341" t="str">
        <f ca="1">IF(Recap_equipements!F108&lt;&gt;"",Recap_equipements!F108,"")</f>
        <v/>
      </c>
      <c r="Z14" s="268"/>
      <c r="AA14" s="265"/>
      <c r="AB14" s="249"/>
    </row>
    <row r="15" spans="2:28" ht="20.100000000000001" customHeight="1" outlineLevel="1" thickBot="1" x14ac:dyDescent="0.45">
      <c r="B15" s="253"/>
      <c r="C15" s="264"/>
      <c r="D15" s="726"/>
      <c r="E15" s="727"/>
      <c r="F15" s="254"/>
      <c r="G15" s="1003" t="s">
        <v>392</v>
      </c>
      <c r="H15" s="1004"/>
      <c r="I15" s="1004"/>
      <c r="J15" s="342" t="str">
        <f ca="1">IF(Recap_equipements!F67&lt;&gt;"",Recap_equipements!F67,"")</f>
        <v/>
      </c>
      <c r="K15" s="272"/>
      <c r="L15" s="1003" t="s">
        <v>392</v>
      </c>
      <c r="M15" s="1004"/>
      <c r="N15" s="1004"/>
      <c r="O15" s="342" t="str">
        <f ca="1">IF(Recap_equipements!F79&lt;&gt;"",Recap_equipements!F79,"")</f>
        <v/>
      </c>
      <c r="P15" s="272"/>
      <c r="Q15" s="925" t="s">
        <v>392</v>
      </c>
      <c r="R15" s="926"/>
      <c r="S15" s="926"/>
      <c r="T15" s="342" t="str">
        <f ca="1">IF(Recap_equipements!F91&lt;&gt;"",Recap_equipements!F91,"")</f>
        <v/>
      </c>
      <c r="U15" s="330"/>
      <c r="V15" s="902" t="s">
        <v>392</v>
      </c>
      <c r="W15" s="903"/>
      <c r="X15" s="903"/>
      <c r="Y15" s="417" t="str">
        <f ca="1">IF(Recap_equipements!F109&lt;&gt;"",Recap_equipements!F109,"")</f>
        <v/>
      </c>
      <c r="Z15" s="268"/>
      <c r="AA15" s="265"/>
      <c r="AB15" s="249"/>
    </row>
    <row r="16" spans="2:28" ht="20.100000000000001" customHeight="1" outlineLevel="1" thickBot="1" x14ac:dyDescent="0.45">
      <c r="B16" s="253"/>
      <c r="C16" s="264"/>
      <c r="D16" s="726"/>
      <c r="E16" s="727"/>
      <c r="F16" s="254"/>
      <c r="G16" s="896" t="s">
        <v>1</v>
      </c>
      <c r="H16" s="897"/>
      <c r="I16" s="897"/>
      <c r="J16" s="347" t="str">
        <f ca="1">Recap_equipements!E69</f>
        <v/>
      </c>
      <c r="K16" s="272"/>
      <c r="L16" s="896" t="s">
        <v>4</v>
      </c>
      <c r="M16" s="897"/>
      <c r="N16" s="897"/>
      <c r="O16" s="348" t="str">
        <f ca="1">Recap_equipements!E81</f>
        <v/>
      </c>
      <c r="P16" s="272"/>
      <c r="Q16" s="896" t="s">
        <v>9</v>
      </c>
      <c r="R16" s="897"/>
      <c r="S16" s="897"/>
      <c r="T16" s="348" t="str">
        <f ca="1">Recap_equipements!E93</f>
        <v/>
      </c>
      <c r="U16" s="330"/>
      <c r="V16" s="330"/>
      <c r="W16" s="254"/>
      <c r="X16" s="254"/>
      <c r="Y16" s="254"/>
      <c r="Z16" s="268"/>
      <c r="AA16" s="265"/>
      <c r="AB16" s="249"/>
    </row>
    <row r="17" spans="2:28" ht="20.100000000000001" customHeight="1" outlineLevel="1" x14ac:dyDescent="0.4">
      <c r="B17" s="253"/>
      <c r="C17" s="264"/>
      <c r="D17" s="726"/>
      <c r="E17" s="727"/>
      <c r="F17" s="254"/>
      <c r="G17" s="915" t="s">
        <v>400</v>
      </c>
      <c r="H17" s="916"/>
      <c r="I17" s="916"/>
      <c r="J17" s="415" t="str">
        <f ca="1">IF(Recap_equipements!F71&lt;&gt;"",Recap_equipements!F71,"")</f>
        <v/>
      </c>
      <c r="K17" s="272"/>
      <c r="L17" s="915" t="s">
        <v>400</v>
      </c>
      <c r="M17" s="916"/>
      <c r="N17" s="916"/>
      <c r="O17" s="415" t="str">
        <f ca="1">IF(Recap_equipements!F83&lt;&gt;"",Recap_equipements!F83,"")</f>
        <v/>
      </c>
      <c r="P17" s="272"/>
      <c r="Q17" s="898" t="s">
        <v>400</v>
      </c>
      <c r="R17" s="899"/>
      <c r="S17" s="899"/>
      <c r="T17" s="415" t="str">
        <f ca="1">IF(Recap_equipements!F95&lt;&gt;"",Recap_equipements!F95,"")</f>
        <v/>
      </c>
      <c r="U17" s="330"/>
      <c r="V17" s="999" t="s">
        <v>97</v>
      </c>
      <c r="W17" s="999"/>
      <c r="X17" s="254"/>
      <c r="Y17" s="254"/>
      <c r="Z17" s="268"/>
      <c r="AA17" s="265"/>
      <c r="AB17" s="249"/>
    </row>
    <row r="18" spans="2:28" ht="20.100000000000001" customHeight="1" outlineLevel="1" x14ac:dyDescent="0.4">
      <c r="B18" s="253"/>
      <c r="C18" s="264"/>
      <c r="D18" s="726"/>
      <c r="E18" s="727"/>
      <c r="F18" s="254"/>
      <c r="G18" s="917" t="s">
        <v>283</v>
      </c>
      <c r="H18" s="918"/>
      <c r="I18" s="918"/>
      <c r="J18" s="341" t="str">
        <f ca="1">IF(Recap_equipements!F72&lt;&gt;"",Recap_equipements!F72,"")</f>
        <v/>
      </c>
      <c r="K18" s="272"/>
      <c r="L18" s="917" t="s">
        <v>283</v>
      </c>
      <c r="M18" s="918"/>
      <c r="N18" s="918"/>
      <c r="O18" s="341" t="str">
        <f ca="1">IF(Recap_equipements!F84&lt;&gt;"",Recap_equipements!F84,"")</f>
        <v/>
      </c>
      <c r="P18" s="272"/>
      <c r="Q18" s="900" t="s">
        <v>283</v>
      </c>
      <c r="R18" s="901"/>
      <c r="S18" s="901"/>
      <c r="T18" s="341" t="str">
        <f ca="1">IF(Recap_equipements!F96&lt;&gt;"",Recap_equipements!F96,"")</f>
        <v/>
      </c>
      <c r="U18" s="330"/>
      <c r="V18" s="1000" t="s">
        <v>520</v>
      </c>
      <c r="W18" s="1000"/>
      <c r="X18" s="254"/>
      <c r="Y18" s="254"/>
      <c r="Z18" s="268"/>
      <c r="AA18" s="265"/>
      <c r="AB18" s="249"/>
    </row>
    <row r="19" spans="2:28" ht="20.100000000000001" customHeight="1" outlineLevel="1" thickBot="1" x14ac:dyDescent="0.45">
      <c r="B19" s="253"/>
      <c r="C19" s="264"/>
      <c r="D19" s="726"/>
      <c r="E19" s="727"/>
      <c r="F19" s="254"/>
      <c r="G19" s="919" t="s">
        <v>392</v>
      </c>
      <c r="H19" s="920"/>
      <c r="I19" s="920"/>
      <c r="J19" s="416" t="str">
        <f ca="1">IF(Recap_equipements!F73&lt;&gt;"",Recap_equipements!F73,"")</f>
        <v/>
      </c>
      <c r="K19" s="272"/>
      <c r="L19" s="919" t="s">
        <v>392</v>
      </c>
      <c r="M19" s="920"/>
      <c r="N19" s="920"/>
      <c r="O19" s="417" t="str">
        <f ca="1">IF(Recap_equipements!F85&lt;&gt;"",Recap_equipements!F85,"")</f>
        <v/>
      </c>
      <c r="P19" s="272"/>
      <c r="Q19" s="902" t="s">
        <v>392</v>
      </c>
      <c r="R19" s="903"/>
      <c r="S19" s="903"/>
      <c r="T19" s="417" t="str">
        <f ca="1">IF(Recap_equipements!F97&lt;&gt;"",Recap_equipements!F97,"")</f>
        <v/>
      </c>
      <c r="U19" s="272"/>
      <c r="V19" s="1005" t="s">
        <v>60</v>
      </c>
      <c r="W19" s="1005"/>
      <c r="X19" s="254"/>
      <c r="Y19" s="254"/>
      <c r="Z19" s="268"/>
      <c r="AA19" s="265"/>
      <c r="AB19" s="249"/>
    </row>
    <row r="20" spans="2:28" ht="20.100000000000001" customHeight="1" outlineLevel="1" thickBot="1" x14ac:dyDescent="0.45">
      <c r="B20" s="253"/>
      <c r="C20" s="264"/>
      <c r="D20" s="728"/>
      <c r="E20" s="729"/>
      <c r="F20" s="270"/>
      <c r="G20" s="331"/>
      <c r="H20" s="331"/>
      <c r="I20" s="331"/>
      <c r="J20" s="331"/>
      <c r="K20" s="331"/>
      <c r="L20" s="331"/>
      <c r="M20" s="331"/>
      <c r="N20" s="331"/>
      <c r="O20" s="331"/>
      <c r="P20" s="331"/>
      <c r="Q20" s="331"/>
      <c r="R20" s="331"/>
      <c r="S20" s="331"/>
      <c r="T20" s="331"/>
      <c r="U20" s="331"/>
      <c r="V20" s="331"/>
      <c r="W20" s="270"/>
      <c r="X20" s="270"/>
      <c r="Y20" s="270"/>
      <c r="Z20" s="269"/>
      <c r="AA20" s="265"/>
      <c r="AB20" s="249"/>
    </row>
    <row r="21" spans="2:28" ht="20.100000000000001" customHeight="1" outlineLevel="1" thickBot="1" x14ac:dyDescent="0.45">
      <c r="B21" s="253"/>
      <c r="C21" s="264"/>
      <c r="D21" s="254"/>
      <c r="E21" s="254"/>
      <c r="F21" s="254"/>
      <c r="G21" s="254"/>
      <c r="H21" s="254"/>
      <c r="I21" s="254"/>
      <c r="J21" s="254"/>
      <c r="K21" s="254"/>
      <c r="L21" s="254"/>
      <c r="M21" s="254"/>
      <c r="N21" s="254"/>
      <c r="O21" s="254"/>
      <c r="P21" s="254"/>
      <c r="Q21" s="254"/>
      <c r="R21" s="254"/>
      <c r="S21" s="254"/>
      <c r="T21" s="254"/>
      <c r="U21" s="254"/>
      <c r="V21" s="254"/>
      <c r="W21" s="254"/>
      <c r="X21" s="254"/>
      <c r="Y21" s="254"/>
      <c r="Z21" s="254"/>
      <c r="AA21" s="265"/>
      <c r="AB21" s="249"/>
    </row>
    <row r="22" spans="2:28" ht="20.100000000000001" customHeight="1" outlineLevel="1" thickBot="1" x14ac:dyDescent="0.45">
      <c r="B22" s="253"/>
      <c r="C22" s="264"/>
      <c r="D22" s="724" t="s">
        <v>482</v>
      </c>
      <c r="E22" s="725"/>
      <c r="F22" s="271"/>
      <c r="G22" s="271"/>
      <c r="H22" s="271"/>
      <c r="I22" s="271"/>
      <c r="J22" s="271"/>
      <c r="K22" s="271"/>
      <c r="L22" s="271"/>
      <c r="M22" s="271"/>
      <c r="N22" s="271"/>
      <c r="O22" s="271"/>
      <c r="P22" s="271"/>
      <c r="Q22" s="271"/>
      <c r="R22" s="310"/>
      <c r="S22" s="310"/>
      <c r="T22" s="310"/>
      <c r="U22" s="310"/>
      <c r="V22" s="310"/>
      <c r="W22" s="310"/>
      <c r="X22" s="310"/>
      <c r="Y22" s="310"/>
      <c r="Z22" s="267"/>
      <c r="AA22" s="265"/>
      <c r="AB22" s="249"/>
    </row>
    <row r="23" spans="2:28" ht="20.100000000000001" customHeight="1" outlineLevel="1" x14ac:dyDescent="0.4">
      <c r="B23" s="253"/>
      <c r="C23" s="264"/>
      <c r="D23" s="726"/>
      <c r="E23" s="727"/>
      <c r="F23" s="254"/>
      <c r="G23" s="927"/>
      <c r="H23" s="928"/>
      <c r="I23" s="928"/>
      <c r="J23" s="928"/>
      <c r="K23" s="928"/>
      <c r="L23" s="928"/>
      <c r="M23" s="961" t="s">
        <v>483</v>
      </c>
      <c r="N23" s="969" t="s">
        <v>480</v>
      </c>
      <c r="O23" s="969"/>
      <c r="P23" s="969"/>
      <c r="Q23" s="969"/>
      <c r="R23" s="969"/>
      <c r="S23" s="969"/>
      <c r="T23" s="969"/>
      <c r="U23" s="969"/>
      <c r="V23" s="969"/>
      <c r="W23" s="969"/>
      <c r="X23" s="969"/>
      <c r="Y23" s="970"/>
      <c r="Z23" s="268"/>
      <c r="AA23" s="265"/>
      <c r="AB23" s="249"/>
    </row>
    <row r="24" spans="2:28" ht="30" customHeight="1" outlineLevel="1" x14ac:dyDescent="0.4">
      <c r="B24" s="253"/>
      <c r="C24" s="264"/>
      <c r="D24" s="726"/>
      <c r="E24" s="727"/>
      <c r="F24" s="254"/>
      <c r="G24" s="945" t="s">
        <v>485</v>
      </c>
      <c r="H24" s="946"/>
      <c r="I24" s="946"/>
      <c r="J24" s="946"/>
      <c r="K24" s="946"/>
      <c r="L24" s="418" t="str">
        <f>IF(Qualité!L10&lt;&gt;"",Qualité!$L$10,"Non contrôlé")</f>
        <v>Non contrôlé</v>
      </c>
      <c r="M24" s="962"/>
      <c r="N24" s="740" t="str">
        <f>IF(Qualité!M10&lt;&gt;"",Qualité!$M$10,"")</f>
        <v/>
      </c>
      <c r="O24" s="741"/>
      <c r="P24" s="741"/>
      <c r="Q24" s="741"/>
      <c r="R24" s="741"/>
      <c r="S24" s="741"/>
      <c r="T24" s="741"/>
      <c r="U24" s="741"/>
      <c r="V24" s="741"/>
      <c r="W24" s="741"/>
      <c r="X24" s="741"/>
      <c r="Y24" s="949"/>
      <c r="Z24" s="268"/>
      <c r="AA24" s="265"/>
      <c r="AB24" s="249"/>
    </row>
    <row r="25" spans="2:28" ht="30" customHeight="1" outlineLevel="1" thickBot="1" x14ac:dyDescent="0.45">
      <c r="B25" s="253"/>
      <c r="C25" s="264"/>
      <c r="D25" s="726"/>
      <c r="E25" s="727"/>
      <c r="F25" s="254"/>
      <c r="G25" s="947" t="s">
        <v>484</v>
      </c>
      <c r="H25" s="948"/>
      <c r="I25" s="948"/>
      <c r="J25" s="948"/>
      <c r="K25" s="948"/>
      <c r="L25" s="419" t="str">
        <f>IF(Qualité!L29&lt;&gt;"",Qualité!$L$29,"Non contrôlé")</f>
        <v>Non contrôlé</v>
      </c>
      <c r="M25" s="420">
        <f>IF(Qualité!$L$29="Oui",1,0.9)</f>
        <v>0.9</v>
      </c>
      <c r="N25" s="950" t="str">
        <f>IF(Qualité!$D$32&lt;&gt;"",Qualité!$D$32,"")</f>
        <v/>
      </c>
      <c r="O25" s="951"/>
      <c r="P25" s="951"/>
      <c r="Q25" s="951"/>
      <c r="R25" s="951"/>
      <c r="S25" s="951"/>
      <c r="T25" s="951"/>
      <c r="U25" s="951"/>
      <c r="V25" s="951"/>
      <c r="W25" s="951"/>
      <c r="X25" s="951"/>
      <c r="Y25" s="952"/>
      <c r="Z25" s="268"/>
      <c r="AA25" s="265"/>
      <c r="AB25" s="249"/>
    </row>
    <row r="26" spans="2:28" ht="20.100000000000001" customHeight="1" outlineLevel="1" thickBot="1" x14ac:dyDescent="0.45">
      <c r="B26" s="253"/>
      <c r="C26" s="264"/>
      <c r="D26" s="728"/>
      <c r="E26" s="729"/>
      <c r="F26" s="270"/>
      <c r="G26" s="270"/>
      <c r="H26" s="270"/>
      <c r="I26" s="270"/>
      <c r="J26" s="270"/>
      <c r="K26" s="270"/>
      <c r="L26" s="270"/>
      <c r="M26" s="270"/>
      <c r="N26" s="270"/>
      <c r="O26" s="270"/>
      <c r="P26" s="270"/>
      <c r="Q26" s="270"/>
      <c r="R26" s="270"/>
      <c r="S26" s="270"/>
      <c r="T26" s="270"/>
      <c r="U26" s="270"/>
      <c r="V26" s="270"/>
      <c r="W26" s="270"/>
      <c r="X26" s="270"/>
      <c r="Y26" s="270"/>
      <c r="Z26" s="269"/>
      <c r="AA26" s="265"/>
      <c r="AB26" s="249"/>
    </row>
    <row r="27" spans="2:28" ht="20.100000000000001" customHeight="1" outlineLevel="1" thickBot="1" x14ac:dyDescent="0.45">
      <c r="B27" s="253"/>
      <c r="C27" s="264"/>
      <c r="D27" s="254"/>
      <c r="E27" s="254"/>
      <c r="F27" s="254"/>
      <c r="G27" s="254"/>
      <c r="H27" s="254"/>
      <c r="I27" s="254"/>
      <c r="J27" s="254"/>
      <c r="K27" s="254"/>
      <c r="L27" s="254"/>
      <c r="M27" s="254"/>
      <c r="N27" s="254"/>
      <c r="O27" s="254"/>
      <c r="P27" s="254"/>
      <c r="Q27" s="254"/>
      <c r="R27" s="254"/>
      <c r="S27" s="254"/>
      <c r="T27" s="254"/>
      <c r="U27" s="254"/>
      <c r="V27" s="254"/>
      <c r="W27" s="254"/>
      <c r="X27" s="254"/>
      <c r="Y27" s="254"/>
      <c r="Z27" s="254"/>
      <c r="AA27" s="265"/>
      <c r="AB27" s="249"/>
    </row>
    <row r="28" spans="2:28" ht="20.100000000000001" customHeight="1" outlineLevel="1" thickBot="1" x14ac:dyDescent="0.45">
      <c r="B28" s="253"/>
      <c r="C28" s="264"/>
      <c r="D28" s="724" t="s">
        <v>498</v>
      </c>
      <c r="E28" s="725"/>
      <c r="F28" s="271"/>
      <c r="G28" s="271"/>
      <c r="H28" s="271"/>
      <c r="I28" s="271"/>
      <c r="J28" s="271"/>
      <c r="K28" s="271"/>
      <c r="L28" s="271"/>
      <c r="M28" s="271"/>
      <c r="N28" s="271"/>
      <c r="O28" s="271"/>
      <c r="P28" s="271"/>
      <c r="Q28" s="271"/>
      <c r="R28" s="271"/>
      <c r="S28" s="271"/>
      <c r="T28" s="271"/>
      <c r="U28" s="271"/>
      <c r="V28" s="271"/>
      <c r="W28" s="271"/>
      <c r="X28" s="271"/>
      <c r="Y28" s="271"/>
      <c r="Z28" s="267"/>
      <c r="AA28" s="265"/>
      <c r="AB28" s="249"/>
    </row>
    <row r="29" spans="2:28" ht="20.100000000000001" customHeight="1" outlineLevel="1" x14ac:dyDescent="0.4">
      <c r="B29" s="253"/>
      <c r="C29" s="264"/>
      <c r="D29" s="726"/>
      <c r="E29" s="727"/>
      <c r="F29" s="254"/>
      <c r="G29" s="929"/>
      <c r="H29" s="930"/>
      <c r="I29" s="930"/>
      <c r="J29" s="931"/>
      <c r="K29" s="1013" t="s">
        <v>500</v>
      </c>
      <c r="L29" s="1014"/>
      <c r="M29" s="301"/>
      <c r="N29" s="958" t="s">
        <v>480</v>
      </c>
      <c r="O29" s="959"/>
      <c r="P29" s="959"/>
      <c r="Q29" s="959"/>
      <c r="R29" s="959"/>
      <c r="S29" s="959"/>
      <c r="T29" s="959"/>
      <c r="U29" s="959"/>
      <c r="V29" s="959"/>
      <c r="W29" s="959"/>
      <c r="X29" s="959"/>
      <c r="Y29" s="960"/>
      <c r="Z29" s="268"/>
      <c r="AA29" s="265"/>
      <c r="AB29" s="249"/>
    </row>
    <row r="30" spans="2:28" ht="20.100000000000001" customHeight="1" outlineLevel="1" x14ac:dyDescent="0.4">
      <c r="B30" s="253"/>
      <c r="C30" s="264"/>
      <c r="D30" s="726"/>
      <c r="E30" s="727"/>
      <c r="F30" s="254"/>
      <c r="G30" s="936" t="s">
        <v>2</v>
      </c>
      <c r="H30" s="837"/>
      <c r="I30" s="838" t="s">
        <v>385</v>
      </c>
      <c r="J30" s="839"/>
      <c r="K30" s="840" t="str">
        <f>IF(Analytique!N11&lt;&gt;"",Analytique!N11,"")</f>
        <v/>
      </c>
      <c r="L30" s="937"/>
      <c r="M30" s="301"/>
      <c r="N30" s="953" t="str">
        <f>IF(Analytique!D17&lt;&gt;"",Analytique!D17,"")</f>
        <v/>
      </c>
      <c r="O30" s="846"/>
      <c r="P30" s="846"/>
      <c r="Q30" s="846"/>
      <c r="R30" s="846"/>
      <c r="S30" s="846"/>
      <c r="T30" s="846"/>
      <c r="U30" s="846"/>
      <c r="V30" s="846"/>
      <c r="W30" s="846"/>
      <c r="X30" s="846"/>
      <c r="Y30" s="954"/>
      <c r="Z30" s="268"/>
      <c r="AA30" s="265"/>
      <c r="AB30" s="249"/>
    </row>
    <row r="31" spans="2:28" ht="20.100000000000001" customHeight="1" outlineLevel="1" x14ac:dyDescent="0.4">
      <c r="B31" s="253"/>
      <c r="C31" s="264"/>
      <c r="D31" s="726"/>
      <c r="E31" s="727"/>
      <c r="F31" s="254"/>
      <c r="G31" s="938" t="s">
        <v>499</v>
      </c>
      <c r="H31" s="852"/>
      <c r="I31" s="855" t="s">
        <v>382</v>
      </c>
      <c r="J31" s="856"/>
      <c r="K31" s="857" t="str">
        <f>IF(Analytique!N12&lt;&gt;"",Analytique!N12,"")</f>
        <v/>
      </c>
      <c r="L31" s="935"/>
      <c r="M31" s="254"/>
      <c r="N31" s="953"/>
      <c r="O31" s="846"/>
      <c r="P31" s="846"/>
      <c r="Q31" s="846"/>
      <c r="R31" s="846"/>
      <c r="S31" s="846"/>
      <c r="T31" s="846"/>
      <c r="U31" s="846"/>
      <c r="V31" s="846"/>
      <c r="W31" s="846"/>
      <c r="X31" s="846"/>
      <c r="Y31" s="954"/>
      <c r="Z31" s="268"/>
      <c r="AA31" s="265"/>
      <c r="AB31" s="249"/>
    </row>
    <row r="32" spans="2:28" ht="20.100000000000001" customHeight="1" outlineLevel="1" x14ac:dyDescent="0.4">
      <c r="B32" s="253"/>
      <c r="C32" s="264"/>
      <c r="D32" s="726"/>
      <c r="E32" s="727"/>
      <c r="F32" s="254"/>
      <c r="G32" s="938"/>
      <c r="H32" s="852"/>
      <c r="I32" s="859" t="s">
        <v>383</v>
      </c>
      <c r="J32" s="860"/>
      <c r="K32" s="861" t="str">
        <f>IF(Analytique!N13&lt;&gt;"",Analytique!N13,"")</f>
        <v/>
      </c>
      <c r="L32" s="972"/>
      <c r="M32" s="254"/>
      <c r="N32" s="953"/>
      <c r="O32" s="846"/>
      <c r="P32" s="846"/>
      <c r="Q32" s="846"/>
      <c r="R32" s="846"/>
      <c r="S32" s="846"/>
      <c r="T32" s="846"/>
      <c r="U32" s="846"/>
      <c r="V32" s="846"/>
      <c r="W32" s="846"/>
      <c r="X32" s="846"/>
      <c r="Y32" s="954"/>
      <c r="Z32" s="268"/>
      <c r="AA32" s="265"/>
      <c r="AB32" s="249"/>
    </row>
    <row r="33" spans="2:28" ht="20.100000000000001" customHeight="1" outlineLevel="1" thickBot="1" x14ac:dyDescent="0.45">
      <c r="B33" s="253"/>
      <c r="C33" s="264"/>
      <c r="D33" s="726"/>
      <c r="E33" s="727"/>
      <c r="F33" s="254"/>
      <c r="G33" s="939"/>
      <c r="H33" s="940"/>
      <c r="I33" s="1015" t="s">
        <v>384</v>
      </c>
      <c r="J33" s="1016"/>
      <c r="K33" s="1017" t="str">
        <f>IF(Analytique!N14&lt;&gt;"",Analytique!N14,"")</f>
        <v/>
      </c>
      <c r="L33" s="1018"/>
      <c r="M33" s="254"/>
      <c r="N33" s="955"/>
      <c r="O33" s="956"/>
      <c r="P33" s="956"/>
      <c r="Q33" s="956"/>
      <c r="R33" s="956"/>
      <c r="S33" s="956"/>
      <c r="T33" s="956"/>
      <c r="U33" s="956"/>
      <c r="V33" s="956"/>
      <c r="W33" s="956"/>
      <c r="X33" s="956"/>
      <c r="Y33" s="957"/>
      <c r="Z33" s="268"/>
      <c r="AA33" s="265"/>
      <c r="AB33" s="249"/>
    </row>
    <row r="34" spans="2:28" ht="20.100000000000001" customHeight="1" outlineLevel="1" thickBot="1" x14ac:dyDescent="0.45">
      <c r="B34" s="253"/>
      <c r="C34" s="264"/>
      <c r="D34" s="728"/>
      <c r="E34" s="729"/>
      <c r="F34" s="270"/>
      <c r="G34" s="270"/>
      <c r="H34" s="270"/>
      <c r="I34" s="270"/>
      <c r="J34" s="270"/>
      <c r="K34" s="270"/>
      <c r="L34" s="270"/>
      <c r="M34" s="270"/>
      <c r="N34" s="270"/>
      <c r="O34" s="270"/>
      <c r="P34" s="270"/>
      <c r="Q34" s="270"/>
      <c r="R34" s="270"/>
      <c r="S34" s="270"/>
      <c r="T34" s="270"/>
      <c r="U34" s="270"/>
      <c r="V34" s="270"/>
      <c r="W34" s="270"/>
      <c r="X34" s="270"/>
      <c r="Y34" s="259"/>
      <c r="Z34" s="269"/>
      <c r="AA34" s="265"/>
      <c r="AB34" s="249"/>
    </row>
    <row r="35" spans="2:28" ht="20.100000000000001" customHeight="1" outlineLevel="1" thickBot="1" x14ac:dyDescent="0.45">
      <c r="B35" s="253"/>
      <c r="C35" s="264"/>
      <c r="D35" s="254"/>
      <c r="E35" s="254"/>
      <c r="F35" s="254"/>
      <c r="G35" s="254"/>
      <c r="H35" s="254"/>
      <c r="I35" s="254"/>
      <c r="J35" s="254"/>
      <c r="K35" s="254"/>
      <c r="L35" s="254"/>
      <c r="M35" s="254"/>
      <c r="N35" s="254"/>
      <c r="O35" s="254"/>
      <c r="P35" s="254"/>
      <c r="Q35" s="254"/>
      <c r="R35" s="254"/>
      <c r="S35" s="254"/>
      <c r="T35" s="254"/>
      <c r="U35" s="254"/>
      <c r="V35" s="254"/>
      <c r="W35" s="254"/>
      <c r="X35" s="254"/>
      <c r="Y35" s="240"/>
      <c r="Z35" s="254"/>
      <c r="AA35" s="265"/>
      <c r="AB35" s="249"/>
    </row>
    <row r="36" spans="2:28" ht="20.100000000000001" customHeight="1" outlineLevel="1" thickBot="1" x14ac:dyDescent="0.45">
      <c r="B36" s="253"/>
      <c r="C36" s="264"/>
      <c r="D36" s="724" t="s">
        <v>10</v>
      </c>
      <c r="E36" s="725"/>
      <c r="F36" s="271"/>
      <c r="G36" s="271"/>
      <c r="H36" s="271"/>
      <c r="I36" s="271"/>
      <c r="J36" s="271"/>
      <c r="K36" s="271"/>
      <c r="L36" s="271"/>
      <c r="M36" s="271"/>
      <c r="N36" s="271"/>
      <c r="O36" s="271"/>
      <c r="P36" s="271"/>
      <c r="Q36" s="271"/>
      <c r="R36" s="271"/>
      <c r="S36" s="271"/>
      <c r="T36" s="271"/>
      <c r="U36" s="271"/>
      <c r="V36" s="271"/>
      <c r="W36" s="271"/>
      <c r="X36" s="271"/>
      <c r="Y36" s="258"/>
      <c r="Z36" s="267"/>
      <c r="AA36" s="265"/>
      <c r="AB36" s="249"/>
    </row>
    <row r="37" spans="2:28" ht="20.100000000000001" customHeight="1" outlineLevel="1" x14ac:dyDescent="0.4">
      <c r="B37" s="253"/>
      <c r="C37" s="264"/>
      <c r="D37" s="726"/>
      <c r="E37" s="727"/>
      <c r="F37" s="254"/>
      <c r="G37" s="932"/>
      <c r="H37" s="933"/>
      <c r="I37" s="933"/>
      <c r="J37" s="934"/>
      <c r="K37" s="981" t="s">
        <v>29</v>
      </c>
      <c r="L37" s="982"/>
      <c r="M37" s="254"/>
      <c r="N37" s="904" t="s">
        <v>480</v>
      </c>
      <c r="O37" s="905"/>
      <c r="P37" s="905"/>
      <c r="Q37" s="905"/>
      <c r="R37" s="905"/>
      <c r="S37" s="905"/>
      <c r="T37" s="905"/>
      <c r="U37" s="905"/>
      <c r="V37" s="905"/>
      <c r="W37" s="905"/>
      <c r="X37" s="905"/>
      <c r="Y37" s="906"/>
      <c r="Z37" s="268"/>
      <c r="AA37" s="265"/>
      <c r="AB37" s="249"/>
    </row>
    <row r="38" spans="2:28" ht="20.100000000000001" customHeight="1" outlineLevel="1" x14ac:dyDescent="0.4">
      <c r="B38" s="253"/>
      <c r="C38" s="264"/>
      <c r="D38" s="726"/>
      <c r="E38" s="727"/>
      <c r="F38" s="254"/>
      <c r="G38" s="963" t="s">
        <v>11</v>
      </c>
      <c r="H38" s="828"/>
      <c r="I38" s="833" t="str" cm="1">
        <f t="array" aca="1" ref="I38" ca="1">IFERROR(INDEX(Equipements_STEU!$L$16:$L$72,SMALL(IF(Equipements_STEU!$J$16:$J$72="Sonde de température",ROW(Equipements_STEU!$J$16:$J$72)-ROW(Equipements_STEU!$J$16)+1),ROW(1:1))),"")</f>
        <v/>
      </c>
      <c r="J38" s="834"/>
      <c r="K38" s="801" t="str" cm="1">
        <f t="array" aca="1" ref="K38" ca="1">IFERROR(INDEX(Equipements_STEU!$P$16:$P$72,SMALL(IF(Equipements_STEU!$J$16:$J$72="Sonde de température",ROW(Equipements_STEU!$J$16:$J$72)-ROW(Equipements_STEU!$J$16)+1),ROW(1:1))),"")</f>
        <v/>
      </c>
      <c r="L38" s="971"/>
      <c r="M38" s="254"/>
      <c r="N38" s="907" t="str" cm="1">
        <f t="array" aca="1" ref="N38" ca="1">IFERROR(INDEX(Equipements_STEU!$T$16:$T$72,SMALL(IF(Equipements_STEU!$J$16:$J$72="Sonde de température",ROW(Equipements_STEU!$J$16:$J$72)-ROW(Equipements_STEU!$J$16)+1),ROW(1:1))),"")</f>
        <v/>
      </c>
      <c r="O38" s="908"/>
      <c r="P38" s="908"/>
      <c r="Q38" s="908"/>
      <c r="R38" s="908"/>
      <c r="S38" s="908"/>
      <c r="T38" s="908"/>
      <c r="U38" s="908"/>
      <c r="V38" s="908"/>
      <c r="W38" s="908"/>
      <c r="X38" s="908"/>
      <c r="Y38" s="909"/>
      <c r="Z38" s="268"/>
      <c r="AA38" s="265"/>
      <c r="AB38" s="249"/>
    </row>
    <row r="39" spans="2:28" ht="20.100000000000001" customHeight="1" outlineLevel="1" x14ac:dyDescent="0.4">
      <c r="B39" s="253"/>
      <c r="C39" s="264"/>
      <c r="D39" s="726"/>
      <c r="E39" s="727"/>
      <c r="F39" s="254"/>
      <c r="G39" s="964"/>
      <c r="H39" s="830"/>
      <c r="I39" s="987" t="str" cm="1">
        <f t="array" aca="1" ref="I39" ca="1">IFERROR(INDEX(Equipements_STEU!$L$16:$L$72,SMALL(IF(Equipements_STEU!$J$16:$J$72="Sonde de température",ROW(Equipements_STEU!$J$16:$J$72)-ROW(Equipements_STEU!$J$16)+1),ROW(2:2))),"")</f>
        <v/>
      </c>
      <c r="J39" s="988"/>
      <c r="K39" s="808" t="str" cm="1">
        <f t="array" aca="1" ref="K39" ca="1">IFERROR(INDEX(Equipements_STEU!$R$16:$R$72,SMALL(IF(Equipements_STEU!$J$16:$J$72="Sonde de température",ROW(Equipements_STEU!$J$16:$J$72)-ROW(Equipements_STEU!$J$16)+1),ROW(2:2))),"")</f>
        <v/>
      </c>
      <c r="L39" s="989"/>
      <c r="M39" s="254"/>
      <c r="N39" s="910" t="str" cm="1">
        <f t="array" aca="1" ref="N39" ca="1">IFERROR(INDEX(Equipements_STEU!$T$16:$T$72,SMALL(IF(Equipements_STEU!$J$16:$J$72="Sonde de température",ROW(Equipements_STEU!$J$16:$J$72)-ROW(Equipements_STEU!$J$16)+1),ROW(2:2))),"")</f>
        <v/>
      </c>
      <c r="O39" s="811"/>
      <c r="P39" s="811"/>
      <c r="Q39" s="811"/>
      <c r="R39" s="811"/>
      <c r="S39" s="811"/>
      <c r="T39" s="811"/>
      <c r="U39" s="811"/>
      <c r="V39" s="811"/>
      <c r="W39" s="811"/>
      <c r="X39" s="811"/>
      <c r="Y39" s="911"/>
      <c r="Z39" s="268"/>
      <c r="AA39" s="265"/>
      <c r="AB39" s="249"/>
    </row>
    <row r="40" spans="2:28" ht="20.100000000000001" customHeight="1" outlineLevel="1" thickBot="1" x14ac:dyDescent="0.45">
      <c r="B40" s="253"/>
      <c r="C40" s="264"/>
      <c r="D40" s="726"/>
      <c r="E40" s="727"/>
      <c r="F40" s="254"/>
      <c r="G40" s="965"/>
      <c r="H40" s="966"/>
      <c r="I40" s="983" t="str" cm="1">
        <f t="array" aca="1" ref="I40" ca="1">IFERROR(INDEX(Equipements_STEU!$L$16:$L$72,SMALL(IF(Equipements_STEU!$J$16:$J$72="Sonde de température",ROW(Equipements_STEU!$J$16:$J$72)-ROW(Equipements_STEU!$J$16)+1),ROW(3:3))),"")</f>
        <v/>
      </c>
      <c r="J40" s="984"/>
      <c r="K40" s="985" t="str" cm="1">
        <f t="array" aca="1" ref="K40" ca="1">IFERROR(INDEX(Equipements_STEU!$R$16:$R$72,SMALL(IF(Equipements_STEU!$J$16:$J$72="Sonde de température",ROW(Equipements_STEU!$J$16:$J$72)-ROW(Equipements_STEU!$J$16)+1),ROW(3:3))),"")</f>
        <v/>
      </c>
      <c r="L40" s="986"/>
      <c r="M40" s="254"/>
      <c r="N40" s="912" t="str" cm="1">
        <f t="array" aca="1" ref="N40" ca="1">IFERROR(INDEX(Equipements_STEU!$T$16:$T$72,SMALL(IF(Equipements_STEU!$J$16:$J$72="Sonde de température",ROW(Equipements_STEU!$J$16:$J$72)-ROW(Equipements_STEU!$J$16)+1),ROW(3:3))),"")</f>
        <v/>
      </c>
      <c r="O40" s="913"/>
      <c r="P40" s="913"/>
      <c r="Q40" s="913"/>
      <c r="R40" s="913"/>
      <c r="S40" s="913"/>
      <c r="T40" s="913"/>
      <c r="U40" s="913"/>
      <c r="V40" s="913"/>
      <c r="W40" s="913"/>
      <c r="X40" s="913"/>
      <c r="Y40" s="914"/>
      <c r="Z40" s="268"/>
      <c r="AA40" s="265"/>
      <c r="AB40" s="249"/>
    </row>
    <row r="41" spans="2:28" ht="20.100000000000001" customHeight="1" outlineLevel="1" thickBot="1" x14ac:dyDescent="0.45">
      <c r="B41" s="253"/>
      <c r="C41" s="264"/>
      <c r="D41" s="726"/>
      <c r="E41" s="727"/>
      <c r="F41" s="254"/>
      <c r="G41" s="254"/>
      <c r="H41" s="254"/>
      <c r="I41" s="254"/>
      <c r="J41" s="254"/>
      <c r="K41" s="254"/>
      <c r="L41" s="254"/>
      <c r="M41" s="254"/>
      <c r="N41" s="254"/>
      <c r="O41" s="254"/>
      <c r="P41" s="273"/>
      <c r="Q41" s="273"/>
      <c r="R41" s="273"/>
      <c r="S41" s="273"/>
      <c r="T41" s="274"/>
      <c r="U41" s="274"/>
      <c r="V41" s="274"/>
      <c r="W41" s="274"/>
      <c r="X41" s="272"/>
      <c r="Y41" s="272"/>
      <c r="Z41" s="268"/>
      <c r="AA41" s="265"/>
      <c r="AB41" s="249"/>
    </row>
    <row r="42" spans="2:28" ht="20.100000000000001" customHeight="1" outlineLevel="1" x14ac:dyDescent="0.4">
      <c r="B42" s="253"/>
      <c r="C42" s="264"/>
      <c r="D42" s="726"/>
      <c r="E42" s="727"/>
      <c r="F42" s="254"/>
      <c r="G42" s="932"/>
      <c r="H42" s="933"/>
      <c r="I42" s="933"/>
      <c r="J42" s="934"/>
      <c r="K42" s="981" t="s">
        <v>29</v>
      </c>
      <c r="L42" s="982"/>
      <c r="M42" s="254"/>
      <c r="N42" s="904" t="s">
        <v>480</v>
      </c>
      <c r="O42" s="905"/>
      <c r="P42" s="905"/>
      <c r="Q42" s="905"/>
      <c r="R42" s="905"/>
      <c r="S42" s="905"/>
      <c r="T42" s="905"/>
      <c r="U42" s="905"/>
      <c r="V42" s="905"/>
      <c r="W42" s="905"/>
      <c r="X42" s="905"/>
      <c r="Y42" s="906"/>
      <c r="Z42" s="268"/>
      <c r="AA42" s="265"/>
      <c r="AB42" s="249"/>
    </row>
    <row r="43" spans="2:28" ht="20.100000000000001" customHeight="1" outlineLevel="1" x14ac:dyDescent="0.4">
      <c r="B43" s="253"/>
      <c r="C43" s="264"/>
      <c r="D43" s="726"/>
      <c r="E43" s="727"/>
      <c r="F43" s="254"/>
      <c r="G43" s="991" t="s">
        <v>12</v>
      </c>
      <c r="H43" s="796"/>
      <c r="I43" s="799" t="str" cm="1">
        <f t="array" aca="1" ref="I43" ca="1">IFERROR(INDEX(Equipements_STEU!$L$16:$L$72,SMALL(IF(Equipements_STEU!$J$16:$J$72="Pluviomètre",ROW(Equipements_STEU!$J$16:$J$72)-ROW(Equipements_STEU!$J$16)+1),ROW(1:1))),"")</f>
        <v/>
      </c>
      <c r="J43" s="800"/>
      <c r="K43" s="801" t="str" cm="1">
        <f t="array" aca="1" ref="K43" ca="1">IFERROR(INDEX(Equipements_STEU!$P$16:$P$72,SMALL(IF(Equipements_STEU!$J$16:$J$72="Pluviomètre",ROW(Equipements_STEU!$J$16:$J$72)-ROW(Equipements_STEU!$J$16)+1),ROW(1:1))),"")</f>
        <v/>
      </c>
      <c r="L43" s="990"/>
      <c r="M43" s="254"/>
      <c r="N43" s="907" t="str" cm="1">
        <f t="array" aca="1" ref="N43" ca="1">IFERROR(INDEX(Equipements_STEU!$T$16:$T$72,SMALL(IF(Equipements_STEU!$J$16:$J$72="Pluviomètre",ROW(Equipements_STEU!$J$16:$J$72)-ROW(Equipements_STEU!$J$16)+1),ROW(1:1))),"")</f>
        <v/>
      </c>
      <c r="O43" s="908"/>
      <c r="P43" s="908"/>
      <c r="Q43" s="908"/>
      <c r="R43" s="908"/>
      <c r="S43" s="908"/>
      <c r="T43" s="908"/>
      <c r="U43" s="908"/>
      <c r="V43" s="908"/>
      <c r="W43" s="908"/>
      <c r="X43" s="908"/>
      <c r="Y43" s="909"/>
      <c r="Z43" s="268"/>
      <c r="AA43" s="265"/>
      <c r="AB43" s="249"/>
    </row>
    <row r="44" spans="2:28" ht="20.100000000000001" customHeight="1" outlineLevel="1" x14ac:dyDescent="0.4">
      <c r="B44" s="253"/>
      <c r="C44" s="264"/>
      <c r="D44" s="726"/>
      <c r="E44" s="727"/>
      <c r="F44" s="254"/>
      <c r="G44" s="991"/>
      <c r="H44" s="796"/>
      <c r="I44" s="806" t="str" cm="1">
        <f t="array" aca="1" ref="I44" ca="1">IFERROR(INDEX(Equipements_STEU!$L$16:$L$72,SMALL(IF(Equipements_STEU!$J$16:$J$72="Pluviomètre",ROW(Equipements_STEU!$J$16:$J$72)-ROW(Equipements_STEU!$J$16)+1),ROW(2:2))),"")</f>
        <v/>
      </c>
      <c r="J44" s="807"/>
      <c r="K44" s="808" t="str" cm="1">
        <f t="array" aca="1" ref="K44" ca="1">IFERROR(INDEX(Equipements_STEU!$P$16:$P$72,SMALL(IF(Equipements_STEU!$J$16:$J$72="Pluviomètre",ROW(Equipements_STEU!$J$16:$J$72)-ROW(Equipements_STEU!$J$16)+1),ROW(2:2))),"")</f>
        <v/>
      </c>
      <c r="L44" s="1010"/>
      <c r="M44" s="254"/>
      <c r="N44" s="910" t="str" cm="1">
        <f t="array" aca="1" ref="N44" ca="1">IFERROR(INDEX(Equipements_STEU!$T$16:$T$72,SMALL(IF(Equipements_STEU!$J$16:$J$72="Pluviomètre",ROW(Equipements_STEU!$J$16:$J$72)-ROW(Equipements_STEU!$J$16)+1),ROW(2:2))),"")</f>
        <v/>
      </c>
      <c r="O44" s="811"/>
      <c r="P44" s="811"/>
      <c r="Q44" s="811"/>
      <c r="R44" s="811"/>
      <c r="S44" s="811"/>
      <c r="T44" s="811"/>
      <c r="U44" s="811"/>
      <c r="V44" s="811"/>
      <c r="W44" s="811"/>
      <c r="X44" s="811"/>
      <c r="Y44" s="911"/>
      <c r="Z44" s="268"/>
      <c r="AA44" s="265"/>
      <c r="AB44" s="249"/>
    </row>
    <row r="45" spans="2:28" ht="20.100000000000001" customHeight="1" outlineLevel="1" thickBot="1" x14ac:dyDescent="0.45">
      <c r="B45" s="253"/>
      <c r="C45" s="264"/>
      <c r="D45" s="726"/>
      <c r="E45" s="727"/>
      <c r="F45" s="254"/>
      <c r="G45" s="992"/>
      <c r="H45" s="993"/>
      <c r="I45" s="941" t="str" cm="1">
        <f t="array" aca="1" ref="I45" ca="1">IFERROR(INDEX(Equipements_STEU!$L$16:$L$72,SMALL(IF(Equipements_STEU!$J$16:$J$72="Pluviomètre",ROW(Equipements_STEU!$J$16:$J$72)-ROW(Equipements_STEU!$J$16)+1),ROW(3:3))),"")</f>
        <v/>
      </c>
      <c r="J45" s="942"/>
      <c r="K45" s="967" t="str" cm="1">
        <f t="array" aca="1" ref="K45" ca="1">IFERROR(INDEX(Equipements_STEU!$P$16:$P$72,SMALL(IF(Equipements_STEU!$J$16:$J$72="Pluviomètre",ROW(Equipements_STEU!$J$16:$J$72)-ROW(Equipements_STEU!$J$16)+1),ROW(3:3))),"")</f>
        <v/>
      </c>
      <c r="L45" s="968"/>
      <c r="M45" s="254"/>
      <c r="N45" s="912" t="str" cm="1">
        <f t="array" aca="1" ref="N45" ca="1">IFERROR(INDEX(Equipements_STEU!$T$16:$T$72,SMALL(IF(Equipements_STEU!$J$16:$J$72="Pluviomètre",ROW(Equipements_STEU!$J$16:$J$72)-ROW(Equipements_STEU!$J$16)+1),ROW(3:3))),"")</f>
        <v/>
      </c>
      <c r="O45" s="913"/>
      <c r="P45" s="913"/>
      <c r="Q45" s="913"/>
      <c r="R45" s="913"/>
      <c r="S45" s="913"/>
      <c r="T45" s="913"/>
      <c r="U45" s="913"/>
      <c r="V45" s="913"/>
      <c r="W45" s="913"/>
      <c r="X45" s="913"/>
      <c r="Y45" s="914"/>
      <c r="Z45" s="268"/>
      <c r="AA45" s="265"/>
      <c r="AB45" s="249"/>
    </row>
    <row r="46" spans="2:28" ht="20.100000000000001" customHeight="1" outlineLevel="1" thickBot="1" x14ac:dyDescent="0.45">
      <c r="B46" s="253"/>
      <c r="C46" s="264"/>
      <c r="D46" s="728"/>
      <c r="E46" s="729"/>
      <c r="F46" s="270"/>
      <c r="G46" s="270"/>
      <c r="H46" s="270"/>
      <c r="I46" s="270"/>
      <c r="J46" s="270"/>
      <c r="K46" s="270"/>
      <c r="L46" s="270"/>
      <c r="M46" s="270"/>
      <c r="N46" s="270"/>
      <c r="O46" s="270"/>
      <c r="P46" s="270"/>
      <c r="Q46" s="270"/>
      <c r="R46" s="270"/>
      <c r="S46" s="270"/>
      <c r="T46" s="270"/>
      <c r="U46" s="270"/>
      <c r="V46" s="270"/>
      <c r="W46" s="270"/>
      <c r="X46" s="270"/>
      <c r="Y46" s="270"/>
      <c r="Z46" s="269"/>
      <c r="AA46" s="265"/>
      <c r="AB46" s="249"/>
    </row>
    <row r="47" spans="2:28" ht="20.100000000000001" customHeight="1" outlineLevel="1" thickBot="1" x14ac:dyDescent="0.45">
      <c r="B47" s="253"/>
      <c r="C47" s="264"/>
      <c r="D47" s="275"/>
      <c r="E47" s="275"/>
      <c r="F47" s="254"/>
      <c r="G47" s="254"/>
      <c r="H47" s="254"/>
      <c r="I47" s="254"/>
      <c r="J47" s="254"/>
      <c r="K47" s="254"/>
      <c r="L47" s="254"/>
      <c r="M47" s="254"/>
      <c r="N47" s="254"/>
      <c r="O47" s="254"/>
      <c r="P47" s="254"/>
      <c r="Q47" s="254"/>
      <c r="R47" s="254"/>
      <c r="S47" s="254"/>
      <c r="T47" s="254"/>
      <c r="U47" s="254"/>
      <c r="V47" s="254"/>
      <c r="W47" s="254"/>
      <c r="X47" s="254"/>
      <c r="Y47" s="254"/>
      <c r="Z47" s="254"/>
      <c r="AA47" s="265"/>
      <c r="AB47" s="249"/>
    </row>
    <row r="48" spans="2:28" ht="20.100000000000001" customHeight="1" outlineLevel="1" x14ac:dyDescent="0.4">
      <c r="B48" s="253"/>
      <c r="C48" s="264"/>
      <c r="D48" s="724" t="s">
        <v>13</v>
      </c>
      <c r="E48" s="725"/>
      <c r="F48" s="775"/>
      <c r="G48" s="776"/>
      <c r="H48" s="776"/>
      <c r="I48" s="776"/>
      <c r="J48" s="776"/>
      <c r="K48" s="776"/>
      <c r="L48" s="776"/>
      <c r="M48" s="776"/>
      <c r="N48" s="776"/>
      <c r="O48" s="776"/>
      <c r="P48" s="776"/>
      <c r="Q48" s="776"/>
      <c r="R48" s="776"/>
      <c r="S48" s="776"/>
      <c r="T48" s="776"/>
      <c r="U48" s="776"/>
      <c r="V48" s="776"/>
      <c r="W48" s="776"/>
      <c r="X48" s="776"/>
      <c r="Y48" s="776"/>
      <c r="Z48" s="777"/>
      <c r="AA48" s="257"/>
      <c r="AB48" s="249"/>
    </row>
    <row r="49" spans="2:28" ht="20.100000000000001" customHeight="1" outlineLevel="1" x14ac:dyDescent="0.4">
      <c r="B49" s="253"/>
      <c r="C49" s="264"/>
      <c r="D49" s="726"/>
      <c r="E49" s="727"/>
      <c r="F49" s="778"/>
      <c r="G49" s="779"/>
      <c r="H49" s="779"/>
      <c r="I49" s="779"/>
      <c r="J49" s="779"/>
      <c r="K49" s="779"/>
      <c r="L49" s="779"/>
      <c r="M49" s="779"/>
      <c r="N49" s="779"/>
      <c r="O49" s="779"/>
      <c r="P49" s="779"/>
      <c r="Q49" s="779"/>
      <c r="R49" s="779"/>
      <c r="S49" s="779"/>
      <c r="T49" s="779"/>
      <c r="U49" s="779"/>
      <c r="V49" s="779"/>
      <c r="W49" s="779"/>
      <c r="X49" s="779"/>
      <c r="Y49" s="779"/>
      <c r="Z49" s="780"/>
      <c r="AA49" s="265"/>
      <c r="AB49" s="249"/>
    </row>
    <row r="50" spans="2:28" ht="20.100000000000001" customHeight="1" outlineLevel="1" x14ac:dyDescent="0.4">
      <c r="B50" s="253"/>
      <c r="C50" s="264"/>
      <c r="D50" s="726"/>
      <c r="E50" s="727"/>
      <c r="F50" s="778"/>
      <c r="G50" s="779"/>
      <c r="H50" s="779"/>
      <c r="I50" s="779"/>
      <c r="J50" s="779"/>
      <c r="K50" s="779"/>
      <c r="L50" s="779"/>
      <c r="M50" s="779"/>
      <c r="N50" s="779"/>
      <c r="O50" s="779"/>
      <c r="P50" s="779"/>
      <c r="Q50" s="779"/>
      <c r="R50" s="779"/>
      <c r="S50" s="779"/>
      <c r="T50" s="779"/>
      <c r="U50" s="779"/>
      <c r="V50" s="779"/>
      <c r="W50" s="779"/>
      <c r="X50" s="779"/>
      <c r="Y50" s="779"/>
      <c r="Z50" s="780"/>
      <c r="AA50" s="265"/>
      <c r="AB50" s="249"/>
    </row>
    <row r="51" spans="2:28" ht="20.100000000000001" customHeight="1" outlineLevel="1" thickBot="1" x14ac:dyDescent="0.45">
      <c r="B51" s="253"/>
      <c r="C51" s="256"/>
      <c r="D51" s="728"/>
      <c r="E51" s="729"/>
      <c r="F51" s="781"/>
      <c r="G51" s="782"/>
      <c r="H51" s="782"/>
      <c r="I51" s="782"/>
      <c r="J51" s="782"/>
      <c r="K51" s="782"/>
      <c r="L51" s="782"/>
      <c r="M51" s="782"/>
      <c r="N51" s="782"/>
      <c r="O51" s="782"/>
      <c r="P51" s="782"/>
      <c r="Q51" s="782"/>
      <c r="R51" s="782"/>
      <c r="S51" s="782"/>
      <c r="T51" s="782"/>
      <c r="U51" s="782"/>
      <c r="V51" s="782"/>
      <c r="W51" s="782"/>
      <c r="X51" s="782"/>
      <c r="Y51" s="782"/>
      <c r="Z51" s="783"/>
      <c r="AA51" s="265"/>
      <c r="AB51" s="249"/>
    </row>
    <row r="52" spans="2:28" ht="20.100000000000001" customHeight="1" outlineLevel="1" thickBot="1" x14ac:dyDescent="0.45">
      <c r="B52" s="253"/>
      <c r="C52" s="261"/>
      <c r="D52" s="266"/>
      <c r="E52" s="266"/>
      <c r="F52" s="266"/>
      <c r="G52" s="266"/>
      <c r="H52" s="266"/>
      <c r="I52" s="266"/>
      <c r="J52" s="266"/>
      <c r="K52" s="266"/>
      <c r="L52" s="266"/>
      <c r="M52" s="266"/>
      <c r="N52" s="266"/>
      <c r="O52" s="266"/>
      <c r="P52" s="266"/>
      <c r="Q52" s="266"/>
      <c r="R52" s="266"/>
      <c r="S52" s="266"/>
      <c r="T52" s="266"/>
      <c r="U52" s="266"/>
      <c r="V52" s="266"/>
      <c r="W52" s="266"/>
      <c r="X52" s="266"/>
      <c r="Y52" s="266"/>
      <c r="Z52" s="266"/>
      <c r="AA52" s="263"/>
      <c r="AB52" s="249"/>
    </row>
    <row r="53" spans="2:28" ht="9.9499999999999993" customHeight="1" thickTop="1" thickBot="1" x14ac:dyDescent="0.45">
      <c r="B53" s="253"/>
      <c r="C53" s="254"/>
      <c r="D53" s="254"/>
      <c r="E53" s="254"/>
      <c r="F53" s="254"/>
      <c r="G53" s="254"/>
      <c r="H53" s="254"/>
      <c r="I53" s="254"/>
      <c r="J53" s="254"/>
      <c r="K53" s="254"/>
      <c r="L53" s="254"/>
      <c r="M53" s="254"/>
      <c r="N53" s="254"/>
      <c r="O53" s="254"/>
      <c r="P53" s="254"/>
      <c r="Q53" s="254"/>
      <c r="R53" s="254"/>
      <c r="S53" s="254"/>
      <c r="T53" s="254"/>
      <c r="U53" s="254"/>
      <c r="V53" s="254"/>
      <c r="W53" s="254"/>
      <c r="X53" s="254"/>
      <c r="Y53" s="254"/>
      <c r="Z53" s="254"/>
      <c r="AA53" s="254"/>
      <c r="AB53" s="249"/>
    </row>
    <row r="54" spans="2:28" ht="20.100000000000001" customHeight="1" thickTop="1" thickBot="1" x14ac:dyDescent="0.45">
      <c r="B54" s="255"/>
      <c r="C54" s="661" t="s">
        <v>488</v>
      </c>
      <c r="D54" s="662"/>
      <c r="E54" s="662"/>
      <c r="F54" s="662"/>
      <c r="G54" s="662"/>
      <c r="H54" s="662"/>
      <c r="I54" s="662"/>
      <c r="J54" s="662"/>
      <c r="K54" s="662"/>
      <c r="L54" s="662"/>
      <c r="M54" s="662"/>
      <c r="N54" s="662"/>
      <c r="O54" s="662"/>
      <c r="P54" s="662"/>
      <c r="Q54" s="662"/>
      <c r="R54" s="662"/>
      <c r="S54" s="662"/>
      <c r="T54" s="662"/>
      <c r="U54" s="662"/>
      <c r="V54" s="662"/>
      <c r="W54" s="662"/>
      <c r="X54" s="662"/>
      <c r="Y54" s="662"/>
      <c r="Z54" s="662"/>
      <c r="AA54" s="663"/>
      <c r="AB54" s="245"/>
    </row>
    <row r="55" spans="2:28" ht="20.100000000000001" customHeight="1" outlineLevel="1" thickTop="1" thickBot="1" x14ac:dyDescent="0.45">
      <c r="B55" s="253"/>
      <c r="C55" s="264"/>
      <c r="D55" s="254"/>
      <c r="E55" s="254"/>
      <c r="F55" s="254"/>
      <c r="G55" s="254"/>
      <c r="H55" s="254"/>
      <c r="I55" s="254"/>
      <c r="J55" s="254"/>
      <c r="K55" s="254"/>
      <c r="L55" s="254"/>
      <c r="M55" s="254"/>
      <c r="N55" s="254"/>
      <c r="O55" s="254"/>
      <c r="P55" s="254"/>
      <c r="Q55" s="254"/>
      <c r="R55" s="254"/>
      <c r="S55" s="254"/>
      <c r="T55" s="254"/>
      <c r="U55" s="254"/>
      <c r="V55" s="254"/>
      <c r="W55" s="254"/>
      <c r="X55" s="254"/>
      <c r="Y55" s="254"/>
      <c r="Z55" s="254"/>
      <c r="AA55" s="265"/>
      <c r="AB55" s="249"/>
    </row>
    <row r="56" spans="2:28" ht="20.100000000000001" customHeight="1" outlineLevel="1" x14ac:dyDescent="0.4">
      <c r="B56" s="253"/>
      <c r="C56" s="264"/>
      <c r="D56" s="973" t="s">
        <v>14</v>
      </c>
      <c r="E56" s="974"/>
      <c r="F56" s="974"/>
      <c r="G56" s="974"/>
      <c r="H56" s="974"/>
      <c r="I56" s="974"/>
      <c r="J56" s="974"/>
      <c r="K56" s="974"/>
      <c r="L56" s="974"/>
      <c r="M56" s="974"/>
      <c r="N56" s="995" t="s">
        <v>386</v>
      </c>
      <c r="O56" s="1011" t="s">
        <v>264</v>
      </c>
      <c r="P56" s="1011"/>
      <c r="Q56" s="1011"/>
      <c r="R56" s="1011"/>
      <c r="S56" s="1011"/>
      <c r="T56" s="1011"/>
      <c r="U56" s="1011"/>
      <c r="V56" s="1011"/>
      <c r="W56" s="1011"/>
      <c r="X56" s="1012"/>
      <c r="Y56" s="254"/>
      <c r="Z56" s="254"/>
      <c r="AA56" s="265"/>
      <c r="AB56" s="249"/>
    </row>
    <row r="57" spans="2:28" ht="20.100000000000001" customHeight="1" outlineLevel="1" x14ac:dyDescent="0.4">
      <c r="B57" s="253"/>
      <c r="C57" s="264"/>
      <c r="D57" s="1008" t="s">
        <v>15</v>
      </c>
      <c r="E57" s="1009"/>
      <c r="F57" s="428" t="s">
        <v>387</v>
      </c>
      <c r="G57" s="428" t="s">
        <v>489</v>
      </c>
      <c r="H57" s="975" t="s">
        <v>388</v>
      </c>
      <c r="I57" s="978"/>
      <c r="J57" s="975" t="s">
        <v>391</v>
      </c>
      <c r="K57" s="976"/>
      <c r="L57" s="976"/>
      <c r="M57" s="976"/>
      <c r="N57" s="996"/>
      <c r="O57" s="429">
        <v>1</v>
      </c>
      <c r="P57" s="428">
        <v>2</v>
      </c>
      <c r="Q57" s="428">
        <v>3</v>
      </c>
      <c r="R57" s="428">
        <v>4</v>
      </c>
      <c r="S57" s="428">
        <v>5</v>
      </c>
      <c r="T57" s="428">
        <v>6</v>
      </c>
      <c r="U57" s="428">
        <v>7</v>
      </c>
      <c r="V57" s="428">
        <v>8</v>
      </c>
      <c r="W57" s="428">
        <v>9</v>
      </c>
      <c r="X57" s="430">
        <v>10</v>
      </c>
      <c r="Y57" s="254"/>
      <c r="Z57" s="254"/>
      <c r="AA57" s="265"/>
      <c r="AB57" s="249"/>
    </row>
    <row r="58" spans="2:28" ht="20.100000000000001" customHeight="1" outlineLevel="1" x14ac:dyDescent="0.4">
      <c r="B58" s="253"/>
      <c r="C58" s="264"/>
      <c r="D58" s="977" t="str">
        <f ca="1">Equipements_STEU!H16</f>
        <v/>
      </c>
      <c r="E58" s="753"/>
      <c r="F58" s="333" t="str">
        <f ca="1">Equipements_STEU!I16</f>
        <v/>
      </c>
      <c r="G58" s="334" t="str">
        <f ca="1">Equipements_STEU!M16</f>
        <v/>
      </c>
      <c r="H58" s="754" t="str">
        <f ca="1">Equipements_STEU!J16</f>
        <v/>
      </c>
      <c r="I58" s="755"/>
      <c r="J58" s="754" t="str">
        <f ca="1">Equipements_STEU!K16</f>
        <v/>
      </c>
      <c r="K58" s="756"/>
      <c r="L58" s="756"/>
      <c r="M58" s="756"/>
      <c r="N58" s="335" t="str">
        <f ca="1">Equipements_STEU!P16</f>
        <v/>
      </c>
      <c r="O58" s="336" t="str">
        <f ca="1">IF(Equipements_STEU!Y16&lt;&gt;"",Equipements_STEU!AK16,"")</f>
        <v/>
      </c>
      <c r="P58" s="336" t="str">
        <f ca="1">IF(Equipements_STEU!Z16&lt;&gt;"",Equipements_STEU!AL16,"")</f>
        <v/>
      </c>
      <c r="Q58" s="336" t="str">
        <f ca="1">IF(Equipements_STEU!AA16&lt;&gt;"",Equipements_STEU!AM16,"")</f>
        <v/>
      </c>
      <c r="R58" s="336" t="str">
        <f ca="1">IF(Equipements_STEU!AB16&lt;&gt;"",Equipements_STEU!AN16,"")</f>
        <v/>
      </c>
      <c r="S58" s="336" t="str">
        <f ca="1">IF(Equipements_STEU!AC16&lt;&gt;"",Equipements_STEU!AO16,"")</f>
        <v/>
      </c>
      <c r="T58" s="336" t="str">
        <f ca="1">IF(Equipements_STEU!AD16&lt;&gt;"",Equipements_STEU!AP16,"")</f>
        <v/>
      </c>
      <c r="U58" s="336" t="str">
        <f ca="1">IF(Equipements_STEU!AE16&lt;&gt;"",Equipements_STEU!AQ16,"")</f>
        <v/>
      </c>
      <c r="V58" s="336" t="str">
        <f ca="1">IF(Equipements_STEU!AF16&lt;&gt;"",Equipements_STEU!AR16,"")</f>
        <v/>
      </c>
      <c r="W58" s="336" t="str">
        <f ca="1">IF(Equipements_STEU!AG16&lt;&gt;"",Equipements_STEU!AS16,"")</f>
        <v/>
      </c>
      <c r="X58" s="421" t="str">
        <f ca="1">IF(Equipements_STEU!AH16&lt;&gt;"",Equipements_STEU!AT16,"")</f>
        <v/>
      </c>
      <c r="Y58" s="254"/>
      <c r="Z58" s="254"/>
      <c r="AA58" s="265"/>
      <c r="AB58" s="249"/>
    </row>
    <row r="59" spans="2:28" ht="20.100000000000001" customHeight="1" outlineLevel="1" x14ac:dyDescent="0.4">
      <c r="B59" s="253"/>
      <c r="C59" s="264"/>
      <c r="D59" s="889" t="str">
        <f ca="1">Equipements_STEU!H17</f>
        <v/>
      </c>
      <c r="E59" s="890"/>
      <c r="F59" s="260" t="str">
        <f ca="1">Equipements_STEU!I17</f>
        <v/>
      </c>
      <c r="G59" s="325" t="str">
        <f ca="1">Equipements_STEU!M17</f>
        <v/>
      </c>
      <c r="H59" s="891" t="str">
        <f ca="1">Equipements_STEU!J17</f>
        <v/>
      </c>
      <c r="I59" s="892"/>
      <c r="J59" s="891" t="str">
        <f ca="1">Equipements_STEU!K17</f>
        <v/>
      </c>
      <c r="K59" s="893"/>
      <c r="L59" s="893"/>
      <c r="M59" s="893"/>
      <c r="N59" s="332" t="str">
        <f ca="1">Equipements_STEU!P17</f>
        <v/>
      </c>
      <c r="O59" s="311" t="str">
        <f ca="1">IF(Equipements_STEU!Y17&lt;&gt;"",Equipements_STEU!AK17,"")</f>
        <v/>
      </c>
      <c r="P59" s="311" t="str">
        <f ca="1">IF(Equipements_STEU!Z17&lt;&gt;"",Equipements_STEU!AL17,"")</f>
        <v/>
      </c>
      <c r="Q59" s="311" t="str">
        <f ca="1">IF(Equipements_STEU!AA17&lt;&gt;"",Equipements_STEU!AM17,"")</f>
        <v/>
      </c>
      <c r="R59" s="311" t="str">
        <f ca="1">IF(Equipements_STEU!AB17&lt;&gt;"",Equipements_STEU!AN17,"")</f>
        <v/>
      </c>
      <c r="S59" s="311" t="str">
        <f ca="1">IF(Equipements_STEU!AC17&lt;&gt;"",Equipements_STEU!AO17,"")</f>
        <v/>
      </c>
      <c r="T59" s="311" t="str">
        <f ca="1">IF(Equipements_STEU!AD17&lt;&gt;"",Equipements_STEU!AP17,"")</f>
        <v/>
      </c>
      <c r="U59" s="311" t="str">
        <f ca="1">IF(Equipements_STEU!AE17&lt;&gt;"",Equipements_STEU!AQ17,"")</f>
        <v/>
      </c>
      <c r="V59" s="311" t="str">
        <f ca="1">IF(Equipements_STEU!AF17&lt;&gt;"",Equipements_STEU!AR17,"")</f>
        <v/>
      </c>
      <c r="W59" s="311" t="str">
        <f ca="1">IF(Equipements_STEU!AG17&lt;&gt;"",Equipements_STEU!AS17,"")</f>
        <v/>
      </c>
      <c r="X59" s="422" t="str">
        <f ca="1">IF(Equipements_STEU!AH17&lt;&gt;"",Equipements_STEU!AT17,"")</f>
        <v/>
      </c>
      <c r="Y59" s="254"/>
      <c r="Z59" s="254"/>
      <c r="AA59" s="265"/>
      <c r="AB59" s="249"/>
    </row>
    <row r="60" spans="2:28" ht="20.100000000000001" customHeight="1" outlineLevel="1" x14ac:dyDescent="0.4">
      <c r="B60" s="253"/>
      <c r="C60" s="264"/>
      <c r="D60" s="889" t="str">
        <f ca="1">Equipements_STEU!H18</f>
        <v/>
      </c>
      <c r="E60" s="890"/>
      <c r="F60" s="260" t="str">
        <f ca="1">Equipements_STEU!I18</f>
        <v/>
      </c>
      <c r="G60" s="325" t="str">
        <f ca="1">Equipements_STEU!M18</f>
        <v/>
      </c>
      <c r="H60" s="891" t="str">
        <f ca="1">Equipements_STEU!J18</f>
        <v/>
      </c>
      <c r="I60" s="892"/>
      <c r="J60" s="891" t="str">
        <f ca="1">Equipements_STEU!K18</f>
        <v/>
      </c>
      <c r="K60" s="893"/>
      <c r="L60" s="893"/>
      <c r="M60" s="893"/>
      <c r="N60" s="332" t="str">
        <f ca="1">Equipements_STEU!P18</f>
        <v/>
      </c>
      <c r="O60" s="311" t="str">
        <f ca="1">IF(Equipements_STEU!Y18&lt;&gt;"",Equipements_STEU!AK18,"")</f>
        <v/>
      </c>
      <c r="P60" s="311" t="str">
        <f ca="1">IF(Equipements_STEU!Z18&lt;&gt;"",Equipements_STEU!AL18,"")</f>
        <v/>
      </c>
      <c r="Q60" s="311" t="str">
        <f ca="1">IF(Equipements_STEU!AA18&lt;&gt;"",Equipements_STEU!AM18,"")</f>
        <v/>
      </c>
      <c r="R60" s="311" t="str">
        <f ca="1">IF(Equipements_STEU!AB18&lt;&gt;"",Equipements_STEU!AN18,"")</f>
        <v/>
      </c>
      <c r="S60" s="311" t="str">
        <f ca="1">IF(Equipements_STEU!AC18&lt;&gt;"",Equipements_STEU!AO18,"")</f>
        <v/>
      </c>
      <c r="T60" s="311" t="str">
        <f ca="1">IF(Equipements_STEU!AD18&lt;&gt;"",Equipements_STEU!AP18,"")</f>
        <v/>
      </c>
      <c r="U60" s="311" t="str">
        <f ca="1">IF(Equipements_STEU!AE18&lt;&gt;"",Equipements_STEU!AQ18,"")</f>
        <v/>
      </c>
      <c r="V60" s="311" t="str">
        <f ca="1">IF(Equipements_STEU!AF18&lt;&gt;"",Equipements_STEU!AR18,"")</f>
        <v/>
      </c>
      <c r="W60" s="311" t="str">
        <f ca="1">IF(Equipements_STEU!AG18&lt;&gt;"",Equipements_STEU!AS18,"")</f>
        <v/>
      </c>
      <c r="X60" s="422" t="str">
        <f ca="1">IF(Equipements_STEU!AH18&lt;&gt;"",Equipements_STEU!AT18,"")</f>
        <v/>
      </c>
      <c r="Y60" s="254"/>
      <c r="Z60" s="254"/>
      <c r="AA60" s="265"/>
      <c r="AB60" s="249"/>
    </row>
    <row r="61" spans="2:28" ht="20.100000000000001" customHeight="1" outlineLevel="1" x14ac:dyDescent="0.4">
      <c r="B61" s="253"/>
      <c r="C61" s="264"/>
      <c r="D61" s="889" t="str">
        <f ca="1">Equipements_STEU!H19</f>
        <v/>
      </c>
      <c r="E61" s="890"/>
      <c r="F61" s="260" t="str">
        <f ca="1">Equipements_STEU!I19</f>
        <v/>
      </c>
      <c r="G61" s="325" t="str">
        <f ca="1">Equipements_STEU!M19</f>
        <v/>
      </c>
      <c r="H61" s="891" t="str">
        <f ca="1">Equipements_STEU!J19</f>
        <v/>
      </c>
      <c r="I61" s="892"/>
      <c r="J61" s="891" t="str">
        <f ca="1">Equipements_STEU!K19</f>
        <v/>
      </c>
      <c r="K61" s="893"/>
      <c r="L61" s="893"/>
      <c r="M61" s="893"/>
      <c r="N61" s="332" t="str">
        <f ca="1">Equipements_STEU!P19</f>
        <v/>
      </c>
      <c r="O61" s="311" t="str">
        <f ca="1">IF(Equipements_STEU!Y19&lt;&gt;"",Equipements_STEU!AK19,"")</f>
        <v/>
      </c>
      <c r="P61" s="311" t="str">
        <f ca="1">IF(Equipements_STEU!Z19&lt;&gt;"",Equipements_STEU!AL19,"")</f>
        <v/>
      </c>
      <c r="Q61" s="311" t="str">
        <f ca="1">IF(Equipements_STEU!AA19&lt;&gt;"",Equipements_STEU!AM19,"")</f>
        <v/>
      </c>
      <c r="R61" s="311" t="str">
        <f ca="1">IF(Equipements_STEU!AB19&lt;&gt;"",Equipements_STEU!AN19,"")</f>
        <v/>
      </c>
      <c r="S61" s="311" t="str">
        <f ca="1">IF(Equipements_STEU!AC19&lt;&gt;"",Equipements_STEU!AO19,"")</f>
        <v/>
      </c>
      <c r="T61" s="311" t="str">
        <f ca="1">IF(Equipements_STEU!AD19&lt;&gt;"",Equipements_STEU!AP19,"")</f>
        <v/>
      </c>
      <c r="U61" s="311" t="str">
        <f ca="1">IF(Equipements_STEU!AE19&lt;&gt;"",Equipements_STEU!AQ19,"")</f>
        <v/>
      </c>
      <c r="V61" s="311" t="str">
        <f ca="1">IF(Equipements_STEU!AF19&lt;&gt;"",Equipements_STEU!AR19,"")</f>
        <v/>
      </c>
      <c r="W61" s="311" t="str">
        <f ca="1">IF(Equipements_STEU!AG19&lt;&gt;"",Equipements_STEU!AS19,"")</f>
        <v/>
      </c>
      <c r="X61" s="422" t="str">
        <f ca="1">IF(Equipements_STEU!AH19&lt;&gt;"",Equipements_STEU!AT19,"")</f>
        <v/>
      </c>
      <c r="Y61" s="254"/>
      <c r="Z61" s="254"/>
      <c r="AA61" s="265"/>
      <c r="AB61" s="249"/>
    </row>
    <row r="62" spans="2:28" ht="20.100000000000001" customHeight="1" outlineLevel="1" x14ac:dyDescent="0.4">
      <c r="B62" s="253"/>
      <c r="C62" s="264"/>
      <c r="D62" s="889" t="str">
        <f ca="1">Equipements_STEU!H20</f>
        <v/>
      </c>
      <c r="E62" s="890"/>
      <c r="F62" s="260" t="str">
        <f ca="1">Equipements_STEU!I20</f>
        <v/>
      </c>
      <c r="G62" s="325" t="str">
        <f ca="1">Equipements_STEU!M20</f>
        <v/>
      </c>
      <c r="H62" s="891" t="str">
        <f ca="1">Equipements_STEU!J20</f>
        <v/>
      </c>
      <c r="I62" s="892"/>
      <c r="J62" s="891" t="str">
        <f ca="1">Equipements_STEU!K20</f>
        <v/>
      </c>
      <c r="K62" s="893"/>
      <c r="L62" s="893"/>
      <c r="M62" s="893"/>
      <c r="N62" s="332" t="str">
        <f ca="1">Equipements_STEU!P20</f>
        <v/>
      </c>
      <c r="O62" s="311" t="str">
        <f ca="1">IF(Equipements_STEU!Y20&lt;&gt;"",Equipements_STEU!AK20,"")</f>
        <v/>
      </c>
      <c r="P62" s="311" t="str">
        <f ca="1">IF(Equipements_STEU!Z20&lt;&gt;"",Equipements_STEU!AL20,"")</f>
        <v/>
      </c>
      <c r="Q62" s="311" t="str">
        <f ca="1">IF(Equipements_STEU!AA20&lt;&gt;"",Equipements_STEU!AM20,"")</f>
        <v/>
      </c>
      <c r="R62" s="311" t="str">
        <f ca="1">IF(Equipements_STEU!AB20&lt;&gt;"",Equipements_STEU!AN20,"")</f>
        <v/>
      </c>
      <c r="S62" s="311" t="str">
        <f ca="1">IF(Equipements_STEU!AC20&lt;&gt;"",Equipements_STEU!AO20,"")</f>
        <v/>
      </c>
      <c r="T62" s="311" t="str">
        <f ca="1">IF(Equipements_STEU!AD20&lt;&gt;"",Equipements_STEU!AP20,"")</f>
        <v/>
      </c>
      <c r="U62" s="311" t="str">
        <f ca="1">IF(Equipements_STEU!AE20&lt;&gt;"",Equipements_STEU!AQ20,"")</f>
        <v/>
      </c>
      <c r="V62" s="311" t="str">
        <f ca="1">IF(Equipements_STEU!AF20&lt;&gt;"",Equipements_STEU!AR20,"")</f>
        <v/>
      </c>
      <c r="W62" s="311" t="str">
        <f ca="1">IF(Equipements_STEU!AG20&lt;&gt;"",Equipements_STEU!AS20,"")</f>
        <v/>
      </c>
      <c r="X62" s="422" t="str">
        <f ca="1">IF(Equipements_STEU!AH20&lt;&gt;"",Equipements_STEU!AT20,"")</f>
        <v/>
      </c>
      <c r="Y62" s="254"/>
      <c r="Z62" s="254"/>
      <c r="AA62" s="265"/>
      <c r="AB62" s="249"/>
    </row>
    <row r="63" spans="2:28" ht="20.100000000000001" customHeight="1" outlineLevel="1" x14ac:dyDescent="0.4">
      <c r="B63" s="253"/>
      <c r="C63" s="264"/>
      <c r="D63" s="889" t="str">
        <f ca="1">Equipements_STEU!H21</f>
        <v/>
      </c>
      <c r="E63" s="890"/>
      <c r="F63" s="260" t="str">
        <f ca="1">Equipements_STEU!I21</f>
        <v/>
      </c>
      <c r="G63" s="325" t="str">
        <f ca="1">Equipements_STEU!M21</f>
        <v/>
      </c>
      <c r="H63" s="891" t="str">
        <f ca="1">Equipements_STEU!J21</f>
        <v/>
      </c>
      <c r="I63" s="892"/>
      <c r="J63" s="891" t="str">
        <f ca="1">Equipements_STEU!K21</f>
        <v/>
      </c>
      <c r="K63" s="893"/>
      <c r="L63" s="893"/>
      <c r="M63" s="893"/>
      <c r="N63" s="332" t="str">
        <f ca="1">Equipements_STEU!P21</f>
        <v/>
      </c>
      <c r="O63" s="311" t="str">
        <f ca="1">IF(Equipements_STEU!Y21&lt;&gt;"",Equipements_STEU!AK21,"")</f>
        <v/>
      </c>
      <c r="P63" s="311" t="str">
        <f ca="1">IF(Equipements_STEU!Z21&lt;&gt;"",Equipements_STEU!AL21,"")</f>
        <v/>
      </c>
      <c r="Q63" s="311" t="str">
        <f ca="1">IF(Equipements_STEU!AA21&lt;&gt;"",Equipements_STEU!AM21,"")</f>
        <v/>
      </c>
      <c r="R63" s="311" t="str">
        <f ca="1">IF(Equipements_STEU!AB21&lt;&gt;"",Equipements_STEU!AN21,"")</f>
        <v/>
      </c>
      <c r="S63" s="311" t="str">
        <f ca="1">IF(Equipements_STEU!AC21&lt;&gt;"",Equipements_STEU!AO21,"")</f>
        <v/>
      </c>
      <c r="T63" s="311" t="str">
        <f ca="1">IF(Equipements_STEU!AD21&lt;&gt;"",Equipements_STEU!AP21,"")</f>
        <v/>
      </c>
      <c r="U63" s="311" t="str">
        <f ca="1">IF(Equipements_STEU!AE21&lt;&gt;"",Equipements_STEU!AQ21,"")</f>
        <v/>
      </c>
      <c r="V63" s="311" t="str">
        <f ca="1">IF(Equipements_STEU!AF21&lt;&gt;"",Equipements_STEU!AR21,"")</f>
        <v/>
      </c>
      <c r="W63" s="311" t="str">
        <f ca="1">IF(Equipements_STEU!AG21&lt;&gt;"",Equipements_STEU!AS21,"")</f>
        <v/>
      </c>
      <c r="X63" s="422" t="str">
        <f ca="1">IF(Equipements_STEU!AH21&lt;&gt;"",Equipements_STEU!AT21,"")</f>
        <v/>
      </c>
      <c r="Y63" s="254"/>
      <c r="Z63" s="254"/>
      <c r="AA63" s="265"/>
      <c r="AB63" s="249"/>
    </row>
    <row r="64" spans="2:28" ht="20.100000000000001" customHeight="1" outlineLevel="1" x14ac:dyDescent="0.4">
      <c r="B64" s="253"/>
      <c r="C64" s="264"/>
      <c r="D64" s="889" t="str">
        <f ca="1">Equipements_STEU!H22</f>
        <v/>
      </c>
      <c r="E64" s="890"/>
      <c r="F64" s="260" t="str">
        <f ca="1">Equipements_STEU!I22</f>
        <v/>
      </c>
      <c r="G64" s="325" t="str">
        <f ca="1">Equipements_STEU!M22</f>
        <v/>
      </c>
      <c r="H64" s="891" t="str">
        <f ca="1">Equipements_STEU!J22</f>
        <v/>
      </c>
      <c r="I64" s="892"/>
      <c r="J64" s="891" t="str">
        <f ca="1">Equipements_STEU!K22</f>
        <v/>
      </c>
      <c r="K64" s="893"/>
      <c r="L64" s="893"/>
      <c r="M64" s="893"/>
      <c r="N64" s="332" t="str">
        <f ca="1">Equipements_STEU!P22</f>
        <v/>
      </c>
      <c r="O64" s="311" t="str">
        <f ca="1">IF(Equipements_STEU!Y22&lt;&gt;"",Equipements_STEU!AK22,"")</f>
        <v/>
      </c>
      <c r="P64" s="311" t="str">
        <f ca="1">IF(Equipements_STEU!Z22&lt;&gt;"",Equipements_STEU!AL22,"")</f>
        <v/>
      </c>
      <c r="Q64" s="311" t="str">
        <f ca="1">IF(Equipements_STEU!AA22&lt;&gt;"",Equipements_STEU!AM22,"")</f>
        <v/>
      </c>
      <c r="R64" s="311" t="str">
        <f ca="1">IF(Equipements_STEU!AB22&lt;&gt;"",Equipements_STEU!AN22,"")</f>
        <v/>
      </c>
      <c r="S64" s="311" t="str">
        <f ca="1">IF(Equipements_STEU!AC22&lt;&gt;"",Equipements_STEU!AO22,"")</f>
        <v/>
      </c>
      <c r="T64" s="311" t="str">
        <f ca="1">IF(Equipements_STEU!AD22&lt;&gt;"",Equipements_STEU!AP22,"")</f>
        <v/>
      </c>
      <c r="U64" s="311" t="str">
        <f ca="1">IF(Equipements_STEU!AE22&lt;&gt;"",Equipements_STEU!AQ22,"")</f>
        <v/>
      </c>
      <c r="V64" s="311" t="str">
        <f ca="1">IF(Equipements_STEU!AF22&lt;&gt;"",Equipements_STEU!AR22,"")</f>
        <v/>
      </c>
      <c r="W64" s="311" t="str">
        <f ca="1">IF(Equipements_STEU!AG22&lt;&gt;"",Equipements_STEU!AS22,"")</f>
        <v/>
      </c>
      <c r="X64" s="422" t="str">
        <f ca="1">IF(Equipements_STEU!AH22&lt;&gt;"",Equipements_STEU!AT22,"")</f>
        <v/>
      </c>
      <c r="Y64" s="254"/>
      <c r="Z64" s="254"/>
      <c r="AA64" s="265"/>
      <c r="AB64" s="249"/>
    </row>
    <row r="65" spans="2:28" ht="20.100000000000001" customHeight="1" outlineLevel="1" x14ac:dyDescent="0.4">
      <c r="B65" s="253"/>
      <c r="C65" s="264"/>
      <c r="D65" s="889" t="str">
        <f ca="1">Equipements_STEU!H23</f>
        <v/>
      </c>
      <c r="E65" s="890"/>
      <c r="F65" s="260" t="str">
        <f ca="1">Equipements_STEU!I23</f>
        <v/>
      </c>
      <c r="G65" s="325" t="str">
        <f ca="1">Equipements_STEU!M23</f>
        <v/>
      </c>
      <c r="H65" s="891" t="str">
        <f ca="1">Equipements_STEU!J23</f>
        <v/>
      </c>
      <c r="I65" s="892"/>
      <c r="J65" s="891" t="str">
        <f ca="1">Equipements_STEU!K23</f>
        <v/>
      </c>
      <c r="K65" s="893"/>
      <c r="L65" s="893"/>
      <c r="M65" s="893"/>
      <c r="N65" s="332" t="str">
        <f ca="1">Equipements_STEU!P23</f>
        <v/>
      </c>
      <c r="O65" s="311" t="str">
        <f ca="1">IF(Equipements_STEU!Y23&lt;&gt;"",Equipements_STEU!AK23,"")</f>
        <v/>
      </c>
      <c r="P65" s="311" t="str">
        <f ca="1">IF(Equipements_STEU!Z23&lt;&gt;"",Equipements_STEU!AL23,"")</f>
        <v/>
      </c>
      <c r="Q65" s="311" t="str">
        <f ca="1">IF(Equipements_STEU!AA23&lt;&gt;"",Equipements_STEU!AM23,"")</f>
        <v/>
      </c>
      <c r="R65" s="311" t="str">
        <f ca="1">IF(Equipements_STEU!AB23&lt;&gt;"",Equipements_STEU!AN23,"")</f>
        <v/>
      </c>
      <c r="S65" s="311" t="str">
        <f ca="1">IF(Equipements_STEU!AC23&lt;&gt;"",Equipements_STEU!AO23,"")</f>
        <v/>
      </c>
      <c r="T65" s="311" t="str">
        <f ca="1">IF(Equipements_STEU!AD23&lt;&gt;"",Equipements_STEU!AP23,"")</f>
        <v/>
      </c>
      <c r="U65" s="311" t="str">
        <f ca="1">IF(Equipements_STEU!AE23&lt;&gt;"",Equipements_STEU!AQ23,"")</f>
        <v/>
      </c>
      <c r="V65" s="311" t="str">
        <f ca="1">IF(Equipements_STEU!AF23&lt;&gt;"",Equipements_STEU!AR23,"")</f>
        <v/>
      </c>
      <c r="W65" s="311" t="str">
        <f ca="1">IF(Equipements_STEU!AG23&lt;&gt;"",Equipements_STEU!AS23,"")</f>
        <v/>
      </c>
      <c r="X65" s="422" t="str">
        <f ca="1">IF(Equipements_STEU!AH23&lt;&gt;"",Equipements_STEU!AT23,"")</f>
        <v/>
      </c>
      <c r="Y65" s="254"/>
      <c r="Z65" s="254"/>
      <c r="AA65" s="265"/>
      <c r="AB65" s="249"/>
    </row>
    <row r="66" spans="2:28" ht="20.100000000000001" customHeight="1" outlineLevel="1" x14ac:dyDescent="0.4">
      <c r="B66" s="253"/>
      <c r="C66" s="264"/>
      <c r="D66" s="889" t="str">
        <f ca="1">Equipements_STEU!H24</f>
        <v/>
      </c>
      <c r="E66" s="890"/>
      <c r="F66" s="260" t="str">
        <f ca="1">Equipements_STEU!I24</f>
        <v/>
      </c>
      <c r="G66" s="325" t="str">
        <f ca="1">Equipements_STEU!M24</f>
        <v/>
      </c>
      <c r="H66" s="891" t="str">
        <f ca="1">Equipements_STEU!J24</f>
        <v/>
      </c>
      <c r="I66" s="892"/>
      <c r="J66" s="891" t="str">
        <f ca="1">Equipements_STEU!K24</f>
        <v/>
      </c>
      <c r="K66" s="893"/>
      <c r="L66" s="893"/>
      <c r="M66" s="893"/>
      <c r="N66" s="332" t="str">
        <f ca="1">Equipements_STEU!P24</f>
        <v/>
      </c>
      <c r="O66" s="311" t="str">
        <f ca="1">IF(Equipements_STEU!Y24&lt;&gt;"",Equipements_STEU!AK24,"")</f>
        <v/>
      </c>
      <c r="P66" s="311" t="str">
        <f ca="1">IF(Equipements_STEU!Z24&lt;&gt;"",Equipements_STEU!AL24,"")</f>
        <v/>
      </c>
      <c r="Q66" s="311" t="str">
        <f ca="1">IF(Equipements_STEU!AA24&lt;&gt;"",Equipements_STEU!AM24,"")</f>
        <v/>
      </c>
      <c r="R66" s="311" t="str">
        <f ca="1">IF(Equipements_STEU!AB24&lt;&gt;"",Equipements_STEU!AN24,"")</f>
        <v/>
      </c>
      <c r="S66" s="311" t="str">
        <f ca="1">IF(Equipements_STEU!AC24&lt;&gt;"",Equipements_STEU!AO24,"")</f>
        <v/>
      </c>
      <c r="T66" s="311" t="str">
        <f ca="1">IF(Equipements_STEU!AD24&lt;&gt;"",Equipements_STEU!AP24,"")</f>
        <v/>
      </c>
      <c r="U66" s="311" t="str">
        <f ca="1">IF(Equipements_STEU!AE24&lt;&gt;"",Equipements_STEU!AQ24,"")</f>
        <v/>
      </c>
      <c r="V66" s="311" t="str">
        <f ca="1">IF(Equipements_STEU!AF24&lt;&gt;"",Equipements_STEU!AR24,"")</f>
        <v/>
      </c>
      <c r="W66" s="311" t="str">
        <f ca="1">IF(Equipements_STEU!AG24&lt;&gt;"",Equipements_STEU!AS24,"")</f>
        <v/>
      </c>
      <c r="X66" s="422" t="str">
        <f ca="1">IF(Equipements_STEU!AH24&lt;&gt;"",Equipements_STEU!AT24,"")</f>
        <v/>
      </c>
      <c r="Y66" s="254"/>
      <c r="Z66" s="254"/>
      <c r="AA66" s="265"/>
      <c r="AB66" s="249"/>
    </row>
    <row r="67" spans="2:28" ht="20.100000000000001" customHeight="1" outlineLevel="1" x14ac:dyDescent="0.4">
      <c r="B67" s="253"/>
      <c r="C67" s="264"/>
      <c r="D67" s="889" t="str">
        <f ca="1">Equipements_STEU!H25</f>
        <v/>
      </c>
      <c r="E67" s="890"/>
      <c r="F67" s="260" t="str">
        <f ca="1">Equipements_STEU!I25</f>
        <v/>
      </c>
      <c r="G67" s="325" t="str">
        <f ca="1">Equipements_STEU!M25</f>
        <v/>
      </c>
      <c r="H67" s="891" t="str">
        <f ca="1">Equipements_STEU!J25</f>
        <v/>
      </c>
      <c r="I67" s="892"/>
      <c r="J67" s="891" t="str">
        <f ca="1">Equipements_STEU!K25</f>
        <v/>
      </c>
      <c r="K67" s="893"/>
      <c r="L67" s="893"/>
      <c r="M67" s="893"/>
      <c r="N67" s="332" t="str">
        <f ca="1">Equipements_STEU!P25</f>
        <v/>
      </c>
      <c r="O67" s="311" t="str">
        <f ca="1">IF(Equipements_STEU!Y25&lt;&gt;"",Equipements_STEU!AK25,"")</f>
        <v/>
      </c>
      <c r="P67" s="311" t="str">
        <f ca="1">IF(Equipements_STEU!Z25&lt;&gt;"",Equipements_STEU!AL25,"")</f>
        <v/>
      </c>
      <c r="Q67" s="311" t="str">
        <f ca="1">IF(Equipements_STEU!AA25&lt;&gt;"",Equipements_STEU!AM25,"")</f>
        <v/>
      </c>
      <c r="R67" s="311" t="str">
        <f ca="1">IF(Equipements_STEU!AB25&lt;&gt;"",Equipements_STEU!AN25,"")</f>
        <v/>
      </c>
      <c r="S67" s="311" t="str">
        <f ca="1">IF(Equipements_STEU!AC25&lt;&gt;"",Equipements_STEU!AO25,"")</f>
        <v/>
      </c>
      <c r="T67" s="311" t="str">
        <f ca="1">IF(Equipements_STEU!AD25&lt;&gt;"",Equipements_STEU!AP25,"")</f>
        <v/>
      </c>
      <c r="U67" s="311" t="str">
        <f ca="1">IF(Equipements_STEU!AE25&lt;&gt;"",Equipements_STEU!AQ25,"")</f>
        <v/>
      </c>
      <c r="V67" s="311" t="str">
        <f ca="1">IF(Equipements_STEU!AF25&lt;&gt;"",Equipements_STEU!AR25,"")</f>
        <v/>
      </c>
      <c r="W67" s="311" t="str">
        <f ca="1">IF(Equipements_STEU!AG25&lt;&gt;"",Equipements_STEU!AS25,"")</f>
        <v/>
      </c>
      <c r="X67" s="422" t="str">
        <f ca="1">IF(Equipements_STEU!AH25&lt;&gt;"",Equipements_STEU!AT25,"")</f>
        <v/>
      </c>
      <c r="Y67" s="254"/>
      <c r="Z67" s="254"/>
      <c r="AA67" s="265"/>
      <c r="AB67" s="249"/>
    </row>
    <row r="68" spans="2:28" ht="20.100000000000001" customHeight="1" outlineLevel="1" x14ac:dyDescent="0.4">
      <c r="B68" s="253"/>
      <c r="C68" s="264"/>
      <c r="D68" s="889" t="str">
        <f ca="1">Equipements_STEU!H26</f>
        <v/>
      </c>
      <c r="E68" s="890"/>
      <c r="F68" s="260" t="str">
        <f ca="1">Equipements_STEU!I26</f>
        <v/>
      </c>
      <c r="G68" s="325" t="str">
        <f ca="1">Equipements_STEU!M26</f>
        <v/>
      </c>
      <c r="H68" s="891" t="str">
        <f ca="1">Equipements_STEU!J26</f>
        <v/>
      </c>
      <c r="I68" s="892"/>
      <c r="J68" s="891" t="str">
        <f ca="1">Equipements_STEU!K26</f>
        <v/>
      </c>
      <c r="K68" s="893"/>
      <c r="L68" s="893"/>
      <c r="M68" s="893"/>
      <c r="N68" s="332" t="str">
        <f ca="1">Equipements_STEU!P26</f>
        <v/>
      </c>
      <c r="O68" s="311" t="str">
        <f ca="1">IF(Equipements_STEU!Y26&lt;&gt;"",Equipements_STEU!AK26,"")</f>
        <v/>
      </c>
      <c r="P68" s="311" t="str">
        <f ca="1">IF(Equipements_STEU!Z26&lt;&gt;"",Equipements_STEU!AL26,"")</f>
        <v/>
      </c>
      <c r="Q68" s="311" t="str">
        <f ca="1">IF(Equipements_STEU!AA26&lt;&gt;"",Equipements_STEU!AM26,"")</f>
        <v/>
      </c>
      <c r="R68" s="311" t="str">
        <f ca="1">IF(Equipements_STEU!AB26&lt;&gt;"",Equipements_STEU!AN26,"")</f>
        <v/>
      </c>
      <c r="S68" s="311" t="str">
        <f ca="1">IF(Equipements_STEU!AC26&lt;&gt;"",Equipements_STEU!AO26,"")</f>
        <v/>
      </c>
      <c r="T68" s="311" t="str">
        <f ca="1">IF(Equipements_STEU!AD26&lt;&gt;"",Equipements_STEU!AP26,"")</f>
        <v/>
      </c>
      <c r="U68" s="311" t="str">
        <f ca="1">IF(Equipements_STEU!AE26&lt;&gt;"",Equipements_STEU!AQ26,"")</f>
        <v/>
      </c>
      <c r="V68" s="311" t="str">
        <f ca="1">IF(Equipements_STEU!AF26&lt;&gt;"",Equipements_STEU!AR26,"")</f>
        <v/>
      </c>
      <c r="W68" s="311" t="str">
        <f ca="1">IF(Equipements_STEU!AG26&lt;&gt;"",Equipements_STEU!AS26,"")</f>
        <v/>
      </c>
      <c r="X68" s="422" t="str">
        <f ca="1">IF(Equipements_STEU!AH26&lt;&gt;"",Equipements_STEU!AT26,"")</f>
        <v/>
      </c>
      <c r="Y68" s="254"/>
      <c r="Z68" s="254"/>
      <c r="AA68" s="265"/>
      <c r="AB68" s="249"/>
    </row>
    <row r="69" spans="2:28" ht="20.100000000000001" customHeight="1" outlineLevel="1" x14ac:dyDescent="0.4">
      <c r="B69" s="253"/>
      <c r="C69" s="264"/>
      <c r="D69" s="889" t="str">
        <f ca="1">Equipements_STEU!H27</f>
        <v/>
      </c>
      <c r="E69" s="890"/>
      <c r="F69" s="260" t="str">
        <f ca="1">Equipements_STEU!I27</f>
        <v/>
      </c>
      <c r="G69" s="325" t="str">
        <f ca="1">Equipements_STEU!M27</f>
        <v/>
      </c>
      <c r="H69" s="891" t="str">
        <f ca="1">Equipements_STEU!J27</f>
        <v/>
      </c>
      <c r="I69" s="892"/>
      <c r="J69" s="891" t="str">
        <f ca="1">Equipements_STEU!K27</f>
        <v/>
      </c>
      <c r="K69" s="893"/>
      <c r="L69" s="893"/>
      <c r="M69" s="893"/>
      <c r="N69" s="332" t="str">
        <f ca="1">Equipements_STEU!P27</f>
        <v/>
      </c>
      <c r="O69" s="311" t="str">
        <f ca="1">IF(Equipements_STEU!Y27&lt;&gt;"",Equipements_STEU!AK27,"")</f>
        <v/>
      </c>
      <c r="P69" s="311" t="str">
        <f ca="1">IF(Equipements_STEU!Z27&lt;&gt;"",Equipements_STEU!AL27,"")</f>
        <v/>
      </c>
      <c r="Q69" s="311" t="str">
        <f ca="1">IF(Equipements_STEU!AA27&lt;&gt;"",Equipements_STEU!AM27,"")</f>
        <v/>
      </c>
      <c r="R69" s="311" t="str">
        <f ca="1">IF(Equipements_STEU!AB27&lt;&gt;"",Equipements_STEU!AN27,"")</f>
        <v/>
      </c>
      <c r="S69" s="311" t="str">
        <f ca="1">IF(Equipements_STEU!AC27&lt;&gt;"",Equipements_STEU!AO27,"")</f>
        <v/>
      </c>
      <c r="T69" s="311" t="str">
        <f ca="1">IF(Equipements_STEU!AD27&lt;&gt;"",Equipements_STEU!AP27,"")</f>
        <v/>
      </c>
      <c r="U69" s="311" t="str">
        <f ca="1">IF(Equipements_STEU!AE27&lt;&gt;"",Equipements_STEU!AQ27,"")</f>
        <v/>
      </c>
      <c r="V69" s="311" t="str">
        <f ca="1">IF(Equipements_STEU!AF27&lt;&gt;"",Equipements_STEU!AR27,"")</f>
        <v/>
      </c>
      <c r="W69" s="311" t="str">
        <f ca="1">IF(Equipements_STEU!AG27&lt;&gt;"",Equipements_STEU!AS27,"")</f>
        <v/>
      </c>
      <c r="X69" s="422" t="str">
        <f ca="1">IF(Equipements_STEU!AH27&lt;&gt;"",Equipements_STEU!AT27,"")</f>
        <v/>
      </c>
      <c r="Y69" s="254"/>
      <c r="Z69" s="254"/>
      <c r="AA69" s="265"/>
      <c r="AB69" s="249"/>
    </row>
    <row r="70" spans="2:28" ht="20.100000000000001" customHeight="1" outlineLevel="1" x14ac:dyDescent="0.4">
      <c r="B70" s="253"/>
      <c r="C70" s="264"/>
      <c r="D70" s="889" t="str">
        <f ca="1">Equipements_STEU!H28</f>
        <v/>
      </c>
      <c r="E70" s="890"/>
      <c r="F70" s="260" t="str">
        <f ca="1">Equipements_STEU!I28</f>
        <v/>
      </c>
      <c r="G70" s="325" t="str">
        <f ca="1">Equipements_STEU!M28</f>
        <v/>
      </c>
      <c r="H70" s="891" t="str">
        <f ca="1">Equipements_STEU!J28</f>
        <v/>
      </c>
      <c r="I70" s="892"/>
      <c r="J70" s="891" t="str">
        <f ca="1">Equipements_STEU!K28</f>
        <v/>
      </c>
      <c r="K70" s="893"/>
      <c r="L70" s="893"/>
      <c r="M70" s="893"/>
      <c r="N70" s="332" t="str">
        <f ca="1">Equipements_STEU!P28</f>
        <v/>
      </c>
      <c r="O70" s="311" t="str">
        <f ca="1">IF(Equipements_STEU!Y28&lt;&gt;"",Equipements_STEU!AK28,"")</f>
        <v/>
      </c>
      <c r="P70" s="311" t="str">
        <f ca="1">IF(Equipements_STEU!Z28&lt;&gt;"",Equipements_STEU!AL28,"")</f>
        <v/>
      </c>
      <c r="Q70" s="311" t="str">
        <f ca="1">IF(Equipements_STEU!AA28&lt;&gt;"",Equipements_STEU!AM28,"")</f>
        <v/>
      </c>
      <c r="R70" s="311" t="str">
        <f ca="1">IF(Equipements_STEU!AB28&lt;&gt;"",Equipements_STEU!AN28,"")</f>
        <v/>
      </c>
      <c r="S70" s="311" t="str">
        <f ca="1">IF(Equipements_STEU!AC28&lt;&gt;"",Equipements_STEU!AO28,"")</f>
        <v/>
      </c>
      <c r="T70" s="311" t="str">
        <f ca="1">IF(Equipements_STEU!AD28&lt;&gt;"",Equipements_STEU!AP28,"")</f>
        <v/>
      </c>
      <c r="U70" s="311" t="str">
        <f ca="1">IF(Equipements_STEU!AE28&lt;&gt;"",Equipements_STEU!AQ28,"")</f>
        <v/>
      </c>
      <c r="V70" s="311" t="str">
        <f ca="1">IF(Equipements_STEU!AF28&lt;&gt;"",Equipements_STEU!AR28,"")</f>
        <v/>
      </c>
      <c r="W70" s="311" t="str">
        <f ca="1">IF(Equipements_STEU!AG28&lt;&gt;"",Equipements_STEU!AS28,"")</f>
        <v/>
      </c>
      <c r="X70" s="422" t="str">
        <f ca="1">IF(Equipements_STEU!AH28&lt;&gt;"",Equipements_STEU!AT28,"")</f>
        <v/>
      </c>
      <c r="Y70" s="254"/>
      <c r="Z70" s="254"/>
      <c r="AA70" s="265"/>
      <c r="AB70" s="249"/>
    </row>
    <row r="71" spans="2:28" ht="20.100000000000001" customHeight="1" outlineLevel="1" x14ac:dyDescent="0.4">
      <c r="B71" s="253"/>
      <c r="C71" s="264"/>
      <c r="D71" s="889" t="str">
        <f ca="1">Equipements_STEU!H29</f>
        <v/>
      </c>
      <c r="E71" s="890"/>
      <c r="F71" s="260" t="str">
        <f ca="1">Equipements_STEU!I29</f>
        <v/>
      </c>
      <c r="G71" s="325" t="str">
        <f ca="1">Equipements_STEU!M29</f>
        <v/>
      </c>
      <c r="H71" s="891" t="str">
        <f ca="1">Equipements_STEU!J29</f>
        <v/>
      </c>
      <c r="I71" s="892"/>
      <c r="J71" s="891" t="str">
        <f ca="1">Equipements_STEU!K29</f>
        <v/>
      </c>
      <c r="K71" s="893"/>
      <c r="L71" s="893"/>
      <c r="M71" s="893"/>
      <c r="N71" s="332" t="str">
        <f ca="1">Equipements_STEU!P29</f>
        <v/>
      </c>
      <c r="O71" s="311" t="str">
        <f ca="1">IF(Equipements_STEU!Y29&lt;&gt;"",Equipements_STEU!AK29,"")</f>
        <v/>
      </c>
      <c r="P71" s="311" t="str">
        <f ca="1">IF(Equipements_STEU!Z29&lt;&gt;"",Equipements_STEU!AL29,"")</f>
        <v/>
      </c>
      <c r="Q71" s="311" t="str">
        <f ca="1">IF(Equipements_STEU!AA29&lt;&gt;"",Equipements_STEU!AM29,"")</f>
        <v/>
      </c>
      <c r="R71" s="311" t="str">
        <f ca="1">IF(Equipements_STEU!AB29&lt;&gt;"",Equipements_STEU!AN29,"")</f>
        <v/>
      </c>
      <c r="S71" s="311" t="str">
        <f ca="1">IF(Equipements_STEU!AC29&lt;&gt;"",Equipements_STEU!AO29,"")</f>
        <v/>
      </c>
      <c r="T71" s="311" t="str">
        <f ca="1">IF(Equipements_STEU!AD29&lt;&gt;"",Equipements_STEU!AP29,"")</f>
        <v/>
      </c>
      <c r="U71" s="311" t="str">
        <f ca="1">IF(Equipements_STEU!AE29&lt;&gt;"",Equipements_STEU!AQ29,"")</f>
        <v/>
      </c>
      <c r="V71" s="311" t="str">
        <f ca="1">IF(Equipements_STEU!AF29&lt;&gt;"",Equipements_STEU!AR29,"")</f>
        <v/>
      </c>
      <c r="W71" s="311" t="str">
        <f ca="1">IF(Equipements_STEU!AG29&lt;&gt;"",Equipements_STEU!AS29,"")</f>
        <v/>
      </c>
      <c r="X71" s="422" t="str">
        <f ca="1">IF(Equipements_STEU!AH29&lt;&gt;"",Equipements_STEU!AT29,"")</f>
        <v/>
      </c>
      <c r="Y71" s="254"/>
      <c r="Z71" s="254"/>
      <c r="AA71" s="265"/>
      <c r="AB71" s="249"/>
    </row>
    <row r="72" spans="2:28" ht="20.100000000000001" customHeight="1" outlineLevel="1" x14ac:dyDescent="0.4">
      <c r="B72" s="253"/>
      <c r="C72" s="264"/>
      <c r="D72" s="889" t="str">
        <f ca="1">Equipements_STEU!H30</f>
        <v/>
      </c>
      <c r="E72" s="890"/>
      <c r="F72" s="260" t="str">
        <f ca="1">Equipements_STEU!I30</f>
        <v/>
      </c>
      <c r="G72" s="325" t="str">
        <f ca="1">Equipements_STEU!M30</f>
        <v/>
      </c>
      <c r="H72" s="891" t="str">
        <f ca="1">Equipements_STEU!J30</f>
        <v/>
      </c>
      <c r="I72" s="892"/>
      <c r="J72" s="891" t="str">
        <f ca="1">Equipements_STEU!K30</f>
        <v/>
      </c>
      <c r="K72" s="893"/>
      <c r="L72" s="893"/>
      <c r="M72" s="893"/>
      <c r="N72" s="332" t="str">
        <f ca="1">Equipements_STEU!P30</f>
        <v/>
      </c>
      <c r="O72" s="311" t="str">
        <f ca="1">IF(Equipements_STEU!Y30&lt;&gt;"",Equipements_STEU!AK30,"")</f>
        <v/>
      </c>
      <c r="P72" s="311" t="str">
        <f ca="1">IF(Equipements_STEU!Z30&lt;&gt;"",Equipements_STEU!AL30,"")</f>
        <v/>
      </c>
      <c r="Q72" s="311" t="str">
        <f ca="1">IF(Equipements_STEU!AA30&lt;&gt;"",Equipements_STEU!AM30,"")</f>
        <v/>
      </c>
      <c r="R72" s="311" t="str">
        <f ca="1">IF(Equipements_STEU!AB30&lt;&gt;"",Equipements_STEU!AN30,"")</f>
        <v/>
      </c>
      <c r="S72" s="311" t="str">
        <f ca="1">IF(Equipements_STEU!AC30&lt;&gt;"",Equipements_STEU!AO30,"")</f>
        <v/>
      </c>
      <c r="T72" s="311" t="str">
        <f ca="1">IF(Equipements_STEU!AD30&lt;&gt;"",Equipements_STEU!AP30,"")</f>
        <v/>
      </c>
      <c r="U72" s="311" t="str">
        <f ca="1">IF(Equipements_STEU!AE30&lt;&gt;"",Equipements_STEU!AQ30,"")</f>
        <v/>
      </c>
      <c r="V72" s="311" t="str">
        <f ca="1">IF(Equipements_STEU!AF30&lt;&gt;"",Equipements_STEU!AR30,"")</f>
        <v/>
      </c>
      <c r="W72" s="311" t="str">
        <f ca="1">IF(Equipements_STEU!AG30&lt;&gt;"",Equipements_STEU!AS30,"")</f>
        <v/>
      </c>
      <c r="X72" s="422" t="str">
        <f ca="1">IF(Equipements_STEU!AH30&lt;&gt;"",Equipements_STEU!AT30,"")</f>
        <v/>
      </c>
      <c r="Y72" s="254"/>
      <c r="Z72" s="254"/>
      <c r="AA72" s="265"/>
      <c r="AB72" s="249"/>
    </row>
    <row r="73" spans="2:28" ht="20.100000000000001" customHeight="1" outlineLevel="1" x14ac:dyDescent="0.4">
      <c r="B73" s="253"/>
      <c r="C73" s="264"/>
      <c r="D73" s="889" t="str">
        <f ca="1">Equipements_STEU!H31</f>
        <v/>
      </c>
      <c r="E73" s="890"/>
      <c r="F73" s="260" t="str">
        <f ca="1">Equipements_STEU!I31</f>
        <v/>
      </c>
      <c r="G73" s="325" t="str">
        <f ca="1">Equipements_STEU!M31</f>
        <v/>
      </c>
      <c r="H73" s="891" t="str">
        <f ca="1">Equipements_STEU!J31</f>
        <v/>
      </c>
      <c r="I73" s="892"/>
      <c r="J73" s="891" t="str">
        <f ca="1">Equipements_STEU!K31</f>
        <v/>
      </c>
      <c r="K73" s="893"/>
      <c r="L73" s="893"/>
      <c r="M73" s="893"/>
      <c r="N73" s="332" t="str">
        <f ca="1">Equipements_STEU!P31</f>
        <v/>
      </c>
      <c r="O73" s="311" t="str">
        <f ca="1">IF(Equipements_STEU!Y31&lt;&gt;"",Equipements_STEU!AK31,"")</f>
        <v/>
      </c>
      <c r="P73" s="311" t="str">
        <f ca="1">IF(Equipements_STEU!Z31&lt;&gt;"",Equipements_STEU!AL31,"")</f>
        <v/>
      </c>
      <c r="Q73" s="311" t="str">
        <f ca="1">IF(Equipements_STEU!AA31&lt;&gt;"",Equipements_STEU!AM31,"")</f>
        <v/>
      </c>
      <c r="R73" s="311" t="str">
        <f ca="1">IF(Equipements_STEU!AB31&lt;&gt;"",Equipements_STEU!AN31,"")</f>
        <v/>
      </c>
      <c r="S73" s="311" t="str">
        <f ca="1">IF(Equipements_STEU!AC31&lt;&gt;"",Equipements_STEU!AO31,"")</f>
        <v/>
      </c>
      <c r="T73" s="311" t="str">
        <f ca="1">IF(Equipements_STEU!AD31&lt;&gt;"",Equipements_STEU!AP31,"")</f>
        <v/>
      </c>
      <c r="U73" s="311" t="str">
        <f ca="1">IF(Equipements_STEU!AE31&lt;&gt;"",Equipements_STEU!AQ31,"")</f>
        <v/>
      </c>
      <c r="V73" s="311" t="str">
        <f ca="1">IF(Equipements_STEU!AF31&lt;&gt;"",Equipements_STEU!AR31,"")</f>
        <v/>
      </c>
      <c r="W73" s="311" t="str">
        <f ca="1">IF(Equipements_STEU!AG31&lt;&gt;"",Equipements_STEU!AS31,"")</f>
        <v/>
      </c>
      <c r="X73" s="422" t="str">
        <f ca="1">IF(Equipements_STEU!AH31&lt;&gt;"",Equipements_STEU!AT31,"")</f>
        <v/>
      </c>
      <c r="Y73" s="254"/>
      <c r="Z73" s="254"/>
      <c r="AA73" s="265"/>
      <c r="AB73" s="249"/>
    </row>
    <row r="74" spans="2:28" ht="20.100000000000001" customHeight="1" outlineLevel="1" x14ac:dyDescent="0.4">
      <c r="B74" s="253"/>
      <c r="C74" s="264"/>
      <c r="D74" s="889" t="str">
        <f ca="1">Equipements_STEU!H32</f>
        <v/>
      </c>
      <c r="E74" s="890"/>
      <c r="F74" s="260" t="str">
        <f ca="1">Equipements_STEU!I32</f>
        <v/>
      </c>
      <c r="G74" s="325" t="str">
        <f ca="1">Equipements_STEU!M32</f>
        <v/>
      </c>
      <c r="H74" s="891" t="str">
        <f ca="1">Equipements_STEU!J32</f>
        <v/>
      </c>
      <c r="I74" s="892"/>
      <c r="J74" s="891" t="str">
        <f ca="1">Equipements_STEU!K32</f>
        <v/>
      </c>
      <c r="K74" s="893"/>
      <c r="L74" s="893"/>
      <c r="M74" s="893"/>
      <c r="N74" s="332" t="str">
        <f ca="1">Equipements_STEU!P32</f>
        <v/>
      </c>
      <c r="O74" s="311" t="str">
        <f ca="1">IF(Equipements_STEU!Y32&lt;&gt;"",Equipements_STEU!AK32,"")</f>
        <v/>
      </c>
      <c r="P74" s="311" t="str">
        <f ca="1">IF(Equipements_STEU!Z32&lt;&gt;"",Equipements_STEU!AL32,"")</f>
        <v/>
      </c>
      <c r="Q74" s="311" t="str">
        <f ca="1">IF(Equipements_STEU!AA32&lt;&gt;"",Equipements_STEU!AM32,"")</f>
        <v/>
      </c>
      <c r="R74" s="311" t="str">
        <f ca="1">IF(Equipements_STEU!AB32&lt;&gt;"",Equipements_STEU!AN32,"")</f>
        <v/>
      </c>
      <c r="S74" s="311" t="str">
        <f ca="1">IF(Equipements_STEU!AC32&lt;&gt;"",Equipements_STEU!AO32,"")</f>
        <v/>
      </c>
      <c r="T74" s="311" t="str">
        <f ca="1">IF(Equipements_STEU!AD32&lt;&gt;"",Equipements_STEU!AP32,"")</f>
        <v/>
      </c>
      <c r="U74" s="311" t="str">
        <f ca="1">IF(Equipements_STEU!AE32&lt;&gt;"",Equipements_STEU!AQ32,"")</f>
        <v/>
      </c>
      <c r="V74" s="311" t="str">
        <f ca="1">IF(Equipements_STEU!AF32&lt;&gt;"",Equipements_STEU!AR32,"")</f>
        <v/>
      </c>
      <c r="W74" s="311" t="str">
        <f ca="1">IF(Equipements_STEU!AG32&lt;&gt;"",Equipements_STEU!AS32,"")</f>
        <v/>
      </c>
      <c r="X74" s="422" t="str">
        <f ca="1">IF(Equipements_STEU!AH32&lt;&gt;"",Equipements_STEU!AT32,"")</f>
        <v/>
      </c>
      <c r="Y74" s="254"/>
      <c r="Z74" s="254"/>
      <c r="AA74" s="265"/>
      <c r="AB74" s="249"/>
    </row>
    <row r="75" spans="2:28" ht="20.100000000000001" customHeight="1" outlineLevel="1" x14ac:dyDescent="0.4">
      <c r="B75" s="253"/>
      <c r="C75" s="264"/>
      <c r="D75" s="889" t="str">
        <f ca="1">Equipements_STEU!H33</f>
        <v/>
      </c>
      <c r="E75" s="890"/>
      <c r="F75" s="260" t="str">
        <f ca="1">Equipements_STEU!I33</f>
        <v/>
      </c>
      <c r="G75" s="325" t="str">
        <f ca="1">Equipements_STEU!M33</f>
        <v/>
      </c>
      <c r="H75" s="891" t="str">
        <f ca="1">Equipements_STEU!J33</f>
        <v/>
      </c>
      <c r="I75" s="892"/>
      <c r="J75" s="891" t="str">
        <f ca="1">Equipements_STEU!K33</f>
        <v/>
      </c>
      <c r="K75" s="893"/>
      <c r="L75" s="893"/>
      <c r="M75" s="893"/>
      <c r="N75" s="332" t="str">
        <f ca="1">Equipements_STEU!P33</f>
        <v/>
      </c>
      <c r="O75" s="311" t="str">
        <f ca="1">IF(Equipements_STEU!Y33&lt;&gt;"",Equipements_STEU!AK33,"")</f>
        <v/>
      </c>
      <c r="P75" s="311" t="str">
        <f ca="1">IF(Equipements_STEU!Z33&lt;&gt;"",Equipements_STEU!AL33,"")</f>
        <v/>
      </c>
      <c r="Q75" s="311" t="str">
        <f ca="1">IF(Equipements_STEU!AA33&lt;&gt;"",Equipements_STEU!AM33,"")</f>
        <v/>
      </c>
      <c r="R75" s="311" t="str">
        <f ca="1">IF(Equipements_STEU!AB33&lt;&gt;"",Equipements_STEU!AN33,"")</f>
        <v/>
      </c>
      <c r="S75" s="311" t="str">
        <f ca="1">IF(Equipements_STEU!AC33&lt;&gt;"",Equipements_STEU!AO33,"")</f>
        <v/>
      </c>
      <c r="T75" s="311" t="str">
        <f ca="1">IF(Equipements_STEU!AD33&lt;&gt;"",Equipements_STEU!AP33,"")</f>
        <v/>
      </c>
      <c r="U75" s="311" t="str">
        <f ca="1">IF(Equipements_STEU!AE33&lt;&gt;"",Equipements_STEU!AQ33,"")</f>
        <v/>
      </c>
      <c r="V75" s="311" t="str">
        <f ca="1">IF(Equipements_STEU!AF33&lt;&gt;"",Equipements_STEU!AR33,"")</f>
        <v/>
      </c>
      <c r="W75" s="311" t="str">
        <f ca="1">IF(Equipements_STEU!AG33&lt;&gt;"",Equipements_STEU!AS33,"")</f>
        <v/>
      </c>
      <c r="X75" s="422" t="str">
        <f ca="1">IF(Equipements_STEU!AH33&lt;&gt;"",Equipements_STEU!AT33,"")</f>
        <v/>
      </c>
      <c r="Y75" s="254"/>
      <c r="Z75" s="254"/>
      <c r="AA75" s="265"/>
      <c r="AB75" s="249"/>
    </row>
    <row r="76" spans="2:28" ht="20.100000000000001" customHeight="1" outlineLevel="1" x14ac:dyDescent="0.4">
      <c r="B76" s="253"/>
      <c r="C76" s="264"/>
      <c r="D76" s="889" t="str">
        <f ca="1">Equipements_STEU!H34</f>
        <v/>
      </c>
      <c r="E76" s="890"/>
      <c r="F76" s="260" t="str">
        <f ca="1">Equipements_STEU!I34</f>
        <v/>
      </c>
      <c r="G76" s="325" t="str">
        <f ca="1">Equipements_STEU!M34</f>
        <v/>
      </c>
      <c r="H76" s="891" t="str">
        <f ca="1">Equipements_STEU!J34</f>
        <v/>
      </c>
      <c r="I76" s="892"/>
      <c r="J76" s="891" t="str">
        <f ca="1">Equipements_STEU!K34</f>
        <v/>
      </c>
      <c r="K76" s="893"/>
      <c r="L76" s="893"/>
      <c r="M76" s="893"/>
      <c r="N76" s="332" t="str">
        <f ca="1">Equipements_STEU!P34</f>
        <v/>
      </c>
      <c r="O76" s="311" t="str">
        <f ca="1">IF(Equipements_STEU!Y34&lt;&gt;"",Equipements_STEU!AK34,"")</f>
        <v/>
      </c>
      <c r="P76" s="311" t="str">
        <f ca="1">IF(Equipements_STEU!Z34&lt;&gt;"",Equipements_STEU!AL34,"")</f>
        <v/>
      </c>
      <c r="Q76" s="311" t="str">
        <f ca="1">IF(Equipements_STEU!AA34&lt;&gt;"",Equipements_STEU!AM34,"")</f>
        <v/>
      </c>
      <c r="R76" s="311" t="str">
        <f ca="1">IF(Equipements_STEU!AB34&lt;&gt;"",Equipements_STEU!AN34,"")</f>
        <v/>
      </c>
      <c r="S76" s="311" t="str">
        <f ca="1">IF(Equipements_STEU!AC34&lt;&gt;"",Equipements_STEU!AO34,"")</f>
        <v/>
      </c>
      <c r="T76" s="311" t="str">
        <f ca="1">IF(Equipements_STEU!AD34&lt;&gt;"",Equipements_STEU!AP34,"")</f>
        <v/>
      </c>
      <c r="U76" s="311" t="str">
        <f ca="1">IF(Equipements_STEU!AE34&lt;&gt;"",Equipements_STEU!AQ34,"")</f>
        <v/>
      </c>
      <c r="V76" s="311" t="str">
        <f ca="1">IF(Equipements_STEU!AF34&lt;&gt;"",Equipements_STEU!AR34,"")</f>
        <v/>
      </c>
      <c r="W76" s="311" t="str">
        <f ca="1">IF(Equipements_STEU!AG34&lt;&gt;"",Equipements_STEU!AS34,"")</f>
        <v/>
      </c>
      <c r="X76" s="422" t="str">
        <f ca="1">IF(Equipements_STEU!AH34&lt;&gt;"",Equipements_STEU!AT34,"")</f>
        <v/>
      </c>
      <c r="Y76" s="254"/>
      <c r="Z76" s="254"/>
      <c r="AA76" s="265"/>
      <c r="AB76" s="249"/>
    </row>
    <row r="77" spans="2:28" ht="20.100000000000001" customHeight="1" outlineLevel="1" x14ac:dyDescent="0.4">
      <c r="B77" s="253"/>
      <c r="C77" s="264"/>
      <c r="D77" s="889" t="str">
        <f ca="1">Equipements_STEU!H35</f>
        <v/>
      </c>
      <c r="E77" s="890"/>
      <c r="F77" s="260" t="str">
        <f ca="1">Equipements_STEU!I35</f>
        <v/>
      </c>
      <c r="G77" s="325" t="str">
        <f ca="1">Equipements_STEU!M35</f>
        <v/>
      </c>
      <c r="H77" s="891" t="str">
        <f ca="1">Equipements_STEU!J35</f>
        <v/>
      </c>
      <c r="I77" s="892"/>
      <c r="J77" s="891" t="str">
        <f ca="1">Equipements_STEU!K35</f>
        <v/>
      </c>
      <c r="K77" s="893"/>
      <c r="L77" s="893"/>
      <c r="M77" s="893"/>
      <c r="N77" s="332" t="str">
        <f ca="1">Equipements_STEU!P35</f>
        <v/>
      </c>
      <c r="O77" s="311" t="str">
        <f ca="1">IF(Equipements_STEU!Y35&lt;&gt;"",Equipements_STEU!AK35,"")</f>
        <v/>
      </c>
      <c r="P77" s="311" t="str">
        <f ca="1">IF(Equipements_STEU!Z35&lt;&gt;"",Equipements_STEU!AL35,"")</f>
        <v/>
      </c>
      <c r="Q77" s="311" t="str">
        <f ca="1">IF(Equipements_STEU!AA35&lt;&gt;"",Equipements_STEU!AM35,"")</f>
        <v/>
      </c>
      <c r="R77" s="311" t="str">
        <f ca="1">IF(Equipements_STEU!AB35&lt;&gt;"",Equipements_STEU!AN35,"")</f>
        <v/>
      </c>
      <c r="S77" s="311" t="str">
        <f ca="1">IF(Equipements_STEU!AC35&lt;&gt;"",Equipements_STEU!AO35,"")</f>
        <v/>
      </c>
      <c r="T77" s="311" t="str">
        <f ca="1">IF(Equipements_STEU!AD35&lt;&gt;"",Equipements_STEU!AP35,"")</f>
        <v/>
      </c>
      <c r="U77" s="311" t="str">
        <f ca="1">IF(Equipements_STEU!AE35&lt;&gt;"",Equipements_STEU!AQ35,"")</f>
        <v/>
      </c>
      <c r="V77" s="311" t="str">
        <f ca="1">IF(Equipements_STEU!AF35&lt;&gt;"",Equipements_STEU!AR35,"")</f>
        <v/>
      </c>
      <c r="W77" s="311" t="str">
        <f ca="1">IF(Equipements_STEU!AG35&lt;&gt;"",Equipements_STEU!AS35,"")</f>
        <v/>
      </c>
      <c r="X77" s="422" t="str">
        <f ca="1">IF(Equipements_STEU!AH35&lt;&gt;"",Equipements_STEU!AT35,"")</f>
        <v/>
      </c>
      <c r="Y77" s="254"/>
      <c r="Z77" s="254"/>
      <c r="AA77" s="265"/>
      <c r="AB77" s="249"/>
    </row>
    <row r="78" spans="2:28" ht="20.100000000000001" customHeight="1" outlineLevel="1" x14ac:dyDescent="0.4">
      <c r="B78" s="253"/>
      <c r="C78" s="264"/>
      <c r="D78" s="889" t="str">
        <f ca="1">Equipements_STEU!H36</f>
        <v/>
      </c>
      <c r="E78" s="890"/>
      <c r="F78" s="260" t="str">
        <f ca="1">Equipements_STEU!I36</f>
        <v/>
      </c>
      <c r="G78" s="325" t="str">
        <f ca="1">Equipements_STEU!M36</f>
        <v/>
      </c>
      <c r="H78" s="891" t="str">
        <f ca="1">Equipements_STEU!J36</f>
        <v/>
      </c>
      <c r="I78" s="892"/>
      <c r="J78" s="891" t="str">
        <f ca="1">Equipements_STEU!K36</f>
        <v/>
      </c>
      <c r="K78" s="893"/>
      <c r="L78" s="893"/>
      <c r="M78" s="893"/>
      <c r="N78" s="332" t="str">
        <f ca="1">Equipements_STEU!P36</f>
        <v/>
      </c>
      <c r="O78" s="311" t="str">
        <f ca="1">IF(Equipements_STEU!Y36&lt;&gt;"",Equipements_STEU!AK36,"")</f>
        <v/>
      </c>
      <c r="P78" s="311" t="str">
        <f ca="1">IF(Equipements_STEU!Z36&lt;&gt;"",Equipements_STEU!AL36,"")</f>
        <v/>
      </c>
      <c r="Q78" s="311" t="str">
        <f ca="1">IF(Equipements_STEU!AA36&lt;&gt;"",Equipements_STEU!AM36,"")</f>
        <v/>
      </c>
      <c r="R78" s="311" t="str">
        <f ca="1">IF(Equipements_STEU!AB36&lt;&gt;"",Equipements_STEU!AN36,"")</f>
        <v/>
      </c>
      <c r="S78" s="311" t="str">
        <f ca="1">IF(Equipements_STEU!AC36&lt;&gt;"",Equipements_STEU!AO36,"")</f>
        <v/>
      </c>
      <c r="T78" s="311" t="str">
        <f ca="1">IF(Equipements_STEU!AD36&lt;&gt;"",Equipements_STEU!AP36,"")</f>
        <v/>
      </c>
      <c r="U78" s="311" t="str">
        <f ca="1">IF(Equipements_STEU!AE36&lt;&gt;"",Equipements_STEU!AQ36,"")</f>
        <v/>
      </c>
      <c r="V78" s="311" t="str">
        <f ca="1">IF(Equipements_STEU!AF36&lt;&gt;"",Equipements_STEU!AR36,"")</f>
        <v/>
      </c>
      <c r="W78" s="311" t="str">
        <f ca="1">IF(Equipements_STEU!AG36&lt;&gt;"",Equipements_STEU!AS36,"")</f>
        <v/>
      </c>
      <c r="X78" s="422" t="str">
        <f ca="1">IF(Equipements_STEU!AH36&lt;&gt;"",Equipements_STEU!AT36,"")</f>
        <v/>
      </c>
      <c r="Y78" s="254"/>
      <c r="Z78" s="254"/>
      <c r="AA78" s="265"/>
      <c r="AB78" s="249"/>
    </row>
    <row r="79" spans="2:28" ht="20.100000000000001" customHeight="1" outlineLevel="1" x14ac:dyDescent="0.4">
      <c r="B79" s="253"/>
      <c r="C79" s="264"/>
      <c r="D79" s="889" t="str">
        <f ca="1">Equipements_STEU!H37</f>
        <v/>
      </c>
      <c r="E79" s="890"/>
      <c r="F79" s="260" t="str">
        <f ca="1">Equipements_STEU!I37</f>
        <v/>
      </c>
      <c r="G79" s="325" t="str">
        <f ca="1">Equipements_STEU!M37</f>
        <v/>
      </c>
      <c r="H79" s="891" t="str">
        <f ca="1">Equipements_STEU!J37</f>
        <v/>
      </c>
      <c r="I79" s="892"/>
      <c r="J79" s="891" t="str">
        <f ca="1">Equipements_STEU!K37</f>
        <v/>
      </c>
      <c r="K79" s="893"/>
      <c r="L79" s="893"/>
      <c r="M79" s="893"/>
      <c r="N79" s="332" t="str">
        <f ca="1">Equipements_STEU!P37</f>
        <v/>
      </c>
      <c r="O79" s="311" t="str">
        <f ca="1">IF(Equipements_STEU!Y37&lt;&gt;"",Equipements_STEU!AK37,"")</f>
        <v/>
      </c>
      <c r="P79" s="311" t="str">
        <f ca="1">IF(Equipements_STEU!Z37&lt;&gt;"",Equipements_STEU!AL37,"")</f>
        <v/>
      </c>
      <c r="Q79" s="311" t="str">
        <f ca="1">IF(Equipements_STEU!AA37&lt;&gt;"",Equipements_STEU!AM37,"")</f>
        <v/>
      </c>
      <c r="R79" s="311" t="str">
        <f ca="1">IF(Equipements_STEU!AB37&lt;&gt;"",Equipements_STEU!AN37,"")</f>
        <v/>
      </c>
      <c r="S79" s="311" t="str">
        <f ca="1">IF(Equipements_STEU!AC37&lt;&gt;"",Equipements_STEU!AO37,"")</f>
        <v/>
      </c>
      <c r="T79" s="311" t="str">
        <f ca="1">IF(Equipements_STEU!AD37&lt;&gt;"",Equipements_STEU!AP37,"")</f>
        <v/>
      </c>
      <c r="U79" s="311" t="str">
        <f ca="1">IF(Equipements_STEU!AE37&lt;&gt;"",Equipements_STEU!AQ37,"")</f>
        <v/>
      </c>
      <c r="V79" s="311" t="str">
        <f ca="1">IF(Equipements_STEU!AF37&lt;&gt;"",Equipements_STEU!AR37,"")</f>
        <v/>
      </c>
      <c r="W79" s="311" t="str">
        <f ca="1">IF(Equipements_STEU!AG37&lt;&gt;"",Equipements_STEU!AS37,"")</f>
        <v/>
      </c>
      <c r="X79" s="422" t="str">
        <f ca="1">IF(Equipements_STEU!AH37&lt;&gt;"",Equipements_STEU!AT37,"")</f>
        <v/>
      </c>
      <c r="Y79" s="254"/>
      <c r="Z79" s="254"/>
      <c r="AA79" s="265"/>
      <c r="AB79" s="249"/>
    </row>
    <row r="80" spans="2:28" ht="20.100000000000001" customHeight="1" outlineLevel="1" x14ac:dyDescent="0.4">
      <c r="B80" s="253"/>
      <c r="C80" s="264"/>
      <c r="D80" s="889" t="str">
        <f ca="1">Equipements_STEU!H38</f>
        <v/>
      </c>
      <c r="E80" s="890"/>
      <c r="F80" s="260" t="str">
        <f ca="1">Equipements_STEU!I38</f>
        <v/>
      </c>
      <c r="G80" s="325" t="str">
        <f ca="1">Equipements_STEU!M38</f>
        <v/>
      </c>
      <c r="H80" s="891" t="str">
        <f ca="1">Equipements_STEU!J38</f>
        <v/>
      </c>
      <c r="I80" s="892"/>
      <c r="J80" s="891" t="str">
        <f ca="1">Equipements_STEU!K38</f>
        <v/>
      </c>
      <c r="K80" s="893"/>
      <c r="L80" s="893"/>
      <c r="M80" s="893"/>
      <c r="N80" s="332" t="str">
        <f ca="1">Equipements_STEU!P38</f>
        <v/>
      </c>
      <c r="O80" s="311" t="str">
        <f ca="1">IF(Equipements_STEU!Y38&lt;&gt;"",Equipements_STEU!AK38,"")</f>
        <v/>
      </c>
      <c r="P80" s="311" t="str">
        <f ca="1">IF(Equipements_STEU!Z38&lt;&gt;"",Equipements_STEU!AL38,"")</f>
        <v/>
      </c>
      <c r="Q80" s="311" t="str">
        <f ca="1">IF(Equipements_STEU!AA38&lt;&gt;"",Equipements_STEU!AM38,"")</f>
        <v/>
      </c>
      <c r="R80" s="311" t="str">
        <f ca="1">IF(Equipements_STEU!AB38&lt;&gt;"",Equipements_STEU!AN38,"")</f>
        <v/>
      </c>
      <c r="S80" s="311" t="str">
        <f ca="1">IF(Equipements_STEU!AC38&lt;&gt;"",Equipements_STEU!AO38,"")</f>
        <v/>
      </c>
      <c r="T80" s="311" t="str">
        <f ca="1">IF(Equipements_STEU!AD38&lt;&gt;"",Equipements_STEU!AP38,"")</f>
        <v/>
      </c>
      <c r="U80" s="311" t="str">
        <f ca="1">IF(Equipements_STEU!AE38&lt;&gt;"",Equipements_STEU!AQ38,"")</f>
        <v/>
      </c>
      <c r="V80" s="311" t="str">
        <f ca="1">IF(Equipements_STEU!AF38&lt;&gt;"",Equipements_STEU!AR38,"")</f>
        <v/>
      </c>
      <c r="W80" s="311" t="str">
        <f ca="1">IF(Equipements_STEU!AG38&lt;&gt;"",Equipements_STEU!AS38,"")</f>
        <v/>
      </c>
      <c r="X80" s="422" t="str">
        <f ca="1">IF(Equipements_STEU!AH38&lt;&gt;"",Equipements_STEU!AT38,"")</f>
        <v/>
      </c>
      <c r="Y80" s="254"/>
      <c r="Z80" s="254"/>
      <c r="AA80" s="265"/>
      <c r="AB80" s="249"/>
    </row>
    <row r="81" spans="2:28" ht="20.100000000000001" customHeight="1" outlineLevel="1" x14ac:dyDescent="0.4">
      <c r="B81" s="253"/>
      <c r="C81" s="264"/>
      <c r="D81" s="889" t="str">
        <f ca="1">Equipements_STEU!H39</f>
        <v/>
      </c>
      <c r="E81" s="890"/>
      <c r="F81" s="260" t="str">
        <f ca="1">Equipements_STEU!I39</f>
        <v/>
      </c>
      <c r="G81" s="325" t="str">
        <f ca="1">Equipements_STEU!M39</f>
        <v/>
      </c>
      <c r="H81" s="891" t="str">
        <f ca="1">Equipements_STEU!J39</f>
        <v/>
      </c>
      <c r="I81" s="892"/>
      <c r="J81" s="891" t="str">
        <f ca="1">Equipements_STEU!K39</f>
        <v/>
      </c>
      <c r="K81" s="893"/>
      <c r="L81" s="893"/>
      <c r="M81" s="893"/>
      <c r="N81" s="332" t="str">
        <f ca="1">Equipements_STEU!P39</f>
        <v/>
      </c>
      <c r="O81" s="311" t="str">
        <f ca="1">IF(Equipements_STEU!Y39&lt;&gt;"",Equipements_STEU!AK39,"")</f>
        <v/>
      </c>
      <c r="P81" s="311" t="str">
        <f ca="1">IF(Equipements_STEU!Z39&lt;&gt;"",Equipements_STEU!AL39,"")</f>
        <v/>
      </c>
      <c r="Q81" s="311" t="str">
        <f ca="1">IF(Equipements_STEU!AA39&lt;&gt;"",Equipements_STEU!AM39,"")</f>
        <v/>
      </c>
      <c r="R81" s="311" t="str">
        <f ca="1">IF(Equipements_STEU!AB39&lt;&gt;"",Equipements_STEU!AN39,"")</f>
        <v/>
      </c>
      <c r="S81" s="311" t="str">
        <f ca="1">IF(Equipements_STEU!AC39&lt;&gt;"",Equipements_STEU!AO39,"")</f>
        <v/>
      </c>
      <c r="T81" s="311" t="str">
        <f ca="1">IF(Equipements_STEU!AD39&lt;&gt;"",Equipements_STEU!AP39,"")</f>
        <v/>
      </c>
      <c r="U81" s="311" t="str">
        <f ca="1">IF(Equipements_STEU!AE39&lt;&gt;"",Equipements_STEU!AQ39,"")</f>
        <v/>
      </c>
      <c r="V81" s="311" t="str">
        <f ca="1">IF(Equipements_STEU!AF39&lt;&gt;"",Equipements_STEU!AR39,"")</f>
        <v/>
      </c>
      <c r="W81" s="311" t="str">
        <f ca="1">IF(Equipements_STEU!AG39&lt;&gt;"",Equipements_STEU!AS39,"")</f>
        <v/>
      </c>
      <c r="X81" s="422" t="str">
        <f ca="1">IF(Equipements_STEU!AH39&lt;&gt;"",Equipements_STEU!AT39,"")</f>
        <v/>
      </c>
      <c r="Y81" s="254"/>
      <c r="Z81" s="254"/>
      <c r="AA81" s="265"/>
      <c r="AB81" s="249"/>
    </row>
    <row r="82" spans="2:28" ht="20.100000000000001" customHeight="1" outlineLevel="1" x14ac:dyDescent="0.4">
      <c r="B82" s="253"/>
      <c r="C82" s="264"/>
      <c r="D82" s="889" t="str">
        <f ca="1">Equipements_STEU!H40</f>
        <v/>
      </c>
      <c r="E82" s="890"/>
      <c r="F82" s="260" t="str">
        <f ca="1">Equipements_STEU!I40</f>
        <v/>
      </c>
      <c r="G82" s="325" t="str">
        <f ca="1">Equipements_STEU!M40</f>
        <v/>
      </c>
      <c r="H82" s="891" t="str">
        <f ca="1">Equipements_STEU!J40</f>
        <v/>
      </c>
      <c r="I82" s="892"/>
      <c r="J82" s="891" t="str">
        <f ca="1">Equipements_STEU!K40</f>
        <v/>
      </c>
      <c r="K82" s="893"/>
      <c r="L82" s="893"/>
      <c r="M82" s="893"/>
      <c r="N82" s="332" t="str">
        <f ca="1">Equipements_STEU!P40</f>
        <v/>
      </c>
      <c r="O82" s="311" t="str">
        <f ca="1">IF(Equipements_STEU!Y40&lt;&gt;"",Equipements_STEU!AK40,"")</f>
        <v/>
      </c>
      <c r="P82" s="311" t="str">
        <f ca="1">IF(Equipements_STEU!Z40&lt;&gt;"",Equipements_STEU!AL40,"")</f>
        <v/>
      </c>
      <c r="Q82" s="311" t="str">
        <f ca="1">IF(Equipements_STEU!AA40&lt;&gt;"",Equipements_STEU!AM40,"")</f>
        <v/>
      </c>
      <c r="R82" s="311" t="str">
        <f ca="1">IF(Equipements_STEU!AB40&lt;&gt;"",Equipements_STEU!AN40,"")</f>
        <v/>
      </c>
      <c r="S82" s="311" t="str">
        <f ca="1">IF(Equipements_STEU!AC40&lt;&gt;"",Equipements_STEU!AO40,"")</f>
        <v/>
      </c>
      <c r="T82" s="311" t="str">
        <f ca="1">IF(Equipements_STEU!AD40&lt;&gt;"",Equipements_STEU!AP40,"")</f>
        <v/>
      </c>
      <c r="U82" s="311" t="str">
        <f ca="1">IF(Equipements_STEU!AE40&lt;&gt;"",Equipements_STEU!AQ40,"")</f>
        <v/>
      </c>
      <c r="V82" s="311" t="str">
        <f ca="1">IF(Equipements_STEU!AF40&lt;&gt;"",Equipements_STEU!AR40,"")</f>
        <v/>
      </c>
      <c r="W82" s="311" t="str">
        <f ca="1">IF(Equipements_STEU!AG40&lt;&gt;"",Equipements_STEU!AS40,"")</f>
        <v/>
      </c>
      <c r="X82" s="422" t="str">
        <f ca="1">IF(Equipements_STEU!AH40&lt;&gt;"",Equipements_STEU!AT40,"")</f>
        <v/>
      </c>
      <c r="Y82" s="254"/>
      <c r="Z82" s="254"/>
      <c r="AA82" s="265"/>
      <c r="AB82" s="249"/>
    </row>
    <row r="83" spans="2:28" ht="20.100000000000001" customHeight="1" outlineLevel="1" x14ac:dyDescent="0.4">
      <c r="B83" s="253"/>
      <c r="C83" s="264"/>
      <c r="D83" s="889" t="str">
        <f ca="1">Equipements_STEU!H41</f>
        <v/>
      </c>
      <c r="E83" s="890"/>
      <c r="F83" s="260" t="str">
        <f ca="1">Equipements_STEU!I41</f>
        <v/>
      </c>
      <c r="G83" s="325" t="str">
        <f ca="1">Equipements_STEU!M41</f>
        <v/>
      </c>
      <c r="H83" s="891" t="str">
        <f ca="1">Equipements_STEU!J41</f>
        <v/>
      </c>
      <c r="I83" s="892"/>
      <c r="J83" s="891" t="str">
        <f ca="1">Equipements_STEU!K41</f>
        <v/>
      </c>
      <c r="K83" s="893"/>
      <c r="L83" s="893"/>
      <c r="M83" s="893"/>
      <c r="N83" s="332" t="str">
        <f ca="1">Equipements_STEU!P41</f>
        <v/>
      </c>
      <c r="O83" s="311" t="str">
        <f ca="1">IF(Equipements_STEU!Y41&lt;&gt;"",Equipements_STEU!AK41,"")</f>
        <v/>
      </c>
      <c r="P83" s="311" t="str">
        <f ca="1">IF(Equipements_STEU!Z41&lt;&gt;"",Equipements_STEU!AL41,"")</f>
        <v/>
      </c>
      <c r="Q83" s="311" t="str">
        <f ca="1">IF(Equipements_STEU!AA41&lt;&gt;"",Equipements_STEU!AM41,"")</f>
        <v/>
      </c>
      <c r="R83" s="311" t="str">
        <f ca="1">IF(Equipements_STEU!AB41&lt;&gt;"",Equipements_STEU!AN41,"")</f>
        <v/>
      </c>
      <c r="S83" s="311" t="str">
        <f ca="1">IF(Equipements_STEU!AC41&lt;&gt;"",Equipements_STEU!AO41,"")</f>
        <v/>
      </c>
      <c r="T83" s="311" t="str">
        <f ca="1">IF(Equipements_STEU!AD41&lt;&gt;"",Equipements_STEU!AP41,"")</f>
        <v/>
      </c>
      <c r="U83" s="311" t="str">
        <f ca="1">IF(Equipements_STEU!AE41&lt;&gt;"",Equipements_STEU!AQ41,"")</f>
        <v/>
      </c>
      <c r="V83" s="311" t="str">
        <f ca="1">IF(Equipements_STEU!AF41&lt;&gt;"",Equipements_STEU!AR41,"")</f>
        <v/>
      </c>
      <c r="W83" s="311" t="str">
        <f ca="1">IF(Equipements_STEU!AG41&lt;&gt;"",Equipements_STEU!AS41,"")</f>
        <v/>
      </c>
      <c r="X83" s="422" t="str">
        <f ca="1">IF(Equipements_STEU!AH41&lt;&gt;"",Equipements_STEU!AT41,"")</f>
        <v/>
      </c>
      <c r="Y83" s="254"/>
      <c r="Z83" s="254"/>
      <c r="AA83" s="265"/>
      <c r="AB83" s="249"/>
    </row>
    <row r="84" spans="2:28" ht="20.100000000000001" customHeight="1" outlineLevel="1" x14ac:dyDescent="0.4">
      <c r="B84" s="253"/>
      <c r="C84" s="264"/>
      <c r="D84" s="889" t="str">
        <f ca="1">Equipements_STEU!H42</f>
        <v/>
      </c>
      <c r="E84" s="890"/>
      <c r="F84" s="260" t="str">
        <f ca="1">Equipements_STEU!I42</f>
        <v/>
      </c>
      <c r="G84" s="325" t="str">
        <f ca="1">Equipements_STEU!M42</f>
        <v/>
      </c>
      <c r="H84" s="891" t="str">
        <f ca="1">Equipements_STEU!J42</f>
        <v/>
      </c>
      <c r="I84" s="892"/>
      <c r="J84" s="891" t="str">
        <f ca="1">Equipements_STEU!K42</f>
        <v/>
      </c>
      <c r="K84" s="893"/>
      <c r="L84" s="893"/>
      <c r="M84" s="893"/>
      <c r="N84" s="332" t="str">
        <f ca="1">Equipements_STEU!P42</f>
        <v/>
      </c>
      <c r="O84" s="311" t="str">
        <f ca="1">IF(Equipements_STEU!Y42&lt;&gt;"",Equipements_STEU!AK42,"")</f>
        <v/>
      </c>
      <c r="P84" s="311" t="str">
        <f ca="1">IF(Equipements_STEU!Z42&lt;&gt;"",Equipements_STEU!AL42,"")</f>
        <v/>
      </c>
      <c r="Q84" s="311" t="str">
        <f ca="1">IF(Equipements_STEU!AA42&lt;&gt;"",Equipements_STEU!AM42,"")</f>
        <v/>
      </c>
      <c r="R84" s="311" t="str">
        <f ca="1">IF(Equipements_STEU!AB42&lt;&gt;"",Equipements_STEU!AN42,"")</f>
        <v/>
      </c>
      <c r="S84" s="311" t="str">
        <f ca="1">IF(Equipements_STEU!AC42&lt;&gt;"",Equipements_STEU!AO42,"")</f>
        <v/>
      </c>
      <c r="T84" s="311" t="str">
        <f ca="1">IF(Equipements_STEU!AD42&lt;&gt;"",Equipements_STEU!AP42,"")</f>
        <v/>
      </c>
      <c r="U84" s="311" t="str">
        <f ca="1">IF(Equipements_STEU!AE42&lt;&gt;"",Equipements_STEU!AQ42,"")</f>
        <v/>
      </c>
      <c r="V84" s="311" t="str">
        <f ca="1">IF(Equipements_STEU!AF42&lt;&gt;"",Equipements_STEU!AR42,"")</f>
        <v/>
      </c>
      <c r="W84" s="311" t="str">
        <f ca="1">IF(Equipements_STEU!AG42&lt;&gt;"",Equipements_STEU!AS42,"")</f>
        <v/>
      </c>
      <c r="X84" s="422" t="str">
        <f ca="1">IF(Equipements_STEU!AH42&lt;&gt;"",Equipements_STEU!AT42,"")</f>
        <v/>
      </c>
      <c r="Y84" s="254"/>
      <c r="Z84" s="254"/>
      <c r="AA84" s="265"/>
      <c r="AB84" s="249"/>
    </row>
    <row r="85" spans="2:28" ht="20.100000000000001" customHeight="1" outlineLevel="1" x14ac:dyDescent="0.4">
      <c r="B85" s="253"/>
      <c r="C85" s="264"/>
      <c r="D85" s="889" t="str">
        <f ca="1">Equipements_STEU!H43</f>
        <v/>
      </c>
      <c r="E85" s="890"/>
      <c r="F85" s="260" t="str">
        <f ca="1">Equipements_STEU!I43</f>
        <v/>
      </c>
      <c r="G85" s="325" t="str">
        <f ca="1">Equipements_STEU!M43</f>
        <v/>
      </c>
      <c r="H85" s="891" t="str">
        <f ca="1">Equipements_STEU!J43</f>
        <v/>
      </c>
      <c r="I85" s="892"/>
      <c r="J85" s="891" t="str">
        <f ca="1">Equipements_STEU!K43</f>
        <v/>
      </c>
      <c r="K85" s="893"/>
      <c r="L85" s="893"/>
      <c r="M85" s="893"/>
      <c r="N85" s="332" t="str">
        <f ca="1">Equipements_STEU!P43</f>
        <v/>
      </c>
      <c r="O85" s="311" t="str">
        <f ca="1">IF(Equipements_STEU!Y43&lt;&gt;"",Equipements_STEU!AK43,"")</f>
        <v/>
      </c>
      <c r="P85" s="311" t="str">
        <f ca="1">IF(Equipements_STEU!Z43&lt;&gt;"",Equipements_STEU!AL43,"")</f>
        <v/>
      </c>
      <c r="Q85" s="311" t="str">
        <f ca="1">IF(Equipements_STEU!AA43&lt;&gt;"",Equipements_STEU!AM43,"")</f>
        <v/>
      </c>
      <c r="R85" s="311" t="str">
        <f ca="1">IF(Equipements_STEU!AB43&lt;&gt;"",Equipements_STEU!AN43,"")</f>
        <v/>
      </c>
      <c r="S85" s="311" t="str">
        <f ca="1">IF(Equipements_STEU!AC43&lt;&gt;"",Equipements_STEU!AO43,"")</f>
        <v/>
      </c>
      <c r="T85" s="311" t="str">
        <f ca="1">IF(Equipements_STEU!AD43&lt;&gt;"",Equipements_STEU!AP43,"")</f>
        <v/>
      </c>
      <c r="U85" s="311" t="str">
        <f ca="1">IF(Equipements_STEU!AE43&lt;&gt;"",Equipements_STEU!AQ43,"")</f>
        <v/>
      </c>
      <c r="V85" s="311" t="str">
        <f ca="1">IF(Equipements_STEU!AF43&lt;&gt;"",Equipements_STEU!AR43,"")</f>
        <v/>
      </c>
      <c r="W85" s="311" t="str">
        <f ca="1">IF(Equipements_STEU!AG43&lt;&gt;"",Equipements_STEU!AS43,"")</f>
        <v/>
      </c>
      <c r="X85" s="422" t="str">
        <f ca="1">IF(Equipements_STEU!AH43&lt;&gt;"",Equipements_STEU!AT43,"")</f>
        <v/>
      </c>
      <c r="Y85" s="254"/>
      <c r="Z85" s="254"/>
      <c r="AA85" s="265"/>
      <c r="AB85" s="249"/>
    </row>
    <row r="86" spans="2:28" ht="20.100000000000001" customHeight="1" outlineLevel="1" x14ac:dyDescent="0.4">
      <c r="B86" s="253"/>
      <c r="C86" s="264"/>
      <c r="D86" s="889" t="str">
        <f ca="1">Equipements_STEU!H44</f>
        <v/>
      </c>
      <c r="E86" s="890"/>
      <c r="F86" s="260" t="str">
        <f ca="1">Equipements_STEU!I44</f>
        <v/>
      </c>
      <c r="G86" s="325" t="str">
        <f ca="1">Equipements_STEU!M44</f>
        <v/>
      </c>
      <c r="H86" s="891" t="str">
        <f ca="1">Equipements_STEU!J44</f>
        <v/>
      </c>
      <c r="I86" s="892"/>
      <c r="J86" s="891" t="str">
        <f ca="1">Equipements_STEU!K44</f>
        <v/>
      </c>
      <c r="K86" s="893"/>
      <c r="L86" s="893"/>
      <c r="M86" s="893"/>
      <c r="N86" s="332" t="str">
        <f ca="1">Equipements_STEU!P44</f>
        <v/>
      </c>
      <c r="O86" s="311" t="str">
        <f ca="1">IF(Equipements_STEU!Y44&lt;&gt;"",Equipements_STEU!AK44,"")</f>
        <v/>
      </c>
      <c r="P86" s="311" t="str">
        <f ca="1">IF(Equipements_STEU!Z44&lt;&gt;"",Equipements_STEU!AL44,"")</f>
        <v/>
      </c>
      <c r="Q86" s="311" t="str">
        <f ca="1">IF(Equipements_STEU!AA44&lt;&gt;"",Equipements_STEU!AM44,"")</f>
        <v/>
      </c>
      <c r="R86" s="311" t="str">
        <f ca="1">IF(Equipements_STEU!AB44&lt;&gt;"",Equipements_STEU!AN44,"")</f>
        <v/>
      </c>
      <c r="S86" s="311" t="str">
        <f ca="1">IF(Equipements_STEU!AC44&lt;&gt;"",Equipements_STEU!AO44,"")</f>
        <v/>
      </c>
      <c r="T86" s="311" t="str">
        <f ca="1">IF(Equipements_STEU!AD44&lt;&gt;"",Equipements_STEU!AP44,"")</f>
        <v/>
      </c>
      <c r="U86" s="311" t="str">
        <f ca="1">IF(Equipements_STEU!AE44&lt;&gt;"",Equipements_STEU!AQ44,"")</f>
        <v/>
      </c>
      <c r="V86" s="311" t="str">
        <f ca="1">IF(Equipements_STEU!AF44&lt;&gt;"",Equipements_STEU!AR44,"")</f>
        <v/>
      </c>
      <c r="W86" s="311" t="str">
        <f ca="1">IF(Equipements_STEU!AG44&lt;&gt;"",Equipements_STEU!AS44,"")</f>
        <v/>
      </c>
      <c r="X86" s="422" t="str">
        <f ca="1">IF(Equipements_STEU!AH44&lt;&gt;"",Equipements_STEU!AT44,"")</f>
        <v/>
      </c>
      <c r="Y86" s="254"/>
      <c r="Z86" s="254"/>
      <c r="AA86" s="265"/>
      <c r="AB86" s="249"/>
    </row>
    <row r="87" spans="2:28" ht="20.100000000000001" customHeight="1" outlineLevel="1" x14ac:dyDescent="0.4">
      <c r="B87" s="253"/>
      <c r="C87" s="264"/>
      <c r="D87" s="889" t="str">
        <f ca="1">Equipements_STEU!H45</f>
        <v/>
      </c>
      <c r="E87" s="890"/>
      <c r="F87" s="260" t="str">
        <f ca="1">Equipements_STEU!I45</f>
        <v/>
      </c>
      <c r="G87" s="325" t="str">
        <f ca="1">Equipements_STEU!M45</f>
        <v/>
      </c>
      <c r="H87" s="891" t="str">
        <f ca="1">Equipements_STEU!J45</f>
        <v/>
      </c>
      <c r="I87" s="892"/>
      <c r="J87" s="891" t="str">
        <f ca="1">Equipements_STEU!K45</f>
        <v/>
      </c>
      <c r="K87" s="893"/>
      <c r="L87" s="893"/>
      <c r="M87" s="893"/>
      <c r="N87" s="332" t="str">
        <f ca="1">Equipements_STEU!P45</f>
        <v/>
      </c>
      <c r="O87" s="311" t="str">
        <f ca="1">IF(Equipements_STEU!Y45&lt;&gt;"",Equipements_STEU!AK45,"")</f>
        <v/>
      </c>
      <c r="P87" s="311" t="str">
        <f ca="1">IF(Equipements_STEU!Z45&lt;&gt;"",Equipements_STEU!AL45,"")</f>
        <v/>
      </c>
      <c r="Q87" s="311" t="str">
        <f ca="1">IF(Equipements_STEU!AA45&lt;&gt;"",Equipements_STEU!AM45,"")</f>
        <v/>
      </c>
      <c r="R87" s="311" t="str">
        <f ca="1">IF(Equipements_STEU!AB45&lt;&gt;"",Equipements_STEU!AN45,"")</f>
        <v/>
      </c>
      <c r="S87" s="311" t="str">
        <f ca="1">IF(Equipements_STEU!AC45&lt;&gt;"",Equipements_STEU!AO45,"")</f>
        <v/>
      </c>
      <c r="T87" s="311" t="str">
        <f ca="1">IF(Equipements_STEU!AD45&lt;&gt;"",Equipements_STEU!AP45,"")</f>
        <v/>
      </c>
      <c r="U87" s="311" t="str">
        <f ca="1">IF(Equipements_STEU!AE45&lt;&gt;"",Equipements_STEU!AQ45,"")</f>
        <v/>
      </c>
      <c r="V87" s="311" t="str">
        <f ca="1">IF(Equipements_STEU!AF45&lt;&gt;"",Equipements_STEU!AR45,"")</f>
        <v/>
      </c>
      <c r="W87" s="311" t="str">
        <f ca="1">IF(Equipements_STEU!AG45&lt;&gt;"",Equipements_STEU!AS45,"")</f>
        <v/>
      </c>
      <c r="X87" s="422" t="str">
        <f ca="1">IF(Equipements_STEU!AH45&lt;&gt;"",Equipements_STEU!AT45,"")</f>
        <v/>
      </c>
      <c r="Y87" s="254"/>
      <c r="Z87" s="254"/>
      <c r="AA87" s="265"/>
      <c r="AB87" s="249"/>
    </row>
    <row r="88" spans="2:28" ht="20.100000000000001" customHeight="1" outlineLevel="1" x14ac:dyDescent="0.4">
      <c r="B88" s="253"/>
      <c r="C88" s="264"/>
      <c r="D88" s="889" t="str">
        <f ca="1">Equipements_STEU!H46</f>
        <v/>
      </c>
      <c r="E88" s="890"/>
      <c r="F88" s="260" t="str">
        <f ca="1">Equipements_STEU!I46</f>
        <v/>
      </c>
      <c r="G88" s="325" t="str">
        <f ca="1">Equipements_STEU!M46</f>
        <v/>
      </c>
      <c r="H88" s="891" t="str">
        <f ca="1">Equipements_STEU!J46</f>
        <v/>
      </c>
      <c r="I88" s="892"/>
      <c r="J88" s="891" t="str">
        <f ca="1">Equipements_STEU!K46</f>
        <v/>
      </c>
      <c r="K88" s="893"/>
      <c r="L88" s="893"/>
      <c r="M88" s="893"/>
      <c r="N88" s="332" t="str">
        <f ca="1">Equipements_STEU!P46</f>
        <v/>
      </c>
      <c r="O88" s="311" t="str">
        <f ca="1">IF(Equipements_STEU!Y46&lt;&gt;"",Equipements_STEU!AK46,"")</f>
        <v/>
      </c>
      <c r="P88" s="311" t="str">
        <f ca="1">IF(Equipements_STEU!Z46&lt;&gt;"",Equipements_STEU!AL46,"")</f>
        <v/>
      </c>
      <c r="Q88" s="311" t="str">
        <f ca="1">IF(Equipements_STEU!AA46&lt;&gt;"",Equipements_STEU!AM46,"")</f>
        <v/>
      </c>
      <c r="R88" s="311" t="str">
        <f ca="1">IF(Equipements_STEU!AB46&lt;&gt;"",Equipements_STEU!AN46,"")</f>
        <v/>
      </c>
      <c r="S88" s="311" t="str">
        <f ca="1">IF(Equipements_STEU!AC46&lt;&gt;"",Equipements_STEU!AO46,"")</f>
        <v/>
      </c>
      <c r="T88" s="311" t="str">
        <f ca="1">IF(Equipements_STEU!AD46&lt;&gt;"",Equipements_STEU!AP46,"")</f>
        <v/>
      </c>
      <c r="U88" s="311" t="str">
        <f ca="1">IF(Equipements_STEU!AE46&lt;&gt;"",Equipements_STEU!AQ46,"")</f>
        <v/>
      </c>
      <c r="V88" s="311" t="str">
        <f ca="1">IF(Equipements_STEU!AF46&lt;&gt;"",Equipements_STEU!AR46,"")</f>
        <v/>
      </c>
      <c r="W88" s="311" t="str">
        <f ca="1">IF(Equipements_STEU!AG46&lt;&gt;"",Equipements_STEU!AS46,"")</f>
        <v/>
      </c>
      <c r="X88" s="422" t="str">
        <f ca="1">IF(Equipements_STEU!AH46&lt;&gt;"",Equipements_STEU!AT46,"")</f>
        <v/>
      </c>
      <c r="Y88" s="254"/>
      <c r="Z88" s="254"/>
      <c r="AA88" s="265"/>
      <c r="AB88" s="249"/>
    </row>
    <row r="89" spans="2:28" ht="20.100000000000001" customHeight="1" outlineLevel="1" x14ac:dyDescent="0.4">
      <c r="B89" s="253"/>
      <c r="C89" s="264"/>
      <c r="D89" s="889" t="str">
        <f ca="1">Equipements_STEU!H47</f>
        <v/>
      </c>
      <c r="E89" s="890"/>
      <c r="F89" s="260" t="str">
        <f ca="1">Equipements_STEU!I47</f>
        <v/>
      </c>
      <c r="G89" s="325" t="str">
        <f ca="1">Equipements_STEU!M47</f>
        <v/>
      </c>
      <c r="H89" s="891" t="str">
        <f ca="1">Equipements_STEU!J47</f>
        <v/>
      </c>
      <c r="I89" s="892"/>
      <c r="J89" s="891" t="str">
        <f ca="1">Equipements_STEU!K47</f>
        <v/>
      </c>
      <c r="K89" s="893"/>
      <c r="L89" s="893"/>
      <c r="M89" s="893"/>
      <c r="N89" s="332" t="str">
        <f ca="1">Equipements_STEU!P47</f>
        <v/>
      </c>
      <c r="O89" s="311" t="str">
        <f ca="1">IF(Equipements_STEU!Y47&lt;&gt;"",Equipements_STEU!AK47,"")</f>
        <v/>
      </c>
      <c r="P89" s="311" t="str">
        <f ca="1">IF(Equipements_STEU!Z47&lt;&gt;"",Equipements_STEU!AL47,"")</f>
        <v/>
      </c>
      <c r="Q89" s="311" t="str">
        <f ca="1">IF(Equipements_STEU!AA47&lt;&gt;"",Equipements_STEU!AM47,"")</f>
        <v/>
      </c>
      <c r="R89" s="311" t="str">
        <f ca="1">IF(Equipements_STEU!AB47&lt;&gt;"",Equipements_STEU!AN47,"")</f>
        <v/>
      </c>
      <c r="S89" s="311" t="str">
        <f ca="1">IF(Equipements_STEU!AC47&lt;&gt;"",Equipements_STEU!AO47,"")</f>
        <v/>
      </c>
      <c r="T89" s="311" t="str">
        <f ca="1">IF(Equipements_STEU!AD47&lt;&gt;"",Equipements_STEU!AP47,"")</f>
        <v/>
      </c>
      <c r="U89" s="311" t="str">
        <f ca="1">IF(Equipements_STEU!AE47&lt;&gt;"",Equipements_STEU!AQ47,"")</f>
        <v/>
      </c>
      <c r="V89" s="311" t="str">
        <f ca="1">IF(Equipements_STEU!AF47&lt;&gt;"",Equipements_STEU!AR47,"")</f>
        <v/>
      </c>
      <c r="W89" s="311" t="str">
        <f ca="1">IF(Equipements_STEU!AG47&lt;&gt;"",Equipements_STEU!AS47,"")</f>
        <v/>
      </c>
      <c r="X89" s="422" t="str">
        <f ca="1">IF(Equipements_STEU!AH47&lt;&gt;"",Equipements_STEU!AT47,"")</f>
        <v/>
      </c>
      <c r="Y89" s="254"/>
      <c r="Z89" s="254"/>
      <c r="AA89" s="265"/>
      <c r="AB89" s="249"/>
    </row>
    <row r="90" spans="2:28" ht="20.100000000000001" customHeight="1" outlineLevel="1" x14ac:dyDescent="0.4">
      <c r="B90" s="253"/>
      <c r="C90" s="264"/>
      <c r="D90" s="889" t="str">
        <f ca="1">Equipements_STEU!H48</f>
        <v/>
      </c>
      <c r="E90" s="890"/>
      <c r="F90" s="260" t="str">
        <f ca="1">Equipements_STEU!I48</f>
        <v/>
      </c>
      <c r="G90" s="325" t="str">
        <f ca="1">Equipements_STEU!M48</f>
        <v/>
      </c>
      <c r="H90" s="891" t="str">
        <f ca="1">Equipements_STEU!J48</f>
        <v/>
      </c>
      <c r="I90" s="892"/>
      <c r="J90" s="891" t="str">
        <f ca="1">Equipements_STEU!K48</f>
        <v/>
      </c>
      <c r="K90" s="893"/>
      <c r="L90" s="893"/>
      <c r="M90" s="893"/>
      <c r="N90" s="332" t="str">
        <f ca="1">Equipements_STEU!P48</f>
        <v/>
      </c>
      <c r="O90" s="311" t="str">
        <f ca="1">IF(Equipements_STEU!Y48&lt;&gt;"",Equipements_STEU!AK48,"")</f>
        <v/>
      </c>
      <c r="P90" s="311" t="str">
        <f ca="1">IF(Equipements_STEU!Z48&lt;&gt;"",Equipements_STEU!AL48,"")</f>
        <v/>
      </c>
      <c r="Q90" s="311" t="str">
        <f ca="1">IF(Equipements_STEU!AA48&lt;&gt;"",Equipements_STEU!AM48,"")</f>
        <v/>
      </c>
      <c r="R90" s="311" t="str">
        <f ca="1">IF(Equipements_STEU!AB48&lt;&gt;"",Equipements_STEU!AN48,"")</f>
        <v/>
      </c>
      <c r="S90" s="311" t="str">
        <f ca="1">IF(Equipements_STEU!AC48&lt;&gt;"",Equipements_STEU!AO48,"")</f>
        <v/>
      </c>
      <c r="T90" s="311" t="str">
        <f ca="1">IF(Equipements_STEU!AD48&lt;&gt;"",Equipements_STEU!AP48,"")</f>
        <v/>
      </c>
      <c r="U90" s="311" t="str">
        <f ca="1">IF(Equipements_STEU!AE48&lt;&gt;"",Equipements_STEU!AQ48,"")</f>
        <v/>
      </c>
      <c r="V90" s="311" t="str">
        <f ca="1">IF(Equipements_STEU!AF48&lt;&gt;"",Equipements_STEU!AR48,"")</f>
        <v/>
      </c>
      <c r="W90" s="311" t="str">
        <f ca="1">IF(Equipements_STEU!AG48&lt;&gt;"",Equipements_STEU!AS48,"")</f>
        <v/>
      </c>
      <c r="X90" s="422" t="str">
        <f ca="1">IF(Equipements_STEU!AH48&lt;&gt;"",Equipements_STEU!AT48,"")</f>
        <v/>
      </c>
      <c r="Y90" s="254"/>
      <c r="Z90" s="254"/>
      <c r="AA90" s="265"/>
      <c r="AB90" s="249"/>
    </row>
    <row r="91" spans="2:28" ht="20.100000000000001" customHeight="1" outlineLevel="1" x14ac:dyDescent="0.4">
      <c r="B91" s="253"/>
      <c r="C91" s="264"/>
      <c r="D91" s="889" t="str">
        <f ca="1">Equipements_STEU!H49</f>
        <v/>
      </c>
      <c r="E91" s="890"/>
      <c r="F91" s="260" t="str">
        <f ca="1">Equipements_STEU!I49</f>
        <v/>
      </c>
      <c r="G91" s="325" t="str">
        <f ca="1">Equipements_STEU!M49</f>
        <v/>
      </c>
      <c r="H91" s="891" t="str">
        <f ca="1">Equipements_STEU!J49</f>
        <v/>
      </c>
      <c r="I91" s="892"/>
      <c r="J91" s="891" t="str">
        <f ca="1">Equipements_STEU!K49</f>
        <v/>
      </c>
      <c r="K91" s="893"/>
      <c r="L91" s="893"/>
      <c r="M91" s="893"/>
      <c r="N91" s="332" t="str">
        <f ca="1">Equipements_STEU!P49</f>
        <v/>
      </c>
      <c r="O91" s="311" t="str">
        <f ca="1">IF(Equipements_STEU!Y49&lt;&gt;"",Equipements_STEU!AK49,"")</f>
        <v/>
      </c>
      <c r="P91" s="311" t="str">
        <f ca="1">IF(Equipements_STEU!Z49&lt;&gt;"",Equipements_STEU!AL49,"")</f>
        <v/>
      </c>
      <c r="Q91" s="311" t="str">
        <f ca="1">IF(Equipements_STEU!AA49&lt;&gt;"",Equipements_STEU!AM49,"")</f>
        <v/>
      </c>
      <c r="R91" s="311" t="str">
        <f ca="1">IF(Equipements_STEU!AB49&lt;&gt;"",Equipements_STEU!AN49,"")</f>
        <v/>
      </c>
      <c r="S91" s="311" t="str">
        <f ca="1">IF(Equipements_STEU!AC49&lt;&gt;"",Equipements_STEU!AO49,"")</f>
        <v/>
      </c>
      <c r="T91" s="311" t="str">
        <f ca="1">IF(Equipements_STEU!AD49&lt;&gt;"",Equipements_STEU!AP49,"")</f>
        <v/>
      </c>
      <c r="U91" s="311" t="str">
        <f ca="1">IF(Equipements_STEU!AE49&lt;&gt;"",Equipements_STEU!AQ49,"")</f>
        <v/>
      </c>
      <c r="V91" s="311" t="str">
        <f ca="1">IF(Equipements_STEU!AF49&lt;&gt;"",Equipements_STEU!AR49,"")</f>
        <v/>
      </c>
      <c r="W91" s="311" t="str">
        <f ca="1">IF(Equipements_STEU!AG49&lt;&gt;"",Equipements_STEU!AS49,"")</f>
        <v/>
      </c>
      <c r="X91" s="422" t="str">
        <f ca="1">IF(Equipements_STEU!AH49&lt;&gt;"",Equipements_STEU!AT49,"")</f>
        <v/>
      </c>
      <c r="Y91" s="254"/>
      <c r="Z91" s="254"/>
      <c r="AA91" s="265"/>
      <c r="AB91" s="249"/>
    </row>
    <row r="92" spans="2:28" ht="20.100000000000001" customHeight="1" outlineLevel="1" x14ac:dyDescent="0.4">
      <c r="B92" s="253"/>
      <c r="C92" s="264"/>
      <c r="D92" s="889" t="str">
        <f ca="1">Equipements_STEU!H50</f>
        <v/>
      </c>
      <c r="E92" s="890"/>
      <c r="F92" s="260" t="str">
        <f ca="1">Equipements_STEU!I50</f>
        <v/>
      </c>
      <c r="G92" s="325" t="str">
        <f ca="1">Equipements_STEU!M50</f>
        <v/>
      </c>
      <c r="H92" s="891" t="str">
        <f ca="1">Equipements_STEU!J50</f>
        <v/>
      </c>
      <c r="I92" s="892"/>
      <c r="J92" s="891" t="str">
        <f ca="1">Equipements_STEU!K50</f>
        <v/>
      </c>
      <c r="K92" s="893"/>
      <c r="L92" s="893"/>
      <c r="M92" s="893"/>
      <c r="N92" s="332" t="str">
        <f ca="1">Equipements_STEU!P50</f>
        <v/>
      </c>
      <c r="O92" s="311" t="str">
        <f ca="1">IF(Equipements_STEU!Y50&lt;&gt;"",Equipements_STEU!AK50,"")</f>
        <v/>
      </c>
      <c r="P92" s="311" t="str">
        <f ca="1">IF(Equipements_STEU!Z50&lt;&gt;"",Equipements_STEU!AL50,"")</f>
        <v/>
      </c>
      <c r="Q92" s="311" t="str">
        <f ca="1">IF(Equipements_STEU!AA50&lt;&gt;"",Equipements_STEU!AM50,"")</f>
        <v/>
      </c>
      <c r="R92" s="311" t="str">
        <f ca="1">IF(Equipements_STEU!AB50&lt;&gt;"",Equipements_STEU!AN50,"")</f>
        <v/>
      </c>
      <c r="S92" s="311" t="str">
        <f ca="1">IF(Equipements_STEU!AC50&lt;&gt;"",Equipements_STEU!AO50,"")</f>
        <v/>
      </c>
      <c r="T92" s="311" t="str">
        <f ca="1">IF(Equipements_STEU!AD50&lt;&gt;"",Equipements_STEU!AP50,"")</f>
        <v/>
      </c>
      <c r="U92" s="311" t="str">
        <f ca="1">IF(Equipements_STEU!AE50&lt;&gt;"",Equipements_STEU!AQ50,"")</f>
        <v/>
      </c>
      <c r="V92" s="311" t="str">
        <f ca="1">IF(Equipements_STEU!AF50&lt;&gt;"",Equipements_STEU!AR50,"")</f>
        <v/>
      </c>
      <c r="W92" s="311" t="str">
        <f ca="1">IF(Equipements_STEU!AG50&lt;&gt;"",Equipements_STEU!AS50,"")</f>
        <v/>
      </c>
      <c r="X92" s="422" t="str">
        <f ca="1">IF(Equipements_STEU!AH50&lt;&gt;"",Equipements_STEU!AT50,"")</f>
        <v/>
      </c>
      <c r="Y92" s="254"/>
      <c r="Z92" s="254"/>
      <c r="AA92" s="265"/>
      <c r="AB92" s="249"/>
    </row>
    <row r="93" spans="2:28" ht="20.100000000000001" customHeight="1" outlineLevel="1" x14ac:dyDescent="0.4">
      <c r="B93" s="253"/>
      <c r="C93" s="264"/>
      <c r="D93" s="889" t="str">
        <f ca="1">Equipements_STEU!H51</f>
        <v/>
      </c>
      <c r="E93" s="890"/>
      <c r="F93" s="260" t="str">
        <f ca="1">Equipements_STEU!I51</f>
        <v/>
      </c>
      <c r="G93" s="325" t="str">
        <f ca="1">Equipements_STEU!M51</f>
        <v/>
      </c>
      <c r="H93" s="891" t="str">
        <f ca="1">Equipements_STEU!J51</f>
        <v/>
      </c>
      <c r="I93" s="892"/>
      <c r="J93" s="891" t="str">
        <f ca="1">Equipements_STEU!K51</f>
        <v/>
      </c>
      <c r="K93" s="893"/>
      <c r="L93" s="893"/>
      <c r="M93" s="893"/>
      <c r="N93" s="332" t="str">
        <f ca="1">Equipements_STEU!P51</f>
        <v/>
      </c>
      <c r="O93" s="311" t="str">
        <f ca="1">IF(Equipements_STEU!Y51&lt;&gt;"",Equipements_STEU!AK51,"")</f>
        <v/>
      </c>
      <c r="P93" s="311" t="str">
        <f ca="1">IF(Equipements_STEU!Z51&lt;&gt;"",Equipements_STEU!AL51,"")</f>
        <v/>
      </c>
      <c r="Q93" s="311" t="str">
        <f ca="1">IF(Equipements_STEU!AA51&lt;&gt;"",Equipements_STEU!AM51,"")</f>
        <v/>
      </c>
      <c r="R93" s="311" t="str">
        <f ca="1">IF(Equipements_STEU!AB51&lt;&gt;"",Equipements_STEU!AN51,"")</f>
        <v/>
      </c>
      <c r="S93" s="311" t="str">
        <f ca="1">IF(Equipements_STEU!AC51&lt;&gt;"",Equipements_STEU!AO51,"")</f>
        <v/>
      </c>
      <c r="T93" s="311" t="str">
        <f ca="1">IF(Equipements_STEU!AD51&lt;&gt;"",Equipements_STEU!AP51,"")</f>
        <v/>
      </c>
      <c r="U93" s="311" t="str">
        <f ca="1">IF(Equipements_STEU!AE51&lt;&gt;"",Equipements_STEU!AQ51,"")</f>
        <v/>
      </c>
      <c r="V93" s="311" t="str">
        <f ca="1">IF(Equipements_STEU!AF51&lt;&gt;"",Equipements_STEU!AR51,"")</f>
        <v/>
      </c>
      <c r="W93" s="311" t="str">
        <f ca="1">IF(Equipements_STEU!AG51&lt;&gt;"",Equipements_STEU!AS51,"")</f>
        <v/>
      </c>
      <c r="X93" s="422" t="str">
        <f ca="1">IF(Equipements_STEU!AH51&lt;&gt;"",Equipements_STEU!AT51,"")</f>
        <v/>
      </c>
      <c r="Y93" s="254"/>
      <c r="Z93" s="254"/>
      <c r="AA93" s="265"/>
      <c r="AB93" s="249"/>
    </row>
    <row r="94" spans="2:28" ht="20.100000000000001" customHeight="1" outlineLevel="1" x14ac:dyDescent="0.4">
      <c r="B94" s="253"/>
      <c r="C94" s="264"/>
      <c r="D94" s="889" t="str">
        <f ca="1">Equipements_STEU!H52</f>
        <v/>
      </c>
      <c r="E94" s="890"/>
      <c r="F94" s="260" t="str">
        <f ca="1">Equipements_STEU!I52</f>
        <v/>
      </c>
      <c r="G94" s="325" t="str">
        <f ca="1">Equipements_STEU!M52</f>
        <v/>
      </c>
      <c r="H94" s="891" t="str">
        <f ca="1">Equipements_STEU!J52</f>
        <v/>
      </c>
      <c r="I94" s="892"/>
      <c r="J94" s="891" t="str">
        <f ca="1">Equipements_STEU!K52</f>
        <v/>
      </c>
      <c r="K94" s="893"/>
      <c r="L94" s="893"/>
      <c r="M94" s="893"/>
      <c r="N94" s="332" t="str">
        <f ca="1">Equipements_STEU!P52</f>
        <v/>
      </c>
      <c r="O94" s="311" t="str">
        <f ca="1">IF(Equipements_STEU!Y52&lt;&gt;"",Equipements_STEU!AK52,"")</f>
        <v/>
      </c>
      <c r="P94" s="311" t="str">
        <f ca="1">IF(Equipements_STEU!Z52&lt;&gt;"",Equipements_STEU!AL52,"")</f>
        <v/>
      </c>
      <c r="Q94" s="311" t="str">
        <f ca="1">IF(Equipements_STEU!AA52&lt;&gt;"",Equipements_STEU!AM52,"")</f>
        <v/>
      </c>
      <c r="R94" s="311" t="str">
        <f ca="1">IF(Equipements_STEU!AB52&lt;&gt;"",Equipements_STEU!AN52,"")</f>
        <v/>
      </c>
      <c r="S94" s="311" t="str">
        <f ca="1">IF(Equipements_STEU!AC52&lt;&gt;"",Equipements_STEU!AO52,"")</f>
        <v/>
      </c>
      <c r="T94" s="311" t="str">
        <f ca="1">IF(Equipements_STEU!AD52&lt;&gt;"",Equipements_STEU!AP52,"")</f>
        <v/>
      </c>
      <c r="U94" s="311" t="str">
        <f ca="1">IF(Equipements_STEU!AE52&lt;&gt;"",Equipements_STEU!AQ52,"")</f>
        <v/>
      </c>
      <c r="V94" s="311" t="str">
        <f ca="1">IF(Equipements_STEU!AF52&lt;&gt;"",Equipements_STEU!AR52,"")</f>
        <v/>
      </c>
      <c r="W94" s="311" t="str">
        <f ca="1">IF(Equipements_STEU!AG52&lt;&gt;"",Equipements_STEU!AS52,"")</f>
        <v/>
      </c>
      <c r="X94" s="422" t="str">
        <f ca="1">IF(Equipements_STEU!AH52&lt;&gt;"",Equipements_STEU!AT52,"")</f>
        <v/>
      </c>
      <c r="Y94" s="254"/>
      <c r="Z94" s="254"/>
      <c r="AA94" s="265"/>
      <c r="AB94" s="249"/>
    </row>
    <row r="95" spans="2:28" ht="20.100000000000001" customHeight="1" outlineLevel="1" x14ac:dyDescent="0.4">
      <c r="B95" s="253"/>
      <c r="C95" s="264"/>
      <c r="D95" s="889" t="str">
        <f ca="1">Equipements_STEU!H53</f>
        <v/>
      </c>
      <c r="E95" s="890"/>
      <c r="F95" s="260" t="str">
        <f ca="1">Equipements_STEU!I53</f>
        <v/>
      </c>
      <c r="G95" s="325" t="str">
        <f ca="1">Equipements_STEU!M53</f>
        <v/>
      </c>
      <c r="H95" s="891" t="str">
        <f ca="1">Equipements_STEU!J53</f>
        <v/>
      </c>
      <c r="I95" s="892"/>
      <c r="J95" s="891" t="str">
        <f ca="1">Equipements_STEU!K53</f>
        <v/>
      </c>
      <c r="K95" s="893"/>
      <c r="L95" s="893"/>
      <c r="M95" s="893"/>
      <c r="N95" s="332" t="str">
        <f ca="1">Equipements_STEU!P53</f>
        <v/>
      </c>
      <c r="O95" s="311" t="str">
        <f ca="1">IF(Equipements_STEU!Y53&lt;&gt;"",Equipements_STEU!AK53,"")</f>
        <v/>
      </c>
      <c r="P95" s="311" t="str">
        <f ca="1">IF(Equipements_STEU!Z53&lt;&gt;"",Equipements_STEU!AL53,"")</f>
        <v/>
      </c>
      <c r="Q95" s="311" t="str">
        <f ca="1">IF(Equipements_STEU!AA53&lt;&gt;"",Equipements_STEU!AM53,"")</f>
        <v/>
      </c>
      <c r="R95" s="311" t="str">
        <f ca="1">IF(Equipements_STEU!AB53&lt;&gt;"",Equipements_STEU!AN53,"")</f>
        <v/>
      </c>
      <c r="S95" s="311" t="str">
        <f ca="1">IF(Equipements_STEU!AC53&lt;&gt;"",Equipements_STEU!AO53,"")</f>
        <v/>
      </c>
      <c r="T95" s="311" t="str">
        <f ca="1">IF(Equipements_STEU!AD53&lt;&gt;"",Equipements_STEU!AP53,"")</f>
        <v/>
      </c>
      <c r="U95" s="311" t="str">
        <f ca="1">IF(Equipements_STEU!AE53&lt;&gt;"",Equipements_STEU!AQ53,"")</f>
        <v/>
      </c>
      <c r="V95" s="311" t="str">
        <f ca="1">IF(Equipements_STEU!AF53&lt;&gt;"",Equipements_STEU!AR53,"")</f>
        <v/>
      </c>
      <c r="W95" s="311" t="str">
        <f ca="1">IF(Equipements_STEU!AG53&lt;&gt;"",Equipements_STEU!AS53,"")</f>
        <v/>
      </c>
      <c r="X95" s="422" t="str">
        <f ca="1">IF(Equipements_STEU!AH53&lt;&gt;"",Equipements_STEU!AT53,"")</f>
        <v/>
      </c>
      <c r="Y95" s="254"/>
      <c r="Z95" s="254"/>
      <c r="AA95" s="265"/>
      <c r="AB95" s="249"/>
    </row>
    <row r="96" spans="2:28" ht="20.100000000000001" customHeight="1" outlineLevel="1" x14ac:dyDescent="0.4">
      <c r="B96" s="253"/>
      <c r="C96" s="264"/>
      <c r="D96" s="889" t="str">
        <f ca="1">Equipements_STEU!H54</f>
        <v/>
      </c>
      <c r="E96" s="890"/>
      <c r="F96" s="260" t="str">
        <f ca="1">Equipements_STEU!I54</f>
        <v/>
      </c>
      <c r="G96" s="325" t="str">
        <f ca="1">Equipements_STEU!M54</f>
        <v/>
      </c>
      <c r="H96" s="891" t="str">
        <f ca="1">Equipements_STEU!J54</f>
        <v/>
      </c>
      <c r="I96" s="892"/>
      <c r="J96" s="891" t="str">
        <f ca="1">Equipements_STEU!K54</f>
        <v/>
      </c>
      <c r="K96" s="893"/>
      <c r="L96" s="893"/>
      <c r="M96" s="893"/>
      <c r="N96" s="332" t="str">
        <f ca="1">Equipements_STEU!P54</f>
        <v/>
      </c>
      <c r="O96" s="311" t="str">
        <f ca="1">IF(Equipements_STEU!Y54&lt;&gt;"",Equipements_STEU!AK54,"")</f>
        <v/>
      </c>
      <c r="P96" s="311" t="str">
        <f ca="1">IF(Equipements_STEU!Z54&lt;&gt;"",Equipements_STEU!AL54,"")</f>
        <v/>
      </c>
      <c r="Q96" s="311" t="str">
        <f ca="1">IF(Equipements_STEU!AA54&lt;&gt;"",Equipements_STEU!AM54,"")</f>
        <v/>
      </c>
      <c r="R96" s="311" t="str">
        <f ca="1">IF(Equipements_STEU!AB54&lt;&gt;"",Equipements_STEU!AN54,"")</f>
        <v/>
      </c>
      <c r="S96" s="311" t="str">
        <f ca="1">IF(Equipements_STEU!AC54&lt;&gt;"",Equipements_STEU!AO54,"")</f>
        <v/>
      </c>
      <c r="T96" s="311" t="str">
        <f ca="1">IF(Equipements_STEU!AD54&lt;&gt;"",Equipements_STEU!AP54,"")</f>
        <v/>
      </c>
      <c r="U96" s="311" t="str">
        <f ca="1">IF(Equipements_STEU!AE54&lt;&gt;"",Equipements_STEU!AQ54,"")</f>
        <v/>
      </c>
      <c r="V96" s="311" t="str">
        <f ca="1">IF(Equipements_STEU!AF54&lt;&gt;"",Equipements_STEU!AR54,"")</f>
        <v/>
      </c>
      <c r="W96" s="311" t="str">
        <f ca="1">IF(Equipements_STEU!AG54&lt;&gt;"",Equipements_STEU!AS54,"")</f>
        <v/>
      </c>
      <c r="X96" s="422" t="str">
        <f ca="1">IF(Equipements_STEU!AH54&lt;&gt;"",Equipements_STEU!AT54,"")</f>
        <v/>
      </c>
      <c r="Y96" s="254"/>
      <c r="Z96" s="254"/>
      <c r="AA96" s="265"/>
      <c r="AB96" s="249"/>
    </row>
    <row r="97" spans="2:28" ht="20.100000000000001" customHeight="1" outlineLevel="1" x14ac:dyDescent="0.4">
      <c r="B97" s="253"/>
      <c r="C97" s="264"/>
      <c r="D97" s="889" t="str">
        <f ca="1">Equipements_STEU!H55</f>
        <v/>
      </c>
      <c r="E97" s="890"/>
      <c r="F97" s="260" t="str">
        <f ca="1">Equipements_STEU!I55</f>
        <v/>
      </c>
      <c r="G97" s="325" t="str">
        <f ca="1">Equipements_STEU!M55</f>
        <v/>
      </c>
      <c r="H97" s="891" t="str">
        <f ca="1">Equipements_STEU!J55</f>
        <v/>
      </c>
      <c r="I97" s="892"/>
      <c r="J97" s="891" t="str">
        <f ca="1">Equipements_STEU!K55</f>
        <v/>
      </c>
      <c r="K97" s="893"/>
      <c r="L97" s="893"/>
      <c r="M97" s="893"/>
      <c r="N97" s="332" t="str">
        <f ca="1">Equipements_STEU!P55</f>
        <v/>
      </c>
      <c r="O97" s="311" t="str">
        <f ca="1">IF(Equipements_STEU!Y55&lt;&gt;"",Equipements_STEU!AK55,"")</f>
        <v/>
      </c>
      <c r="P97" s="311" t="str">
        <f ca="1">IF(Equipements_STEU!Z55&lt;&gt;"",Equipements_STEU!AL55,"")</f>
        <v/>
      </c>
      <c r="Q97" s="311" t="str">
        <f ca="1">IF(Equipements_STEU!AA55&lt;&gt;"",Equipements_STEU!AM55,"")</f>
        <v/>
      </c>
      <c r="R97" s="311" t="str">
        <f ca="1">IF(Equipements_STEU!AB55&lt;&gt;"",Equipements_STEU!AN55,"")</f>
        <v/>
      </c>
      <c r="S97" s="311" t="str">
        <f ca="1">IF(Equipements_STEU!AC55&lt;&gt;"",Equipements_STEU!AO55,"")</f>
        <v/>
      </c>
      <c r="T97" s="311" t="str">
        <f ca="1">IF(Equipements_STEU!AD55&lt;&gt;"",Equipements_STEU!AP55,"")</f>
        <v/>
      </c>
      <c r="U97" s="311" t="str">
        <f ca="1">IF(Equipements_STEU!AE55&lt;&gt;"",Equipements_STEU!AQ55,"")</f>
        <v/>
      </c>
      <c r="V97" s="311" t="str">
        <f ca="1">IF(Equipements_STEU!AF55&lt;&gt;"",Equipements_STEU!AR55,"")</f>
        <v/>
      </c>
      <c r="W97" s="311" t="str">
        <f ca="1">IF(Equipements_STEU!AG55&lt;&gt;"",Equipements_STEU!AS55,"")</f>
        <v/>
      </c>
      <c r="X97" s="422" t="str">
        <f ca="1">IF(Equipements_STEU!AH55&lt;&gt;"",Equipements_STEU!AT55,"")</f>
        <v/>
      </c>
      <c r="Y97" s="254"/>
      <c r="Z97" s="254"/>
      <c r="AA97" s="265"/>
      <c r="AB97" s="249"/>
    </row>
    <row r="98" spans="2:28" ht="20.100000000000001" customHeight="1" outlineLevel="1" x14ac:dyDescent="0.4">
      <c r="B98" s="253"/>
      <c r="C98" s="264"/>
      <c r="D98" s="889" t="str">
        <f ca="1">Equipements_STEU!H56</f>
        <v/>
      </c>
      <c r="E98" s="890"/>
      <c r="F98" s="260" t="str">
        <f ca="1">Equipements_STEU!I56</f>
        <v/>
      </c>
      <c r="G98" s="325" t="str">
        <f ca="1">Equipements_STEU!M56</f>
        <v/>
      </c>
      <c r="H98" s="891" t="str">
        <f ca="1">Equipements_STEU!J56</f>
        <v/>
      </c>
      <c r="I98" s="892"/>
      <c r="J98" s="891" t="str">
        <f ca="1">Equipements_STEU!K56</f>
        <v/>
      </c>
      <c r="K98" s="893"/>
      <c r="L98" s="893"/>
      <c r="M98" s="893"/>
      <c r="N98" s="332" t="str">
        <f ca="1">Equipements_STEU!P56</f>
        <v/>
      </c>
      <c r="O98" s="311" t="str">
        <f ca="1">IF(Equipements_STEU!Y56&lt;&gt;"",Equipements_STEU!AK56,"")</f>
        <v/>
      </c>
      <c r="P98" s="311" t="str">
        <f ca="1">IF(Equipements_STEU!Z56&lt;&gt;"",Equipements_STEU!AL56,"")</f>
        <v/>
      </c>
      <c r="Q98" s="311" t="str">
        <f ca="1">IF(Equipements_STEU!AA56&lt;&gt;"",Equipements_STEU!AM56,"")</f>
        <v/>
      </c>
      <c r="R98" s="311" t="str">
        <f ca="1">IF(Equipements_STEU!AB56&lt;&gt;"",Equipements_STEU!AN56,"")</f>
        <v/>
      </c>
      <c r="S98" s="311" t="str">
        <f ca="1">IF(Equipements_STEU!AC56&lt;&gt;"",Equipements_STEU!AO56,"")</f>
        <v/>
      </c>
      <c r="T98" s="311" t="str">
        <f ca="1">IF(Equipements_STEU!AD56&lt;&gt;"",Equipements_STEU!AP56,"")</f>
        <v/>
      </c>
      <c r="U98" s="311" t="str">
        <f ca="1">IF(Equipements_STEU!AE56&lt;&gt;"",Equipements_STEU!AQ56,"")</f>
        <v/>
      </c>
      <c r="V98" s="311" t="str">
        <f ca="1">IF(Equipements_STEU!AF56&lt;&gt;"",Equipements_STEU!AR56,"")</f>
        <v/>
      </c>
      <c r="W98" s="311" t="str">
        <f ca="1">IF(Equipements_STEU!AG56&lt;&gt;"",Equipements_STEU!AS56,"")</f>
        <v/>
      </c>
      <c r="X98" s="422" t="str">
        <f ca="1">IF(Equipements_STEU!AH56&lt;&gt;"",Equipements_STEU!AT56,"")</f>
        <v/>
      </c>
      <c r="Y98" s="254"/>
      <c r="Z98" s="254"/>
      <c r="AA98" s="265"/>
      <c r="AB98" s="249"/>
    </row>
    <row r="99" spans="2:28" ht="20.100000000000001" customHeight="1" outlineLevel="1" x14ac:dyDescent="0.4">
      <c r="B99" s="253"/>
      <c r="C99" s="264"/>
      <c r="D99" s="889" t="str">
        <f ca="1">Equipements_STEU!H57</f>
        <v/>
      </c>
      <c r="E99" s="890"/>
      <c r="F99" s="260" t="str">
        <f ca="1">Equipements_STEU!I57</f>
        <v/>
      </c>
      <c r="G99" s="325" t="str">
        <f ca="1">Equipements_STEU!M57</f>
        <v/>
      </c>
      <c r="H99" s="891" t="str">
        <f ca="1">Equipements_STEU!J57</f>
        <v/>
      </c>
      <c r="I99" s="892"/>
      <c r="J99" s="891" t="str">
        <f ca="1">Equipements_STEU!K57</f>
        <v/>
      </c>
      <c r="K99" s="893"/>
      <c r="L99" s="893"/>
      <c r="M99" s="893"/>
      <c r="N99" s="332" t="str">
        <f ca="1">Equipements_STEU!P57</f>
        <v/>
      </c>
      <c r="O99" s="311" t="str">
        <f ca="1">IF(Equipements_STEU!Y57&lt;&gt;"",Equipements_STEU!AK57,"")</f>
        <v/>
      </c>
      <c r="P99" s="311" t="str">
        <f ca="1">IF(Equipements_STEU!Z57&lt;&gt;"",Equipements_STEU!AL57,"")</f>
        <v/>
      </c>
      <c r="Q99" s="311" t="str">
        <f ca="1">IF(Equipements_STEU!AA57&lt;&gt;"",Equipements_STEU!AM57,"")</f>
        <v/>
      </c>
      <c r="R99" s="311" t="str">
        <f ca="1">IF(Equipements_STEU!AB57&lt;&gt;"",Equipements_STEU!AN57,"")</f>
        <v/>
      </c>
      <c r="S99" s="311" t="str">
        <f ca="1">IF(Equipements_STEU!AC57&lt;&gt;"",Equipements_STEU!AO57,"")</f>
        <v/>
      </c>
      <c r="T99" s="311" t="str">
        <f ca="1">IF(Equipements_STEU!AD57&lt;&gt;"",Equipements_STEU!AP57,"")</f>
        <v/>
      </c>
      <c r="U99" s="311" t="str">
        <f ca="1">IF(Equipements_STEU!AE57&lt;&gt;"",Equipements_STEU!AQ57,"")</f>
        <v/>
      </c>
      <c r="V99" s="311" t="str">
        <f ca="1">IF(Equipements_STEU!AF57&lt;&gt;"",Equipements_STEU!AR57,"")</f>
        <v/>
      </c>
      <c r="W99" s="311" t="str">
        <f ca="1">IF(Equipements_STEU!AG57&lt;&gt;"",Equipements_STEU!AS57,"")</f>
        <v/>
      </c>
      <c r="X99" s="422" t="str">
        <f ca="1">IF(Equipements_STEU!AH57&lt;&gt;"",Equipements_STEU!AT57,"")</f>
        <v/>
      </c>
      <c r="Y99" s="254"/>
      <c r="Z99" s="254"/>
      <c r="AA99" s="265"/>
      <c r="AB99" s="249"/>
    </row>
    <row r="100" spans="2:28" ht="20.100000000000001" customHeight="1" outlineLevel="1" x14ac:dyDescent="0.4">
      <c r="B100" s="253"/>
      <c r="C100" s="264"/>
      <c r="D100" s="889" t="str">
        <f ca="1">Equipements_STEU!H58</f>
        <v/>
      </c>
      <c r="E100" s="890"/>
      <c r="F100" s="260" t="str">
        <f ca="1">Equipements_STEU!I58</f>
        <v/>
      </c>
      <c r="G100" s="325" t="str">
        <f ca="1">Equipements_STEU!M58</f>
        <v/>
      </c>
      <c r="H100" s="891" t="str">
        <f ca="1">Equipements_STEU!J58</f>
        <v/>
      </c>
      <c r="I100" s="892"/>
      <c r="J100" s="891" t="str">
        <f ca="1">Equipements_STEU!K58</f>
        <v/>
      </c>
      <c r="K100" s="893"/>
      <c r="L100" s="893"/>
      <c r="M100" s="893"/>
      <c r="N100" s="332" t="str">
        <f ca="1">Equipements_STEU!P58</f>
        <v/>
      </c>
      <c r="O100" s="311" t="str">
        <f ca="1">IF(Equipements_STEU!Y58&lt;&gt;"",Equipements_STEU!AK58,"")</f>
        <v/>
      </c>
      <c r="P100" s="311" t="str">
        <f ca="1">IF(Equipements_STEU!Z58&lt;&gt;"",Equipements_STEU!AL58,"")</f>
        <v/>
      </c>
      <c r="Q100" s="311" t="str">
        <f ca="1">IF(Equipements_STEU!AA58&lt;&gt;"",Equipements_STEU!AM58,"")</f>
        <v/>
      </c>
      <c r="R100" s="311" t="str">
        <f ca="1">IF(Equipements_STEU!AB58&lt;&gt;"",Equipements_STEU!AN58,"")</f>
        <v/>
      </c>
      <c r="S100" s="311" t="str">
        <f ca="1">IF(Equipements_STEU!AC58&lt;&gt;"",Equipements_STEU!AO58,"")</f>
        <v/>
      </c>
      <c r="T100" s="311" t="str">
        <f ca="1">IF(Equipements_STEU!AD58&lt;&gt;"",Equipements_STEU!AP58,"")</f>
        <v/>
      </c>
      <c r="U100" s="311" t="str">
        <f ca="1">IF(Equipements_STEU!AE58&lt;&gt;"",Equipements_STEU!AQ58,"")</f>
        <v/>
      </c>
      <c r="V100" s="311" t="str">
        <f ca="1">IF(Equipements_STEU!AF58&lt;&gt;"",Equipements_STEU!AR58,"")</f>
        <v/>
      </c>
      <c r="W100" s="311" t="str">
        <f ca="1">IF(Equipements_STEU!AG58&lt;&gt;"",Equipements_STEU!AS58,"")</f>
        <v/>
      </c>
      <c r="X100" s="422" t="str">
        <f ca="1">IF(Equipements_STEU!AH58&lt;&gt;"",Equipements_STEU!AT58,"")</f>
        <v/>
      </c>
      <c r="Y100" s="254"/>
      <c r="Z100" s="254"/>
      <c r="AA100" s="265"/>
      <c r="AB100" s="249"/>
    </row>
    <row r="101" spans="2:28" ht="20.100000000000001" customHeight="1" outlineLevel="1" x14ac:dyDescent="0.4">
      <c r="B101" s="253"/>
      <c r="C101" s="264"/>
      <c r="D101" s="889" t="str">
        <f ca="1">Equipements_STEU!H59</f>
        <v/>
      </c>
      <c r="E101" s="890"/>
      <c r="F101" s="260" t="str">
        <f ca="1">Equipements_STEU!I59</f>
        <v/>
      </c>
      <c r="G101" s="325" t="str">
        <f ca="1">Equipements_STEU!M59</f>
        <v/>
      </c>
      <c r="H101" s="891" t="str">
        <f ca="1">Equipements_STEU!J59</f>
        <v/>
      </c>
      <c r="I101" s="892"/>
      <c r="J101" s="891" t="str">
        <f ca="1">Equipements_STEU!K59</f>
        <v/>
      </c>
      <c r="K101" s="893"/>
      <c r="L101" s="893"/>
      <c r="M101" s="893"/>
      <c r="N101" s="332" t="str">
        <f ca="1">Equipements_STEU!P59</f>
        <v/>
      </c>
      <c r="O101" s="311" t="str">
        <f ca="1">IF(Equipements_STEU!Y59&lt;&gt;"",Equipements_STEU!AK59,"")</f>
        <v/>
      </c>
      <c r="P101" s="311" t="str">
        <f ca="1">IF(Equipements_STEU!Z59&lt;&gt;"",Equipements_STEU!AL59,"")</f>
        <v/>
      </c>
      <c r="Q101" s="311" t="str">
        <f ca="1">IF(Equipements_STEU!AA59&lt;&gt;"",Equipements_STEU!AM59,"")</f>
        <v/>
      </c>
      <c r="R101" s="311" t="str">
        <f ca="1">IF(Equipements_STEU!AB59&lt;&gt;"",Equipements_STEU!AN59,"")</f>
        <v/>
      </c>
      <c r="S101" s="311" t="str">
        <f ca="1">IF(Equipements_STEU!AC59&lt;&gt;"",Equipements_STEU!AO59,"")</f>
        <v/>
      </c>
      <c r="T101" s="311" t="str">
        <f ca="1">IF(Equipements_STEU!AD59&lt;&gt;"",Equipements_STEU!AP59,"")</f>
        <v/>
      </c>
      <c r="U101" s="311" t="str">
        <f ca="1">IF(Equipements_STEU!AE59&lt;&gt;"",Equipements_STEU!AQ59,"")</f>
        <v/>
      </c>
      <c r="V101" s="311" t="str">
        <f ca="1">IF(Equipements_STEU!AF59&lt;&gt;"",Equipements_STEU!AR59,"")</f>
        <v/>
      </c>
      <c r="W101" s="311" t="str">
        <f ca="1">IF(Equipements_STEU!AG59&lt;&gt;"",Equipements_STEU!AS59,"")</f>
        <v/>
      </c>
      <c r="X101" s="422" t="str">
        <f ca="1">IF(Equipements_STEU!AH59&lt;&gt;"",Equipements_STEU!AT59,"")</f>
        <v/>
      </c>
      <c r="Y101" s="254"/>
      <c r="Z101" s="254"/>
      <c r="AA101" s="265"/>
      <c r="AB101" s="249"/>
    </row>
    <row r="102" spans="2:28" ht="20.100000000000001" customHeight="1" outlineLevel="1" x14ac:dyDescent="0.4">
      <c r="B102" s="253"/>
      <c r="C102" s="264"/>
      <c r="D102" s="889" t="str">
        <f ca="1">Equipements_STEU!H60</f>
        <v/>
      </c>
      <c r="E102" s="890"/>
      <c r="F102" s="260" t="str">
        <f ca="1">Equipements_STEU!I60</f>
        <v/>
      </c>
      <c r="G102" s="325" t="str">
        <f ca="1">Equipements_STEU!M60</f>
        <v/>
      </c>
      <c r="H102" s="891" t="str">
        <f ca="1">Equipements_STEU!J60</f>
        <v/>
      </c>
      <c r="I102" s="892"/>
      <c r="J102" s="891" t="str">
        <f ca="1">Equipements_STEU!K60</f>
        <v/>
      </c>
      <c r="K102" s="893"/>
      <c r="L102" s="893"/>
      <c r="M102" s="893"/>
      <c r="N102" s="332" t="str">
        <f ca="1">Equipements_STEU!P60</f>
        <v/>
      </c>
      <c r="O102" s="311" t="str">
        <f ca="1">IF(Equipements_STEU!Y60&lt;&gt;"",Equipements_STEU!AK60,"")</f>
        <v/>
      </c>
      <c r="P102" s="311" t="str">
        <f ca="1">IF(Equipements_STEU!Z60&lt;&gt;"",Equipements_STEU!AL60,"")</f>
        <v/>
      </c>
      <c r="Q102" s="311" t="str">
        <f ca="1">IF(Equipements_STEU!AA60&lt;&gt;"",Equipements_STEU!AM60,"")</f>
        <v/>
      </c>
      <c r="R102" s="311" t="str">
        <f ca="1">IF(Equipements_STEU!AB60&lt;&gt;"",Equipements_STEU!AN60,"")</f>
        <v/>
      </c>
      <c r="S102" s="311" t="str">
        <f ca="1">IF(Equipements_STEU!AC60&lt;&gt;"",Equipements_STEU!AO60,"")</f>
        <v/>
      </c>
      <c r="T102" s="311" t="str">
        <f ca="1">IF(Equipements_STEU!AD60&lt;&gt;"",Equipements_STEU!AP60,"")</f>
        <v/>
      </c>
      <c r="U102" s="311" t="str">
        <f ca="1">IF(Equipements_STEU!AE60&lt;&gt;"",Equipements_STEU!AQ60,"")</f>
        <v/>
      </c>
      <c r="V102" s="311" t="str">
        <f ca="1">IF(Equipements_STEU!AF60&lt;&gt;"",Equipements_STEU!AR60,"")</f>
        <v/>
      </c>
      <c r="W102" s="311" t="str">
        <f ca="1">IF(Equipements_STEU!AG60&lt;&gt;"",Equipements_STEU!AS60,"")</f>
        <v/>
      </c>
      <c r="X102" s="422" t="str">
        <f ca="1">IF(Equipements_STEU!AH60&lt;&gt;"",Equipements_STEU!AT60,"")</f>
        <v/>
      </c>
      <c r="Y102" s="254"/>
      <c r="Z102" s="254"/>
      <c r="AA102" s="265"/>
      <c r="AB102" s="249"/>
    </row>
    <row r="103" spans="2:28" ht="20.100000000000001" customHeight="1" outlineLevel="1" x14ac:dyDescent="0.4">
      <c r="B103" s="253"/>
      <c r="C103" s="264"/>
      <c r="D103" s="889" t="str">
        <f ca="1">Equipements_STEU!H61</f>
        <v/>
      </c>
      <c r="E103" s="890"/>
      <c r="F103" s="260" t="str">
        <f ca="1">Equipements_STEU!I61</f>
        <v/>
      </c>
      <c r="G103" s="325" t="str">
        <f ca="1">Equipements_STEU!M61</f>
        <v/>
      </c>
      <c r="H103" s="891" t="str">
        <f ca="1">Equipements_STEU!J61</f>
        <v/>
      </c>
      <c r="I103" s="892"/>
      <c r="J103" s="891" t="str">
        <f ca="1">Equipements_STEU!K61</f>
        <v/>
      </c>
      <c r="K103" s="893"/>
      <c r="L103" s="893"/>
      <c r="M103" s="893"/>
      <c r="N103" s="332" t="str">
        <f ca="1">Equipements_STEU!P61</f>
        <v/>
      </c>
      <c r="O103" s="311" t="str">
        <f ca="1">IF(Equipements_STEU!Y61&lt;&gt;"",Equipements_STEU!AK61,"")</f>
        <v/>
      </c>
      <c r="P103" s="311" t="str">
        <f ca="1">IF(Equipements_STEU!Z61&lt;&gt;"",Equipements_STEU!AL61,"")</f>
        <v/>
      </c>
      <c r="Q103" s="311" t="str">
        <f ca="1">IF(Equipements_STEU!AA61&lt;&gt;"",Equipements_STEU!AM61,"")</f>
        <v/>
      </c>
      <c r="R103" s="311" t="str">
        <f ca="1">IF(Equipements_STEU!AB61&lt;&gt;"",Equipements_STEU!AN61,"")</f>
        <v/>
      </c>
      <c r="S103" s="311" t="str">
        <f ca="1">IF(Equipements_STEU!AC61&lt;&gt;"",Equipements_STEU!AO61,"")</f>
        <v/>
      </c>
      <c r="T103" s="311" t="str">
        <f ca="1">IF(Equipements_STEU!AD61&lt;&gt;"",Equipements_STEU!AP61,"")</f>
        <v/>
      </c>
      <c r="U103" s="311" t="str">
        <f ca="1">IF(Equipements_STEU!AE61&lt;&gt;"",Equipements_STEU!AQ61,"")</f>
        <v/>
      </c>
      <c r="V103" s="311" t="str">
        <f ca="1">IF(Equipements_STEU!AF61&lt;&gt;"",Equipements_STEU!AR61,"")</f>
        <v/>
      </c>
      <c r="W103" s="311" t="str">
        <f ca="1">IF(Equipements_STEU!AG61&lt;&gt;"",Equipements_STEU!AS61,"")</f>
        <v/>
      </c>
      <c r="X103" s="422" t="str">
        <f ca="1">IF(Equipements_STEU!AH61&lt;&gt;"",Equipements_STEU!AT61,"")</f>
        <v/>
      </c>
      <c r="Y103" s="254"/>
      <c r="Z103" s="254"/>
      <c r="AA103" s="265"/>
      <c r="AB103" s="249"/>
    </row>
    <row r="104" spans="2:28" ht="20.100000000000001" customHeight="1" outlineLevel="1" x14ac:dyDescent="0.4">
      <c r="B104" s="253"/>
      <c r="C104" s="264"/>
      <c r="D104" s="889" t="str">
        <f ca="1">Equipements_STEU!H62</f>
        <v/>
      </c>
      <c r="E104" s="890"/>
      <c r="F104" s="260" t="str">
        <f ca="1">Equipements_STEU!I62</f>
        <v/>
      </c>
      <c r="G104" s="325" t="str">
        <f ca="1">Equipements_STEU!M62</f>
        <v/>
      </c>
      <c r="H104" s="891" t="str">
        <f ca="1">Equipements_STEU!J62</f>
        <v/>
      </c>
      <c r="I104" s="892"/>
      <c r="J104" s="891" t="str">
        <f ca="1">Equipements_STEU!K62</f>
        <v/>
      </c>
      <c r="K104" s="893"/>
      <c r="L104" s="893"/>
      <c r="M104" s="893"/>
      <c r="N104" s="332" t="str">
        <f ca="1">Equipements_STEU!P62</f>
        <v/>
      </c>
      <c r="O104" s="311" t="str">
        <f ca="1">IF(Equipements_STEU!Y62&lt;&gt;"",Equipements_STEU!AK62,"")</f>
        <v/>
      </c>
      <c r="P104" s="311" t="str">
        <f ca="1">IF(Equipements_STEU!Z62&lt;&gt;"",Equipements_STEU!AL62,"")</f>
        <v/>
      </c>
      <c r="Q104" s="311" t="str">
        <f ca="1">IF(Equipements_STEU!AA62&lt;&gt;"",Equipements_STEU!AM62,"")</f>
        <v/>
      </c>
      <c r="R104" s="311" t="str">
        <f ca="1">IF(Equipements_STEU!AB62&lt;&gt;"",Equipements_STEU!AN62,"")</f>
        <v/>
      </c>
      <c r="S104" s="311" t="str">
        <f ca="1">IF(Equipements_STEU!AC62&lt;&gt;"",Equipements_STEU!AO62,"")</f>
        <v/>
      </c>
      <c r="T104" s="311" t="str">
        <f ca="1">IF(Equipements_STEU!AD62&lt;&gt;"",Equipements_STEU!AP62,"")</f>
        <v/>
      </c>
      <c r="U104" s="311" t="str">
        <f ca="1">IF(Equipements_STEU!AE62&lt;&gt;"",Equipements_STEU!AQ62,"")</f>
        <v/>
      </c>
      <c r="V104" s="311" t="str">
        <f ca="1">IF(Equipements_STEU!AF62&lt;&gt;"",Equipements_STEU!AR62,"")</f>
        <v/>
      </c>
      <c r="W104" s="311" t="str">
        <f ca="1">IF(Equipements_STEU!AG62&lt;&gt;"",Equipements_STEU!AS62,"")</f>
        <v/>
      </c>
      <c r="X104" s="422" t="str">
        <f ca="1">IF(Equipements_STEU!AH62&lt;&gt;"",Equipements_STEU!AT62,"")</f>
        <v/>
      </c>
      <c r="Y104" s="254"/>
      <c r="Z104" s="254"/>
      <c r="AA104" s="265"/>
      <c r="AB104" s="249"/>
    </row>
    <row r="105" spans="2:28" ht="20.100000000000001" customHeight="1" outlineLevel="1" x14ac:dyDescent="0.4">
      <c r="B105" s="253"/>
      <c r="C105" s="264"/>
      <c r="D105" s="889" t="str">
        <f ca="1">Equipements_STEU!H63</f>
        <v/>
      </c>
      <c r="E105" s="890"/>
      <c r="F105" s="260" t="str">
        <f ca="1">Equipements_STEU!I63</f>
        <v/>
      </c>
      <c r="G105" s="325" t="str">
        <f ca="1">Equipements_STEU!M63</f>
        <v/>
      </c>
      <c r="H105" s="891" t="str">
        <f ca="1">Equipements_STEU!J63</f>
        <v/>
      </c>
      <c r="I105" s="892"/>
      <c r="J105" s="891" t="str">
        <f ca="1">Equipements_STEU!K63</f>
        <v/>
      </c>
      <c r="K105" s="893"/>
      <c r="L105" s="893"/>
      <c r="M105" s="893"/>
      <c r="N105" s="332" t="str">
        <f ca="1">Equipements_STEU!P63</f>
        <v/>
      </c>
      <c r="O105" s="311" t="str">
        <f ca="1">IF(Equipements_STEU!Y63&lt;&gt;"",Equipements_STEU!AK63,"")</f>
        <v/>
      </c>
      <c r="P105" s="311" t="str">
        <f ca="1">IF(Equipements_STEU!Z63&lt;&gt;"",Equipements_STEU!AL63,"")</f>
        <v/>
      </c>
      <c r="Q105" s="311" t="str">
        <f ca="1">IF(Equipements_STEU!AA63&lt;&gt;"",Equipements_STEU!AM63,"")</f>
        <v/>
      </c>
      <c r="R105" s="311" t="str">
        <f ca="1">IF(Equipements_STEU!AB63&lt;&gt;"",Equipements_STEU!AN63,"")</f>
        <v/>
      </c>
      <c r="S105" s="311" t="str">
        <f ca="1">IF(Equipements_STEU!AC63&lt;&gt;"",Equipements_STEU!AO63,"")</f>
        <v/>
      </c>
      <c r="T105" s="311" t="str">
        <f ca="1">IF(Equipements_STEU!AD63&lt;&gt;"",Equipements_STEU!AP63,"")</f>
        <v/>
      </c>
      <c r="U105" s="311" t="str">
        <f ca="1">IF(Equipements_STEU!AE63&lt;&gt;"",Equipements_STEU!AQ63,"")</f>
        <v/>
      </c>
      <c r="V105" s="311" t="str">
        <f ca="1">IF(Equipements_STEU!AF63&lt;&gt;"",Equipements_STEU!AR63,"")</f>
        <v/>
      </c>
      <c r="W105" s="311" t="str">
        <f ca="1">IF(Equipements_STEU!AG63&lt;&gt;"",Equipements_STEU!AS63,"")</f>
        <v/>
      </c>
      <c r="X105" s="422" t="str">
        <f ca="1">IF(Equipements_STEU!AH63&lt;&gt;"",Equipements_STEU!AT63,"")</f>
        <v/>
      </c>
      <c r="Y105" s="254"/>
      <c r="Z105" s="254"/>
      <c r="AA105" s="265"/>
      <c r="AB105" s="249"/>
    </row>
    <row r="106" spans="2:28" ht="20.100000000000001" customHeight="1" outlineLevel="1" x14ac:dyDescent="0.4">
      <c r="B106" s="253"/>
      <c r="C106" s="264"/>
      <c r="D106" s="889" t="str">
        <f ca="1">Equipements_STEU!H64</f>
        <v/>
      </c>
      <c r="E106" s="890"/>
      <c r="F106" s="260" t="str">
        <f ca="1">Equipements_STEU!I64</f>
        <v/>
      </c>
      <c r="G106" s="325" t="str">
        <f ca="1">Equipements_STEU!M64</f>
        <v/>
      </c>
      <c r="H106" s="891" t="str">
        <f ca="1">Equipements_STEU!J64</f>
        <v/>
      </c>
      <c r="I106" s="892"/>
      <c r="J106" s="891" t="str">
        <f ca="1">Equipements_STEU!K64</f>
        <v/>
      </c>
      <c r="K106" s="893"/>
      <c r="L106" s="893"/>
      <c r="M106" s="893"/>
      <c r="N106" s="332" t="str">
        <f ca="1">Equipements_STEU!P64</f>
        <v/>
      </c>
      <c r="O106" s="311" t="str">
        <f ca="1">IF(Equipements_STEU!Y64&lt;&gt;"",Equipements_STEU!AK64,"")</f>
        <v/>
      </c>
      <c r="P106" s="311" t="str">
        <f ca="1">IF(Equipements_STEU!Z64&lt;&gt;"",Equipements_STEU!AL64,"")</f>
        <v/>
      </c>
      <c r="Q106" s="311" t="str">
        <f ca="1">IF(Equipements_STEU!AA64&lt;&gt;"",Equipements_STEU!AM64,"")</f>
        <v/>
      </c>
      <c r="R106" s="311" t="str">
        <f ca="1">IF(Equipements_STEU!AB64&lt;&gt;"",Equipements_STEU!AN64,"")</f>
        <v/>
      </c>
      <c r="S106" s="311" t="str">
        <f ca="1">IF(Equipements_STEU!AC64&lt;&gt;"",Equipements_STEU!AO64,"")</f>
        <v/>
      </c>
      <c r="T106" s="311" t="str">
        <f ca="1">IF(Equipements_STEU!AD64&lt;&gt;"",Equipements_STEU!AP64,"")</f>
        <v/>
      </c>
      <c r="U106" s="311" t="str">
        <f ca="1">IF(Equipements_STEU!AE64&lt;&gt;"",Equipements_STEU!AQ64,"")</f>
        <v/>
      </c>
      <c r="V106" s="311" t="str">
        <f ca="1">IF(Equipements_STEU!AF64&lt;&gt;"",Equipements_STEU!AR64,"")</f>
        <v/>
      </c>
      <c r="W106" s="311" t="str">
        <f ca="1">IF(Equipements_STEU!AG64&lt;&gt;"",Equipements_STEU!AS64,"")</f>
        <v/>
      </c>
      <c r="X106" s="422" t="str">
        <f ca="1">IF(Equipements_STEU!AH64&lt;&gt;"",Equipements_STEU!AT64,"")</f>
        <v/>
      </c>
      <c r="Y106" s="254"/>
      <c r="Z106" s="254"/>
      <c r="AA106" s="265"/>
      <c r="AB106" s="249"/>
    </row>
    <row r="107" spans="2:28" ht="20.100000000000001" customHeight="1" outlineLevel="1" thickBot="1" x14ac:dyDescent="0.45">
      <c r="B107" s="253"/>
      <c r="C107" s="264"/>
      <c r="D107" s="979" t="str">
        <f ca="1">Equipements_STEU!H65</f>
        <v/>
      </c>
      <c r="E107" s="980"/>
      <c r="F107" s="423" t="str">
        <f ca="1">Equipements_STEU!I65</f>
        <v/>
      </c>
      <c r="G107" s="424" t="str">
        <f ca="1">Equipements_STEU!M65</f>
        <v/>
      </c>
      <c r="H107" s="943" t="str">
        <f ca="1">Equipements_STEU!J65</f>
        <v/>
      </c>
      <c r="I107" s="994"/>
      <c r="J107" s="943" t="str">
        <f ca="1">Equipements_STEU!K65</f>
        <v/>
      </c>
      <c r="K107" s="944"/>
      <c r="L107" s="944"/>
      <c r="M107" s="944"/>
      <c r="N107" s="425" t="str">
        <f ca="1">Equipements_STEU!P65</f>
        <v/>
      </c>
      <c r="O107" s="426" t="str">
        <f ca="1">IF(Equipements_STEU!Y65&lt;&gt;"",Equipements_STEU!AK65,"")</f>
        <v/>
      </c>
      <c r="P107" s="426" t="str">
        <f ca="1">IF(Equipements_STEU!Z65&lt;&gt;"",Equipements_STEU!AL65,"")</f>
        <v/>
      </c>
      <c r="Q107" s="426" t="str">
        <f ca="1">IF(Equipements_STEU!AA65&lt;&gt;"",Equipements_STEU!AM65,"")</f>
        <v/>
      </c>
      <c r="R107" s="426" t="str">
        <f ca="1">IF(Equipements_STEU!AB65&lt;&gt;"",Equipements_STEU!AN65,"")</f>
        <v/>
      </c>
      <c r="S107" s="426" t="str">
        <f ca="1">IF(Equipements_STEU!AC65&lt;&gt;"",Equipements_STEU!AO65,"")</f>
        <v/>
      </c>
      <c r="T107" s="426" t="str">
        <f ca="1">IF(Equipements_STEU!AD65&lt;&gt;"",Equipements_STEU!AP65,"")</f>
        <v/>
      </c>
      <c r="U107" s="426" t="str">
        <f ca="1">IF(Equipements_STEU!AE65&lt;&gt;"",Equipements_STEU!AQ65,"")</f>
        <v/>
      </c>
      <c r="V107" s="426" t="str">
        <f ca="1">IF(Equipements_STEU!AF65&lt;&gt;"",Equipements_STEU!AR65,"")</f>
        <v/>
      </c>
      <c r="W107" s="426" t="str">
        <f ca="1">IF(Equipements_STEU!AG65&lt;&gt;"",Equipements_STEU!AS65,"")</f>
        <v/>
      </c>
      <c r="X107" s="427" t="str">
        <f ca="1">IF(Equipements_STEU!AH65&lt;&gt;"",Equipements_STEU!AT65,"")</f>
        <v/>
      </c>
      <c r="Y107" s="254"/>
      <c r="Z107" s="254"/>
      <c r="AA107" s="265"/>
      <c r="AB107" s="249"/>
    </row>
    <row r="108" spans="2:28" ht="20.100000000000001" customHeight="1" outlineLevel="1" thickBot="1" x14ac:dyDescent="0.45">
      <c r="B108" s="253"/>
      <c r="C108" s="261"/>
      <c r="D108" s="262"/>
      <c r="E108" s="262"/>
      <c r="F108" s="262"/>
      <c r="G108" s="262"/>
      <c r="H108" s="262"/>
      <c r="I108" s="262"/>
      <c r="J108" s="262"/>
      <c r="K108" s="262"/>
      <c r="L108" s="262"/>
      <c r="M108" s="262"/>
      <c r="N108" s="262"/>
      <c r="O108" s="262"/>
      <c r="P108" s="262"/>
      <c r="Q108" s="262"/>
      <c r="R108" s="262"/>
      <c r="S108" s="262"/>
      <c r="T108" s="262"/>
      <c r="U108" s="262"/>
      <c r="V108" s="262"/>
      <c r="W108" s="262"/>
      <c r="X108" s="748"/>
      <c r="Y108" s="748"/>
      <c r="Z108" s="748"/>
      <c r="AA108" s="263"/>
      <c r="AB108" s="249"/>
    </row>
    <row r="109" spans="2:28" ht="9.9499999999999993" customHeight="1" thickTop="1" x14ac:dyDescent="0.4">
      <c r="B109" s="246"/>
      <c r="C109" s="247"/>
      <c r="D109" s="247"/>
      <c r="E109" s="247"/>
      <c r="F109" s="247"/>
      <c r="G109" s="247"/>
      <c r="H109" s="247"/>
      <c r="I109" s="247"/>
      <c r="J109" s="247"/>
      <c r="K109" s="247"/>
      <c r="L109" s="247"/>
      <c r="M109" s="247"/>
      <c r="N109" s="247"/>
      <c r="O109" s="247"/>
      <c r="P109" s="247"/>
      <c r="Q109" s="247"/>
      <c r="R109" s="247"/>
      <c r="S109" s="247"/>
      <c r="T109" s="247"/>
      <c r="U109" s="247"/>
      <c r="V109" s="247"/>
      <c r="W109" s="247"/>
      <c r="X109" s="247"/>
      <c r="Y109" s="247"/>
      <c r="Z109" s="247"/>
      <c r="AA109" s="247"/>
      <c r="AB109" s="248"/>
    </row>
  </sheetData>
  <sheetProtection algorithmName="SHA-512" hashValue="C0JiH8dBJu4BJRnHtQRX9wB1bBbfs0tssXLCN62fC+DQwHmUA801Ws0lbvsqjhPyfoq7rtoRTE/oPOAwq0ABHw==" saltValue="+bAcBbv/RrpLKMB5dI9Iow==" spinCount="100000" sheet="1" objects="1" scenarios="1" formatRows="0"/>
  <mergeCells count="281">
    <mergeCell ref="D10:E20"/>
    <mergeCell ref="G11:I11"/>
    <mergeCell ref="D102:E102"/>
    <mergeCell ref="H102:I102"/>
    <mergeCell ref="D103:E103"/>
    <mergeCell ref="H103:I103"/>
    <mergeCell ref="D22:E26"/>
    <mergeCell ref="D48:E51"/>
    <mergeCell ref="F48:Z51"/>
    <mergeCell ref="C54:AA54"/>
    <mergeCell ref="D57:E57"/>
    <mergeCell ref="K44:L44"/>
    <mergeCell ref="I38:J38"/>
    <mergeCell ref="O56:X56"/>
    <mergeCell ref="L11:N11"/>
    <mergeCell ref="L12:N12"/>
    <mergeCell ref="L13:N13"/>
    <mergeCell ref="L14:N14"/>
    <mergeCell ref="L15:N15"/>
    <mergeCell ref="K29:L29"/>
    <mergeCell ref="I33:J33"/>
    <mergeCell ref="K33:L33"/>
    <mergeCell ref="I31:J31"/>
    <mergeCell ref="H98:I98"/>
    <mergeCell ref="C2:W2"/>
    <mergeCell ref="Y2:Z2"/>
    <mergeCell ref="Y6:AA6"/>
    <mergeCell ref="Y5:AA5"/>
    <mergeCell ref="G19:I19"/>
    <mergeCell ref="G12:I12"/>
    <mergeCell ref="V5:X5"/>
    <mergeCell ref="C8:AA8"/>
    <mergeCell ref="V6:X6"/>
    <mergeCell ref="S5:U5"/>
    <mergeCell ref="S6:U6"/>
    <mergeCell ref="P5:R5"/>
    <mergeCell ref="P6:R6"/>
    <mergeCell ref="M5:O5"/>
    <mergeCell ref="M6:O6"/>
    <mergeCell ref="V17:W17"/>
    <mergeCell ref="V18:W18"/>
    <mergeCell ref="G13:I13"/>
    <mergeCell ref="G14:I14"/>
    <mergeCell ref="G15:I15"/>
    <mergeCell ref="G16:I16"/>
    <mergeCell ref="G17:I17"/>
    <mergeCell ref="G18:I18"/>
    <mergeCell ref="V19:W19"/>
    <mergeCell ref="Y3:AA3"/>
    <mergeCell ref="V3:X3"/>
    <mergeCell ref="Y4:AA4"/>
    <mergeCell ref="V4:X4"/>
    <mergeCell ref="S3:U3"/>
    <mergeCell ref="S4:U4"/>
    <mergeCell ref="P3:R3"/>
    <mergeCell ref="P4:R4"/>
    <mergeCell ref="M3:O3"/>
    <mergeCell ref="M4:O4"/>
    <mergeCell ref="X108:Z108"/>
    <mergeCell ref="D106:E106"/>
    <mergeCell ref="D107:E107"/>
    <mergeCell ref="D98:E98"/>
    <mergeCell ref="D101:E101"/>
    <mergeCell ref="D99:E99"/>
    <mergeCell ref="D100:E100"/>
    <mergeCell ref="K37:L37"/>
    <mergeCell ref="I40:J40"/>
    <mergeCell ref="K40:L40"/>
    <mergeCell ref="I39:J39"/>
    <mergeCell ref="K39:L39"/>
    <mergeCell ref="H101:I101"/>
    <mergeCell ref="H100:I100"/>
    <mergeCell ref="H99:I99"/>
    <mergeCell ref="K42:L42"/>
    <mergeCell ref="K43:L43"/>
    <mergeCell ref="G43:H45"/>
    <mergeCell ref="I43:J43"/>
    <mergeCell ref="D104:E104"/>
    <mergeCell ref="H106:I106"/>
    <mergeCell ref="H105:I105"/>
    <mergeCell ref="H107:I107"/>
    <mergeCell ref="N56:N57"/>
    <mergeCell ref="D105:E105"/>
    <mergeCell ref="G24:K24"/>
    <mergeCell ref="G25:K25"/>
    <mergeCell ref="N24:Y24"/>
    <mergeCell ref="N25:Y25"/>
    <mergeCell ref="N30:Y33"/>
    <mergeCell ref="N29:Y29"/>
    <mergeCell ref="M23:M24"/>
    <mergeCell ref="D28:E34"/>
    <mergeCell ref="H104:I104"/>
    <mergeCell ref="D36:E46"/>
    <mergeCell ref="G38:H40"/>
    <mergeCell ref="K45:L45"/>
    <mergeCell ref="N23:Y23"/>
    <mergeCell ref="K38:L38"/>
    <mergeCell ref="K32:L32"/>
    <mergeCell ref="D56:M56"/>
    <mergeCell ref="J57:M57"/>
    <mergeCell ref="J58:M58"/>
    <mergeCell ref="J59:M59"/>
    <mergeCell ref="D58:E58"/>
    <mergeCell ref="H57:I57"/>
    <mergeCell ref="H58:I58"/>
    <mergeCell ref="I44:J44"/>
    <mergeCell ref="J5:L5"/>
    <mergeCell ref="J6:L6"/>
    <mergeCell ref="G3:I3"/>
    <mergeCell ref="G4:I4"/>
    <mergeCell ref="G5:I5"/>
    <mergeCell ref="G6:I6"/>
    <mergeCell ref="C3:F3"/>
    <mergeCell ref="C4:F4"/>
    <mergeCell ref="C5:F5"/>
    <mergeCell ref="C6:F6"/>
    <mergeCell ref="J3:L3"/>
    <mergeCell ref="J4:L4"/>
    <mergeCell ref="J96:M96"/>
    <mergeCell ref="J97:M97"/>
    <mergeCell ref="D97:E97"/>
    <mergeCell ref="D59:E59"/>
    <mergeCell ref="D60:E60"/>
    <mergeCell ref="D61:E61"/>
    <mergeCell ref="D62:E62"/>
    <mergeCell ref="H59:I59"/>
    <mergeCell ref="D96:E96"/>
    <mergeCell ref="H60:I60"/>
    <mergeCell ref="H61:I61"/>
    <mergeCell ref="H62:I62"/>
    <mergeCell ref="H96:I96"/>
    <mergeCell ref="H97:I97"/>
    <mergeCell ref="J60:M60"/>
    <mergeCell ref="J61:M61"/>
    <mergeCell ref="J62:M62"/>
    <mergeCell ref="J63:M63"/>
    <mergeCell ref="J64:M64"/>
    <mergeCell ref="J65:M65"/>
    <mergeCell ref="J66:M66"/>
    <mergeCell ref="J67:M67"/>
    <mergeCell ref="J68:M68"/>
    <mergeCell ref="J69:M69"/>
    <mergeCell ref="J107:M107"/>
    <mergeCell ref="J98:M98"/>
    <mergeCell ref="J99:M99"/>
    <mergeCell ref="J100:M100"/>
    <mergeCell ref="J101:M101"/>
    <mergeCell ref="J102:M102"/>
    <mergeCell ref="J103:M103"/>
    <mergeCell ref="J104:M104"/>
    <mergeCell ref="J105:M105"/>
    <mergeCell ref="J106:M106"/>
    <mergeCell ref="N43:Y43"/>
    <mergeCell ref="N44:Y44"/>
    <mergeCell ref="N45:Y45"/>
    <mergeCell ref="G23:L23"/>
    <mergeCell ref="G29:J29"/>
    <mergeCell ref="G37:J37"/>
    <mergeCell ref="G42:J42"/>
    <mergeCell ref="K31:L31"/>
    <mergeCell ref="I32:J32"/>
    <mergeCell ref="G30:H30"/>
    <mergeCell ref="I30:J30"/>
    <mergeCell ref="K30:L30"/>
    <mergeCell ref="G31:H33"/>
    <mergeCell ref="I45:J45"/>
    <mergeCell ref="V11:X11"/>
    <mergeCell ref="V12:X12"/>
    <mergeCell ref="V13:X13"/>
    <mergeCell ref="V14:X14"/>
    <mergeCell ref="V15:X15"/>
    <mergeCell ref="N37:Y37"/>
    <mergeCell ref="N42:Y42"/>
    <mergeCell ref="N38:Y38"/>
    <mergeCell ref="N39:Y39"/>
    <mergeCell ref="N40:Y40"/>
    <mergeCell ref="L16:N16"/>
    <mergeCell ref="L17:N17"/>
    <mergeCell ref="L18:N18"/>
    <mergeCell ref="L19:N19"/>
    <mergeCell ref="Q11:S11"/>
    <mergeCell ref="Q12:S12"/>
    <mergeCell ref="Q13:S13"/>
    <mergeCell ref="Q14:S14"/>
    <mergeCell ref="Q15:S15"/>
    <mergeCell ref="Q16:S16"/>
    <mergeCell ref="Q17:S17"/>
    <mergeCell ref="Q18:S18"/>
    <mergeCell ref="Q19:S19"/>
    <mergeCell ref="J95:M95"/>
    <mergeCell ref="J94:M94"/>
    <mergeCell ref="J93:M93"/>
    <mergeCell ref="J92:M92"/>
    <mergeCell ref="J91:M91"/>
    <mergeCell ref="J90:M90"/>
    <mergeCell ref="J89:M89"/>
    <mergeCell ref="J88:M88"/>
    <mergeCell ref="J87:M87"/>
    <mergeCell ref="J86:M86"/>
    <mergeCell ref="J70:M70"/>
    <mergeCell ref="J71:M71"/>
    <mergeCell ref="J72:M72"/>
    <mergeCell ref="J73:M73"/>
    <mergeCell ref="J74:M74"/>
    <mergeCell ref="J75:M75"/>
    <mergeCell ref="J76:M76"/>
    <mergeCell ref="J77:M77"/>
    <mergeCell ref="J78:M78"/>
    <mergeCell ref="J79:M79"/>
    <mergeCell ref="J80:M80"/>
    <mergeCell ref="J81:M81"/>
    <mergeCell ref="J82:M82"/>
    <mergeCell ref="J83:M83"/>
    <mergeCell ref="J84:M84"/>
    <mergeCell ref="J85:M85"/>
    <mergeCell ref="H63:I63"/>
    <mergeCell ref="H64:I64"/>
    <mergeCell ref="H65:I65"/>
    <mergeCell ref="H66:I66"/>
    <mergeCell ref="H67:I67"/>
    <mergeCell ref="H68:I68"/>
    <mergeCell ref="H69:I69"/>
    <mergeCell ref="H70:I70"/>
    <mergeCell ref="H71:I71"/>
    <mergeCell ref="H72:I72"/>
    <mergeCell ref="H73:I73"/>
    <mergeCell ref="H74:I74"/>
    <mergeCell ref="H75:I75"/>
    <mergeCell ref="H76:I76"/>
    <mergeCell ref="H77:I77"/>
    <mergeCell ref="H78:I78"/>
    <mergeCell ref="H79:I79"/>
    <mergeCell ref="H80:I80"/>
    <mergeCell ref="H81:I81"/>
    <mergeCell ref="H82:I82"/>
    <mergeCell ref="H83:I83"/>
    <mergeCell ref="H84:I84"/>
    <mergeCell ref="H85:I85"/>
    <mergeCell ref="H86:I86"/>
    <mergeCell ref="H87:I87"/>
    <mergeCell ref="H88:I88"/>
    <mergeCell ref="H89:I89"/>
    <mergeCell ref="H90:I90"/>
    <mergeCell ref="H91:I91"/>
    <mergeCell ref="H92:I92"/>
    <mergeCell ref="H93:I93"/>
    <mergeCell ref="H94:I94"/>
    <mergeCell ref="H95:I95"/>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90:E90"/>
    <mergeCell ref="D91:E91"/>
    <mergeCell ref="D92:E92"/>
    <mergeCell ref="D93:E93"/>
    <mergeCell ref="D94:E94"/>
    <mergeCell ref="D95:E95"/>
    <mergeCell ref="D81:E81"/>
    <mergeCell ref="D82:E82"/>
    <mergeCell ref="D83:E83"/>
    <mergeCell ref="D84:E84"/>
    <mergeCell ref="D85:E85"/>
    <mergeCell ref="D86:E86"/>
    <mergeCell ref="D87:E87"/>
    <mergeCell ref="D88:E88"/>
    <mergeCell ref="D89:E89"/>
  </mergeCells>
  <conditionalFormatting sqref="J12:J19 O12:O19 T12:T19">
    <cfRule type="cellIs" dxfId="38" priority="41" operator="greaterThan">
      <formula>99</formula>
    </cfRule>
    <cfRule type="cellIs" dxfId="37" priority="42" operator="between">
      <formula>70.1</formula>
      <formula>99</formula>
    </cfRule>
    <cfRule type="cellIs" dxfId="36" priority="43" operator="lessThanOrEqual">
      <formula>70</formula>
    </cfRule>
  </conditionalFormatting>
  <conditionalFormatting sqref="K38:K40">
    <cfRule type="cellIs" dxfId="35" priority="16" operator="greaterThan">
      <formula>99</formula>
    </cfRule>
    <cfRule type="cellIs" dxfId="34" priority="17" operator="between">
      <formula>70</formula>
      <formula>99</formula>
    </cfRule>
    <cfRule type="cellIs" dxfId="33" priority="18" operator="lessThan">
      <formula>70</formula>
    </cfRule>
  </conditionalFormatting>
  <conditionalFormatting sqref="K43:K45">
    <cfRule type="cellIs" dxfId="32" priority="4" operator="greaterThan">
      <formula>99</formula>
    </cfRule>
    <cfRule type="cellIs" dxfId="31" priority="5" operator="between">
      <formula>70</formula>
      <formula>99</formula>
    </cfRule>
    <cfRule type="cellIs" dxfId="30" priority="6" operator="lessThan">
      <formula>70</formula>
    </cfRule>
  </conditionalFormatting>
  <conditionalFormatting sqref="K30:L33">
    <cfRule type="containsText" dxfId="29" priority="39" operator="containsText" text="0,1">
      <formula>NOT(ISERROR(SEARCH("0,1",K30)))</formula>
    </cfRule>
    <cfRule type="containsText" dxfId="28" priority="40" operator="containsText" text="0">
      <formula>NOT(ISERROR(SEARCH("0",K30)))</formula>
    </cfRule>
  </conditionalFormatting>
  <conditionalFormatting sqref="L24:L25">
    <cfRule type="cellIs" dxfId="27" priority="11" operator="equal">
      <formula>"Oui"</formula>
    </cfRule>
    <cfRule type="cellIs" dxfId="26" priority="12" operator="equal">
      <formula>"Non"</formula>
    </cfRule>
  </conditionalFormatting>
  <conditionalFormatting sqref="M25">
    <cfRule type="cellIs" dxfId="25" priority="7" operator="lessThan">
      <formula>1</formula>
    </cfRule>
    <cfRule type="cellIs" dxfId="24" priority="8" operator="equal">
      <formula>1</formula>
    </cfRule>
  </conditionalFormatting>
  <conditionalFormatting sqref="N58:N107">
    <cfRule type="cellIs" dxfId="23" priority="19" operator="greaterThan">
      <formula>99</formula>
    </cfRule>
    <cfRule type="cellIs" dxfId="22" priority="20" operator="between">
      <formula>70.1</formula>
      <formula>99</formula>
    </cfRule>
    <cfRule type="cellIs" dxfId="21" priority="21" operator="lessThanOrEqual">
      <formula>70</formula>
    </cfRule>
  </conditionalFormatting>
  <conditionalFormatting sqref="O58:X107">
    <cfRule type="cellIs" dxfId="20" priority="9" operator="equal">
      <formula>0</formula>
    </cfRule>
    <cfRule type="cellIs" dxfId="19" priority="10" operator="greaterThan">
      <formula>0</formula>
    </cfRule>
  </conditionalFormatting>
  <conditionalFormatting sqref="Y12:Y15">
    <cfRule type="cellIs" dxfId="18" priority="1" operator="greaterThan">
      <formula>99</formula>
    </cfRule>
    <cfRule type="cellIs" dxfId="17" priority="2" operator="between">
      <formula>70.1</formula>
      <formula>99</formula>
    </cfRule>
    <cfRule type="cellIs" dxfId="16" priority="3" operator="lessThanOrEqual">
      <formula>70</formula>
    </cfRule>
  </conditionalFormatting>
  <dataValidations xWindow="1171" yWindow="551" count="4">
    <dataValidation type="list" allowBlank="1" showDropDown="1" showInputMessage="1" showErrorMessage="1" sqref="L24:L25" xr:uid="{89175763-9742-48D1-A2DC-B6142B4032EA}">
      <formula1>LISTE_7</formula1>
    </dataValidation>
    <dataValidation allowBlank="1" showInputMessage="1" showErrorMessage="1" promptTitle="Information sur le calcul" prompt="Moyenne des scores des débitmètres du point" sqref="O13:O15 J17:J19 T13:T15 O17:O19 J13:J15 T17:T19 Y13:Y15" xr:uid="{2030949C-0E44-4AED-A1E4-904A639C888F}"/>
    <dataValidation allowBlank="1" showInputMessage="1" showErrorMessage="1" promptTitle="Information sur le calcul" prompt="Moyenne des moyennes des scores du point par type d'équipement * coef qualité" sqref="J12 J16 T16 T12 O12 O16 Y12" xr:uid="{AE1E78F1-060F-4BC5-B46B-4A0BC0C8D1A8}"/>
    <dataValidation allowBlank="1" showInputMessage="1" showErrorMessage="1" promptTitle="Double click" prompt="Faite un double click pour exporter le rapport CDA" sqref="Y2:Z2" xr:uid="{61C14012-F44D-4F61-B397-EF964A3E6673}"/>
  </dataValidations>
  <pageMargins left="0.7" right="0.7" top="0.75" bottom="0.75" header="0.3" footer="0.3"/>
  <pageSetup paperSize="9" scale="28" orientation="portrait" r:id="rId1"/>
  <rowBreaks count="1" manualBreakCount="1">
    <brk id="53" max="16383" man="1"/>
  </rowBreaks>
  <colBreaks count="1" manualBreakCount="1">
    <brk id="1"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8">
    <tabColor theme="9" tint="0.59999389629810485"/>
  </sheetPr>
  <dimension ref="A1:AC283"/>
  <sheetViews>
    <sheetView topLeftCell="E1" zoomScale="80" zoomScaleNormal="80" workbookViewId="0">
      <selection activeCell="T1" sqref="T1:AC1048576"/>
    </sheetView>
  </sheetViews>
  <sheetFormatPr baseColWidth="10" defaultColWidth="10.87890625" defaultRowHeight="12.7" x14ac:dyDescent="0.4"/>
  <cols>
    <col min="1" max="1" width="1.41015625" style="78" customWidth="1"/>
    <col min="2" max="2" width="2" style="78" customWidth="1"/>
    <col min="3" max="3" width="12.703125" style="78" customWidth="1"/>
    <col min="4" max="4" width="12.703125" style="79" customWidth="1"/>
    <col min="5" max="7" width="12.703125" style="78" customWidth="1"/>
    <col min="8" max="8" width="12.703125" style="79" customWidth="1"/>
    <col min="9" max="11" width="12.703125" style="78" customWidth="1"/>
    <col min="12" max="18" width="12.703125" style="243" customWidth="1"/>
    <col min="19" max="19" width="2.1171875" style="78" customWidth="1"/>
    <col min="20" max="20" width="10.87890625" style="622"/>
    <col min="21" max="28" width="10.87890625" style="617"/>
    <col min="29" max="29" width="10.87890625" style="618"/>
    <col min="30" max="16384" width="10.87890625" style="78"/>
  </cols>
  <sheetData>
    <row r="1" spans="1:21" ht="9.9499999999999993" customHeight="1" thickBot="1" x14ac:dyDescent="0.45">
      <c r="A1" s="241"/>
      <c r="B1" s="250"/>
      <c r="C1" s="251"/>
      <c r="D1" s="251"/>
      <c r="E1" s="251"/>
      <c r="F1" s="251"/>
      <c r="G1" s="251"/>
      <c r="H1" s="251"/>
      <c r="I1" s="251"/>
      <c r="J1" s="251"/>
      <c r="K1" s="251"/>
      <c r="L1" s="251"/>
      <c r="M1" s="251"/>
      <c r="N1" s="251"/>
      <c r="O1" s="251"/>
      <c r="P1" s="251"/>
      <c r="Q1" s="251"/>
      <c r="R1" s="251"/>
      <c r="S1" s="252"/>
      <c r="T1" s="607"/>
      <c r="U1" s="607"/>
    </row>
    <row r="2" spans="1:21" ht="38.1" customHeight="1" thickTop="1" x14ac:dyDescent="0.4">
      <c r="A2" s="241"/>
      <c r="B2" s="253"/>
      <c r="C2" s="1042" t="s">
        <v>530</v>
      </c>
      <c r="D2" s="1043"/>
      <c r="E2" s="1043"/>
      <c r="F2" s="1043"/>
      <c r="G2" s="1043"/>
      <c r="H2" s="1043"/>
      <c r="I2" s="1043"/>
      <c r="J2" s="1043"/>
      <c r="K2" s="1043"/>
      <c r="L2" s="1043"/>
      <c r="M2" s="1043"/>
      <c r="N2" s="1043"/>
      <c r="O2" s="1043"/>
      <c r="P2" s="1043"/>
      <c r="Q2" s="1043"/>
      <c r="R2" s="1044"/>
      <c r="S2" s="249"/>
      <c r="T2" s="607"/>
      <c r="U2" s="607"/>
    </row>
    <row r="3" spans="1:21" ht="18.95" customHeight="1" x14ac:dyDescent="0.4">
      <c r="A3" s="241"/>
      <c r="B3" s="253"/>
      <c r="C3" s="1045" t="s">
        <v>455</v>
      </c>
      <c r="D3" s="1046"/>
      <c r="E3" s="1047" t="str">
        <f>IF(ISBLANK(Descriptif!L3),"",Descriptif!L3)</f>
        <v/>
      </c>
      <c r="F3" s="1047"/>
      <c r="G3" s="1047"/>
      <c r="H3" s="1046" t="s">
        <v>471</v>
      </c>
      <c r="I3" s="1046"/>
      <c r="J3" s="1047" t="str">
        <f>IF(ISBLANK(Descriptif!Q3),"",Descriptif!Q3)</f>
        <v/>
      </c>
      <c r="K3" s="1047"/>
      <c r="L3" s="1047"/>
      <c r="M3" s="1046" t="s">
        <v>442</v>
      </c>
      <c r="N3" s="1046"/>
      <c r="O3" s="1046"/>
      <c r="P3" s="1047" t="str">
        <f>IF(ISBLANK(Descriptif!U3),"",Descriptif!U3)</f>
        <v/>
      </c>
      <c r="Q3" s="1047"/>
      <c r="R3" s="1048"/>
      <c r="S3" s="249"/>
      <c r="T3" s="607"/>
      <c r="U3" s="607"/>
    </row>
    <row r="4" spans="1:21" ht="18.95" customHeight="1" x14ac:dyDescent="0.4">
      <c r="A4" s="241"/>
      <c r="B4" s="253"/>
      <c r="C4" s="1045" t="s">
        <v>457</v>
      </c>
      <c r="D4" s="1046"/>
      <c r="E4" s="1047" t="str">
        <f>IF(ISBLANK(Descriptif!L4),"",Descriptif!L4)</f>
        <v/>
      </c>
      <c r="F4" s="1047"/>
      <c r="G4" s="1047"/>
      <c r="H4" s="1046" t="s">
        <v>457</v>
      </c>
      <c r="I4" s="1046"/>
      <c r="J4" s="1047" t="str">
        <f>IF(ISBLANK(Descriptif!Q4),"",Descriptif!Q4)</f>
        <v/>
      </c>
      <c r="K4" s="1047"/>
      <c r="L4" s="1047"/>
      <c r="M4" s="1046" t="s">
        <v>443</v>
      </c>
      <c r="N4" s="1046"/>
      <c r="O4" s="1046"/>
      <c r="P4" s="1047" t="str">
        <f>IF(ISBLANK(Descriptif!U4),"",Descriptif!U4)</f>
        <v/>
      </c>
      <c r="Q4" s="1047"/>
      <c r="R4" s="1048"/>
      <c r="S4" s="249"/>
      <c r="T4" s="607"/>
      <c r="U4" s="607"/>
    </row>
    <row r="5" spans="1:21" ht="30" customHeight="1" x14ac:dyDescent="0.4">
      <c r="A5" s="241"/>
      <c r="B5" s="253"/>
      <c r="C5" s="1045" t="s">
        <v>458</v>
      </c>
      <c r="D5" s="1046"/>
      <c r="E5" s="1047" t="str">
        <f>IF(ISBLANK(Descriptif!F5),"",Descriptif!F5)</f>
        <v/>
      </c>
      <c r="F5" s="1047"/>
      <c r="G5" s="1047"/>
      <c r="H5" s="1046" t="s">
        <v>451</v>
      </c>
      <c r="I5" s="1046"/>
      <c r="J5" s="1047" t="str">
        <f>IF(ISBLANK(Descriptif!Q5),"",Descriptif!Q5)</f>
        <v/>
      </c>
      <c r="K5" s="1047"/>
      <c r="L5" s="1047"/>
      <c r="M5" s="1046" t="s">
        <v>444</v>
      </c>
      <c r="N5" s="1046"/>
      <c r="O5" s="1046"/>
      <c r="P5" s="1054" t="str">
        <f>IF(ISBLANK(Descriptif!U5),"",Descriptif!U5)</f>
        <v/>
      </c>
      <c r="Q5" s="1054"/>
      <c r="R5" s="1055"/>
      <c r="S5" s="249"/>
      <c r="T5" s="607"/>
      <c r="U5" s="607"/>
    </row>
    <row r="6" spans="1:21" ht="18.95" customHeight="1" thickBot="1" x14ac:dyDescent="0.45">
      <c r="A6" s="241"/>
      <c r="B6" s="253"/>
      <c r="C6" s="1056" t="s">
        <v>459</v>
      </c>
      <c r="D6" s="1020"/>
      <c r="E6" s="1019" t="str">
        <f>IF(ISBLANK(Descriptif!L6),"",Descriptif!F6)</f>
        <v/>
      </c>
      <c r="F6" s="1019"/>
      <c r="G6" s="1019"/>
      <c r="H6" s="1020" t="s">
        <v>459</v>
      </c>
      <c r="I6" s="1020"/>
      <c r="J6" s="1019" t="str">
        <f>IF(ISBLANK(Descriptif!Q6),"",Descriptif!Q6)</f>
        <v/>
      </c>
      <c r="K6" s="1019"/>
      <c r="L6" s="1019"/>
      <c r="M6" s="1020" t="s">
        <v>445</v>
      </c>
      <c r="N6" s="1020"/>
      <c r="O6" s="1020"/>
      <c r="P6" s="1021" t="str">
        <f>IF(ISBLANK(Descriptif!U6),"",Descriptif!U6)</f>
        <v/>
      </c>
      <c r="Q6" s="1021"/>
      <c r="R6" s="1022"/>
      <c r="S6" s="249"/>
      <c r="T6" s="607"/>
      <c r="U6" s="607"/>
    </row>
    <row r="7" spans="1:21" ht="9.9499999999999993" customHeight="1" thickTop="1" thickBot="1" x14ac:dyDescent="0.45">
      <c r="A7" s="241"/>
      <c r="B7" s="253"/>
      <c r="C7" s="254"/>
      <c r="D7" s="254"/>
      <c r="E7" s="254"/>
      <c r="F7" s="254"/>
      <c r="G7" s="254"/>
      <c r="H7" s="254"/>
      <c r="I7" s="254"/>
      <c r="J7" s="254"/>
      <c r="K7" s="254"/>
      <c r="L7" s="254"/>
      <c r="M7" s="254"/>
      <c r="N7" s="254"/>
      <c r="O7" s="254"/>
      <c r="P7" s="254"/>
      <c r="Q7" s="254"/>
      <c r="R7" s="254"/>
      <c r="S7" s="249"/>
      <c r="T7" s="607"/>
      <c r="U7" s="607"/>
    </row>
    <row r="8" spans="1:21" ht="24" thickTop="1" thickBot="1" x14ac:dyDescent="0.45">
      <c r="A8" s="241"/>
      <c r="B8" s="253"/>
      <c r="C8" s="1038" t="s">
        <v>380</v>
      </c>
      <c r="D8" s="1039"/>
      <c r="E8" s="1039"/>
      <c r="F8" s="1039"/>
      <c r="G8" s="1039"/>
      <c r="H8" s="1039"/>
      <c r="I8" s="1039"/>
      <c r="J8" s="1039"/>
      <c r="K8" s="1039"/>
      <c r="L8" s="1039"/>
      <c r="M8" s="1039"/>
      <c r="N8" s="1039"/>
      <c r="O8" s="1039"/>
      <c r="P8" s="1039"/>
      <c r="Q8" s="1039"/>
      <c r="R8" s="1040"/>
      <c r="S8" s="245"/>
      <c r="T8" s="607"/>
      <c r="U8" s="607"/>
    </row>
    <row r="9" spans="1:21" ht="13.7" thickTop="1" thickBot="1" x14ac:dyDescent="0.45">
      <c r="A9" s="241"/>
      <c r="B9" s="253"/>
      <c r="C9" s="446"/>
      <c r="D9" s="254"/>
      <c r="E9" s="254"/>
      <c r="F9" s="254"/>
      <c r="G9" s="254"/>
      <c r="H9" s="254"/>
      <c r="I9" s="254"/>
      <c r="J9" s="254"/>
      <c r="K9" s="254"/>
      <c r="L9" s="254"/>
      <c r="M9" s="254"/>
      <c r="N9" s="254"/>
      <c r="O9" s="254"/>
      <c r="P9" s="254"/>
      <c r="Q9" s="254"/>
      <c r="R9" s="447"/>
      <c r="S9" s="249"/>
      <c r="T9" s="607"/>
      <c r="U9" s="607"/>
    </row>
    <row r="10" spans="1:21" ht="30" customHeight="1" thickBot="1" x14ac:dyDescent="0.45">
      <c r="A10" s="241"/>
      <c r="B10" s="253"/>
      <c r="C10" s="448"/>
      <c r="D10" s="456">
        <v>1</v>
      </c>
      <c r="E10" s="1049" t="s">
        <v>486</v>
      </c>
      <c r="F10" s="1050"/>
      <c r="G10" s="1050"/>
      <c r="H10" s="1050"/>
      <c r="I10" s="1050"/>
      <c r="J10" s="1050"/>
      <c r="K10" s="1050"/>
      <c r="L10" s="457"/>
      <c r="M10" s="1051"/>
      <c r="N10" s="1052"/>
      <c r="O10" s="1052"/>
      <c r="P10" s="1052"/>
      <c r="Q10" s="1053"/>
      <c r="R10" s="447"/>
      <c r="S10" s="249"/>
      <c r="T10" s="607"/>
      <c r="U10" s="607"/>
    </row>
    <row r="11" spans="1:21" ht="9.9499999999999993" customHeight="1" x14ac:dyDescent="0.4">
      <c r="A11" s="241"/>
      <c r="B11" s="253"/>
      <c r="C11" s="446"/>
      <c r="D11" s="254"/>
      <c r="E11" s="254"/>
      <c r="F11" s="254"/>
      <c r="G11" s="254"/>
      <c r="H11" s="254"/>
      <c r="I11" s="254"/>
      <c r="J11" s="254"/>
      <c r="K11" s="254"/>
      <c r="L11" s="254"/>
      <c r="M11" s="254"/>
      <c r="N11" s="254"/>
      <c r="O11" s="254"/>
      <c r="P11" s="254"/>
      <c r="Q11" s="254"/>
      <c r="R11" s="447"/>
      <c r="S11" s="249"/>
      <c r="T11" s="607"/>
      <c r="U11" s="607"/>
    </row>
    <row r="12" spans="1:21" ht="16" thickBot="1" x14ac:dyDescent="0.45">
      <c r="A12" s="241"/>
      <c r="B12" s="253"/>
      <c r="C12" s="446"/>
      <c r="D12" s="449" t="s">
        <v>351</v>
      </c>
      <c r="E12" s="254"/>
      <c r="F12" s="254"/>
      <c r="G12" s="254"/>
      <c r="H12" s="254"/>
      <c r="I12" s="254"/>
      <c r="J12" s="254"/>
      <c r="K12" s="254"/>
      <c r="L12" s="254"/>
      <c r="M12" s="254"/>
      <c r="N12" s="254"/>
      <c r="O12" s="254"/>
      <c r="P12" s="254"/>
      <c r="Q12" s="254"/>
      <c r="R12" s="447"/>
      <c r="S12" s="249"/>
      <c r="T12" s="607"/>
      <c r="U12" s="607"/>
    </row>
    <row r="13" spans="1:21" ht="53.85" customHeight="1" thickBot="1" x14ac:dyDescent="0.45">
      <c r="A13" s="241"/>
      <c r="B13" s="253"/>
      <c r="C13" s="448"/>
      <c r="D13" s="1028"/>
      <c r="E13" s="1029"/>
      <c r="F13" s="1029"/>
      <c r="G13" s="1029"/>
      <c r="H13" s="1029"/>
      <c r="I13" s="1029"/>
      <c r="J13" s="1029"/>
      <c r="K13" s="1029"/>
      <c r="L13" s="1029"/>
      <c r="M13" s="1029"/>
      <c r="N13" s="1029"/>
      <c r="O13" s="1029"/>
      <c r="P13" s="1029"/>
      <c r="Q13" s="1030"/>
      <c r="R13" s="447"/>
      <c r="S13" s="249"/>
      <c r="T13" s="607"/>
      <c r="U13" s="607"/>
    </row>
    <row r="14" spans="1:21" ht="9.9499999999999993" customHeight="1" x14ac:dyDescent="0.4">
      <c r="A14" s="241"/>
      <c r="B14" s="253"/>
      <c r="C14" s="446"/>
      <c r="D14" s="450"/>
      <c r="E14" s="450"/>
      <c r="F14" s="450"/>
      <c r="G14" s="450"/>
      <c r="H14" s="450"/>
      <c r="I14" s="450"/>
      <c r="J14" s="450"/>
      <c r="K14" s="450"/>
      <c r="L14" s="450"/>
      <c r="M14" s="450"/>
      <c r="N14" s="450"/>
      <c r="O14" s="450"/>
      <c r="P14" s="450"/>
      <c r="Q14" s="450"/>
      <c r="R14" s="447"/>
      <c r="S14" s="249"/>
      <c r="T14" s="607"/>
      <c r="U14" s="607"/>
    </row>
    <row r="15" spans="1:21" ht="53.7" customHeight="1" x14ac:dyDescent="0.4">
      <c r="A15" s="241"/>
      <c r="B15" s="253"/>
      <c r="C15" s="446"/>
      <c r="D15" s="1041" t="s">
        <v>472</v>
      </c>
      <c r="E15" s="1041"/>
      <c r="F15" s="1041"/>
      <c r="G15" s="1041"/>
      <c r="H15" s="1041"/>
      <c r="I15" s="1041"/>
      <c r="J15" s="1041"/>
      <c r="K15" s="1041"/>
      <c r="L15" s="1041"/>
      <c r="M15" s="1041"/>
      <c r="N15" s="1041"/>
      <c r="O15" s="1041"/>
      <c r="P15" s="1041"/>
      <c r="Q15" s="1041"/>
      <c r="R15" s="447"/>
      <c r="S15" s="249"/>
      <c r="T15" s="607"/>
      <c r="U15" s="607"/>
    </row>
    <row r="16" spans="1:21" ht="110.7" customHeight="1" x14ac:dyDescent="0.4">
      <c r="A16" s="241"/>
      <c r="B16" s="253"/>
      <c r="C16" s="448"/>
      <c r="D16" s="1041"/>
      <c r="E16" s="1041"/>
      <c r="F16" s="1041"/>
      <c r="G16" s="1041"/>
      <c r="H16" s="1041"/>
      <c r="I16" s="1041"/>
      <c r="J16" s="1041"/>
      <c r="K16" s="1041"/>
      <c r="L16" s="1041"/>
      <c r="M16" s="1041"/>
      <c r="N16" s="1041"/>
      <c r="O16" s="1041"/>
      <c r="P16" s="1041"/>
      <c r="Q16" s="1041"/>
      <c r="R16" s="447"/>
      <c r="S16" s="249"/>
      <c r="T16" s="607"/>
      <c r="U16" s="607"/>
    </row>
    <row r="17" spans="1:29" ht="9.9499999999999993" customHeight="1" thickBot="1" x14ac:dyDescent="0.45">
      <c r="A17" s="241"/>
      <c r="B17" s="253"/>
      <c r="C17" s="451"/>
      <c r="D17" s="452"/>
      <c r="E17" s="452"/>
      <c r="F17" s="452"/>
      <c r="G17" s="452"/>
      <c r="H17" s="452"/>
      <c r="I17" s="452"/>
      <c r="J17" s="452"/>
      <c r="K17" s="452"/>
      <c r="L17" s="452"/>
      <c r="M17" s="452"/>
      <c r="N17" s="452"/>
      <c r="O17" s="452"/>
      <c r="P17" s="452"/>
      <c r="Q17" s="452"/>
      <c r="R17" s="453"/>
      <c r="S17" s="249"/>
      <c r="T17" s="607"/>
      <c r="U17" s="607"/>
    </row>
    <row r="18" spans="1:29" ht="13.7" thickTop="1" thickBot="1" x14ac:dyDescent="0.45">
      <c r="A18" s="241"/>
      <c r="B18" s="253"/>
      <c r="C18" s="254"/>
      <c r="D18" s="254"/>
      <c r="E18" s="254"/>
      <c r="F18" s="254"/>
      <c r="G18" s="254"/>
      <c r="H18" s="254"/>
      <c r="I18" s="254"/>
      <c r="J18" s="254"/>
      <c r="K18" s="254"/>
      <c r="L18" s="254"/>
      <c r="M18" s="254"/>
      <c r="N18" s="254"/>
      <c r="O18" s="254"/>
      <c r="P18" s="254"/>
      <c r="Q18" s="254"/>
      <c r="R18" s="254"/>
      <c r="S18" s="249"/>
      <c r="T18" s="607"/>
      <c r="U18" s="607"/>
    </row>
    <row r="19" spans="1:29" ht="24" thickTop="1" thickBot="1" x14ac:dyDescent="0.45">
      <c r="A19" s="241"/>
      <c r="B19" s="253"/>
      <c r="C19" s="1038" t="s">
        <v>574</v>
      </c>
      <c r="D19" s="1039"/>
      <c r="E19" s="1039"/>
      <c r="F19" s="1039"/>
      <c r="G19" s="1039"/>
      <c r="H19" s="1039"/>
      <c r="I19" s="1039"/>
      <c r="J19" s="1039"/>
      <c r="K19" s="1039"/>
      <c r="L19" s="1039"/>
      <c r="M19" s="1039"/>
      <c r="N19" s="1039"/>
      <c r="O19" s="1039"/>
      <c r="P19" s="1039"/>
      <c r="Q19" s="1039"/>
      <c r="R19" s="1040"/>
      <c r="S19" s="245"/>
      <c r="T19" s="607"/>
      <c r="U19" s="607"/>
    </row>
    <row r="20" spans="1:29" ht="13.7" thickTop="1" thickBot="1" x14ac:dyDescent="0.45">
      <c r="A20" s="241"/>
      <c r="B20" s="253"/>
      <c r="C20" s="446"/>
      <c r="D20" s="254"/>
      <c r="E20" s="254"/>
      <c r="F20" s="254"/>
      <c r="G20" s="254"/>
      <c r="H20" s="254"/>
      <c r="I20" s="254"/>
      <c r="J20" s="254"/>
      <c r="K20" s="254"/>
      <c r="L20" s="254"/>
      <c r="M20" s="254"/>
      <c r="N20" s="254"/>
      <c r="O20" s="254"/>
      <c r="P20" s="254"/>
      <c r="Q20" s="254"/>
      <c r="R20" s="447"/>
      <c r="S20" s="249"/>
      <c r="T20" s="607"/>
      <c r="U20" s="607"/>
    </row>
    <row r="21" spans="1:29" s="79" customFormat="1" ht="30" customHeight="1" x14ac:dyDescent="0.4">
      <c r="A21" s="322"/>
      <c r="B21" s="323"/>
      <c r="C21" s="454"/>
      <c r="D21" s="458">
        <v>2</v>
      </c>
      <c r="E21" s="1035" t="s">
        <v>600</v>
      </c>
      <c r="F21" s="1035"/>
      <c r="G21" s="1035"/>
      <c r="H21" s="1035"/>
      <c r="I21" s="1035"/>
      <c r="J21" s="1035"/>
      <c r="K21" s="1035"/>
      <c r="L21" s="459"/>
      <c r="M21" s="1036"/>
      <c r="N21" s="1036"/>
      <c r="O21" s="1036"/>
      <c r="P21" s="1036"/>
      <c r="Q21" s="1037"/>
      <c r="R21" s="455"/>
      <c r="S21" s="324"/>
      <c r="T21" s="619"/>
      <c r="U21" s="619"/>
      <c r="V21" s="620"/>
      <c r="W21" s="620"/>
      <c r="X21" s="620"/>
      <c r="Y21" s="620"/>
      <c r="Z21" s="620"/>
      <c r="AA21" s="620"/>
      <c r="AB21" s="620"/>
      <c r="AC21" s="621"/>
    </row>
    <row r="22" spans="1:29" ht="30" customHeight="1" x14ac:dyDescent="0.4">
      <c r="A22" s="241"/>
      <c r="B22" s="253"/>
      <c r="C22" s="446"/>
      <c r="D22" s="460">
        <v>3</v>
      </c>
      <c r="E22" s="1031" t="s">
        <v>419</v>
      </c>
      <c r="F22" s="1031"/>
      <c r="G22" s="1031"/>
      <c r="H22" s="1031"/>
      <c r="I22" s="1031"/>
      <c r="J22" s="1031"/>
      <c r="K22" s="1031"/>
      <c r="L22" s="461"/>
      <c r="M22" s="1023"/>
      <c r="N22" s="1023"/>
      <c r="O22" s="1023"/>
      <c r="P22" s="1023"/>
      <c r="Q22" s="1024"/>
      <c r="R22" s="447"/>
      <c r="S22" s="249"/>
      <c r="T22" s="607"/>
      <c r="U22" s="607"/>
    </row>
    <row r="23" spans="1:29" ht="30" customHeight="1" x14ac:dyDescent="0.4">
      <c r="A23" s="241"/>
      <c r="B23" s="253"/>
      <c r="C23" s="446"/>
      <c r="D23" s="460">
        <v>4</v>
      </c>
      <c r="E23" s="1031" t="s">
        <v>420</v>
      </c>
      <c r="F23" s="1031"/>
      <c r="G23" s="1031"/>
      <c r="H23" s="1031"/>
      <c r="I23" s="1031"/>
      <c r="J23" s="1031"/>
      <c r="K23" s="1031"/>
      <c r="L23" s="461"/>
      <c r="M23" s="1023"/>
      <c r="N23" s="1023"/>
      <c r="O23" s="1023"/>
      <c r="P23" s="1023"/>
      <c r="Q23" s="1024"/>
      <c r="R23" s="447"/>
      <c r="S23" s="249"/>
      <c r="T23" s="607"/>
      <c r="U23" s="607"/>
    </row>
    <row r="24" spans="1:29" ht="30" customHeight="1" x14ac:dyDescent="0.4">
      <c r="A24" s="241"/>
      <c r="B24" s="253"/>
      <c r="C24" s="446"/>
      <c r="D24" s="460">
        <v>5</v>
      </c>
      <c r="E24" s="1031" t="s">
        <v>421</v>
      </c>
      <c r="F24" s="1031"/>
      <c r="G24" s="1031"/>
      <c r="H24" s="1031"/>
      <c r="I24" s="1031"/>
      <c r="J24" s="1031"/>
      <c r="K24" s="1031"/>
      <c r="L24" s="461"/>
      <c r="M24" s="1023"/>
      <c r="N24" s="1023"/>
      <c r="O24" s="1023"/>
      <c r="P24" s="1023"/>
      <c r="Q24" s="1024"/>
      <c r="R24" s="447"/>
      <c r="S24" s="249"/>
      <c r="T24" s="607"/>
      <c r="U24" s="607"/>
    </row>
    <row r="25" spans="1:29" ht="30" customHeight="1" x14ac:dyDescent="0.4">
      <c r="A25" s="241"/>
      <c r="B25" s="253"/>
      <c r="C25" s="446"/>
      <c r="D25" s="460">
        <v>6</v>
      </c>
      <c r="E25" s="1031" t="s">
        <v>422</v>
      </c>
      <c r="F25" s="1031"/>
      <c r="G25" s="1031"/>
      <c r="H25" s="1031"/>
      <c r="I25" s="1031"/>
      <c r="J25" s="1031"/>
      <c r="K25" s="1031"/>
      <c r="L25" s="461"/>
      <c r="M25" s="1023"/>
      <c r="N25" s="1023"/>
      <c r="O25" s="1023"/>
      <c r="P25" s="1023"/>
      <c r="Q25" s="1024"/>
      <c r="R25" s="447"/>
      <c r="S25" s="249"/>
      <c r="T25" s="607"/>
      <c r="U25" s="607"/>
    </row>
    <row r="26" spans="1:29" ht="30" customHeight="1" x14ac:dyDescent="0.4">
      <c r="A26" s="241"/>
      <c r="B26" s="253"/>
      <c r="C26" s="446"/>
      <c r="D26" s="460">
        <v>7</v>
      </c>
      <c r="E26" s="1031" t="s">
        <v>423</v>
      </c>
      <c r="F26" s="1031"/>
      <c r="G26" s="1031"/>
      <c r="H26" s="1031"/>
      <c r="I26" s="1031"/>
      <c r="J26" s="1031"/>
      <c r="K26" s="1031"/>
      <c r="L26" s="461"/>
      <c r="M26" s="1023"/>
      <c r="N26" s="1023"/>
      <c r="O26" s="1023"/>
      <c r="P26" s="1023"/>
      <c r="Q26" s="1024"/>
      <c r="R26" s="447"/>
      <c r="S26" s="249"/>
      <c r="T26" s="607"/>
      <c r="U26" s="607"/>
    </row>
    <row r="27" spans="1:29" ht="30" customHeight="1" x14ac:dyDescent="0.4">
      <c r="A27" s="241"/>
      <c r="B27" s="253"/>
      <c r="C27" s="446"/>
      <c r="D27" s="460">
        <v>8</v>
      </c>
      <c r="E27" s="1031" t="s">
        <v>424</v>
      </c>
      <c r="F27" s="1031"/>
      <c r="G27" s="1031"/>
      <c r="H27" s="1031"/>
      <c r="I27" s="1031"/>
      <c r="J27" s="1031"/>
      <c r="K27" s="1031"/>
      <c r="L27" s="461"/>
      <c r="M27" s="1023"/>
      <c r="N27" s="1023"/>
      <c r="O27" s="1023"/>
      <c r="P27" s="1023"/>
      <c r="Q27" s="1024"/>
      <c r="R27" s="447"/>
      <c r="S27" s="249"/>
      <c r="T27" s="607"/>
      <c r="U27" s="607"/>
    </row>
    <row r="28" spans="1:29" ht="30" customHeight="1" thickBot="1" x14ac:dyDescent="0.45">
      <c r="A28" s="241"/>
      <c r="B28" s="253"/>
      <c r="C28" s="446"/>
      <c r="D28" s="462">
        <v>9</v>
      </c>
      <c r="E28" s="1025" t="s">
        <v>425</v>
      </c>
      <c r="F28" s="1025"/>
      <c r="G28" s="1025"/>
      <c r="H28" s="1025"/>
      <c r="I28" s="1025"/>
      <c r="J28" s="1025"/>
      <c r="K28" s="1025"/>
      <c r="L28" s="463"/>
      <c r="M28" s="1026"/>
      <c r="N28" s="1026"/>
      <c r="O28" s="1026"/>
      <c r="P28" s="1026"/>
      <c r="Q28" s="1027"/>
      <c r="R28" s="447"/>
      <c r="S28" s="249"/>
      <c r="T28" s="607"/>
      <c r="U28" s="607"/>
    </row>
    <row r="29" spans="1:29" ht="30" customHeight="1" thickBot="1" x14ac:dyDescent="0.45">
      <c r="A29" s="241"/>
      <c r="B29" s="253"/>
      <c r="C29" s="446"/>
      <c r="D29" s="464"/>
      <c r="E29" s="1032" t="s">
        <v>426</v>
      </c>
      <c r="F29" s="1032"/>
      <c r="G29" s="1032"/>
      <c r="H29" s="1032"/>
      <c r="I29" s="1032"/>
      <c r="J29" s="1032"/>
      <c r="K29" s="1032"/>
      <c r="L29" s="465"/>
      <c r="M29" s="1033"/>
      <c r="N29" s="1033"/>
      <c r="O29" s="1033"/>
      <c r="P29" s="1033"/>
      <c r="Q29" s="1034"/>
      <c r="R29" s="447"/>
      <c r="S29" s="249"/>
      <c r="T29" s="607"/>
      <c r="U29" s="607"/>
    </row>
    <row r="30" spans="1:29" ht="13" x14ac:dyDescent="0.4">
      <c r="A30" s="241"/>
      <c r="B30" s="253"/>
      <c r="C30" s="446"/>
      <c r="D30" s="254"/>
      <c r="E30" s="254"/>
      <c r="F30" s="254"/>
      <c r="G30" s="254"/>
      <c r="H30" s="254"/>
      <c r="I30" s="254"/>
      <c r="J30" s="254"/>
      <c r="K30" s="254"/>
      <c r="L30" s="254"/>
      <c r="M30" s="254"/>
      <c r="N30" s="254"/>
      <c r="O30" s="254"/>
      <c r="P30" s="254"/>
      <c r="Q30" s="254"/>
      <c r="R30" s="447"/>
      <c r="S30" s="249"/>
      <c r="T30" s="607"/>
      <c r="U30" s="607"/>
    </row>
    <row r="31" spans="1:29" ht="16" thickBot="1" x14ac:dyDescent="0.45">
      <c r="A31" s="241"/>
      <c r="B31" s="253"/>
      <c r="C31" s="446"/>
      <c r="D31" s="449" t="s">
        <v>351</v>
      </c>
      <c r="E31" s="254"/>
      <c r="F31" s="254"/>
      <c r="G31" s="254"/>
      <c r="H31" s="254"/>
      <c r="I31" s="254"/>
      <c r="J31" s="254"/>
      <c r="K31" s="254"/>
      <c r="L31" s="254"/>
      <c r="M31" s="254"/>
      <c r="N31" s="254"/>
      <c r="O31" s="254"/>
      <c r="P31" s="254"/>
      <c r="Q31" s="254"/>
      <c r="R31" s="447"/>
      <c r="S31" s="249"/>
      <c r="T31" s="607"/>
      <c r="U31" s="607"/>
    </row>
    <row r="32" spans="1:29" ht="53.85" customHeight="1" thickBot="1" x14ac:dyDescent="0.45">
      <c r="A32" s="241"/>
      <c r="B32" s="253"/>
      <c r="C32" s="446"/>
      <c r="D32" s="1028"/>
      <c r="E32" s="1029"/>
      <c r="F32" s="1029"/>
      <c r="G32" s="1029"/>
      <c r="H32" s="1029"/>
      <c r="I32" s="1029"/>
      <c r="J32" s="1029"/>
      <c r="K32" s="1029"/>
      <c r="L32" s="1029"/>
      <c r="M32" s="1029"/>
      <c r="N32" s="1029"/>
      <c r="O32" s="1029"/>
      <c r="P32" s="1029"/>
      <c r="Q32" s="1030"/>
      <c r="R32" s="447"/>
      <c r="S32" s="249"/>
      <c r="T32" s="607"/>
      <c r="U32" s="607"/>
    </row>
    <row r="33" spans="1:21" ht="13.35" thickBot="1" x14ac:dyDescent="0.45">
      <c r="A33" s="241"/>
      <c r="B33" s="253"/>
      <c r="C33" s="451"/>
      <c r="D33" s="452"/>
      <c r="E33" s="452"/>
      <c r="F33" s="452"/>
      <c r="G33" s="452"/>
      <c r="H33" s="452"/>
      <c r="I33" s="452"/>
      <c r="J33" s="452"/>
      <c r="K33" s="452"/>
      <c r="L33" s="452"/>
      <c r="M33" s="452"/>
      <c r="N33" s="452"/>
      <c r="O33" s="452"/>
      <c r="P33" s="452"/>
      <c r="Q33" s="452"/>
      <c r="R33" s="453"/>
      <c r="S33" s="249"/>
      <c r="T33" s="607"/>
      <c r="U33" s="607"/>
    </row>
    <row r="34" spans="1:21" ht="13.35" thickTop="1" x14ac:dyDescent="0.4">
      <c r="A34" s="241"/>
      <c r="B34" s="253"/>
      <c r="C34" s="254"/>
      <c r="D34" s="254"/>
      <c r="E34" s="254"/>
      <c r="F34" s="254"/>
      <c r="G34" s="254"/>
      <c r="H34" s="254"/>
      <c r="I34" s="254"/>
      <c r="J34" s="254"/>
      <c r="K34" s="254"/>
      <c r="L34" s="254"/>
      <c r="M34" s="254"/>
      <c r="N34" s="254"/>
      <c r="O34" s="254"/>
      <c r="P34" s="254"/>
      <c r="Q34" s="254"/>
      <c r="R34" s="254"/>
      <c r="S34" s="249"/>
      <c r="T34" s="607"/>
      <c r="U34" s="607"/>
    </row>
    <row r="35" spans="1:21" ht="13" x14ac:dyDescent="0.4">
      <c r="A35" s="241"/>
      <c r="B35" s="246"/>
      <c r="C35" s="247"/>
      <c r="D35" s="247"/>
      <c r="E35" s="247"/>
      <c r="F35" s="247"/>
      <c r="G35" s="247"/>
      <c r="H35" s="247"/>
      <c r="I35" s="247"/>
      <c r="J35" s="247"/>
      <c r="K35" s="247"/>
      <c r="L35" s="247"/>
      <c r="M35" s="247"/>
      <c r="N35" s="247"/>
      <c r="O35" s="247"/>
      <c r="P35" s="247"/>
      <c r="Q35" s="247"/>
      <c r="R35" s="247"/>
      <c r="S35" s="248"/>
      <c r="T35" s="607"/>
      <c r="U35" s="607"/>
    </row>
    <row r="36" spans="1:21" ht="13" x14ac:dyDescent="0.4">
      <c r="A36" s="241"/>
      <c r="B36" s="241"/>
      <c r="C36" s="241"/>
      <c r="D36" s="241"/>
      <c r="E36" s="241"/>
      <c r="F36" s="241"/>
      <c r="G36" s="241"/>
      <c r="H36" s="241"/>
      <c r="I36" s="241"/>
      <c r="J36" s="241"/>
      <c r="K36" s="241"/>
      <c r="L36" s="241"/>
      <c r="M36" s="241"/>
      <c r="N36" s="241"/>
      <c r="O36" s="241"/>
      <c r="P36" s="241"/>
      <c r="Q36" s="241"/>
      <c r="R36" s="241"/>
      <c r="S36" s="241"/>
      <c r="T36" s="607"/>
      <c r="U36" s="607"/>
    </row>
    <row r="37" spans="1:21" ht="13" x14ac:dyDescent="0.4">
      <c r="A37" s="241"/>
      <c r="B37" s="241"/>
      <c r="C37" s="241"/>
      <c r="D37" s="241"/>
      <c r="E37" s="241"/>
      <c r="F37" s="241"/>
      <c r="G37" s="241"/>
      <c r="H37" s="241"/>
      <c r="I37" s="241"/>
      <c r="J37" s="241"/>
      <c r="K37" s="241"/>
      <c r="L37" s="241"/>
      <c r="M37" s="241"/>
      <c r="N37" s="241"/>
      <c r="O37" s="241"/>
      <c r="P37" s="241"/>
      <c r="Q37" s="241"/>
      <c r="R37" s="241"/>
      <c r="S37" s="241"/>
      <c r="T37" s="607"/>
      <c r="U37" s="607"/>
    </row>
    <row r="38" spans="1:21" ht="13" x14ac:dyDescent="0.4">
      <c r="A38" s="241"/>
      <c r="B38" s="241"/>
      <c r="C38" s="241"/>
      <c r="D38" s="241"/>
      <c r="E38" s="241"/>
      <c r="F38" s="241"/>
      <c r="G38" s="241"/>
      <c r="H38" s="241"/>
      <c r="I38" s="241"/>
      <c r="J38" s="241"/>
      <c r="K38" s="241"/>
      <c r="L38" s="241"/>
      <c r="M38" s="241"/>
      <c r="N38" s="241"/>
      <c r="O38" s="241"/>
      <c r="P38" s="241"/>
      <c r="Q38" s="241"/>
      <c r="R38" s="241"/>
      <c r="S38" s="241"/>
      <c r="T38" s="607"/>
      <c r="U38" s="607"/>
    </row>
    <row r="39" spans="1:21" ht="13" x14ac:dyDescent="0.4">
      <c r="A39" s="241"/>
      <c r="B39" s="241"/>
      <c r="C39" s="241"/>
      <c r="D39" s="241"/>
      <c r="E39" s="241"/>
      <c r="F39" s="241"/>
      <c r="G39" s="241"/>
      <c r="H39" s="241"/>
      <c r="I39" s="241"/>
      <c r="J39" s="241"/>
      <c r="K39" s="241"/>
      <c r="L39" s="241"/>
      <c r="M39" s="241"/>
      <c r="N39" s="241"/>
      <c r="O39" s="241"/>
      <c r="P39" s="241"/>
      <c r="Q39" s="241"/>
      <c r="R39" s="241"/>
      <c r="S39" s="241"/>
      <c r="T39" s="607"/>
      <c r="U39" s="607"/>
    </row>
    <row r="40" spans="1:21" ht="13" x14ac:dyDescent="0.4">
      <c r="A40" s="241"/>
      <c r="B40" s="241"/>
      <c r="C40" s="241"/>
      <c r="D40" s="241"/>
      <c r="E40" s="241"/>
      <c r="F40" s="241"/>
      <c r="G40" s="241"/>
      <c r="H40" s="241"/>
      <c r="I40" s="241"/>
      <c r="J40" s="241"/>
      <c r="K40" s="241"/>
      <c r="L40" s="241"/>
      <c r="M40" s="241"/>
      <c r="N40" s="241"/>
      <c r="O40" s="241"/>
      <c r="P40" s="241"/>
      <c r="Q40" s="241"/>
      <c r="R40" s="241"/>
      <c r="S40" s="241"/>
      <c r="T40" s="607"/>
      <c r="U40" s="607"/>
    </row>
    <row r="41" spans="1:21" ht="13" x14ac:dyDescent="0.4">
      <c r="A41" s="241"/>
      <c r="B41" s="241"/>
      <c r="C41" s="241"/>
      <c r="D41" s="241"/>
      <c r="E41" s="241"/>
      <c r="F41" s="241"/>
      <c r="G41" s="241"/>
      <c r="H41" s="241"/>
      <c r="I41" s="241"/>
      <c r="J41" s="241"/>
      <c r="K41" s="241"/>
      <c r="L41" s="241"/>
      <c r="M41" s="241"/>
      <c r="N41" s="241"/>
      <c r="O41" s="241"/>
      <c r="P41" s="241"/>
      <c r="Q41" s="241"/>
      <c r="R41" s="241"/>
      <c r="S41" s="241"/>
      <c r="T41" s="607"/>
      <c r="U41" s="607"/>
    </row>
    <row r="42" spans="1:21" ht="13" x14ac:dyDescent="0.4">
      <c r="A42" s="241"/>
      <c r="B42" s="241"/>
      <c r="C42" s="241"/>
      <c r="D42" s="241"/>
      <c r="E42" s="241"/>
      <c r="F42" s="241"/>
      <c r="G42" s="241"/>
      <c r="H42" s="241"/>
      <c r="I42" s="241"/>
      <c r="J42" s="241"/>
      <c r="K42" s="241"/>
      <c r="L42" s="241"/>
      <c r="M42" s="241"/>
      <c r="N42" s="241"/>
      <c r="O42" s="241"/>
      <c r="P42" s="241"/>
      <c r="Q42" s="241"/>
      <c r="R42" s="241"/>
      <c r="S42" s="241"/>
      <c r="T42" s="607"/>
      <c r="U42" s="607"/>
    </row>
    <row r="43" spans="1:21" ht="13" x14ac:dyDescent="0.4">
      <c r="A43" s="241"/>
      <c r="B43" s="241"/>
      <c r="C43" s="241"/>
      <c r="D43" s="241"/>
      <c r="E43" s="241"/>
      <c r="F43" s="241"/>
      <c r="G43" s="241"/>
      <c r="H43" s="241"/>
      <c r="I43" s="241"/>
      <c r="J43" s="241"/>
      <c r="K43" s="241"/>
      <c r="L43" s="241"/>
      <c r="M43" s="241"/>
      <c r="N43" s="241"/>
      <c r="O43" s="241"/>
      <c r="P43" s="241"/>
      <c r="Q43" s="241"/>
      <c r="R43" s="241"/>
      <c r="S43" s="241"/>
      <c r="T43" s="607"/>
      <c r="U43" s="607"/>
    </row>
    <row r="44" spans="1:21" ht="13" x14ac:dyDescent="0.4">
      <c r="A44" s="241"/>
      <c r="B44" s="241"/>
      <c r="C44" s="241"/>
      <c r="D44" s="241"/>
      <c r="E44" s="241"/>
      <c r="F44" s="241"/>
      <c r="G44" s="241"/>
      <c r="H44" s="241"/>
      <c r="I44" s="241"/>
      <c r="J44" s="241"/>
      <c r="K44" s="241"/>
      <c r="L44" s="241"/>
      <c r="M44" s="241"/>
      <c r="N44" s="241"/>
      <c r="O44" s="241"/>
      <c r="P44" s="241"/>
      <c r="Q44" s="241"/>
      <c r="R44" s="241"/>
      <c r="S44" s="241"/>
      <c r="T44" s="607"/>
      <c r="U44" s="607"/>
    </row>
    <row r="45" spans="1:21" ht="13" x14ac:dyDescent="0.4">
      <c r="A45" s="241"/>
      <c r="B45" s="241"/>
      <c r="C45" s="241"/>
      <c r="D45" s="241"/>
      <c r="E45" s="241"/>
      <c r="F45" s="241"/>
      <c r="G45" s="241"/>
      <c r="H45" s="241"/>
      <c r="I45" s="241"/>
      <c r="J45" s="241"/>
      <c r="K45" s="241"/>
      <c r="L45" s="241"/>
      <c r="M45" s="241"/>
      <c r="N45" s="241"/>
      <c r="O45" s="241"/>
      <c r="P45" s="241"/>
      <c r="Q45" s="241"/>
      <c r="R45" s="241"/>
      <c r="S45" s="241"/>
      <c r="T45" s="607"/>
      <c r="U45" s="607"/>
    </row>
    <row r="46" spans="1:21" ht="13" x14ac:dyDescent="0.4">
      <c r="A46" s="241"/>
      <c r="B46" s="241"/>
      <c r="C46" s="241"/>
      <c r="D46" s="241"/>
      <c r="E46" s="241"/>
      <c r="F46" s="241"/>
      <c r="G46" s="241"/>
      <c r="H46" s="241"/>
      <c r="I46" s="241"/>
      <c r="J46" s="241"/>
      <c r="K46" s="241"/>
      <c r="L46" s="241"/>
      <c r="M46" s="241"/>
      <c r="N46" s="241"/>
      <c r="O46" s="241"/>
      <c r="P46" s="241"/>
      <c r="Q46" s="241"/>
      <c r="R46" s="241"/>
      <c r="S46" s="241"/>
      <c r="T46" s="607"/>
      <c r="U46" s="607"/>
    </row>
    <row r="47" spans="1:21" ht="13" x14ac:dyDescent="0.4">
      <c r="A47" s="241"/>
      <c r="B47" s="241"/>
      <c r="C47" s="241"/>
      <c r="D47" s="241"/>
      <c r="E47" s="241"/>
      <c r="F47" s="241"/>
      <c r="G47" s="241"/>
      <c r="H47" s="241"/>
      <c r="I47" s="241"/>
      <c r="J47" s="241"/>
      <c r="K47" s="241"/>
      <c r="L47" s="241"/>
      <c r="M47" s="241"/>
      <c r="N47" s="241"/>
      <c r="O47" s="241"/>
      <c r="P47" s="241"/>
      <c r="Q47" s="241"/>
      <c r="R47" s="241"/>
      <c r="S47" s="241"/>
      <c r="T47" s="607"/>
      <c r="U47" s="607"/>
    </row>
    <row r="48" spans="1:21" ht="13" x14ac:dyDescent="0.4">
      <c r="A48" s="241"/>
      <c r="B48" s="241"/>
      <c r="C48" s="241"/>
      <c r="D48" s="241"/>
      <c r="E48" s="241"/>
      <c r="F48" s="241"/>
      <c r="G48" s="241"/>
      <c r="H48" s="241"/>
      <c r="I48" s="241"/>
      <c r="J48" s="241"/>
      <c r="K48" s="241"/>
      <c r="L48" s="241"/>
      <c r="M48" s="241"/>
      <c r="N48" s="241"/>
      <c r="O48" s="241"/>
      <c r="P48" s="241"/>
      <c r="Q48" s="241"/>
      <c r="R48" s="241"/>
      <c r="S48" s="241"/>
      <c r="T48" s="607"/>
      <c r="U48" s="607"/>
    </row>
    <row r="49" spans="1:21" ht="13" x14ac:dyDescent="0.4">
      <c r="A49" s="241"/>
      <c r="B49" s="241"/>
      <c r="C49" s="241"/>
      <c r="D49" s="241"/>
      <c r="E49" s="241"/>
      <c r="F49" s="241"/>
      <c r="G49" s="241"/>
      <c r="H49" s="241"/>
      <c r="I49" s="241"/>
      <c r="J49" s="241"/>
      <c r="K49" s="241"/>
      <c r="L49" s="241"/>
      <c r="M49" s="241"/>
      <c r="N49" s="241"/>
      <c r="O49" s="241"/>
      <c r="P49" s="241"/>
      <c r="Q49" s="241"/>
      <c r="R49" s="241"/>
      <c r="S49" s="241"/>
      <c r="T49" s="607"/>
      <c r="U49" s="607"/>
    </row>
    <row r="50" spans="1:21" ht="13" x14ac:dyDescent="0.4">
      <c r="A50" s="241"/>
      <c r="B50" s="241"/>
      <c r="C50" s="241"/>
      <c r="D50" s="241"/>
      <c r="E50" s="241"/>
      <c r="F50" s="241"/>
      <c r="G50" s="241"/>
      <c r="H50" s="241"/>
      <c r="I50" s="241"/>
      <c r="J50" s="241"/>
      <c r="K50" s="241"/>
      <c r="L50" s="241"/>
      <c r="M50" s="241"/>
      <c r="N50" s="241"/>
      <c r="O50" s="241"/>
      <c r="P50" s="241"/>
      <c r="Q50" s="241"/>
      <c r="R50" s="241"/>
      <c r="S50" s="241"/>
      <c r="T50" s="607"/>
      <c r="U50" s="607"/>
    </row>
    <row r="51" spans="1:21" ht="13" x14ac:dyDescent="0.4">
      <c r="A51" s="241"/>
      <c r="B51" s="241"/>
      <c r="C51" s="241"/>
      <c r="D51" s="241"/>
      <c r="E51" s="241"/>
      <c r="F51" s="241"/>
      <c r="G51" s="241"/>
      <c r="H51" s="241"/>
      <c r="I51" s="241"/>
      <c r="J51" s="241"/>
      <c r="K51" s="241"/>
      <c r="L51" s="241"/>
      <c r="M51" s="241"/>
      <c r="N51" s="241"/>
      <c r="O51" s="241"/>
      <c r="P51" s="241"/>
      <c r="Q51" s="241"/>
      <c r="R51" s="241"/>
      <c r="S51" s="241"/>
      <c r="T51" s="607"/>
      <c r="U51" s="607"/>
    </row>
    <row r="52" spans="1:21" ht="13" x14ac:dyDescent="0.4">
      <c r="A52" s="241"/>
      <c r="B52" s="241"/>
      <c r="C52" s="241"/>
      <c r="D52" s="241"/>
      <c r="E52" s="241"/>
      <c r="F52" s="241"/>
      <c r="G52" s="241"/>
      <c r="H52" s="241"/>
      <c r="I52" s="241"/>
      <c r="J52" s="241"/>
      <c r="K52" s="241"/>
      <c r="L52" s="241"/>
      <c r="M52" s="241"/>
      <c r="N52" s="241"/>
      <c r="O52" s="241"/>
      <c r="P52" s="241"/>
      <c r="Q52" s="241"/>
      <c r="R52" s="241"/>
      <c r="S52" s="241"/>
      <c r="T52" s="607"/>
      <c r="U52" s="607"/>
    </row>
    <row r="53" spans="1:21" ht="13" x14ac:dyDescent="0.4">
      <c r="A53" s="241"/>
      <c r="B53" s="241"/>
      <c r="C53" s="241"/>
      <c r="D53" s="241"/>
      <c r="E53" s="241"/>
      <c r="F53" s="241"/>
      <c r="G53" s="241"/>
      <c r="H53" s="241"/>
      <c r="I53" s="241"/>
      <c r="J53" s="241"/>
      <c r="K53" s="241"/>
      <c r="L53" s="241"/>
      <c r="M53" s="241"/>
      <c r="N53" s="241"/>
      <c r="O53" s="241"/>
      <c r="P53" s="241"/>
      <c r="Q53" s="241"/>
      <c r="R53" s="241"/>
      <c r="S53" s="241"/>
      <c r="T53" s="607"/>
      <c r="U53" s="607"/>
    </row>
    <row r="54" spans="1:21" ht="13" x14ac:dyDescent="0.4">
      <c r="A54" s="241"/>
      <c r="B54" s="241"/>
      <c r="C54" s="241"/>
      <c r="D54" s="241"/>
      <c r="E54" s="241"/>
      <c r="F54" s="241"/>
      <c r="G54" s="241"/>
      <c r="H54" s="241"/>
      <c r="I54" s="241"/>
      <c r="J54" s="241"/>
      <c r="K54" s="241"/>
      <c r="L54" s="241"/>
      <c r="M54" s="241"/>
      <c r="N54" s="241"/>
      <c r="O54" s="241"/>
      <c r="P54" s="241"/>
      <c r="Q54" s="241"/>
      <c r="R54" s="241"/>
      <c r="S54" s="241"/>
      <c r="T54" s="607"/>
      <c r="U54" s="607"/>
    </row>
    <row r="55" spans="1:21" ht="13" x14ac:dyDescent="0.4">
      <c r="A55" s="241"/>
      <c r="B55" s="241"/>
      <c r="C55" s="241"/>
      <c r="D55" s="241"/>
      <c r="E55" s="241"/>
      <c r="F55" s="241"/>
      <c r="G55" s="241"/>
      <c r="H55" s="241"/>
      <c r="I55" s="241"/>
      <c r="J55" s="241"/>
      <c r="K55" s="241"/>
      <c r="L55" s="241"/>
      <c r="M55" s="241"/>
      <c r="N55" s="241"/>
      <c r="O55" s="241"/>
      <c r="P55" s="241"/>
      <c r="Q55" s="241"/>
      <c r="R55" s="241"/>
      <c r="S55" s="241"/>
      <c r="T55" s="607"/>
      <c r="U55" s="607"/>
    </row>
    <row r="56" spans="1:21" ht="13" x14ac:dyDescent="0.4">
      <c r="A56" s="241"/>
      <c r="B56" s="241"/>
      <c r="C56" s="241"/>
      <c r="D56" s="241"/>
      <c r="E56" s="241"/>
      <c r="F56" s="241"/>
      <c r="G56" s="241"/>
      <c r="H56" s="241"/>
      <c r="I56" s="241"/>
      <c r="J56" s="241"/>
      <c r="K56" s="241"/>
      <c r="L56" s="241"/>
      <c r="M56" s="241"/>
      <c r="N56" s="241"/>
      <c r="O56" s="241"/>
      <c r="P56" s="241"/>
      <c r="Q56" s="241"/>
      <c r="R56" s="241"/>
      <c r="S56" s="241"/>
      <c r="T56" s="607"/>
      <c r="U56" s="607"/>
    </row>
    <row r="57" spans="1:21" ht="13" x14ac:dyDescent="0.4">
      <c r="A57" s="241"/>
      <c r="B57" s="241"/>
      <c r="C57" s="241"/>
      <c r="D57" s="241"/>
      <c r="E57" s="241"/>
      <c r="F57" s="241"/>
      <c r="G57" s="241"/>
      <c r="H57" s="241"/>
      <c r="I57" s="241"/>
      <c r="J57" s="241"/>
      <c r="K57" s="241"/>
      <c r="L57" s="241"/>
      <c r="M57" s="241"/>
      <c r="N57" s="241"/>
      <c r="O57" s="241"/>
      <c r="P57" s="241"/>
      <c r="Q57" s="241"/>
      <c r="R57" s="241"/>
      <c r="S57" s="241"/>
      <c r="T57" s="607"/>
      <c r="U57" s="607"/>
    </row>
    <row r="58" spans="1:21" ht="13" x14ac:dyDescent="0.4">
      <c r="A58" s="241"/>
      <c r="B58" s="241"/>
      <c r="C58" s="241"/>
      <c r="D58" s="241"/>
      <c r="E58" s="241"/>
      <c r="F58" s="241"/>
      <c r="G58" s="241"/>
      <c r="H58" s="241"/>
      <c r="I58" s="241"/>
      <c r="J58" s="241"/>
      <c r="K58" s="241"/>
      <c r="L58" s="241"/>
      <c r="M58" s="241"/>
      <c r="N58" s="241"/>
      <c r="O58" s="241"/>
      <c r="P58" s="241"/>
      <c r="Q58" s="241"/>
      <c r="R58" s="241"/>
      <c r="S58" s="241"/>
      <c r="T58" s="607"/>
      <c r="U58" s="607"/>
    </row>
    <row r="59" spans="1:21" ht="13" x14ac:dyDescent="0.4">
      <c r="A59" s="241"/>
      <c r="B59" s="241"/>
      <c r="C59" s="241"/>
      <c r="D59" s="241"/>
      <c r="E59" s="241"/>
      <c r="F59" s="241"/>
      <c r="G59" s="241"/>
      <c r="H59" s="241"/>
      <c r="I59" s="241"/>
      <c r="J59" s="241"/>
      <c r="K59" s="241"/>
      <c r="L59" s="241"/>
      <c r="M59" s="241"/>
      <c r="N59" s="241"/>
      <c r="O59" s="241"/>
      <c r="P59" s="241"/>
      <c r="Q59" s="241"/>
      <c r="R59" s="241"/>
      <c r="S59" s="241"/>
      <c r="T59" s="607"/>
      <c r="U59" s="607"/>
    </row>
    <row r="60" spans="1:21" ht="13" x14ac:dyDescent="0.4">
      <c r="A60" s="241"/>
      <c r="B60" s="241"/>
      <c r="C60" s="241"/>
      <c r="D60" s="241"/>
      <c r="E60" s="241"/>
      <c r="F60" s="241"/>
      <c r="G60" s="241"/>
      <c r="H60" s="241"/>
      <c r="I60" s="241"/>
      <c r="J60" s="241"/>
      <c r="K60" s="241"/>
      <c r="L60" s="241"/>
      <c r="M60" s="241"/>
      <c r="N60" s="241"/>
      <c r="O60" s="241"/>
      <c r="P60" s="241"/>
      <c r="Q60" s="241"/>
      <c r="R60" s="241"/>
      <c r="S60" s="241"/>
      <c r="T60" s="607"/>
      <c r="U60" s="607"/>
    </row>
    <row r="61" spans="1:21" ht="13" x14ac:dyDescent="0.4">
      <c r="A61" s="241"/>
      <c r="B61" s="241"/>
      <c r="C61" s="241"/>
      <c r="D61" s="241"/>
      <c r="E61" s="241"/>
      <c r="F61" s="241"/>
      <c r="G61" s="241"/>
      <c r="H61" s="241"/>
      <c r="I61" s="241"/>
      <c r="J61" s="241"/>
      <c r="K61" s="241"/>
      <c r="L61" s="241"/>
      <c r="M61" s="241"/>
      <c r="N61" s="241"/>
      <c r="O61" s="241"/>
      <c r="P61" s="241"/>
      <c r="Q61" s="241"/>
      <c r="R61" s="241"/>
      <c r="S61" s="241"/>
      <c r="T61" s="607"/>
      <c r="U61" s="607"/>
    </row>
    <row r="62" spans="1:21" ht="13" x14ac:dyDescent="0.4">
      <c r="A62" s="241"/>
      <c r="B62" s="241"/>
      <c r="C62" s="241"/>
      <c r="D62" s="241"/>
      <c r="E62" s="241"/>
      <c r="F62" s="241"/>
      <c r="G62" s="241"/>
      <c r="H62" s="241"/>
      <c r="I62" s="241"/>
      <c r="J62" s="241"/>
      <c r="K62" s="241"/>
      <c r="L62" s="241"/>
      <c r="M62" s="241"/>
      <c r="N62" s="241"/>
      <c r="O62" s="241"/>
      <c r="P62" s="241"/>
      <c r="Q62" s="241"/>
      <c r="R62" s="241"/>
      <c r="S62" s="241"/>
      <c r="T62" s="607"/>
      <c r="U62" s="607"/>
    </row>
    <row r="63" spans="1:21" ht="13" x14ac:dyDescent="0.4">
      <c r="A63" s="241"/>
      <c r="B63" s="241"/>
      <c r="C63" s="241"/>
      <c r="D63" s="241"/>
      <c r="E63" s="241"/>
      <c r="F63" s="241"/>
      <c r="G63" s="241"/>
      <c r="H63" s="241"/>
      <c r="I63" s="241"/>
      <c r="J63" s="241"/>
      <c r="K63" s="241"/>
      <c r="L63" s="241"/>
      <c r="M63" s="241"/>
      <c r="N63" s="241"/>
      <c r="O63" s="241"/>
      <c r="P63" s="241"/>
      <c r="Q63" s="241"/>
      <c r="R63" s="241"/>
      <c r="S63" s="241"/>
      <c r="T63" s="607"/>
      <c r="U63" s="607"/>
    </row>
    <row r="64" spans="1:21" ht="13" x14ac:dyDescent="0.4">
      <c r="A64" s="241"/>
      <c r="B64" s="241"/>
      <c r="C64" s="241"/>
      <c r="D64" s="241"/>
      <c r="E64" s="241"/>
      <c r="F64" s="241"/>
      <c r="G64" s="241"/>
      <c r="H64" s="241"/>
      <c r="I64" s="241"/>
      <c r="J64" s="241"/>
      <c r="K64" s="241"/>
      <c r="L64" s="241"/>
      <c r="M64" s="241"/>
      <c r="N64" s="241"/>
      <c r="O64" s="241"/>
      <c r="P64" s="241"/>
      <c r="Q64" s="241"/>
      <c r="R64" s="241"/>
      <c r="S64" s="241"/>
      <c r="T64" s="607"/>
      <c r="U64" s="607"/>
    </row>
    <row r="65" spans="1:21" ht="13" x14ac:dyDescent="0.4">
      <c r="A65" s="241"/>
      <c r="B65" s="241"/>
      <c r="C65" s="241"/>
      <c r="D65" s="241"/>
      <c r="E65" s="241"/>
      <c r="F65" s="241"/>
      <c r="G65" s="241"/>
      <c r="H65" s="241"/>
      <c r="I65" s="241"/>
      <c r="J65" s="241"/>
      <c r="K65" s="241"/>
      <c r="L65" s="241"/>
      <c r="M65" s="241"/>
      <c r="N65" s="241"/>
      <c r="O65" s="241"/>
      <c r="P65" s="241"/>
      <c r="Q65" s="241"/>
      <c r="R65" s="241"/>
      <c r="S65" s="241"/>
      <c r="T65" s="607"/>
      <c r="U65" s="607"/>
    </row>
    <row r="66" spans="1:21" ht="13" x14ac:dyDescent="0.4">
      <c r="A66" s="241"/>
      <c r="B66" s="241"/>
      <c r="C66" s="241"/>
      <c r="D66" s="241"/>
      <c r="E66" s="241"/>
      <c r="F66" s="241"/>
      <c r="G66" s="241"/>
      <c r="H66" s="241"/>
      <c r="I66" s="241"/>
      <c r="J66" s="241"/>
      <c r="K66" s="241"/>
      <c r="L66" s="241"/>
      <c r="M66" s="241"/>
      <c r="N66" s="241"/>
      <c r="O66" s="241"/>
      <c r="P66" s="241"/>
      <c r="Q66" s="241"/>
      <c r="R66" s="241"/>
      <c r="S66" s="241"/>
      <c r="T66" s="607"/>
      <c r="U66" s="607"/>
    </row>
    <row r="67" spans="1:21" ht="13" x14ac:dyDescent="0.4">
      <c r="A67" s="241"/>
      <c r="B67" s="241"/>
      <c r="C67" s="241"/>
      <c r="D67" s="241"/>
      <c r="E67" s="241"/>
      <c r="F67" s="241"/>
      <c r="G67" s="241"/>
      <c r="H67" s="241"/>
      <c r="I67" s="241"/>
      <c r="J67" s="241"/>
      <c r="K67" s="241"/>
      <c r="L67" s="241"/>
      <c r="M67" s="241"/>
      <c r="N67" s="241"/>
      <c r="O67" s="241"/>
      <c r="P67" s="241"/>
      <c r="Q67" s="241"/>
      <c r="R67" s="241"/>
      <c r="S67" s="241"/>
      <c r="T67" s="607"/>
      <c r="U67" s="607"/>
    </row>
    <row r="68" spans="1:21" ht="13" x14ac:dyDescent="0.4">
      <c r="A68" s="241"/>
      <c r="B68" s="241"/>
      <c r="C68" s="241"/>
      <c r="D68" s="241"/>
      <c r="E68" s="241"/>
      <c r="F68" s="241"/>
      <c r="G68" s="241"/>
      <c r="H68" s="241"/>
      <c r="I68" s="241"/>
      <c r="J68" s="241"/>
      <c r="K68" s="241"/>
      <c r="L68" s="241"/>
      <c r="M68" s="241"/>
      <c r="N68" s="241"/>
      <c r="O68" s="241"/>
      <c r="P68" s="241"/>
      <c r="Q68" s="241"/>
      <c r="R68" s="241"/>
      <c r="S68" s="241"/>
      <c r="T68" s="607"/>
      <c r="U68" s="607"/>
    </row>
    <row r="69" spans="1:21" ht="13" x14ac:dyDescent="0.4">
      <c r="A69" s="241"/>
      <c r="B69" s="241"/>
      <c r="C69" s="241"/>
      <c r="D69" s="241"/>
      <c r="E69" s="241"/>
      <c r="F69" s="241"/>
      <c r="G69" s="241"/>
      <c r="H69" s="241"/>
      <c r="I69" s="241"/>
      <c r="J69" s="241"/>
      <c r="K69" s="241"/>
      <c r="L69" s="241"/>
      <c r="M69" s="241"/>
      <c r="N69" s="241"/>
      <c r="O69" s="241"/>
      <c r="P69" s="241"/>
      <c r="Q69" s="241"/>
      <c r="R69" s="241"/>
      <c r="S69" s="241"/>
      <c r="T69" s="607"/>
      <c r="U69" s="607"/>
    </row>
    <row r="70" spans="1:21" ht="13" x14ac:dyDescent="0.4">
      <c r="A70" s="241"/>
      <c r="B70" s="241"/>
      <c r="C70" s="241"/>
      <c r="D70" s="241"/>
      <c r="E70" s="241"/>
      <c r="F70" s="241"/>
      <c r="G70" s="241"/>
      <c r="H70" s="241"/>
      <c r="I70" s="241"/>
      <c r="J70" s="241"/>
      <c r="K70" s="241"/>
      <c r="L70" s="241"/>
      <c r="M70" s="241"/>
      <c r="N70" s="241"/>
      <c r="O70" s="241"/>
      <c r="P70" s="241"/>
      <c r="Q70" s="241"/>
      <c r="R70" s="241"/>
      <c r="S70" s="241"/>
      <c r="T70" s="607"/>
      <c r="U70" s="607"/>
    </row>
    <row r="71" spans="1:21" ht="13" x14ac:dyDescent="0.4">
      <c r="A71" s="241"/>
      <c r="B71" s="241"/>
      <c r="C71" s="241"/>
      <c r="D71" s="241"/>
      <c r="E71" s="241"/>
      <c r="F71" s="241"/>
      <c r="G71" s="241"/>
      <c r="H71" s="241"/>
      <c r="I71" s="241"/>
      <c r="J71" s="241"/>
      <c r="K71" s="241"/>
      <c r="L71" s="241"/>
      <c r="M71" s="241"/>
      <c r="N71" s="241"/>
      <c r="O71" s="241"/>
      <c r="P71" s="241"/>
      <c r="Q71" s="241"/>
      <c r="R71" s="241"/>
      <c r="S71" s="241"/>
      <c r="T71" s="607"/>
      <c r="U71" s="607"/>
    </row>
    <row r="72" spans="1:21" ht="13" x14ac:dyDescent="0.4">
      <c r="A72" s="241"/>
      <c r="B72" s="241"/>
      <c r="C72" s="241"/>
      <c r="D72" s="241"/>
      <c r="E72" s="241"/>
      <c r="F72" s="241"/>
      <c r="G72" s="241"/>
      <c r="H72" s="241"/>
      <c r="I72" s="241"/>
      <c r="J72" s="241"/>
      <c r="K72" s="241"/>
      <c r="L72" s="241"/>
      <c r="M72" s="241"/>
      <c r="N72" s="241"/>
      <c r="O72" s="241"/>
      <c r="P72" s="241"/>
      <c r="Q72" s="241"/>
      <c r="R72" s="241"/>
      <c r="S72" s="241"/>
      <c r="T72" s="607"/>
      <c r="U72" s="607"/>
    </row>
    <row r="73" spans="1:21" ht="13" x14ac:dyDescent="0.4">
      <c r="A73" s="241"/>
      <c r="B73" s="241"/>
      <c r="C73" s="241"/>
      <c r="D73" s="241"/>
      <c r="E73" s="241"/>
      <c r="F73" s="241"/>
      <c r="G73" s="241"/>
      <c r="H73" s="241"/>
      <c r="I73" s="241"/>
      <c r="J73" s="241"/>
      <c r="K73" s="241"/>
      <c r="L73" s="241"/>
      <c r="M73" s="241"/>
      <c r="N73" s="241"/>
      <c r="O73" s="241"/>
      <c r="P73" s="241"/>
      <c r="Q73" s="241"/>
      <c r="R73" s="241"/>
      <c r="S73" s="241"/>
      <c r="T73" s="607"/>
      <c r="U73" s="607"/>
    </row>
    <row r="74" spans="1:21" ht="13" x14ac:dyDescent="0.4">
      <c r="A74" s="241"/>
      <c r="B74" s="241"/>
      <c r="C74" s="241"/>
      <c r="D74" s="241"/>
      <c r="E74" s="241"/>
      <c r="F74" s="241"/>
      <c r="G74" s="241"/>
      <c r="H74" s="241"/>
      <c r="I74" s="241"/>
      <c r="J74" s="241"/>
      <c r="K74" s="241"/>
      <c r="L74" s="241"/>
      <c r="M74" s="241"/>
      <c r="N74" s="241"/>
      <c r="O74" s="241"/>
      <c r="P74" s="241"/>
      <c r="Q74" s="241"/>
      <c r="R74" s="241"/>
      <c r="S74" s="241"/>
      <c r="T74" s="607"/>
      <c r="U74" s="607"/>
    </row>
    <row r="75" spans="1:21" ht="13" x14ac:dyDescent="0.4">
      <c r="A75" s="241"/>
      <c r="B75" s="241"/>
      <c r="C75" s="241"/>
      <c r="D75" s="241"/>
      <c r="E75" s="241"/>
      <c r="F75" s="241"/>
      <c r="G75" s="241"/>
      <c r="H75" s="241"/>
      <c r="I75" s="241"/>
      <c r="J75" s="241"/>
      <c r="K75" s="241"/>
      <c r="L75" s="241"/>
      <c r="M75" s="241"/>
      <c r="N75" s="241"/>
      <c r="O75" s="241"/>
      <c r="P75" s="241"/>
      <c r="Q75" s="241"/>
      <c r="R75" s="241"/>
      <c r="S75" s="241"/>
      <c r="T75" s="607"/>
      <c r="U75" s="607"/>
    </row>
    <row r="76" spans="1:21" ht="13" x14ac:dyDescent="0.4">
      <c r="A76" s="241"/>
      <c r="B76" s="241"/>
      <c r="C76" s="241"/>
      <c r="D76" s="241"/>
      <c r="E76" s="241"/>
      <c r="F76" s="241"/>
      <c r="G76" s="241"/>
      <c r="H76" s="241"/>
      <c r="I76" s="241"/>
      <c r="J76" s="241"/>
      <c r="K76" s="241"/>
      <c r="L76" s="241"/>
      <c r="M76" s="241"/>
      <c r="N76" s="241"/>
      <c r="O76" s="241"/>
      <c r="P76" s="241"/>
      <c r="Q76" s="241"/>
      <c r="R76" s="241"/>
      <c r="S76" s="241"/>
      <c r="T76" s="607"/>
      <c r="U76" s="607"/>
    </row>
    <row r="77" spans="1:21" ht="13" x14ac:dyDescent="0.4">
      <c r="A77" s="241"/>
      <c r="B77" s="241"/>
      <c r="C77" s="241"/>
      <c r="D77" s="241"/>
      <c r="E77" s="241"/>
      <c r="F77" s="241"/>
      <c r="G77" s="241"/>
      <c r="H77" s="241"/>
      <c r="I77" s="241"/>
      <c r="J77" s="241"/>
      <c r="K77" s="241"/>
      <c r="L77" s="241"/>
      <c r="M77" s="241"/>
      <c r="N77" s="241"/>
      <c r="O77" s="241"/>
      <c r="P77" s="241"/>
      <c r="Q77" s="241"/>
      <c r="R77" s="241"/>
      <c r="S77" s="241"/>
      <c r="T77" s="607"/>
      <c r="U77" s="607"/>
    </row>
    <row r="78" spans="1:21" ht="13" x14ac:dyDescent="0.4">
      <c r="A78" s="241"/>
      <c r="B78" s="241"/>
      <c r="C78" s="241"/>
      <c r="D78" s="241"/>
      <c r="E78" s="241"/>
      <c r="F78" s="241"/>
      <c r="G78" s="241"/>
      <c r="H78" s="241"/>
      <c r="I78" s="241"/>
      <c r="J78" s="241"/>
      <c r="K78" s="241"/>
      <c r="L78" s="241"/>
      <c r="M78" s="241"/>
      <c r="N78" s="241"/>
      <c r="O78" s="241"/>
      <c r="P78" s="241"/>
      <c r="Q78" s="241"/>
      <c r="R78" s="241"/>
      <c r="S78" s="241"/>
      <c r="T78" s="607"/>
      <c r="U78" s="607"/>
    </row>
    <row r="79" spans="1:21" ht="13" x14ac:dyDescent="0.4">
      <c r="A79" s="241"/>
      <c r="B79" s="241"/>
      <c r="C79" s="241"/>
      <c r="D79" s="241"/>
      <c r="E79" s="241"/>
      <c r="F79" s="241"/>
      <c r="G79" s="241"/>
      <c r="H79" s="241"/>
      <c r="I79" s="241"/>
      <c r="J79" s="241"/>
      <c r="K79" s="241"/>
      <c r="L79" s="241"/>
      <c r="M79" s="241"/>
      <c r="N79" s="241"/>
      <c r="O79" s="241"/>
      <c r="P79" s="241"/>
      <c r="Q79" s="241"/>
      <c r="R79" s="241"/>
      <c r="S79" s="241"/>
      <c r="T79" s="607"/>
      <c r="U79" s="607"/>
    </row>
    <row r="80" spans="1:21" ht="13" x14ac:dyDescent="0.4">
      <c r="A80" s="241"/>
      <c r="B80" s="241"/>
      <c r="C80" s="241"/>
      <c r="D80" s="241"/>
      <c r="E80" s="241"/>
      <c r="F80" s="241"/>
      <c r="G80" s="241"/>
      <c r="H80" s="241"/>
      <c r="I80" s="241"/>
      <c r="J80" s="241"/>
      <c r="K80" s="241"/>
      <c r="L80" s="241"/>
      <c r="M80" s="241"/>
      <c r="N80" s="241"/>
      <c r="O80" s="241"/>
      <c r="P80" s="241"/>
      <c r="Q80" s="241"/>
      <c r="R80" s="241"/>
      <c r="S80" s="241"/>
      <c r="T80" s="607"/>
      <c r="U80" s="607"/>
    </row>
    <row r="81" spans="1:21" ht="13" x14ac:dyDescent="0.4">
      <c r="A81" s="241"/>
      <c r="B81" s="241"/>
      <c r="C81" s="241"/>
      <c r="D81" s="241"/>
      <c r="E81" s="241"/>
      <c r="F81" s="241"/>
      <c r="G81" s="241"/>
      <c r="H81" s="241"/>
      <c r="I81" s="241"/>
      <c r="J81" s="241"/>
      <c r="K81" s="241"/>
      <c r="L81" s="241"/>
      <c r="M81" s="241"/>
      <c r="N81" s="241"/>
      <c r="O81" s="241"/>
      <c r="P81" s="241"/>
      <c r="Q81" s="241"/>
      <c r="R81" s="241"/>
      <c r="S81" s="241"/>
      <c r="T81" s="607"/>
      <c r="U81" s="607"/>
    </row>
    <row r="82" spans="1:21" ht="13" x14ac:dyDescent="0.4">
      <c r="A82" s="241"/>
      <c r="B82" s="241"/>
      <c r="C82" s="241"/>
      <c r="D82" s="241"/>
      <c r="E82" s="241"/>
      <c r="F82" s="241"/>
      <c r="G82" s="241"/>
      <c r="H82" s="241"/>
      <c r="I82" s="241"/>
      <c r="J82" s="241"/>
      <c r="K82" s="241"/>
      <c r="L82" s="241"/>
      <c r="M82" s="241"/>
      <c r="N82" s="241"/>
      <c r="O82" s="241"/>
      <c r="P82" s="241"/>
      <c r="Q82" s="241"/>
      <c r="R82" s="241"/>
      <c r="S82" s="241"/>
      <c r="T82" s="607"/>
      <c r="U82" s="607"/>
    </row>
    <row r="83" spans="1:21" ht="13" x14ac:dyDescent="0.4">
      <c r="A83" s="241"/>
      <c r="B83" s="241"/>
      <c r="C83" s="241"/>
      <c r="D83" s="241"/>
      <c r="E83" s="241"/>
      <c r="F83" s="241"/>
      <c r="G83" s="241"/>
      <c r="H83" s="241"/>
      <c r="I83" s="241"/>
      <c r="J83" s="241"/>
      <c r="K83" s="241"/>
      <c r="L83" s="241"/>
      <c r="M83" s="241"/>
      <c r="N83" s="241"/>
      <c r="O83" s="241"/>
      <c r="P83" s="241"/>
      <c r="Q83" s="241"/>
      <c r="R83" s="241"/>
      <c r="S83" s="241"/>
      <c r="T83" s="607"/>
      <c r="U83" s="607"/>
    </row>
    <row r="84" spans="1:21" ht="13" x14ac:dyDescent="0.4">
      <c r="A84" s="241"/>
      <c r="B84" s="241"/>
      <c r="C84" s="241"/>
      <c r="D84" s="241"/>
      <c r="E84" s="241"/>
      <c r="F84" s="241"/>
      <c r="G84" s="241"/>
      <c r="H84" s="241"/>
      <c r="I84" s="241"/>
      <c r="J84" s="241"/>
      <c r="K84" s="241"/>
      <c r="L84" s="241"/>
      <c r="M84" s="241"/>
      <c r="N84" s="241"/>
      <c r="O84" s="241"/>
      <c r="P84" s="241"/>
      <c r="Q84" s="241"/>
      <c r="R84" s="241"/>
      <c r="S84" s="241"/>
      <c r="T84" s="607"/>
      <c r="U84" s="607"/>
    </row>
    <row r="85" spans="1:21" ht="13" x14ac:dyDescent="0.4">
      <c r="A85" s="241"/>
      <c r="B85" s="241"/>
      <c r="C85" s="241"/>
      <c r="D85" s="241"/>
      <c r="E85" s="241"/>
      <c r="F85" s="241"/>
      <c r="G85" s="241"/>
      <c r="H85" s="241"/>
      <c r="I85" s="241"/>
      <c r="J85" s="241"/>
      <c r="K85" s="241"/>
      <c r="L85" s="241"/>
      <c r="M85" s="241"/>
      <c r="N85" s="241"/>
      <c r="O85" s="241"/>
      <c r="P85" s="241"/>
      <c r="Q85" s="241"/>
      <c r="R85" s="241"/>
      <c r="S85" s="241"/>
      <c r="T85" s="607"/>
      <c r="U85" s="607"/>
    </row>
    <row r="86" spans="1:21" ht="13" x14ac:dyDescent="0.4">
      <c r="A86" s="241"/>
      <c r="B86" s="241"/>
      <c r="C86" s="241"/>
      <c r="D86" s="241"/>
      <c r="E86" s="241"/>
      <c r="F86" s="241"/>
      <c r="G86" s="241"/>
      <c r="H86" s="241"/>
      <c r="I86" s="241"/>
      <c r="J86" s="241"/>
      <c r="K86" s="241"/>
      <c r="L86" s="241"/>
      <c r="M86" s="241"/>
      <c r="N86" s="241"/>
      <c r="O86" s="241"/>
      <c r="P86" s="241"/>
      <c r="Q86" s="241"/>
      <c r="R86" s="241"/>
      <c r="S86" s="241"/>
      <c r="T86" s="607"/>
      <c r="U86" s="607"/>
    </row>
    <row r="87" spans="1:21" ht="13" x14ac:dyDescent="0.4">
      <c r="A87" s="241"/>
      <c r="B87" s="241"/>
      <c r="C87" s="241"/>
      <c r="D87" s="241"/>
      <c r="E87" s="241"/>
      <c r="F87" s="241"/>
      <c r="G87" s="241"/>
      <c r="H87" s="241"/>
      <c r="I87" s="241"/>
      <c r="J87" s="241"/>
      <c r="K87" s="241"/>
      <c r="L87" s="241"/>
      <c r="M87" s="241"/>
      <c r="N87" s="241"/>
      <c r="O87" s="241"/>
      <c r="P87" s="241"/>
      <c r="Q87" s="241"/>
      <c r="R87" s="241"/>
      <c r="S87" s="241"/>
      <c r="T87" s="607"/>
      <c r="U87" s="607"/>
    </row>
    <row r="88" spans="1:21" ht="13" x14ac:dyDescent="0.4">
      <c r="A88" s="241"/>
      <c r="B88" s="241"/>
      <c r="C88" s="241"/>
      <c r="D88" s="241"/>
      <c r="E88" s="241"/>
      <c r="F88" s="241"/>
      <c r="G88" s="241"/>
      <c r="H88" s="241"/>
      <c r="I88" s="241"/>
      <c r="J88" s="241"/>
      <c r="K88" s="241"/>
      <c r="L88" s="241"/>
      <c r="M88" s="241"/>
      <c r="N88" s="241"/>
      <c r="O88" s="241"/>
      <c r="P88" s="241"/>
      <c r="Q88" s="241"/>
      <c r="R88" s="241"/>
      <c r="S88" s="241"/>
      <c r="T88" s="607"/>
      <c r="U88" s="607"/>
    </row>
    <row r="89" spans="1:21" ht="13" x14ac:dyDescent="0.4">
      <c r="A89" s="241"/>
      <c r="B89" s="241"/>
      <c r="C89" s="241"/>
      <c r="D89" s="241"/>
      <c r="E89" s="241"/>
      <c r="F89" s="241"/>
      <c r="G89" s="241"/>
      <c r="H89" s="241"/>
      <c r="I89" s="241"/>
      <c r="J89" s="241"/>
      <c r="K89" s="241"/>
      <c r="L89" s="241"/>
      <c r="M89" s="241"/>
      <c r="N89" s="241"/>
      <c r="O89" s="241"/>
      <c r="P89" s="241"/>
      <c r="Q89" s="241"/>
      <c r="R89" s="241"/>
      <c r="S89" s="241"/>
      <c r="T89" s="607"/>
      <c r="U89" s="607"/>
    </row>
    <row r="90" spans="1:21" ht="13" x14ac:dyDescent="0.4">
      <c r="A90" s="241"/>
      <c r="B90" s="241"/>
      <c r="C90" s="241"/>
      <c r="D90" s="241"/>
      <c r="E90" s="241"/>
      <c r="F90" s="241"/>
      <c r="G90" s="241"/>
      <c r="H90" s="241"/>
      <c r="I90" s="241"/>
      <c r="J90" s="241"/>
      <c r="K90" s="241"/>
      <c r="L90" s="241"/>
      <c r="M90" s="241"/>
      <c r="N90" s="241"/>
      <c r="O90" s="241"/>
      <c r="P90" s="241"/>
      <c r="Q90" s="241"/>
      <c r="R90" s="241"/>
      <c r="S90" s="241"/>
      <c r="T90" s="607"/>
      <c r="U90" s="607"/>
    </row>
    <row r="91" spans="1:21" ht="13" x14ac:dyDescent="0.4">
      <c r="A91" s="241"/>
      <c r="B91" s="241"/>
      <c r="C91" s="241"/>
      <c r="D91" s="241"/>
      <c r="E91" s="241"/>
      <c r="F91" s="241"/>
      <c r="G91" s="241"/>
      <c r="H91" s="241"/>
      <c r="I91" s="241"/>
      <c r="J91" s="241"/>
      <c r="K91" s="241"/>
      <c r="L91" s="241"/>
      <c r="M91" s="241"/>
      <c r="N91" s="241"/>
      <c r="O91" s="241"/>
      <c r="P91" s="241"/>
      <c r="Q91" s="241"/>
      <c r="R91" s="241"/>
      <c r="S91" s="241"/>
      <c r="T91" s="607"/>
      <c r="U91" s="607"/>
    </row>
    <row r="92" spans="1:21" ht="13" x14ac:dyDescent="0.4">
      <c r="A92" s="241"/>
      <c r="B92" s="241"/>
      <c r="C92" s="241"/>
      <c r="D92" s="241"/>
      <c r="E92" s="241"/>
      <c r="F92" s="241"/>
      <c r="G92" s="241"/>
      <c r="H92" s="241"/>
      <c r="I92" s="241"/>
      <c r="J92" s="241"/>
      <c r="K92" s="241"/>
      <c r="L92" s="241"/>
      <c r="M92" s="241"/>
      <c r="N92" s="241"/>
      <c r="O92" s="241"/>
      <c r="P92" s="241"/>
      <c r="Q92" s="241"/>
      <c r="R92" s="241"/>
      <c r="S92" s="241"/>
      <c r="T92" s="607"/>
      <c r="U92" s="607"/>
    </row>
    <row r="93" spans="1:21" ht="13" x14ac:dyDescent="0.4">
      <c r="A93" s="241"/>
      <c r="B93" s="241"/>
      <c r="C93" s="241"/>
      <c r="D93" s="241"/>
      <c r="E93" s="241"/>
      <c r="F93" s="241"/>
      <c r="G93" s="241"/>
      <c r="H93" s="241"/>
      <c r="I93" s="241"/>
      <c r="J93" s="241"/>
      <c r="K93" s="241"/>
      <c r="L93" s="241"/>
      <c r="M93" s="241"/>
      <c r="N93" s="241"/>
      <c r="O93" s="241"/>
      <c r="P93" s="241"/>
      <c r="Q93" s="241"/>
      <c r="R93" s="241"/>
      <c r="S93" s="241"/>
      <c r="T93" s="607"/>
      <c r="U93" s="607"/>
    </row>
    <row r="94" spans="1:21" ht="13" x14ac:dyDescent="0.4">
      <c r="A94" s="241"/>
      <c r="B94" s="241"/>
      <c r="C94" s="241"/>
      <c r="D94" s="241"/>
      <c r="E94" s="241"/>
      <c r="F94" s="241"/>
      <c r="G94" s="241"/>
      <c r="H94" s="241"/>
      <c r="I94" s="241"/>
      <c r="J94" s="241"/>
      <c r="K94" s="241"/>
      <c r="L94" s="241"/>
      <c r="M94" s="241"/>
      <c r="N94" s="241"/>
      <c r="O94" s="241"/>
      <c r="P94" s="241"/>
      <c r="Q94" s="241"/>
      <c r="R94" s="241"/>
      <c r="S94" s="241"/>
      <c r="T94" s="607"/>
      <c r="U94" s="607"/>
    </row>
    <row r="95" spans="1:21" ht="13" x14ac:dyDescent="0.4">
      <c r="A95" s="241"/>
      <c r="B95" s="241"/>
      <c r="C95" s="241"/>
      <c r="D95" s="241"/>
      <c r="E95" s="241"/>
      <c r="F95" s="241"/>
      <c r="G95" s="241"/>
      <c r="H95" s="241"/>
      <c r="I95" s="241"/>
      <c r="J95" s="241"/>
      <c r="K95" s="241"/>
      <c r="L95" s="241"/>
      <c r="M95" s="241"/>
      <c r="N95" s="241"/>
      <c r="O95" s="241"/>
      <c r="P95" s="241"/>
      <c r="Q95" s="241"/>
      <c r="R95" s="241"/>
      <c r="S95" s="241"/>
      <c r="T95" s="607"/>
      <c r="U95" s="607"/>
    </row>
    <row r="96" spans="1:21" ht="13" x14ac:dyDescent="0.4">
      <c r="A96" s="241"/>
      <c r="B96" s="241"/>
      <c r="C96" s="241"/>
      <c r="D96" s="241"/>
      <c r="E96" s="241"/>
      <c r="F96" s="241"/>
      <c r="G96" s="241"/>
      <c r="H96" s="241"/>
      <c r="I96" s="241"/>
      <c r="J96" s="241"/>
      <c r="K96" s="241"/>
      <c r="L96" s="241"/>
      <c r="M96" s="241"/>
      <c r="N96" s="241"/>
      <c r="O96" s="241"/>
      <c r="P96" s="241"/>
      <c r="Q96" s="241"/>
      <c r="R96" s="241"/>
      <c r="S96" s="241"/>
      <c r="T96" s="607"/>
      <c r="U96" s="607"/>
    </row>
    <row r="97" spans="1:21" ht="13" x14ac:dyDescent="0.4">
      <c r="A97" s="241"/>
      <c r="B97" s="241"/>
      <c r="C97" s="241"/>
      <c r="D97" s="241"/>
      <c r="E97" s="241"/>
      <c r="F97" s="241"/>
      <c r="G97" s="241"/>
      <c r="H97" s="241"/>
      <c r="I97" s="241"/>
      <c r="J97" s="241"/>
      <c r="K97" s="241"/>
      <c r="L97" s="241"/>
      <c r="M97" s="241"/>
      <c r="N97" s="241"/>
      <c r="O97" s="241"/>
      <c r="P97" s="241"/>
      <c r="Q97" s="241"/>
      <c r="R97" s="241"/>
      <c r="S97" s="241"/>
      <c r="T97" s="607"/>
      <c r="U97" s="607"/>
    </row>
    <row r="98" spans="1:21" ht="13" x14ac:dyDescent="0.4">
      <c r="A98" s="241"/>
      <c r="B98" s="241"/>
      <c r="C98" s="241"/>
      <c r="D98" s="241"/>
      <c r="E98" s="241"/>
      <c r="F98" s="241"/>
      <c r="G98" s="241"/>
      <c r="H98" s="241"/>
      <c r="I98" s="241"/>
      <c r="J98" s="241"/>
      <c r="K98" s="241"/>
      <c r="L98" s="241"/>
      <c r="M98" s="241"/>
      <c r="N98" s="241"/>
      <c r="O98" s="241"/>
      <c r="P98" s="241"/>
      <c r="Q98" s="241"/>
      <c r="R98" s="241"/>
      <c r="S98" s="241"/>
      <c r="T98" s="607"/>
      <c r="U98" s="607"/>
    </row>
    <row r="99" spans="1:21" ht="13" x14ac:dyDescent="0.4">
      <c r="A99" s="241"/>
      <c r="B99" s="241"/>
      <c r="C99" s="241"/>
      <c r="D99" s="241"/>
      <c r="E99" s="241"/>
      <c r="F99" s="241"/>
      <c r="G99" s="241"/>
      <c r="H99" s="241"/>
      <c r="I99" s="241"/>
      <c r="J99" s="241"/>
      <c r="K99" s="241"/>
      <c r="L99" s="241"/>
      <c r="M99" s="241"/>
      <c r="N99" s="241"/>
      <c r="O99" s="241"/>
      <c r="P99" s="241"/>
      <c r="Q99" s="241"/>
      <c r="R99" s="241"/>
      <c r="S99" s="241"/>
      <c r="T99" s="607"/>
      <c r="U99" s="607"/>
    </row>
    <row r="100" spans="1:21" ht="13" x14ac:dyDescent="0.4">
      <c r="A100" s="241"/>
      <c r="B100" s="241"/>
      <c r="C100" s="241"/>
      <c r="D100" s="241"/>
      <c r="E100" s="241"/>
      <c r="F100" s="241"/>
      <c r="G100" s="241"/>
      <c r="H100" s="241"/>
      <c r="I100" s="241"/>
      <c r="J100" s="241"/>
      <c r="K100" s="241"/>
      <c r="L100" s="241"/>
      <c r="M100" s="241"/>
      <c r="N100" s="241"/>
      <c r="O100" s="241"/>
      <c r="P100" s="241"/>
      <c r="Q100" s="241"/>
      <c r="R100" s="241"/>
      <c r="S100" s="241"/>
      <c r="T100" s="607"/>
      <c r="U100" s="607"/>
    </row>
    <row r="101" spans="1:21" ht="13" x14ac:dyDescent="0.4">
      <c r="A101" s="241"/>
      <c r="B101" s="241"/>
      <c r="C101" s="241"/>
      <c r="D101" s="241"/>
      <c r="E101" s="241"/>
      <c r="F101" s="241"/>
      <c r="G101" s="241"/>
      <c r="H101" s="241"/>
      <c r="I101" s="241"/>
      <c r="J101" s="241"/>
      <c r="K101" s="241"/>
      <c r="L101" s="241"/>
      <c r="M101" s="241"/>
      <c r="N101" s="241"/>
      <c r="O101" s="241"/>
      <c r="P101" s="241"/>
      <c r="Q101" s="241"/>
      <c r="R101" s="241"/>
      <c r="S101" s="241"/>
      <c r="T101" s="607"/>
      <c r="U101" s="607"/>
    </row>
    <row r="102" spans="1:21" ht="13" x14ac:dyDescent="0.4">
      <c r="A102" s="241"/>
      <c r="B102" s="241"/>
      <c r="C102" s="241"/>
      <c r="D102" s="241"/>
      <c r="E102" s="241"/>
      <c r="F102" s="241"/>
      <c r="G102" s="241"/>
      <c r="H102" s="241"/>
      <c r="I102" s="241"/>
      <c r="J102" s="241"/>
      <c r="K102" s="241"/>
      <c r="L102" s="241"/>
      <c r="M102" s="241"/>
      <c r="N102" s="241"/>
      <c r="O102" s="241"/>
      <c r="P102" s="241"/>
      <c r="Q102" s="241"/>
      <c r="R102" s="241"/>
      <c r="S102" s="241"/>
      <c r="T102" s="607"/>
      <c r="U102" s="607"/>
    </row>
    <row r="103" spans="1:21" ht="13" x14ac:dyDescent="0.4">
      <c r="A103" s="241"/>
      <c r="B103" s="241"/>
      <c r="C103" s="241"/>
      <c r="D103" s="241"/>
      <c r="E103" s="241"/>
      <c r="F103" s="241"/>
      <c r="G103" s="241"/>
      <c r="H103" s="241"/>
      <c r="I103" s="241"/>
      <c r="J103" s="241"/>
      <c r="K103" s="241"/>
      <c r="L103" s="241"/>
      <c r="M103" s="241"/>
      <c r="N103" s="241"/>
      <c r="O103" s="241"/>
      <c r="P103" s="241"/>
      <c r="Q103" s="241"/>
      <c r="R103" s="241"/>
      <c r="S103" s="241"/>
      <c r="T103" s="607"/>
      <c r="U103" s="607"/>
    </row>
    <row r="104" spans="1:21" ht="13" x14ac:dyDescent="0.4">
      <c r="A104" s="241"/>
      <c r="B104" s="241"/>
      <c r="C104" s="241"/>
      <c r="D104" s="241"/>
      <c r="E104" s="241"/>
      <c r="F104" s="241"/>
      <c r="G104" s="241"/>
      <c r="H104" s="241"/>
      <c r="I104" s="241"/>
      <c r="J104" s="241"/>
      <c r="K104" s="241"/>
      <c r="L104" s="241"/>
      <c r="M104" s="241"/>
      <c r="N104" s="241"/>
      <c r="O104" s="241"/>
      <c r="P104" s="241"/>
      <c r="Q104" s="241"/>
      <c r="R104" s="241"/>
      <c r="S104" s="241"/>
      <c r="T104" s="607"/>
      <c r="U104" s="607"/>
    </row>
    <row r="105" spans="1:21" ht="13" x14ac:dyDescent="0.4">
      <c r="A105" s="241"/>
      <c r="B105" s="241"/>
      <c r="C105" s="241"/>
      <c r="D105" s="241"/>
      <c r="E105" s="241"/>
      <c r="F105" s="241"/>
      <c r="G105" s="241"/>
      <c r="H105" s="241"/>
      <c r="I105" s="241"/>
      <c r="J105" s="241"/>
      <c r="K105" s="241"/>
      <c r="L105" s="241"/>
      <c r="M105" s="241"/>
      <c r="N105" s="241"/>
      <c r="O105" s="241"/>
      <c r="P105" s="241"/>
      <c r="Q105" s="241"/>
      <c r="R105" s="241"/>
      <c r="S105" s="241"/>
      <c r="T105" s="607"/>
      <c r="U105" s="607"/>
    </row>
    <row r="106" spans="1:21" ht="13" x14ac:dyDescent="0.4">
      <c r="A106" s="241"/>
      <c r="B106" s="241"/>
      <c r="C106" s="241"/>
      <c r="D106" s="241"/>
      <c r="E106" s="241"/>
      <c r="F106" s="241"/>
      <c r="G106" s="241"/>
      <c r="H106" s="241"/>
      <c r="I106" s="241"/>
      <c r="J106" s="241"/>
      <c r="K106" s="241"/>
      <c r="L106" s="241"/>
      <c r="M106" s="241"/>
      <c r="N106" s="241"/>
      <c r="O106" s="241"/>
      <c r="P106" s="241"/>
      <c r="Q106" s="241"/>
      <c r="R106" s="241"/>
      <c r="S106" s="241"/>
      <c r="T106" s="607"/>
      <c r="U106" s="607"/>
    </row>
    <row r="107" spans="1:21" ht="13" x14ac:dyDescent="0.4">
      <c r="A107" s="241"/>
      <c r="B107" s="241"/>
      <c r="C107" s="241"/>
      <c r="D107" s="241"/>
      <c r="E107" s="241"/>
      <c r="F107" s="241"/>
      <c r="G107" s="241"/>
      <c r="H107" s="241"/>
      <c r="I107" s="241"/>
      <c r="J107" s="241"/>
      <c r="K107" s="241"/>
      <c r="L107" s="241"/>
      <c r="M107" s="241"/>
      <c r="N107" s="241"/>
      <c r="O107" s="241"/>
      <c r="P107" s="241"/>
      <c r="Q107" s="241"/>
      <c r="R107" s="241"/>
      <c r="S107" s="241"/>
      <c r="T107" s="607"/>
      <c r="U107" s="607"/>
    </row>
    <row r="108" spans="1:21" ht="13" x14ac:dyDescent="0.4">
      <c r="A108" s="241"/>
      <c r="B108" s="241"/>
      <c r="C108" s="241"/>
      <c r="D108" s="241"/>
      <c r="E108" s="241"/>
      <c r="F108" s="241"/>
      <c r="G108" s="241"/>
      <c r="H108" s="241"/>
      <c r="I108" s="241"/>
      <c r="J108" s="241"/>
      <c r="K108" s="241"/>
      <c r="L108" s="241"/>
      <c r="M108" s="241"/>
      <c r="N108" s="241"/>
      <c r="O108" s="241"/>
      <c r="P108" s="241"/>
      <c r="Q108" s="241"/>
      <c r="R108" s="241"/>
      <c r="S108" s="241"/>
      <c r="T108" s="607"/>
      <c r="U108" s="607"/>
    </row>
    <row r="109" spans="1:21" ht="13" x14ac:dyDescent="0.4">
      <c r="A109" s="241"/>
      <c r="B109" s="241"/>
      <c r="C109" s="241"/>
      <c r="D109" s="241"/>
      <c r="E109" s="241"/>
      <c r="F109" s="241"/>
      <c r="G109" s="241"/>
      <c r="H109" s="241"/>
      <c r="I109" s="241"/>
      <c r="J109" s="241"/>
      <c r="K109" s="241"/>
      <c r="L109" s="241"/>
      <c r="M109" s="241"/>
      <c r="N109" s="241"/>
      <c r="O109" s="241"/>
      <c r="P109" s="241"/>
      <c r="Q109" s="241"/>
      <c r="R109" s="241"/>
      <c r="S109" s="241"/>
      <c r="T109" s="607"/>
      <c r="U109" s="607"/>
    </row>
    <row r="110" spans="1:21" ht="13" x14ac:dyDescent="0.4">
      <c r="A110" s="241"/>
      <c r="B110" s="241"/>
      <c r="C110" s="241"/>
      <c r="D110" s="241"/>
      <c r="E110" s="241"/>
      <c r="F110" s="241"/>
      <c r="G110" s="241"/>
      <c r="H110" s="241"/>
      <c r="I110" s="241"/>
      <c r="J110" s="241"/>
      <c r="K110" s="241"/>
      <c r="L110" s="241"/>
      <c r="M110" s="241"/>
      <c r="N110" s="241"/>
      <c r="O110" s="241"/>
      <c r="P110" s="241"/>
      <c r="Q110" s="241"/>
      <c r="R110" s="241"/>
      <c r="S110" s="241"/>
      <c r="T110" s="607"/>
      <c r="U110" s="607"/>
    </row>
    <row r="111" spans="1:21" ht="13" x14ac:dyDescent="0.4">
      <c r="A111" s="241"/>
      <c r="B111" s="241"/>
      <c r="C111" s="241"/>
      <c r="D111" s="241"/>
      <c r="E111" s="241"/>
      <c r="F111" s="241"/>
      <c r="G111" s="241"/>
      <c r="H111" s="241"/>
      <c r="I111" s="241"/>
      <c r="J111" s="241"/>
      <c r="K111" s="241"/>
      <c r="L111" s="241"/>
      <c r="M111" s="241"/>
      <c r="N111" s="241"/>
      <c r="O111" s="241"/>
      <c r="P111" s="241"/>
      <c r="Q111" s="241"/>
      <c r="R111" s="241"/>
      <c r="S111" s="241"/>
      <c r="T111" s="607"/>
      <c r="U111" s="607"/>
    </row>
    <row r="112" spans="1:21" ht="13" x14ac:dyDescent="0.4">
      <c r="A112" s="241"/>
      <c r="B112" s="241"/>
      <c r="C112" s="241"/>
      <c r="D112" s="241"/>
      <c r="E112" s="241"/>
      <c r="F112" s="241"/>
      <c r="G112" s="241"/>
      <c r="H112" s="241"/>
      <c r="I112" s="241"/>
      <c r="J112" s="241"/>
      <c r="K112" s="241"/>
      <c r="L112" s="241"/>
      <c r="M112" s="241"/>
      <c r="N112" s="241"/>
      <c r="O112" s="241"/>
      <c r="P112" s="241"/>
      <c r="Q112" s="241"/>
      <c r="R112" s="241"/>
      <c r="S112" s="241"/>
      <c r="T112" s="607"/>
      <c r="U112" s="607"/>
    </row>
    <row r="113" spans="1:21" ht="13" x14ac:dyDescent="0.4">
      <c r="A113" s="241"/>
      <c r="B113" s="241"/>
      <c r="C113" s="241"/>
      <c r="D113" s="241"/>
      <c r="E113" s="241"/>
      <c r="F113" s="241"/>
      <c r="G113" s="241"/>
      <c r="H113" s="241"/>
      <c r="I113" s="241"/>
      <c r="J113" s="241"/>
      <c r="K113" s="241"/>
      <c r="L113" s="241"/>
      <c r="M113" s="241"/>
      <c r="N113" s="241"/>
      <c r="O113" s="241"/>
      <c r="P113" s="241"/>
      <c r="Q113" s="241"/>
      <c r="R113" s="241"/>
      <c r="S113" s="241"/>
      <c r="T113" s="607"/>
      <c r="U113" s="607"/>
    </row>
    <row r="114" spans="1:21" ht="13" x14ac:dyDescent="0.4">
      <c r="A114" s="241"/>
      <c r="B114" s="241"/>
      <c r="C114" s="241"/>
      <c r="D114" s="241"/>
      <c r="E114" s="241"/>
      <c r="F114" s="241"/>
      <c r="G114" s="241"/>
      <c r="H114" s="241"/>
      <c r="I114" s="241"/>
      <c r="J114" s="241"/>
      <c r="K114" s="241"/>
      <c r="L114" s="241"/>
      <c r="M114" s="241"/>
      <c r="N114" s="241"/>
      <c r="O114" s="241"/>
      <c r="P114" s="241"/>
      <c r="Q114" s="241"/>
      <c r="R114" s="241"/>
      <c r="S114" s="241"/>
      <c r="T114" s="607"/>
      <c r="U114" s="607"/>
    </row>
    <row r="115" spans="1:21" ht="13" x14ac:dyDescent="0.4">
      <c r="A115" s="241"/>
      <c r="B115" s="241"/>
      <c r="C115" s="241"/>
      <c r="D115" s="241"/>
      <c r="E115" s="241"/>
      <c r="F115" s="241"/>
      <c r="G115" s="241"/>
      <c r="H115" s="241"/>
      <c r="I115" s="241"/>
      <c r="J115" s="241"/>
      <c r="K115" s="241"/>
      <c r="L115" s="241"/>
      <c r="M115" s="241"/>
      <c r="N115" s="241"/>
      <c r="O115" s="241"/>
      <c r="P115" s="241"/>
      <c r="Q115" s="241"/>
      <c r="R115" s="241"/>
      <c r="S115" s="241"/>
      <c r="T115" s="607"/>
      <c r="U115" s="607"/>
    </row>
    <row r="116" spans="1:21" ht="13" x14ac:dyDescent="0.4">
      <c r="A116" s="241"/>
      <c r="B116" s="241"/>
      <c r="C116" s="241"/>
      <c r="D116" s="241"/>
      <c r="E116" s="241"/>
      <c r="F116" s="241"/>
      <c r="G116" s="241"/>
      <c r="H116" s="241"/>
      <c r="I116" s="241"/>
      <c r="J116" s="241"/>
      <c r="K116" s="241"/>
      <c r="L116" s="241"/>
      <c r="M116" s="241"/>
      <c r="N116" s="241"/>
      <c r="O116" s="241"/>
      <c r="P116" s="241"/>
      <c r="Q116" s="241"/>
      <c r="R116" s="241"/>
      <c r="S116" s="241"/>
      <c r="T116" s="607"/>
      <c r="U116" s="607"/>
    </row>
    <row r="117" spans="1:21" ht="13" x14ac:dyDescent="0.4">
      <c r="A117" s="241"/>
      <c r="B117" s="241"/>
      <c r="C117" s="241"/>
      <c r="D117" s="241"/>
      <c r="E117" s="241"/>
      <c r="F117" s="241"/>
      <c r="G117" s="241"/>
      <c r="H117" s="241"/>
      <c r="I117" s="241"/>
      <c r="J117" s="241"/>
      <c r="K117" s="241"/>
      <c r="L117" s="241"/>
      <c r="M117" s="241"/>
      <c r="N117" s="241"/>
      <c r="O117" s="241"/>
      <c r="P117" s="241"/>
      <c r="Q117" s="241"/>
      <c r="R117" s="241"/>
      <c r="S117" s="241"/>
      <c r="T117" s="607"/>
      <c r="U117" s="607"/>
    </row>
    <row r="118" spans="1:21" ht="13" x14ac:dyDescent="0.4">
      <c r="A118" s="241"/>
      <c r="B118" s="241"/>
      <c r="C118" s="241"/>
      <c r="D118" s="241"/>
      <c r="E118" s="241"/>
      <c r="F118" s="241"/>
      <c r="G118" s="241"/>
      <c r="H118" s="241"/>
      <c r="I118" s="241"/>
      <c r="J118" s="241"/>
      <c r="K118" s="241"/>
      <c r="L118" s="241"/>
      <c r="M118" s="241"/>
      <c r="N118" s="241"/>
      <c r="O118" s="241"/>
      <c r="P118" s="241"/>
      <c r="Q118" s="241"/>
      <c r="R118" s="241"/>
      <c r="S118" s="241"/>
      <c r="T118" s="607"/>
      <c r="U118" s="607"/>
    </row>
    <row r="119" spans="1:21" ht="13" x14ac:dyDescent="0.4">
      <c r="A119" s="241"/>
      <c r="B119" s="241"/>
      <c r="C119" s="241"/>
      <c r="D119" s="241"/>
      <c r="E119" s="241"/>
      <c r="F119" s="241"/>
      <c r="G119" s="241"/>
      <c r="H119" s="241"/>
      <c r="I119" s="241"/>
      <c r="J119" s="241"/>
      <c r="K119" s="241"/>
      <c r="L119" s="241"/>
      <c r="M119" s="241"/>
      <c r="N119" s="241"/>
      <c r="O119" s="241"/>
      <c r="P119" s="241"/>
      <c r="Q119" s="241"/>
      <c r="R119" s="241"/>
      <c r="S119" s="241"/>
      <c r="T119" s="607"/>
      <c r="U119" s="607"/>
    </row>
    <row r="120" spans="1:21" ht="13" x14ac:dyDescent="0.4">
      <c r="A120" s="241"/>
      <c r="B120" s="241"/>
      <c r="C120" s="241"/>
      <c r="D120" s="241"/>
      <c r="E120" s="241"/>
      <c r="F120" s="241"/>
      <c r="G120" s="241"/>
      <c r="H120" s="241"/>
      <c r="I120" s="241"/>
      <c r="J120" s="241"/>
      <c r="K120" s="241"/>
      <c r="L120" s="241"/>
      <c r="M120" s="241"/>
      <c r="N120" s="241"/>
      <c r="O120" s="241"/>
      <c r="P120" s="241"/>
      <c r="Q120" s="241"/>
      <c r="R120" s="241"/>
      <c r="S120" s="241"/>
      <c r="T120" s="607"/>
      <c r="U120" s="607"/>
    </row>
    <row r="121" spans="1:21" ht="13" x14ac:dyDescent="0.4">
      <c r="A121" s="241"/>
      <c r="B121" s="241"/>
      <c r="C121" s="241"/>
      <c r="D121" s="241"/>
      <c r="E121" s="241"/>
      <c r="F121" s="241"/>
      <c r="G121" s="241"/>
      <c r="H121" s="241"/>
      <c r="I121" s="241"/>
      <c r="J121" s="241"/>
      <c r="K121" s="241"/>
      <c r="L121" s="241"/>
      <c r="M121" s="241"/>
      <c r="N121" s="241"/>
      <c r="O121" s="241"/>
      <c r="P121" s="241"/>
      <c r="Q121" s="241"/>
      <c r="R121" s="241"/>
      <c r="S121" s="241"/>
      <c r="T121" s="607"/>
      <c r="U121" s="607"/>
    </row>
    <row r="122" spans="1:21" ht="13" x14ac:dyDescent="0.4">
      <c r="A122" s="241"/>
      <c r="B122" s="241"/>
      <c r="C122" s="241"/>
      <c r="D122" s="241"/>
      <c r="E122" s="241"/>
      <c r="F122" s="241"/>
      <c r="G122" s="241"/>
      <c r="H122" s="241"/>
      <c r="I122" s="241"/>
      <c r="J122" s="241"/>
      <c r="K122" s="241"/>
      <c r="L122" s="241"/>
      <c r="M122" s="241"/>
      <c r="N122" s="241"/>
      <c r="O122" s="241"/>
      <c r="P122" s="241"/>
      <c r="Q122" s="241"/>
      <c r="R122" s="241"/>
      <c r="S122" s="241"/>
      <c r="T122" s="607"/>
      <c r="U122" s="607"/>
    </row>
    <row r="123" spans="1:21" ht="13" x14ac:dyDescent="0.4">
      <c r="A123" s="241"/>
      <c r="B123" s="241"/>
      <c r="C123" s="241"/>
      <c r="D123" s="241"/>
      <c r="E123" s="241"/>
      <c r="F123" s="241"/>
      <c r="G123" s="241"/>
      <c r="H123" s="241"/>
      <c r="I123" s="241"/>
      <c r="J123" s="241"/>
      <c r="K123" s="241"/>
      <c r="L123" s="241"/>
      <c r="M123" s="241"/>
      <c r="N123" s="241"/>
      <c r="O123" s="241"/>
      <c r="P123" s="241"/>
      <c r="Q123" s="241"/>
      <c r="R123" s="241"/>
      <c r="S123" s="241"/>
      <c r="T123" s="607"/>
      <c r="U123" s="607"/>
    </row>
    <row r="124" spans="1:21" ht="13" x14ac:dyDescent="0.4">
      <c r="A124" s="241"/>
      <c r="B124" s="241"/>
      <c r="C124" s="241"/>
      <c r="D124" s="241"/>
      <c r="E124" s="241"/>
      <c r="F124" s="241"/>
      <c r="G124" s="241"/>
      <c r="H124" s="241"/>
      <c r="I124" s="241"/>
      <c r="J124" s="241"/>
      <c r="K124" s="241"/>
      <c r="L124" s="241"/>
      <c r="M124" s="241"/>
      <c r="N124" s="241"/>
      <c r="O124" s="241"/>
      <c r="P124" s="241"/>
      <c r="Q124" s="241"/>
      <c r="R124" s="241"/>
      <c r="S124" s="241"/>
      <c r="T124" s="607"/>
      <c r="U124" s="607"/>
    </row>
    <row r="125" spans="1:21" ht="13" x14ac:dyDescent="0.4">
      <c r="A125" s="241"/>
      <c r="B125" s="241"/>
      <c r="C125" s="241"/>
      <c r="D125" s="241"/>
      <c r="E125" s="241"/>
      <c r="F125" s="241"/>
      <c r="G125" s="241"/>
      <c r="H125" s="241"/>
      <c r="I125" s="241"/>
      <c r="J125" s="241"/>
      <c r="K125" s="241"/>
      <c r="L125" s="241"/>
      <c r="M125" s="241"/>
      <c r="N125" s="241"/>
      <c r="O125" s="241"/>
      <c r="P125" s="241"/>
      <c r="Q125" s="241"/>
      <c r="R125" s="241"/>
      <c r="S125" s="241"/>
      <c r="T125" s="607"/>
      <c r="U125" s="607"/>
    </row>
    <row r="126" spans="1:21" ht="13" x14ac:dyDescent="0.4">
      <c r="A126" s="241"/>
      <c r="B126" s="241"/>
      <c r="C126" s="241"/>
      <c r="D126" s="241"/>
      <c r="E126" s="241"/>
      <c r="F126" s="241"/>
      <c r="G126" s="241"/>
      <c r="H126" s="241"/>
      <c r="I126" s="241"/>
      <c r="J126" s="241"/>
      <c r="K126" s="241"/>
      <c r="L126" s="241"/>
      <c r="M126" s="241"/>
      <c r="N126" s="241"/>
      <c r="O126" s="241"/>
      <c r="P126" s="241"/>
      <c r="Q126" s="241"/>
      <c r="R126" s="241"/>
      <c r="S126" s="241"/>
      <c r="T126" s="607"/>
      <c r="U126" s="607"/>
    </row>
    <row r="127" spans="1:21" ht="13" x14ac:dyDescent="0.4">
      <c r="A127" s="241"/>
      <c r="B127" s="241"/>
      <c r="C127" s="241"/>
      <c r="D127" s="241"/>
      <c r="E127" s="241"/>
      <c r="F127" s="241"/>
      <c r="G127" s="241"/>
      <c r="H127" s="241"/>
      <c r="I127" s="241"/>
      <c r="J127" s="241"/>
      <c r="K127" s="241"/>
      <c r="L127" s="241"/>
      <c r="M127" s="241"/>
      <c r="N127" s="241"/>
      <c r="O127" s="241"/>
      <c r="P127" s="241"/>
      <c r="Q127" s="241"/>
      <c r="R127" s="241"/>
      <c r="S127" s="241"/>
      <c r="T127" s="607"/>
      <c r="U127" s="607"/>
    </row>
    <row r="128" spans="1:21" ht="13" x14ac:dyDescent="0.4">
      <c r="A128" s="241"/>
      <c r="B128" s="241"/>
      <c r="C128" s="241"/>
      <c r="D128" s="241"/>
      <c r="E128" s="241"/>
      <c r="F128" s="241"/>
      <c r="G128" s="241"/>
      <c r="H128" s="241"/>
      <c r="I128" s="241"/>
      <c r="J128" s="241"/>
      <c r="K128" s="241"/>
      <c r="L128" s="241"/>
      <c r="M128" s="241"/>
      <c r="N128" s="241"/>
      <c r="O128" s="241"/>
      <c r="P128" s="241"/>
      <c r="Q128" s="241"/>
      <c r="R128" s="241"/>
      <c r="S128" s="241"/>
      <c r="T128" s="607"/>
      <c r="U128" s="607"/>
    </row>
    <row r="129" spans="1:21" ht="13" x14ac:dyDescent="0.4">
      <c r="A129" s="241"/>
      <c r="B129" s="241"/>
      <c r="C129" s="241"/>
      <c r="D129" s="241"/>
      <c r="E129" s="241"/>
      <c r="F129" s="241"/>
      <c r="G129" s="241"/>
      <c r="H129" s="241"/>
      <c r="I129" s="241"/>
      <c r="J129" s="241"/>
      <c r="K129" s="241"/>
      <c r="L129" s="241"/>
      <c r="M129" s="241"/>
      <c r="N129" s="241"/>
      <c r="O129" s="241"/>
      <c r="P129" s="241"/>
      <c r="Q129" s="241"/>
      <c r="R129" s="241"/>
      <c r="S129" s="241"/>
      <c r="T129" s="607"/>
      <c r="U129" s="607"/>
    </row>
    <row r="130" spans="1:21" ht="13" x14ac:dyDescent="0.4">
      <c r="A130" s="241"/>
      <c r="B130" s="241"/>
      <c r="C130" s="241"/>
      <c r="D130" s="241"/>
      <c r="E130" s="241"/>
      <c r="F130" s="241"/>
      <c r="G130" s="241"/>
      <c r="H130" s="241"/>
      <c r="I130" s="241"/>
      <c r="J130" s="241"/>
      <c r="K130" s="241"/>
      <c r="L130" s="241"/>
      <c r="M130" s="241"/>
      <c r="N130" s="241"/>
      <c r="O130" s="241"/>
      <c r="P130" s="241"/>
      <c r="Q130" s="241"/>
      <c r="R130" s="241"/>
      <c r="S130" s="241"/>
      <c r="T130" s="607"/>
      <c r="U130" s="607"/>
    </row>
    <row r="131" spans="1:21" ht="13" x14ac:dyDescent="0.4">
      <c r="A131" s="241"/>
      <c r="B131" s="241"/>
      <c r="C131" s="241"/>
      <c r="D131" s="241"/>
      <c r="E131" s="241"/>
      <c r="F131" s="241"/>
      <c r="G131" s="241"/>
      <c r="H131" s="241"/>
      <c r="I131" s="241"/>
      <c r="J131" s="241"/>
      <c r="K131" s="241"/>
      <c r="L131" s="241"/>
      <c r="M131" s="241"/>
      <c r="N131" s="241"/>
      <c r="O131" s="241"/>
      <c r="P131" s="241"/>
      <c r="Q131" s="241"/>
      <c r="R131" s="241"/>
      <c r="S131" s="241"/>
      <c r="T131" s="607"/>
      <c r="U131" s="607"/>
    </row>
    <row r="132" spans="1:21" ht="13" x14ac:dyDescent="0.4">
      <c r="A132" s="241"/>
      <c r="B132" s="241"/>
      <c r="C132" s="241"/>
      <c r="D132" s="241"/>
      <c r="E132" s="241"/>
      <c r="F132" s="241"/>
      <c r="G132" s="241"/>
      <c r="H132" s="241"/>
      <c r="I132" s="241"/>
      <c r="J132" s="241"/>
      <c r="K132" s="241"/>
      <c r="L132" s="241"/>
      <c r="M132" s="241"/>
      <c r="N132" s="241"/>
      <c r="O132" s="241"/>
      <c r="P132" s="241"/>
      <c r="Q132" s="241"/>
      <c r="R132" s="241"/>
      <c r="S132" s="241"/>
      <c r="T132" s="607"/>
      <c r="U132" s="607"/>
    </row>
    <row r="133" spans="1:21" ht="13" x14ac:dyDescent="0.4">
      <c r="A133" s="241"/>
      <c r="B133" s="241"/>
      <c r="C133" s="241"/>
      <c r="D133" s="241"/>
      <c r="E133" s="241"/>
      <c r="F133" s="241"/>
      <c r="G133" s="241"/>
      <c r="H133" s="241"/>
      <c r="I133" s="241"/>
      <c r="J133" s="241"/>
      <c r="K133" s="241"/>
      <c r="L133" s="241"/>
      <c r="M133" s="241"/>
      <c r="N133" s="241"/>
      <c r="O133" s="241"/>
      <c r="P133" s="241"/>
      <c r="Q133" s="241"/>
      <c r="R133" s="241"/>
      <c r="S133" s="241"/>
      <c r="T133" s="607"/>
      <c r="U133" s="607"/>
    </row>
    <row r="134" spans="1:21" ht="13" x14ac:dyDescent="0.4">
      <c r="A134" s="241"/>
      <c r="B134" s="241"/>
      <c r="C134" s="241"/>
      <c r="D134" s="241"/>
      <c r="E134" s="241"/>
      <c r="F134" s="241"/>
      <c r="G134" s="241"/>
      <c r="H134" s="241"/>
      <c r="I134" s="241"/>
      <c r="J134" s="241"/>
      <c r="K134" s="241"/>
      <c r="L134" s="241"/>
      <c r="M134" s="241"/>
      <c r="N134" s="241"/>
      <c r="O134" s="241"/>
      <c r="P134" s="241"/>
      <c r="Q134" s="241"/>
      <c r="R134" s="241"/>
      <c r="S134" s="241"/>
      <c r="T134" s="607"/>
      <c r="U134" s="607"/>
    </row>
    <row r="135" spans="1:21" ht="13" x14ac:dyDescent="0.4">
      <c r="A135" s="241"/>
      <c r="B135" s="241"/>
      <c r="C135" s="241"/>
      <c r="D135" s="241"/>
      <c r="E135" s="241"/>
      <c r="F135" s="241"/>
      <c r="G135" s="241"/>
      <c r="H135" s="241"/>
      <c r="I135" s="241"/>
      <c r="J135" s="241"/>
      <c r="K135" s="241"/>
      <c r="L135" s="241"/>
      <c r="M135" s="241"/>
      <c r="N135" s="241"/>
      <c r="O135" s="241"/>
      <c r="P135" s="241"/>
      <c r="Q135" s="241"/>
      <c r="R135" s="241"/>
      <c r="S135" s="241"/>
      <c r="T135" s="607"/>
      <c r="U135" s="607"/>
    </row>
    <row r="136" spans="1:21" ht="13" x14ac:dyDescent="0.4">
      <c r="A136" s="241"/>
      <c r="B136" s="241"/>
      <c r="C136" s="241"/>
      <c r="D136" s="241"/>
      <c r="E136" s="241"/>
      <c r="F136" s="241"/>
      <c r="G136" s="241"/>
      <c r="H136" s="241"/>
      <c r="I136" s="241"/>
      <c r="J136" s="241"/>
      <c r="K136" s="241"/>
      <c r="L136" s="241"/>
      <c r="M136" s="241"/>
      <c r="N136" s="241"/>
      <c r="O136" s="241"/>
      <c r="P136" s="241"/>
      <c r="Q136" s="241"/>
      <c r="R136" s="241"/>
      <c r="S136" s="241"/>
      <c r="T136" s="607"/>
      <c r="U136" s="607"/>
    </row>
    <row r="137" spans="1:21" ht="13" x14ac:dyDescent="0.4">
      <c r="A137" s="241"/>
      <c r="B137" s="241"/>
      <c r="C137" s="241"/>
      <c r="D137" s="241"/>
      <c r="E137" s="241"/>
      <c r="F137" s="241"/>
      <c r="G137" s="241"/>
      <c r="H137" s="241"/>
      <c r="I137" s="241"/>
      <c r="J137" s="241"/>
      <c r="K137" s="241"/>
      <c r="L137" s="241"/>
      <c r="M137" s="241"/>
      <c r="N137" s="241"/>
      <c r="O137" s="241"/>
      <c r="P137" s="241"/>
      <c r="Q137" s="241"/>
      <c r="R137" s="241"/>
      <c r="S137" s="241"/>
      <c r="T137" s="607"/>
      <c r="U137" s="607"/>
    </row>
    <row r="138" spans="1:21" ht="13" x14ac:dyDescent="0.4">
      <c r="A138" s="241"/>
      <c r="B138" s="241"/>
      <c r="C138" s="241"/>
      <c r="D138" s="241"/>
      <c r="E138" s="241"/>
      <c r="F138" s="241"/>
      <c r="G138" s="241"/>
      <c r="H138" s="241"/>
      <c r="I138" s="241"/>
      <c r="J138" s="241"/>
      <c r="K138" s="241"/>
      <c r="L138" s="241"/>
      <c r="M138" s="241"/>
      <c r="N138" s="241"/>
      <c r="O138" s="241"/>
      <c r="P138" s="241"/>
      <c r="Q138" s="241"/>
      <c r="R138" s="241"/>
      <c r="S138" s="241"/>
      <c r="T138" s="607"/>
      <c r="U138" s="607"/>
    </row>
    <row r="139" spans="1:21" ht="13" x14ac:dyDescent="0.4">
      <c r="A139" s="241"/>
      <c r="B139" s="241"/>
      <c r="C139" s="241"/>
      <c r="D139" s="241"/>
      <c r="E139" s="241"/>
      <c r="F139" s="241"/>
      <c r="G139" s="241"/>
      <c r="H139" s="241"/>
      <c r="I139" s="241"/>
      <c r="J139" s="241"/>
      <c r="K139" s="241"/>
      <c r="L139" s="241"/>
      <c r="M139" s="241"/>
      <c r="N139" s="241"/>
      <c r="O139" s="241"/>
      <c r="P139" s="241"/>
      <c r="Q139" s="241"/>
      <c r="R139" s="241"/>
      <c r="S139" s="241"/>
      <c r="T139" s="607"/>
      <c r="U139" s="607"/>
    </row>
    <row r="140" spans="1:21" ht="13" x14ac:dyDescent="0.4">
      <c r="A140" s="241"/>
      <c r="B140" s="241"/>
      <c r="C140" s="241"/>
      <c r="D140" s="241"/>
      <c r="E140" s="241"/>
      <c r="F140" s="241"/>
      <c r="G140" s="241"/>
      <c r="H140" s="241"/>
      <c r="I140" s="241"/>
      <c r="J140" s="241"/>
      <c r="K140" s="241"/>
      <c r="L140" s="241"/>
      <c r="M140" s="241"/>
      <c r="N140" s="241"/>
      <c r="O140" s="241"/>
      <c r="P140" s="241"/>
      <c r="Q140" s="241"/>
      <c r="R140" s="241"/>
      <c r="S140" s="241"/>
      <c r="T140" s="607"/>
      <c r="U140" s="607"/>
    </row>
    <row r="141" spans="1:21" ht="13" x14ac:dyDescent="0.4">
      <c r="A141" s="241"/>
      <c r="B141" s="241"/>
      <c r="C141" s="241"/>
      <c r="D141" s="241"/>
      <c r="E141" s="241"/>
      <c r="F141" s="241"/>
      <c r="G141" s="241"/>
      <c r="H141" s="241"/>
      <c r="I141" s="241"/>
      <c r="J141" s="241"/>
      <c r="K141" s="241"/>
      <c r="L141" s="241"/>
      <c r="M141" s="241"/>
      <c r="N141" s="241"/>
      <c r="O141" s="241"/>
      <c r="P141" s="241"/>
      <c r="Q141" s="241"/>
      <c r="R141" s="241"/>
      <c r="S141" s="241"/>
      <c r="T141" s="607"/>
      <c r="U141" s="607"/>
    </row>
    <row r="142" spans="1:21" ht="13" x14ac:dyDescent="0.4">
      <c r="A142" s="241"/>
      <c r="B142" s="241"/>
      <c r="C142" s="241"/>
      <c r="D142" s="241"/>
      <c r="E142" s="241"/>
      <c r="F142" s="241"/>
      <c r="G142" s="241"/>
      <c r="H142" s="241"/>
      <c r="I142" s="241"/>
      <c r="J142" s="241"/>
      <c r="K142" s="241"/>
      <c r="L142" s="241"/>
      <c r="M142" s="241"/>
      <c r="N142" s="241"/>
      <c r="O142" s="241"/>
      <c r="P142" s="241"/>
      <c r="Q142" s="241"/>
      <c r="R142" s="241"/>
      <c r="S142" s="241"/>
      <c r="T142" s="607"/>
      <c r="U142" s="607"/>
    </row>
    <row r="143" spans="1:21" ht="13" x14ac:dyDescent="0.4">
      <c r="A143" s="241"/>
      <c r="B143" s="241"/>
      <c r="C143" s="241"/>
      <c r="D143" s="241"/>
      <c r="E143" s="241"/>
      <c r="F143" s="241"/>
      <c r="G143" s="241"/>
      <c r="H143" s="241"/>
      <c r="I143" s="241"/>
      <c r="J143" s="241"/>
      <c r="K143" s="241"/>
      <c r="L143" s="241"/>
      <c r="M143" s="241"/>
      <c r="N143" s="241"/>
      <c r="O143" s="241"/>
      <c r="P143" s="241"/>
      <c r="Q143" s="241"/>
      <c r="R143" s="241"/>
      <c r="S143" s="241"/>
      <c r="T143" s="607"/>
      <c r="U143" s="607"/>
    </row>
    <row r="144" spans="1:21" ht="13" x14ac:dyDescent="0.4">
      <c r="A144" s="241"/>
      <c r="B144" s="241"/>
      <c r="C144" s="241"/>
      <c r="D144" s="241"/>
      <c r="E144" s="241"/>
      <c r="F144" s="241"/>
      <c r="G144" s="241"/>
      <c r="H144" s="241"/>
      <c r="I144" s="241"/>
      <c r="J144" s="241"/>
      <c r="K144" s="241"/>
      <c r="L144" s="241"/>
      <c r="M144" s="241"/>
      <c r="N144" s="241"/>
      <c r="O144" s="241"/>
      <c r="P144" s="241"/>
      <c r="Q144" s="241"/>
      <c r="R144" s="241"/>
      <c r="S144" s="241"/>
      <c r="T144" s="607"/>
      <c r="U144" s="607"/>
    </row>
    <row r="145" spans="1:21" ht="13" x14ac:dyDescent="0.4">
      <c r="A145" s="241"/>
      <c r="B145" s="241"/>
      <c r="C145" s="241"/>
      <c r="D145" s="241"/>
      <c r="E145" s="241"/>
      <c r="F145" s="241"/>
      <c r="G145" s="241"/>
      <c r="H145" s="241"/>
      <c r="I145" s="241"/>
      <c r="J145" s="241"/>
      <c r="K145" s="241"/>
      <c r="L145" s="241"/>
      <c r="M145" s="241"/>
      <c r="N145" s="241"/>
      <c r="O145" s="241"/>
      <c r="P145" s="241"/>
      <c r="Q145" s="241"/>
      <c r="R145" s="241"/>
      <c r="S145" s="241"/>
      <c r="T145" s="607"/>
      <c r="U145" s="607"/>
    </row>
    <row r="146" spans="1:21" ht="13" x14ac:dyDescent="0.4">
      <c r="A146" s="241"/>
      <c r="B146" s="241"/>
      <c r="C146" s="241"/>
      <c r="D146" s="241"/>
      <c r="E146" s="241"/>
      <c r="F146" s="241"/>
      <c r="G146" s="241"/>
      <c r="H146" s="241"/>
      <c r="I146" s="241"/>
      <c r="J146" s="241"/>
      <c r="K146" s="241"/>
      <c r="L146" s="241"/>
      <c r="M146" s="241"/>
      <c r="N146" s="241"/>
      <c r="O146" s="241"/>
      <c r="P146" s="241"/>
      <c r="Q146" s="241"/>
      <c r="R146" s="241"/>
      <c r="S146" s="241"/>
      <c r="T146" s="607"/>
      <c r="U146" s="607"/>
    </row>
    <row r="147" spans="1:21" ht="13" x14ac:dyDescent="0.4">
      <c r="A147" s="241"/>
      <c r="B147" s="241"/>
      <c r="C147" s="241"/>
      <c r="D147" s="241"/>
      <c r="E147" s="241"/>
      <c r="F147" s="241"/>
      <c r="G147" s="241"/>
      <c r="H147" s="241"/>
      <c r="I147" s="241"/>
      <c r="J147" s="241"/>
      <c r="K147" s="241"/>
      <c r="L147" s="241"/>
      <c r="M147" s="241"/>
      <c r="N147" s="241"/>
      <c r="O147" s="241"/>
      <c r="P147" s="241"/>
      <c r="Q147" s="241"/>
      <c r="R147" s="241"/>
      <c r="S147" s="241"/>
      <c r="T147" s="607"/>
      <c r="U147" s="607"/>
    </row>
    <row r="148" spans="1:21" ht="13" x14ac:dyDescent="0.4">
      <c r="A148" s="241"/>
      <c r="B148" s="241"/>
      <c r="C148" s="241"/>
      <c r="D148" s="241"/>
      <c r="E148" s="241"/>
      <c r="F148" s="241"/>
      <c r="G148" s="241"/>
      <c r="H148" s="241"/>
      <c r="I148" s="241"/>
      <c r="J148" s="241"/>
      <c r="K148" s="241"/>
      <c r="L148" s="241"/>
      <c r="M148" s="241"/>
      <c r="N148" s="241"/>
      <c r="O148" s="241"/>
      <c r="P148" s="241"/>
      <c r="Q148" s="241"/>
      <c r="R148" s="241"/>
      <c r="S148" s="241"/>
      <c r="T148" s="607"/>
      <c r="U148" s="607"/>
    </row>
    <row r="149" spans="1:21" ht="13" x14ac:dyDescent="0.4">
      <c r="A149" s="241"/>
      <c r="B149" s="241"/>
      <c r="C149" s="241"/>
      <c r="D149" s="241"/>
      <c r="E149" s="241"/>
      <c r="F149" s="241"/>
      <c r="G149" s="241"/>
      <c r="H149" s="241"/>
      <c r="I149" s="241"/>
      <c r="J149" s="241"/>
      <c r="K149" s="241"/>
      <c r="L149" s="241"/>
      <c r="M149" s="241"/>
      <c r="N149" s="241"/>
      <c r="O149" s="241"/>
      <c r="P149" s="241"/>
      <c r="Q149" s="241"/>
      <c r="R149" s="241"/>
      <c r="S149" s="241"/>
      <c r="T149" s="607"/>
      <c r="U149" s="607"/>
    </row>
    <row r="150" spans="1:21" ht="13" x14ac:dyDescent="0.4">
      <c r="A150" s="241"/>
      <c r="B150" s="241"/>
      <c r="C150" s="241"/>
      <c r="D150" s="241"/>
      <c r="E150" s="241"/>
      <c r="F150" s="241"/>
      <c r="G150" s="241"/>
      <c r="H150" s="241"/>
      <c r="I150" s="241"/>
      <c r="J150" s="241"/>
      <c r="K150" s="241"/>
      <c r="L150" s="241"/>
      <c r="M150" s="241"/>
      <c r="N150" s="241"/>
      <c r="O150" s="241"/>
      <c r="P150" s="241"/>
      <c r="Q150" s="241"/>
      <c r="R150" s="241"/>
      <c r="S150" s="241"/>
      <c r="T150" s="607"/>
      <c r="U150" s="607"/>
    </row>
    <row r="151" spans="1:21" ht="13" x14ac:dyDescent="0.4">
      <c r="A151" s="241"/>
      <c r="B151" s="241"/>
      <c r="C151" s="241"/>
      <c r="D151" s="241"/>
      <c r="E151" s="241"/>
      <c r="F151" s="241"/>
      <c r="G151" s="241"/>
      <c r="H151" s="241"/>
      <c r="I151" s="241"/>
      <c r="J151" s="241"/>
      <c r="K151" s="241"/>
      <c r="L151" s="241"/>
      <c r="M151" s="241"/>
      <c r="N151" s="241"/>
      <c r="O151" s="241"/>
      <c r="P151" s="241"/>
      <c r="Q151" s="241"/>
      <c r="R151" s="241"/>
      <c r="S151" s="241"/>
      <c r="T151" s="607"/>
      <c r="U151" s="607"/>
    </row>
    <row r="152" spans="1:21" ht="13" x14ac:dyDescent="0.4">
      <c r="A152" s="241"/>
      <c r="B152" s="241"/>
      <c r="C152" s="241"/>
      <c r="D152" s="241"/>
      <c r="E152" s="241"/>
      <c r="F152" s="241"/>
      <c r="G152" s="241"/>
      <c r="H152" s="241"/>
      <c r="I152" s="241"/>
      <c r="J152" s="241"/>
      <c r="K152" s="241"/>
      <c r="L152" s="241"/>
      <c r="M152" s="241"/>
      <c r="N152" s="241"/>
      <c r="O152" s="241"/>
      <c r="P152" s="241"/>
      <c r="Q152" s="241"/>
      <c r="R152" s="241"/>
      <c r="S152" s="241"/>
      <c r="T152" s="607"/>
      <c r="U152" s="607"/>
    </row>
    <row r="153" spans="1:21" ht="13" x14ac:dyDescent="0.4">
      <c r="A153" s="241"/>
      <c r="B153" s="241"/>
      <c r="C153" s="241"/>
      <c r="D153" s="241"/>
      <c r="E153" s="241"/>
      <c r="F153" s="241"/>
      <c r="G153" s="241"/>
      <c r="H153" s="241"/>
      <c r="I153" s="241"/>
      <c r="J153" s="241"/>
      <c r="K153" s="241"/>
      <c r="L153" s="241"/>
      <c r="M153" s="241"/>
      <c r="N153" s="241"/>
      <c r="O153" s="241"/>
      <c r="P153" s="241"/>
      <c r="Q153" s="241"/>
      <c r="R153" s="241"/>
      <c r="S153" s="241"/>
      <c r="T153" s="607"/>
      <c r="U153" s="607"/>
    </row>
    <row r="154" spans="1:21" ht="13" x14ac:dyDescent="0.4">
      <c r="A154" s="241"/>
      <c r="B154" s="241"/>
      <c r="C154" s="241"/>
      <c r="D154" s="241"/>
      <c r="E154" s="241"/>
      <c r="F154" s="241"/>
      <c r="G154" s="241"/>
      <c r="H154" s="241"/>
      <c r="I154" s="241"/>
      <c r="J154" s="241"/>
      <c r="K154" s="241"/>
      <c r="L154" s="241"/>
      <c r="M154" s="241"/>
      <c r="N154" s="241"/>
      <c r="O154" s="241"/>
      <c r="P154" s="241"/>
      <c r="Q154" s="241"/>
      <c r="R154" s="241"/>
      <c r="S154" s="241"/>
      <c r="T154" s="607"/>
      <c r="U154" s="607"/>
    </row>
    <row r="155" spans="1:21" ht="13" x14ac:dyDescent="0.4">
      <c r="A155" s="241"/>
      <c r="B155" s="241"/>
      <c r="C155" s="241"/>
      <c r="D155" s="241"/>
      <c r="E155" s="241"/>
      <c r="F155" s="241"/>
      <c r="G155" s="241"/>
      <c r="H155" s="241"/>
      <c r="I155" s="241"/>
      <c r="J155" s="241"/>
      <c r="K155" s="241"/>
      <c r="L155" s="241"/>
      <c r="M155" s="241"/>
      <c r="N155" s="241"/>
      <c r="O155" s="241"/>
      <c r="P155" s="241"/>
      <c r="Q155" s="241"/>
      <c r="R155" s="241"/>
      <c r="S155" s="241"/>
      <c r="T155" s="607"/>
      <c r="U155" s="607"/>
    </row>
    <row r="156" spans="1:21" ht="13" x14ac:dyDescent="0.4">
      <c r="A156" s="241"/>
      <c r="B156" s="241"/>
      <c r="C156" s="241"/>
      <c r="D156" s="241"/>
      <c r="E156" s="241"/>
      <c r="F156" s="241"/>
      <c r="G156" s="241"/>
      <c r="H156" s="241"/>
      <c r="I156" s="241"/>
      <c r="J156" s="241"/>
      <c r="K156" s="241"/>
      <c r="L156" s="241"/>
      <c r="M156" s="241"/>
      <c r="N156" s="241"/>
      <c r="O156" s="241"/>
      <c r="P156" s="241"/>
      <c r="Q156" s="241"/>
      <c r="R156" s="241"/>
      <c r="S156" s="241"/>
      <c r="T156" s="607"/>
      <c r="U156" s="607"/>
    </row>
    <row r="157" spans="1:21" ht="13" x14ac:dyDescent="0.4">
      <c r="A157" s="241"/>
      <c r="B157" s="241"/>
      <c r="C157" s="241"/>
      <c r="D157" s="241"/>
      <c r="E157" s="241"/>
      <c r="F157" s="241"/>
      <c r="G157" s="241"/>
      <c r="H157" s="241"/>
      <c r="I157" s="241"/>
      <c r="J157" s="241"/>
      <c r="K157" s="241"/>
      <c r="L157" s="241"/>
      <c r="M157" s="241"/>
      <c r="N157" s="241"/>
      <c r="O157" s="241"/>
      <c r="P157" s="241"/>
      <c r="Q157" s="241"/>
      <c r="R157" s="241"/>
      <c r="S157" s="241"/>
      <c r="T157" s="607"/>
      <c r="U157" s="607"/>
    </row>
    <row r="158" spans="1:21" ht="13" x14ac:dyDescent="0.4">
      <c r="A158" s="241"/>
      <c r="B158" s="241"/>
      <c r="C158" s="241"/>
      <c r="D158" s="241"/>
      <c r="E158" s="241"/>
      <c r="F158" s="241"/>
      <c r="G158" s="241"/>
      <c r="H158" s="241"/>
      <c r="I158" s="241"/>
      <c r="J158" s="241"/>
      <c r="K158" s="241"/>
      <c r="L158" s="241"/>
      <c r="M158" s="241"/>
      <c r="N158" s="241"/>
      <c r="O158" s="241"/>
      <c r="P158" s="241"/>
      <c r="Q158" s="241"/>
      <c r="R158" s="241"/>
      <c r="S158" s="241"/>
      <c r="T158" s="607"/>
      <c r="U158" s="607"/>
    </row>
    <row r="159" spans="1:21" ht="13" x14ac:dyDescent="0.4">
      <c r="A159" s="241"/>
      <c r="B159" s="241"/>
      <c r="C159" s="241"/>
      <c r="D159" s="241"/>
      <c r="E159" s="241"/>
      <c r="F159" s="241"/>
      <c r="G159" s="241"/>
      <c r="H159" s="241"/>
      <c r="I159" s="241"/>
      <c r="J159" s="241"/>
      <c r="K159" s="241"/>
      <c r="L159" s="241"/>
      <c r="M159" s="241"/>
      <c r="N159" s="241"/>
      <c r="O159" s="241"/>
      <c r="P159" s="241"/>
      <c r="Q159" s="241"/>
      <c r="R159" s="241"/>
      <c r="S159" s="241"/>
      <c r="T159" s="607"/>
      <c r="U159" s="607"/>
    </row>
    <row r="160" spans="1:21" ht="13" x14ac:dyDescent="0.4">
      <c r="A160" s="241"/>
      <c r="B160" s="241"/>
      <c r="C160" s="241"/>
      <c r="D160" s="241"/>
      <c r="E160" s="241"/>
      <c r="F160" s="241"/>
      <c r="G160" s="241"/>
      <c r="H160" s="241"/>
      <c r="I160" s="241"/>
      <c r="J160" s="241"/>
      <c r="K160" s="241"/>
      <c r="L160" s="241"/>
      <c r="M160" s="241"/>
      <c r="N160" s="241"/>
      <c r="O160" s="241"/>
      <c r="P160" s="241"/>
      <c r="Q160" s="241"/>
      <c r="R160" s="241"/>
      <c r="S160" s="241"/>
      <c r="T160" s="607"/>
      <c r="U160" s="607"/>
    </row>
    <row r="161" spans="1:21" ht="13" x14ac:dyDescent="0.4">
      <c r="A161" s="241"/>
      <c r="B161" s="241"/>
      <c r="C161" s="241"/>
      <c r="D161" s="241"/>
      <c r="E161" s="241"/>
      <c r="F161" s="241"/>
      <c r="G161" s="241"/>
      <c r="H161" s="241"/>
      <c r="I161" s="241"/>
      <c r="J161" s="241"/>
      <c r="K161" s="241"/>
      <c r="L161" s="241"/>
      <c r="M161" s="241"/>
      <c r="N161" s="241"/>
      <c r="O161" s="241"/>
      <c r="P161" s="241"/>
      <c r="Q161" s="241"/>
      <c r="R161" s="241"/>
      <c r="S161" s="241"/>
      <c r="T161" s="607"/>
      <c r="U161" s="607"/>
    </row>
    <row r="162" spans="1:21" ht="13" x14ac:dyDescent="0.4">
      <c r="A162" s="241"/>
      <c r="B162" s="241"/>
      <c r="C162" s="241"/>
      <c r="D162" s="241"/>
      <c r="E162" s="241"/>
      <c r="F162" s="241"/>
      <c r="G162" s="241"/>
      <c r="H162" s="241"/>
      <c r="I162" s="241"/>
      <c r="J162" s="241"/>
      <c r="K162" s="241"/>
      <c r="L162" s="241"/>
      <c r="M162" s="241"/>
      <c r="N162" s="241"/>
      <c r="O162" s="241"/>
      <c r="P162" s="241"/>
      <c r="Q162" s="241"/>
      <c r="R162" s="241"/>
      <c r="S162" s="241"/>
      <c r="T162" s="607"/>
      <c r="U162" s="607"/>
    </row>
    <row r="163" spans="1:21" ht="13" x14ac:dyDescent="0.4">
      <c r="A163" s="241"/>
      <c r="B163" s="241"/>
      <c r="C163" s="241"/>
      <c r="D163" s="241"/>
      <c r="E163" s="241"/>
      <c r="F163" s="241"/>
      <c r="G163" s="241"/>
      <c r="H163" s="241"/>
      <c r="I163" s="241"/>
      <c r="J163" s="241"/>
      <c r="K163" s="241"/>
      <c r="L163" s="241"/>
      <c r="M163" s="241"/>
      <c r="N163" s="241"/>
      <c r="O163" s="241"/>
      <c r="P163" s="241"/>
      <c r="Q163" s="241"/>
      <c r="R163" s="241"/>
      <c r="S163" s="241"/>
      <c r="T163" s="607"/>
      <c r="U163" s="607"/>
    </row>
    <row r="164" spans="1:21" ht="13" x14ac:dyDescent="0.4">
      <c r="A164" s="241"/>
      <c r="B164" s="241"/>
      <c r="C164" s="241"/>
      <c r="D164" s="241"/>
      <c r="E164" s="241"/>
      <c r="F164" s="241"/>
      <c r="G164" s="241"/>
      <c r="H164" s="241"/>
      <c r="I164" s="241"/>
      <c r="J164" s="241"/>
      <c r="K164" s="241"/>
      <c r="L164" s="241"/>
      <c r="M164" s="241"/>
      <c r="N164" s="241"/>
      <c r="O164" s="241"/>
      <c r="P164" s="241"/>
      <c r="Q164" s="241"/>
      <c r="R164" s="241"/>
      <c r="S164" s="241"/>
      <c r="T164" s="607"/>
      <c r="U164" s="607"/>
    </row>
    <row r="165" spans="1:21" ht="13" x14ac:dyDescent="0.4">
      <c r="A165" s="241"/>
      <c r="B165" s="241"/>
      <c r="C165" s="241"/>
      <c r="D165" s="241"/>
      <c r="E165" s="241"/>
      <c r="F165" s="241"/>
      <c r="G165" s="241"/>
      <c r="H165" s="241"/>
      <c r="I165" s="241"/>
      <c r="J165" s="241"/>
      <c r="K165" s="241"/>
      <c r="L165" s="241"/>
      <c r="M165" s="241"/>
      <c r="N165" s="241"/>
      <c r="O165" s="241"/>
      <c r="P165" s="241"/>
      <c r="Q165" s="241"/>
      <c r="R165" s="241"/>
      <c r="S165" s="241"/>
      <c r="T165" s="607"/>
      <c r="U165" s="607"/>
    </row>
    <row r="166" spans="1:21" ht="13" x14ac:dyDescent="0.4">
      <c r="A166" s="241"/>
      <c r="B166" s="241"/>
      <c r="C166" s="241"/>
      <c r="D166" s="241"/>
      <c r="E166" s="241"/>
      <c r="F166" s="241"/>
      <c r="G166" s="241"/>
      <c r="H166" s="241"/>
      <c r="I166" s="241"/>
      <c r="J166" s="241"/>
      <c r="K166" s="241"/>
      <c r="L166" s="241"/>
      <c r="M166" s="241"/>
      <c r="N166" s="241"/>
      <c r="O166" s="241"/>
      <c r="P166" s="241"/>
      <c r="Q166" s="241"/>
      <c r="R166" s="241"/>
      <c r="S166" s="241"/>
      <c r="T166" s="607"/>
      <c r="U166" s="607"/>
    </row>
    <row r="167" spans="1:21" ht="13" x14ac:dyDescent="0.4">
      <c r="A167" s="241"/>
      <c r="B167" s="241"/>
      <c r="C167" s="241"/>
      <c r="D167" s="241"/>
      <c r="E167" s="241"/>
      <c r="F167" s="241"/>
      <c r="G167" s="241"/>
      <c r="H167" s="241"/>
      <c r="I167" s="241"/>
      <c r="J167" s="241"/>
      <c r="K167" s="241"/>
      <c r="L167" s="241"/>
      <c r="M167" s="241"/>
      <c r="N167" s="241"/>
      <c r="O167" s="241"/>
      <c r="P167" s="241"/>
      <c r="Q167" s="241"/>
      <c r="R167" s="241"/>
      <c r="S167" s="241"/>
      <c r="T167" s="607"/>
      <c r="U167" s="607"/>
    </row>
    <row r="168" spans="1:21" ht="13" x14ac:dyDescent="0.4">
      <c r="A168" s="241"/>
      <c r="B168" s="241"/>
      <c r="C168" s="241"/>
      <c r="D168" s="241"/>
      <c r="E168" s="241"/>
      <c r="F168" s="241"/>
      <c r="G168" s="241"/>
      <c r="H168" s="241"/>
      <c r="I168" s="241"/>
      <c r="J168" s="241"/>
      <c r="K168" s="241"/>
      <c r="L168" s="241"/>
      <c r="M168" s="241"/>
      <c r="N168" s="241"/>
      <c r="O168" s="241"/>
      <c r="P168" s="241"/>
      <c r="Q168" s="241"/>
      <c r="R168" s="241"/>
      <c r="S168" s="241"/>
      <c r="T168" s="607"/>
      <c r="U168" s="607"/>
    </row>
    <row r="169" spans="1:21" ht="13" x14ac:dyDescent="0.4">
      <c r="A169" s="241"/>
      <c r="B169" s="241"/>
      <c r="C169" s="241"/>
      <c r="D169" s="241"/>
      <c r="E169" s="241"/>
      <c r="F169" s="241"/>
      <c r="G169" s="241"/>
      <c r="H169" s="241"/>
      <c r="I169" s="241"/>
      <c r="J169" s="241"/>
      <c r="K169" s="241"/>
      <c r="L169" s="241"/>
      <c r="M169" s="241"/>
      <c r="N169" s="241"/>
      <c r="O169" s="241"/>
      <c r="P169" s="241"/>
      <c r="Q169" s="241"/>
      <c r="R169" s="241"/>
      <c r="S169" s="241"/>
      <c r="T169" s="607"/>
      <c r="U169" s="607"/>
    </row>
    <row r="170" spans="1:21" ht="13" x14ac:dyDescent="0.4">
      <c r="A170" s="241"/>
      <c r="B170" s="241"/>
      <c r="C170" s="241"/>
      <c r="D170" s="241"/>
      <c r="E170" s="241"/>
      <c r="F170" s="241"/>
      <c r="G170" s="241"/>
      <c r="H170" s="241"/>
      <c r="I170" s="241"/>
      <c r="J170" s="241"/>
      <c r="K170" s="241"/>
      <c r="L170" s="241"/>
      <c r="M170" s="241"/>
      <c r="N170" s="241"/>
      <c r="O170" s="241"/>
      <c r="P170" s="241"/>
      <c r="Q170" s="241"/>
      <c r="R170" s="241"/>
      <c r="S170" s="241"/>
      <c r="T170" s="607"/>
      <c r="U170" s="607"/>
    </row>
    <row r="171" spans="1:21" ht="13" x14ac:dyDescent="0.4">
      <c r="A171" s="241"/>
      <c r="B171" s="241"/>
      <c r="C171" s="241"/>
      <c r="D171" s="241"/>
      <c r="E171" s="241"/>
      <c r="F171" s="241"/>
      <c r="G171" s="241"/>
      <c r="H171" s="241"/>
      <c r="I171" s="241"/>
      <c r="J171" s="241"/>
      <c r="K171" s="241"/>
      <c r="L171" s="241"/>
      <c r="M171" s="241"/>
      <c r="N171" s="241"/>
      <c r="O171" s="241"/>
      <c r="P171" s="241"/>
      <c r="Q171" s="241"/>
      <c r="R171" s="241"/>
      <c r="S171" s="241"/>
      <c r="T171" s="607"/>
      <c r="U171" s="607"/>
    </row>
    <row r="172" spans="1:21" ht="13" x14ac:dyDescent="0.4">
      <c r="A172" s="241"/>
      <c r="B172" s="241"/>
      <c r="C172" s="241"/>
      <c r="D172" s="241"/>
      <c r="E172" s="241"/>
      <c r="F172" s="241"/>
      <c r="G172" s="241"/>
      <c r="H172" s="241"/>
      <c r="I172" s="241"/>
      <c r="J172" s="241"/>
      <c r="K172" s="241"/>
      <c r="L172" s="241"/>
      <c r="M172" s="241"/>
      <c r="N172" s="241"/>
      <c r="O172" s="241"/>
      <c r="P172" s="241"/>
      <c r="Q172" s="241"/>
      <c r="R172" s="241"/>
      <c r="S172" s="241"/>
      <c r="T172" s="607"/>
      <c r="U172" s="607"/>
    </row>
    <row r="173" spans="1:21" ht="13" x14ac:dyDescent="0.4">
      <c r="A173" s="241"/>
      <c r="B173" s="241"/>
      <c r="C173" s="241"/>
      <c r="D173" s="241"/>
      <c r="E173" s="241"/>
      <c r="F173" s="241"/>
      <c r="G173" s="241"/>
      <c r="H173" s="241"/>
      <c r="I173" s="241"/>
      <c r="J173" s="241"/>
      <c r="K173" s="241"/>
      <c r="L173" s="241"/>
      <c r="M173" s="241"/>
      <c r="N173" s="241"/>
      <c r="O173" s="241"/>
      <c r="P173" s="241"/>
      <c r="Q173" s="241"/>
      <c r="R173" s="241"/>
      <c r="S173" s="241"/>
      <c r="T173" s="607"/>
      <c r="U173" s="607"/>
    </row>
    <row r="174" spans="1:21" ht="13" x14ac:dyDescent="0.4">
      <c r="A174" s="241"/>
      <c r="B174" s="241"/>
      <c r="C174" s="241"/>
      <c r="D174" s="241"/>
      <c r="E174" s="241"/>
      <c r="F174" s="241"/>
      <c r="G174" s="241"/>
      <c r="H174" s="241"/>
      <c r="I174" s="241"/>
      <c r="J174" s="241"/>
      <c r="K174" s="241"/>
      <c r="L174" s="241"/>
      <c r="M174" s="241"/>
      <c r="N174" s="241"/>
      <c r="O174" s="241"/>
      <c r="P174" s="241"/>
      <c r="Q174" s="241"/>
      <c r="R174" s="241"/>
      <c r="S174" s="241"/>
      <c r="T174" s="607"/>
      <c r="U174" s="607"/>
    </row>
    <row r="175" spans="1:21" ht="13" x14ac:dyDescent="0.4">
      <c r="A175" s="241"/>
      <c r="B175" s="241"/>
      <c r="C175" s="241"/>
      <c r="D175" s="241"/>
      <c r="E175" s="241"/>
      <c r="F175" s="241"/>
      <c r="G175" s="241"/>
      <c r="H175" s="241"/>
      <c r="I175" s="241"/>
      <c r="J175" s="241"/>
      <c r="K175" s="241"/>
      <c r="L175" s="241"/>
      <c r="M175" s="241"/>
      <c r="N175" s="241"/>
      <c r="O175" s="241"/>
      <c r="P175" s="241"/>
      <c r="Q175" s="241"/>
      <c r="R175" s="241"/>
      <c r="S175" s="241"/>
      <c r="T175" s="607"/>
      <c r="U175" s="607"/>
    </row>
    <row r="176" spans="1:21" ht="13" x14ac:dyDescent="0.4">
      <c r="A176" s="241"/>
      <c r="B176" s="241"/>
      <c r="C176" s="241"/>
      <c r="D176" s="241"/>
      <c r="E176" s="241"/>
      <c r="F176" s="241"/>
      <c r="G176" s="241"/>
      <c r="H176" s="241"/>
      <c r="I176" s="241"/>
      <c r="J176" s="241"/>
      <c r="K176" s="241"/>
      <c r="L176" s="241"/>
      <c r="M176" s="241"/>
      <c r="N176" s="241"/>
      <c r="O176" s="241"/>
      <c r="P176" s="241"/>
      <c r="Q176" s="241"/>
      <c r="R176" s="241"/>
      <c r="S176" s="241"/>
      <c r="T176" s="607"/>
      <c r="U176" s="607"/>
    </row>
    <row r="177" spans="1:21" ht="13" x14ac:dyDescent="0.4">
      <c r="A177" s="241"/>
      <c r="B177" s="241"/>
      <c r="C177" s="241"/>
      <c r="D177" s="241"/>
      <c r="E177" s="241"/>
      <c r="F177" s="241"/>
      <c r="G177" s="241"/>
      <c r="H177" s="241"/>
      <c r="I177" s="241"/>
      <c r="J177" s="241"/>
      <c r="K177" s="241"/>
      <c r="L177" s="241"/>
      <c r="M177" s="241"/>
      <c r="N177" s="241"/>
      <c r="O177" s="241"/>
      <c r="P177" s="241"/>
      <c r="Q177" s="241"/>
      <c r="R177" s="241"/>
      <c r="S177" s="241"/>
      <c r="T177" s="607"/>
      <c r="U177" s="607"/>
    </row>
    <row r="178" spans="1:21" ht="13" x14ac:dyDescent="0.4">
      <c r="A178" s="241"/>
      <c r="B178" s="241"/>
      <c r="C178" s="241"/>
      <c r="D178" s="241"/>
      <c r="E178" s="241"/>
      <c r="F178" s="241"/>
      <c r="G178" s="241"/>
      <c r="H178" s="241"/>
      <c r="I178" s="241"/>
      <c r="J178" s="241"/>
      <c r="K178" s="241"/>
      <c r="L178" s="241"/>
      <c r="M178" s="241"/>
      <c r="N178" s="241"/>
      <c r="O178" s="241"/>
      <c r="P178" s="241"/>
      <c r="Q178" s="241"/>
      <c r="R178" s="241"/>
      <c r="S178" s="241"/>
      <c r="T178" s="607"/>
      <c r="U178" s="607"/>
    </row>
    <row r="179" spans="1:21" ht="13" x14ac:dyDescent="0.4">
      <c r="A179" s="241"/>
      <c r="B179" s="241"/>
      <c r="C179" s="241"/>
      <c r="D179" s="241"/>
      <c r="E179" s="241"/>
      <c r="F179" s="241"/>
      <c r="G179" s="241"/>
      <c r="H179" s="241"/>
      <c r="I179" s="241"/>
      <c r="J179" s="241"/>
      <c r="K179" s="241"/>
      <c r="L179" s="241"/>
      <c r="M179" s="241"/>
      <c r="N179" s="241"/>
      <c r="O179" s="241"/>
      <c r="P179" s="241"/>
      <c r="Q179" s="241"/>
      <c r="R179" s="241"/>
      <c r="S179" s="241"/>
      <c r="T179" s="607"/>
      <c r="U179" s="607"/>
    </row>
    <row r="180" spans="1:21" ht="13" x14ac:dyDescent="0.4">
      <c r="A180" s="241"/>
      <c r="B180" s="241"/>
      <c r="C180" s="241"/>
      <c r="D180" s="241"/>
      <c r="E180" s="241"/>
      <c r="F180" s="241"/>
      <c r="G180" s="241"/>
      <c r="H180" s="241"/>
      <c r="I180" s="241"/>
      <c r="J180" s="241"/>
      <c r="K180" s="241"/>
      <c r="L180" s="241"/>
      <c r="M180" s="241"/>
      <c r="N180" s="241"/>
      <c r="O180" s="241"/>
      <c r="P180" s="241"/>
      <c r="Q180" s="241"/>
      <c r="R180" s="241"/>
      <c r="S180" s="241"/>
      <c r="T180" s="607"/>
      <c r="U180" s="607"/>
    </row>
    <row r="181" spans="1:21" ht="13" x14ac:dyDescent="0.4">
      <c r="A181" s="241"/>
      <c r="B181" s="241"/>
      <c r="C181" s="241"/>
      <c r="D181" s="241"/>
      <c r="E181" s="241"/>
      <c r="F181" s="241"/>
      <c r="G181" s="241"/>
      <c r="H181" s="241"/>
      <c r="I181" s="241"/>
      <c r="J181" s="241"/>
      <c r="K181" s="241"/>
      <c r="L181" s="241"/>
      <c r="M181" s="241"/>
      <c r="N181" s="241"/>
      <c r="O181" s="241"/>
      <c r="P181" s="241"/>
      <c r="Q181" s="241"/>
      <c r="R181" s="241"/>
      <c r="S181" s="241"/>
      <c r="T181" s="607"/>
      <c r="U181" s="607"/>
    </row>
    <row r="182" spans="1:21" ht="13" x14ac:dyDescent="0.4">
      <c r="A182" s="241"/>
      <c r="B182" s="241"/>
      <c r="C182" s="241"/>
      <c r="D182" s="241"/>
      <c r="E182" s="241"/>
      <c r="F182" s="241"/>
      <c r="G182" s="241"/>
      <c r="H182" s="241"/>
      <c r="I182" s="241"/>
      <c r="J182" s="241"/>
      <c r="K182" s="241"/>
      <c r="L182" s="241"/>
      <c r="M182" s="241"/>
      <c r="N182" s="241"/>
      <c r="O182" s="241"/>
      <c r="P182" s="241"/>
      <c r="Q182" s="241"/>
      <c r="R182" s="241"/>
      <c r="S182" s="241"/>
      <c r="T182" s="607"/>
      <c r="U182" s="607"/>
    </row>
    <row r="183" spans="1:21" ht="13" x14ac:dyDescent="0.4">
      <c r="A183" s="241"/>
      <c r="B183" s="241"/>
      <c r="C183" s="241"/>
      <c r="D183" s="241"/>
      <c r="E183" s="241"/>
      <c r="F183" s="241"/>
      <c r="G183" s="241"/>
      <c r="H183" s="241"/>
      <c r="I183" s="241"/>
      <c r="J183" s="241"/>
      <c r="K183" s="241"/>
      <c r="L183" s="241"/>
      <c r="M183" s="241"/>
      <c r="N183" s="241"/>
      <c r="O183" s="241"/>
      <c r="P183" s="241"/>
      <c r="Q183" s="241"/>
      <c r="R183" s="241"/>
      <c r="S183" s="241"/>
      <c r="T183" s="607"/>
      <c r="U183" s="607"/>
    </row>
    <row r="184" spans="1:21" ht="13" x14ac:dyDescent="0.4">
      <c r="A184" s="241"/>
      <c r="B184" s="241"/>
      <c r="C184" s="241"/>
      <c r="D184" s="241"/>
      <c r="E184" s="241"/>
      <c r="F184" s="241"/>
      <c r="G184" s="241"/>
      <c r="H184" s="241"/>
      <c r="I184" s="241"/>
      <c r="J184" s="241"/>
      <c r="K184" s="241"/>
      <c r="L184" s="241"/>
      <c r="M184" s="241"/>
      <c r="N184" s="241"/>
      <c r="O184" s="241"/>
      <c r="P184" s="241"/>
      <c r="Q184" s="241"/>
      <c r="R184" s="241"/>
      <c r="S184" s="241"/>
      <c r="T184" s="607"/>
      <c r="U184" s="607"/>
    </row>
    <row r="185" spans="1:21" ht="13" x14ac:dyDescent="0.4">
      <c r="A185" s="241"/>
      <c r="B185" s="241"/>
      <c r="C185" s="241"/>
      <c r="D185" s="241"/>
      <c r="E185" s="241"/>
      <c r="F185" s="241"/>
      <c r="G185" s="241"/>
      <c r="H185" s="241"/>
      <c r="I185" s="241"/>
      <c r="J185" s="241"/>
      <c r="K185" s="241"/>
      <c r="L185" s="241"/>
      <c r="M185" s="241"/>
      <c r="N185" s="241"/>
      <c r="O185" s="241"/>
      <c r="P185" s="241"/>
      <c r="Q185" s="241"/>
      <c r="R185" s="241"/>
      <c r="S185" s="241"/>
      <c r="T185" s="607"/>
      <c r="U185" s="607"/>
    </row>
    <row r="186" spans="1:21" ht="13" x14ac:dyDescent="0.4">
      <c r="A186" s="241"/>
      <c r="B186" s="241"/>
      <c r="C186" s="241"/>
      <c r="D186" s="241"/>
      <c r="E186" s="241"/>
      <c r="F186" s="241"/>
      <c r="G186" s="241"/>
      <c r="H186" s="241"/>
      <c r="I186" s="241"/>
      <c r="J186" s="241"/>
      <c r="K186" s="241"/>
      <c r="L186" s="241"/>
      <c r="M186" s="241"/>
      <c r="N186" s="241"/>
      <c r="O186" s="241"/>
      <c r="P186" s="241"/>
      <c r="Q186" s="241"/>
      <c r="R186" s="241"/>
      <c r="S186" s="241"/>
      <c r="T186" s="607"/>
      <c r="U186" s="607"/>
    </row>
    <row r="187" spans="1:21" ht="13" x14ac:dyDescent="0.4">
      <c r="A187" s="241"/>
      <c r="B187" s="241"/>
      <c r="C187" s="241"/>
      <c r="D187" s="241"/>
      <c r="E187" s="241"/>
      <c r="F187" s="241"/>
      <c r="G187" s="241"/>
      <c r="H187" s="241"/>
      <c r="I187" s="241"/>
      <c r="J187" s="241"/>
      <c r="K187" s="241"/>
      <c r="L187" s="241"/>
      <c r="M187" s="241"/>
      <c r="N187" s="241"/>
      <c r="O187" s="241"/>
      <c r="P187" s="241"/>
      <c r="Q187" s="241"/>
      <c r="R187" s="241"/>
      <c r="S187" s="241"/>
      <c r="T187" s="607"/>
      <c r="U187" s="607"/>
    </row>
    <row r="188" spans="1:21" ht="13" x14ac:dyDescent="0.4">
      <c r="A188" s="241"/>
      <c r="B188" s="241"/>
      <c r="C188" s="241"/>
      <c r="D188" s="241"/>
      <c r="E188" s="241"/>
      <c r="F188" s="241"/>
      <c r="G188" s="241"/>
      <c r="H188" s="241"/>
      <c r="I188" s="241"/>
      <c r="J188" s="241"/>
      <c r="K188" s="241"/>
      <c r="L188" s="241"/>
      <c r="M188" s="241"/>
      <c r="N188" s="241"/>
      <c r="O188" s="241"/>
      <c r="P188" s="241"/>
      <c r="Q188" s="241"/>
      <c r="R188" s="241"/>
      <c r="S188" s="241"/>
      <c r="T188" s="607"/>
      <c r="U188" s="607"/>
    </row>
    <row r="189" spans="1:21" ht="13" x14ac:dyDescent="0.4">
      <c r="A189" s="241"/>
      <c r="B189" s="241"/>
      <c r="C189" s="241"/>
      <c r="D189" s="241"/>
      <c r="E189" s="241"/>
      <c r="F189" s="241"/>
      <c r="G189" s="241"/>
      <c r="H189" s="241"/>
      <c r="I189" s="241"/>
      <c r="J189" s="241"/>
      <c r="K189" s="241"/>
      <c r="L189" s="241"/>
      <c r="M189" s="241"/>
      <c r="N189" s="241"/>
      <c r="O189" s="241"/>
      <c r="P189" s="241"/>
      <c r="Q189" s="241"/>
      <c r="R189" s="241"/>
      <c r="S189" s="241"/>
      <c r="T189" s="607"/>
      <c r="U189" s="607"/>
    </row>
    <row r="190" spans="1:21" ht="13" x14ac:dyDescent="0.4">
      <c r="A190" s="241"/>
      <c r="B190" s="241"/>
      <c r="C190" s="241"/>
      <c r="D190" s="241"/>
      <c r="E190" s="241"/>
      <c r="F190" s="241"/>
      <c r="G190" s="241"/>
      <c r="H190" s="241"/>
      <c r="I190" s="241"/>
      <c r="J190" s="241"/>
      <c r="K190" s="241"/>
      <c r="L190" s="241"/>
      <c r="M190" s="241"/>
      <c r="N190" s="241"/>
      <c r="O190" s="241"/>
      <c r="P190" s="241"/>
      <c r="Q190" s="241"/>
      <c r="R190" s="241"/>
      <c r="S190" s="241"/>
      <c r="T190" s="607"/>
      <c r="U190" s="607"/>
    </row>
    <row r="191" spans="1:21" ht="13" x14ac:dyDescent="0.4">
      <c r="A191" s="241"/>
      <c r="B191" s="241"/>
      <c r="C191" s="241"/>
      <c r="D191" s="241"/>
      <c r="E191" s="241"/>
      <c r="F191" s="241"/>
      <c r="G191" s="241"/>
      <c r="H191" s="241"/>
      <c r="I191" s="241"/>
      <c r="J191" s="241"/>
      <c r="K191" s="241"/>
      <c r="L191" s="241"/>
      <c r="M191" s="241"/>
      <c r="N191" s="241"/>
      <c r="O191" s="241"/>
      <c r="P191" s="241"/>
      <c r="Q191" s="241"/>
      <c r="R191" s="241"/>
      <c r="S191" s="241"/>
      <c r="T191" s="607"/>
      <c r="U191" s="607"/>
    </row>
    <row r="192" spans="1:21" ht="13" x14ac:dyDescent="0.4">
      <c r="A192" s="241"/>
      <c r="B192" s="241"/>
      <c r="C192" s="241"/>
      <c r="D192" s="241"/>
      <c r="E192" s="241"/>
      <c r="F192" s="241"/>
      <c r="G192" s="241"/>
      <c r="H192" s="241"/>
      <c r="I192" s="241"/>
      <c r="J192" s="241"/>
      <c r="K192" s="241"/>
      <c r="L192" s="241"/>
      <c r="M192" s="241"/>
      <c r="N192" s="241"/>
      <c r="O192" s="241"/>
      <c r="P192" s="241"/>
      <c r="Q192" s="241"/>
      <c r="R192" s="241"/>
      <c r="S192" s="241"/>
      <c r="T192" s="607"/>
      <c r="U192" s="607"/>
    </row>
    <row r="193" spans="1:21" ht="13" x14ac:dyDescent="0.4">
      <c r="A193" s="241"/>
      <c r="B193" s="241"/>
      <c r="C193" s="241"/>
      <c r="D193" s="241"/>
      <c r="E193" s="241"/>
      <c r="F193" s="241"/>
      <c r="G193" s="241"/>
      <c r="H193" s="241"/>
      <c r="I193" s="241"/>
      <c r="J193" s="241"/>
      <c r="K193" s="241"/>
      <c r="L193" s="241"/>
      <c r="M193" s="241"/>
      <c r="N193" s="241"/>
      <c r="O193" s="241"/>
      <c r="P193" s="241"/>
      <c r="Q193" s="241"/>
      <c r="R193" s="241"/>
      <c r="S193" s="241"/>
      <c r="T193" s="607"/>
      <c r="U193" s="607"/>
    </row>
    <row r="194" spans="1:21" ht="13" x14ac:dyDescent="0.4">
      <c r="A194" s="241"/>
      <c r="B194" s="241"/>
      <c r="C194" s="241"/>
      <c r="D194" s="241"/>
      <c r="E194" s="241"/>
      <c r="F194" s="241"/>
      <c r="G194" s="241"/>
      <c r="H194" s="241"/>
      <c r="I194" s="241"/>
      <c r="J194" s="241"/>
      <c r="K194" s="241"/>
      <c r="L194" s="241"/>
      <c r="M194" s="241"/>
      <c r="N194" s="241"/>
      <c r="O194" s="241"/>
      <c r="P194" s="241"/>
      <c r="Q194" s="241"/>
      <c r="R194" s="241"/>
      <c r="S194" s="241"/>
      <c r="T194" s="607"/>
      <c r="U194" s="607"/>
    </row>
    <row r="195" spans="1:21" ht="13" x14ac:dyDescent="0.4">
      <c r="A195" s="241"/>
      <c r="B195" s="241"/>
      <c r="C195" s="241"/>
      <c r="D195" s="241"/>
      <c r="E195" s="241"/>
      <c r="F195" s="241"/>
      <c r="G195" s="241"/>
      <c r="H195" s="241"/>
      <c r="I195" s="241"/>
      <c r="J195" s="241"/>
      <c r="K195" s="241"/>
      <c r="L195" s="241"/>
      <c r="M195" s="241"/>
      <c r="N195" s="241"/>
      <c r="O195" s="241"/>
      <c r="P195" s="241"/>
      <c r="Q195" s="241"/>
      <c r="R195" s="241"/>
      <c r="S195" s="241"/>
      <c r="T195" s="607"/>
      <c r="U195" s="607"/>
    </row>
    <row r="196" spans="1:21" ht="13" x14ac:dyDescent="0.4">
      <c r="A196" s="241"/>
      <c r="B196" s="241"/>
      <c r="C196" s="241"/>
      <c r="D196" s="241"/>
      <c r="E196" s="241"/>
      <c r="F196" s="241"/>
      <c r="G196" s="241"/>
      <c r="H196" s="241"/>
      <c r="I196" s="241"/>
      <c r="J196" s="241"/>
      <c r="K196" s="241"/>
      <c r="L196" s="241"/>
      <c r="M196" s="241"/>
      <c r="N196" s="241"/>
      <c r="O196" s="241"/>
      <c r="P196" s="241"/>
      <c r="Q196" s="241"/>
      <c r="R196" s="241"/>
      <c r="S196" s="241"/>
      <c r="T196" s="607"/>
      <c r="U196" s="607"/>
    </row>
    <row r="197" spans="1:21" ht="13" x14ac:dyDescent="0.4">
      <c r="A197" s="241"/>
      <c r="B197" s="241"/>
      <c r="C197" s="241"/>
      <c r="D197" s="241"/>
      <c r="E197" s="241"/>
      <c r="F197" s="241"/>
      <c r="G197" s="241"/>
      <c r="H197" s="241"/>
      <c r="I197" s="241"/>
      <c r="J197" s="241"/>
      <c r="K197" s="241"/>
      <c r="L197" s="241"/>
      <c r="M197" s="241"/>
      <c r="N197" s="241"/>
      <c r="O197" s="241"/>
      <c r="P197" s="241"/>
      <c r="Q197" s="241"/>
      <c r="R197" s="241"/>
      <c r="S197" s="241"/>
      <c r="T197" s="607"/>
      <c r="U197" s="607"/>
    </row>
    <row r="198" spans="1:21" ht="13" x14ac:dyDescent="0.4">
      <c r="A198" s="241"/>
      <c r="B198" s="241"/>
      <c r="C198" s="241"/>
      <c r="D198" s="241"/>
      <c r="E198" s="241"/>
      <c r="F198" s="241"/>
      <c r="G198" s="241"/>
      <c r="H198" s="241"/>
      <c r="I198" s="241"/>
      <c r="J198" s="241"/>
      <c r="K198" s="241"/>
      <c r="L198" s="241"/>
      <c r="M198" s="241"/>
      <c r="N198" s="241"/>
      <c r="O198" s="241"/>
      <c r="P198" s="241"/>
      <c r="Q198" s="241"/>
      <c r="R198" s="241"/>
      <c r="S198" s="241"/>
      <c r="T198" s="607"/>
      <c r="U198" s="607"/>
    </row>
    <row r="199" spans="1:21" ht="13" x14ac:dyDescent="0.4">
      <c r="A199" s="241"/>
      <c r="B199" s="241"/>
      <c r="C199" s="241"/>
      <c r="D199" s="241"/>
      <c r="E199" s="241"/>
      <c r="F199" s="241"/>
      <c r="G199" s="241"/>
      <c r="H199" s="241"/>
      <c r="I199" s="241"/>
      <c r="J199" s="241"/>
      <c r="K199" s="241"/>
      <c r="L199" s="241"/>
      <c r="M199" s="241"/>
      <c r="N199" s="241"/>
      <c r="O199" s="241"/>
      <c r="P199" s="241"/>
      <c r="Q199" s="241"/>
      <c r="R199" s="241"/>
      <c r="S199" s="241"/>
      <c r="T199" s="607"/>
      <c r="U199" s="607"/>
    </row>
    <row r="200" spans="1:21" ht="13" x14ac:dyDescent="0.4">
      <c r="A200" s="241"/>
      <c r="B200" s="241"/>
      <c r="C200" s="241"/>
      <c r="D200" s="241"/>
      <c r="E200" s="241"/>
      <c r="F200" s="241"/>
      <c r="G200" s="241"/>
      <c r="H200" s="241"/>
      <c r="I200" s="241"/>
      <c r="J200" s="241"/>
      <c r="K200" s="241"/>
      <c r="L200" s="241"/>
      <c r="M200" s="241"/>
      <c r="N200" s="241"/>
      <c r="O200" s="241"/>
      <c r="P200" s="241"/>
      <c r="Q200" s="241"/>
      <c r="R200" s="241"/>
      <c r="S200" s="241"/>
      <c r="T200" s="607"/>
      <c r="U200" s="607"/>
    </row>
    <row r="201" spans="1:21" ht="13" x14ac:dyDescent="0.4">
      <c r="A201" s="241"/>
      <c r="B201" s="241"/>
      <c r="C201" s="241"/>
      <c r="D201" s="241"/>
      <c r="E201" s="241"/>
      <c r="F201" s="241"/>
      <c r="G201" s="241"/>
      <c r="H201" s="241"/>
      <c r="I201" s="241"/>
      <c r="J201" s="241"/>
      <c r="K201" s="241"/>
      <c r="L201" s="241"/>
      <c r="M201" s="241"/>
      <c r="N201" s="241"/>
      <c r="O201" s="241"/>
      <c r="P201" s="241"/>
      <c r="Q201" s="241"/>
      <c r="R201" s="241"/>
      <c r="S201" s="241"/>
      <c r="T201" s="607"/>
      <c r="U201" s="607"/>
    </row>
    <row r="202" spans="1:21" ht="13" x14ac:dyDescent="0.4">
      <c r="A202" s="241"/>
      <c r="B202" s="241"/>
      <c r="C202" s="241"/>
      <c r="D202" s="241"/>
      <c r="E202" s="241"/>
      <c r="F202" s="241"/>
      <c r="G202" s="241"/>
      <c r="H202" s="241"/>
      <c r="I202" s="241"/>
      <c r="J202" s="241"/>
      <c r="K202" s="241"/>
      <c r="L202" s="241"/>
      <c r="M202" s="241"/>
      <c r="N202" s="241"/>
      <c r="O202" s="241"/>
      <c r="P202" s="241"/>
      <c r="Q202" s="241"/>
      <c r="R202" s="241"/>
      <c r="S202" s="241"/>
      <c r="T202" s="607"/>
      <c r="U202" s="607"/>
    </row>
    <row r="203" spans="1:21" ht="13" x14ac:dyDescent="0.4">
      <c r="A203" s="241"/>
      <c r="B203" s="241"/>
      <c r="C203" s="241"/>
      <c r="D203" s="241"/>
      <c r="E203" s="241"/>
      <c r="F203" s="241"/>
      <c r="G203" s="241"/>
      <c r="H203" s="241"/>
      <c r="I203" s="241"/>
      <c r="J203" s="241"/>
      <c r="K203" s="241"/>
      <c r="L203" s="241"/>
      <c r="M203" s="241"/>
      <c r="N203" s="241"/>
      <c r="O203" s="241"/>
      <c r="P203" s="241"/>
      <c r="Q203" s="241"/>
      <c r="R203" s="241"/>
      <c r="S203" s="241"/>
      <c r="T203" s="607"/>
      <c r="U203" s="607"/>
    </row>
    <row r="204" spans="1:21" ht="13" x14ac:dyDescent="0.4">
      <c r="A204" s="241"/>
      <c r="B204" s="241"/>
      <c r="C204" s="241"/>
      <c r="D204" s="241"/>
      <c r="E204" s="241"/>
      <c r="F204" s="241"/>
      <c r="G204" s="241"/>
      <c r="H204" s="241"/>
      <c r="I204" s="241"/>
      <c r="J204" s="241"/>
      <c r="K204" s="241"/>
      <c r="L204" s="241"/>
      <c r="M204" s="241"/>
      <c r="N204" s="241"/>
      <c r="O204" s="241"/>
      <c r="P204" s="241"/>
      <c r="Q204" s="241"/>
      <c r="R204" s="241"/>
      <c r="S204" s="241"/>
      <c r="T204" s="607"/>
      <c r="U204" s="607"/>
    </row>
    <row r="205" spans="1:21" ht="13" x14ac:dyDescent="0.4">
      <c r="A205" s="241"/>
      <c r="B205" s="241"/>
      <c r="C205" s="241"/>
      <c r="D205" s="241"/>
      <c r="E205" s="241"/>
      <c r="F205" s="241"/>
      <c r="G205" s="241"/>
      <c r="H205" s="241"/>
      <c r="I205" s="241"/>
      <c r="J205" s="241"/>
      <c r="K205" s="241"/>
      <c r="L205" s="241"/>
      <c r="M205" s="241"/>
      <c r="N205" s="241"/>
      <c r="O205" s="241"/>
      <c r="P205" s="241"/>
      <c r="Q205" s="241"/>
      <c r="R205" s="241"/>
      <c r="S205" s="241"/>
      <c r="T205" s="607"/>
      <c r="U205" s="607"/>
    </row>
    <row r="206" spans="1:21" ht="13" x14ac:dyDescent="0.4">
      <c r="A206" s="241"/>
      <c r="B206" s="241"/>
      <c r="C206" s="241"/>
      <c r="D206" s="241"/>
      <c r="E206" s="241"/>
      <c r="F206" s="241"/>
      <c r="G206" s="241"/>
      <c r="H206" s="241"/>
      <c r="I206" s="241"/>
      <c r="J206" s="241"/>
      <c r="K206" s="241"/>
      <c r="L206" s="241"/>
      <c r="M206" s="241"/>
      <c r="N206" s="241"/>
      <c r="O206" s="241"/>
      <c r="P206" s="241"/>
      <c r="Q206" s="241"/>
      <c r="R206" s="241"/>
      <c r="S206" s="241"/>
      <c r="T206" s="607"/>
      <c r="U206" s="607"/>
    </row>
    <row r="207" spans="1:21" ht="13" x14ac:dyDescent="0.4">
      <c r="A207" s="241"/>
      <c r="B207" s="241"/>
      <c r="C207" s="241"/>
      <c r="D207" s="241"/>
      <c r="E207" s="241"/>
      <c r="F207" s="241"/>
      <c r="G207" s="241"/>
      <c r="H207" s="241"/>
      <c r="I207" s="241"/>
      <c r="J207" s="241"/>
      <c r="K207" s="241"/>
      <c r="L207" s="241"/>
      <c r="M207" s="241"/>
      <c r="N207" s="241"/>
      <c r="O207" s="241"/>
      <c r="P207" s="241"/>
      <c r="Q207" s="241"/>
      <c r="R207" s="241"/>
      <c r="S207" s="241"/>
      <c r="T207" s="607"/>
      <c r="U207" s="607"/>
    </row>
    <row r="208" spans="1:21" ht="13" x14ac:dyDescent="0.4">
      <c r="A208" s="241"/>
      <c r="B208" s="241"/>
      <c r="C208" s="241"/>
      <c r="D208" s="241"/>
      <c r="E208" s="241"/>
      <c r="F208" s="241"/>
      <c r="G208" s="241"/>
      <c r="H208" s="241"/>
      <c r="I208" s="241"/>
      <c r="J208" s="241"/>
      <c r="K208" s="241"/>
      <c r="L208" s="241"/>
      <c r="M208" s="241"/>
      <c r="N208" s="241"/>
      <c r="O208" s="241"/>
      <c r="P208" s="241"/>
      <c r="Q208" s="241"/>
      <c r="R208" s="241"/>
      <c r="S208" s="241"/>
      <c r="T208" s="607"/>
      <c r="U208" s="607"/>
    </row>
    <row r="209" spans="1:21" ht="13" x14ac:dyDescent="0.4">
      <c r="A209" s="241"/>
      <c r="B209" s="241"/>
      <c r="C209" s="241"/>
      <c r="D209" s="241"/>
      <c r="E209" s="241"/>
      <c r="F209" s="241"/>
      <c r="G209" s="241"/>
      <c r="H209" s="241"/>
      <c r="I209" s="241"/>
      <c r="J209" s="241"/>
      <c r="K209" s="241"/>
      <c r="L209" s="241"/>
      <c r="M209" s="241"/>
      <c r="N209" s="241"/>
      <c r="O209" s="241"/>
      <c r="P209" s="241"/>
      <c r="Q209" s="241"/>
      <c r="R209" s="241"/>
      <c r="S209" s="241"/>
      <c r="T209" s="607"/>
      <c r="U209" s="607"/>
    </row>
    <row r="210" spans="1:21" ht="13" x14ac:dyDescent="0.4">
      <c r="A210" s="241"/>
      <c r="B210" s="241"/>
      <c r="C210" s="241"/>
      <c r="D210" s="241"/>
      <c r="E210" s="241"/>
      <c r="F210" s="241"/>
      <c r="G210" s="241"/>
      <c r="H210" s="241"/>
      <c r="I210" s="241"/>
      <c r="J210" s="241"/>
      <c r="K210" s="241"/>
      <c r="L210" s="241"/>
      <c r="M210" s="241"/>
      <c r="N210" s="241"/>
      <c r="O210" s="241"/>
      <c r="P210" s="241"/>
      <c r="Q210" s="241"/>
      <c r="R210" s="241"/>
      <c r="S210" s="241"/>
      <c r="T210" s="607"/>
      <c r="U210" s="607"/>
    </row>
    <row r="211" spans="1:21" ht="13" x14ac:dyDescent="0.4">
      <c r="A211" s="241"/>
      <c r="B211" s="241"/>
      <c r="C211" s="241"/>
      <c r="D211" s="241"/>
      <c r="E211" s="241"/>
      <c r="F211" s="241"/>
      <c r="G211" s="241"/>
      <c r="H211" s="241"/>
      <c r="I211" s="241"/>
      <c r="J211" s="241"/>
      <c r="K211" s="241"/>
      <c r="L211" s="241"/>
      <c r="M211" s="241"/>
      <c r="N211" s="241"/>
      <c r="O211" s="241"/>
      <c r="P211" s="241"/>
      <c r="Q211" s="241"/>
      <c r="R211" s="241"/>
      <c r="S211" s="241"/>
      <c r="T211" s="607"/>
      <c r="U211" s="607"/>
    </row>
    <row r="212" spans="1:21" ht="13" x14ac:dyDescent="0.4">
      <c r="A212" s="241"/>
      <c r="B212" s="241"/>
      <c r="C212" s="241"/>
      <c r="D212" s="241"/>
      <c r="E212" s="241"/>
      <c r="F212" s="241"/>
      <c r="G212" s="241"/>
      <c r="H212" s="241"/>
      <c r="I212" s="241"/>
      <c r="J212" s="241"/>
      <c r="K212" s="241"/>
      <c r="L212" s="241"/>
      <c r="M212" s="241"/>
      <c r="N212" s="241"/>
      <c r="O212" s="241"/>
      <c r="P212" s="241"/>
      <c r="Q212" s="241"/>
      <c r="R212" s="241"/>
      <c r="S212" s="241"/>
      <c r="T212" s="607"/>
      <c r="U212" s="607"/>
    </row>
    <row r="213" spans="1:21" ht="13" x14ac:dyDescent="0.4">
      <c r="A213" s="241"/>
      <c r="B213" s="241"/>
      <c r="C213" s="241"/>
      <c r="D213" s="241"/>
      <c r="E213" s="241"/>
      <c r="F213" s="241"/>
      <c r="G213" s="241"/>
      <c r="H213" s="241"/>
      <c r="I213" s="241"/>
      <c r="J213" s="241"/>
      <c r="K213" s="241"/>
      <c r="L213" s="241"/>
      <c r="M213" s="241"/>
      <c r="N213" s="241"/>
      <c r="O213" s="241"/>
      <c r="P213" s="241"/>
      <c r="Q213" s="241"/>
      <c r="R213" s="241"/>
      <c r="S213" s="241"/>
      <c r="T213" s="607"/>
      <c r="U213" s="607"/>
    </row>
    <row r="214" spans="1:21" ht="13" x14ac:dyDescent="0.4">
      <c r="A214" s="241"/>
      <c r="B214" s="241"/>
      <c r="C214" s="241"/>
      <c r="D214" s="241"/>
      <c r="E214" s="241"/>
      <c r="F214" s="241"/>
      <c r="G214" s="241"/>
      <c r="H214" s="241"/>
      <c r="I214" s="241"/>
      <c r="J214" s="241"/>
      <c r="K214" s="241"/>
      <c r="L214" s="241"/>
      <c r="M214" s="241"/>
      <c r="N214" s="241"/>
      <c r="O214" s="241"/>
      <c r="P214" s="241"/>
      <c r="Q214" s="241"/>
      <c r="R214" s="241"/>
      <c r="S214" s="241"/>
      <c r="T214" s="607"/>
      <c r="U214" s="607"/>
    </row>
    <row r="215" spans="1:21" ht="13" x14ac:dyDescent="0.4">
      <c r="A215" s="241"/>
      <c r="B215" s="241"/>
      <c r="C215" s="241"/>
      <c r="D215" s="241"/>
      <c r="E215" s="241"/>
      <c r="F215" s="241"/>
      <c r="G215" s="241"/>
      <c r="H215" s="241"/>
      <c r="I215" s="241"/>
      <c r="J215" s="241"/>
      <c r="K215" s="241"/>
      <c r="L215" s="241"/>
      <c r="M215" s="241"/>
      <c r="N215" s="241"/>
      <c r="O215" s="241"/>
      <c r="P215" s="241"/>
      <c r="Q215" s="241"/>
      <c r="R215" s="241"/>
      <c r="S215" s="241"/>
      <c r="T215" s="607"/>
      <c r="U215" s="607"/>
    </row>
    <row r="216" spans="1:21" ht="13" x14ac:dyDescent="0.4">
      <c r="A216" s="241"/>
      <c r="B216" s="241"/>
      <c r="C216" s="241"/>
      <c r="D216" s="241"/>
      <c r="E216" s="241"/>
      <c r="F216" s="241"/>
      <c r="G216" s="241"/>
      <c r="H216" s="241"/>
      <c r="I216" s="241"/>
      <c r="J216" s="241"/>
      <c r="K216" s="241"/>
      <c r="L216" s="241"/>
      <c r="M216" s="241"/>
      <c r="N216" s="241"/>
      <c r="O216" s="241"/>
      <c r="P216" s="241"/>
      <c r="Q216" s="241"/>
      <c r="R216" s="241"/>
      <c r="S216" s="241"/>
      <c r="T216" s="607"/>
      <c r="U216" s="607"/>
    </row>
    <row r="217" spans="1:21" ht="13" x14ac:dyDescent="0.4">
      <c r="A217" s="241"/>
      <c r="B217" s="241"/>
      <c r="C217" s="241"/>
      <c r="D217" s="241"/>
      <c r="E217" s="241"/>
      <c r="F217" s="241"/>
      <c r="G217" s="241"/>
      <c r="H217" s="241"/>
      <c r="I217" s="241"/>
      <c r="J217" s="241"/>
      <c r="K217" s="241"/>
      <c r="L217" s="241"/>
      <c r="M217" s="241"/>
      <c r="N217" s="241"/>
      <c r="O217" s="241"/>
      <c r="P217" s="241"/>
      <c r="Q217" s="241"/>
      <c r="R217" s="241"/>
      <c r="S217" s="241"/>
      <c r="T217" s="607"/>
      <c r="U217" s="607"/>
    </row>
    <row r="218" spans="1:21" ht="13" x14ac:dyDescent="0.4">
      <c r="A218" s="241"/>
      <c r="B218" s="241"/>
      <c r="C218" s="241"/>
      <c r="D218" s="241"/>
      <c r="E218" s="241"/>
      <c r="F218" s="241"/>
      <c r="G218" s="241"/>
      <c r="H218" s="241"/>
      <c r="I218" s="241"/>
      <c r="J218" s="241"/>
      <c r="K218" s="241"/>
      <c r="L218" s="241"/>
      <c r="M218" s="241"/>
      <c r="N218" s="241"/>
      <c r="O218" s="241"/>
      <c r="P218" s="241"/>
      <c r="Q218" s="241"/>
      <c r="R218" s="241"/>
      <c r="S218" s="241"/>
      <c r="T218" s="607"/>
      <c r="U218" s="607"/>
    </row>
    <row r="219" spans="1:21" ht="13" x14ac:dyDescent="0.4">
      <c r="A219" s="241"/>
      <c r="B219" s="241"/>
      <c r="C219" s="241"/>
      <c r="D219" s="241"/>
      <c r="E219" s="241"/>
      <c r="F219" s="241"/>
      <c r="G219" s="241"/>
      <c r="H219" s="241"/>
      <c r="I219" s="241"/>
      <c r="J219" s="241"/>
      <c r="K219" s="241"/>
      <c r="L219" s="241"/>
      <c r="M219" s="241"/>
      <c r="N219" s="241"/>
      <c r="O219" s="241"/>
      <c r="P219" s="241"/>
      <c r="Q219" s="241"/>
      <c r="R219" s="241"/>
      <c r="S219" s="241"/>
      <c r="T219" s="607"/>
      <c r="U219" s="607"/>
    </row>
    <row r="220" spans="1:21" ht="13" x14ac:dyDescent="0.4">
      <c r="A220" s="241"/>
      <c r="B220" s="241"/>
      <c r="C220" s="241"/>
      <c r="D220" s="241"/>
      <c r="E220" s="241"/>
      <c r="F220" s="241"/>
      <c r="G220" s="241"/>
      <c r="H220" s="241"/>
      <c r="I220" s="241"/>
      <c r="J220" s="241"/>
      <c r="K220" s="241"/>
      <c r="L220" s="241"/>
      <c r="M220" s="241"/>
      <c r="N220" s="241"/>
      <c r="O220" s="241"/>
      <c r="P220" s="241"/>
      <c r="Q220" s="241"/>
      <c r="R220" s="241"/>
      <c r="S220" s="241"/>
      <c r="T220" s="607"/>
      <c r="U220" s="607"/>
    </row>
    <row r="221" spans="1:21" ht="13" x14ac:dyDescent="0.4">
      <c r="A221" s="241"/>
      <c r="B221" s="241"/>
      <c r="C221" s="241"/>
      <c r="D221" s="241"/>
      <c r="E221" s="241"/>
      <c r="F221" s="241"/>
      <c r="G221" s="241"/>
      <c r="H221" s="241"/>
      <c r="I221" s="241"/>
      <c r="J221" s="241"/>
      <c r="K221" s="241"/>
      <c r="L221" s="241"/>
      <c r="M221" s="241"/>
      <c r="N221" s="241"/>
      <c r="O221" s="241"/>
      <c r="P221" s="241"/>
      <c r="Q221" s="241"/>
      <c r="R221" s="241"/>
      <c r="S221" s="241"/>
      <c r="T221" s="607"/>
      <c r="U221" s="607"/>
    </row>
    <row r="222" spans="1:21" ht="13" x14ac:dyDescent="0.4">
      <c r="A222" s="241"/>
      <c r="B222" s="241"/>
      <c r="C222" s="241"/>
      <c r="D222" s="241"/>
      <c r="E222" s="241"/>
      <c r="F222" s="241"/>
      <c r="G222" s="241"/>
      <c r="H222" s="241"/>
      <c r="I222" s="241"/>
      <c r="J222" s="241"/>
      <c r="K222" s="241"/>
      <c r="L222" s="241"/>
      <c r="M222" s="241"/>
      <c r="N222" s="241"/>
      <c r="O222" s="241"/>
      <c r="P222" s="241"/>
      <c r="Q222" s="241"/>
      <c r="R222" s="241"/>
      <c r="S222" s="241"/>
      <c r="T222" s="607"/>
      <c r="U222" s="607"/>
    </row>
    <row r="223" spans="1:21" ht="13" x14ac:dyDescent="0.4">
      <c r="A223" s="241"/>
      <c r="B223" s="241"/>
      <c r="C223" s="241"/>
      <c r="D223" s="241"/>
      <c r="E223" s="241"/>
      <c r="F223" s="241"/>
      <c r="G223" s="241"/>
      <c r="H223" s="241"/>
      <c r="I223" s="241"/>
      <c r="J223" s="241"/>
      <c r="K223" s="241"/>
      <c r="L223" s="241"/>
      <c r="M223" s="241"/>
      <c r="N223" s="241"/>
      <c r="O223" s="241"/>
      <c r="P223" s="241"/>
      <c r="Q223" s="241"/>
      <c r="R223" s="241"/>
      <c r="S223" s="241"/>
      <c r="T223" s="607"/>
      <c r="U223" s="607"/>
    </row>
    <row r="224" spans="1:21" ht="13" x14ac:dyDescent="0.4">
      <c r="A224" s="241"/>
      <c r="B224" s="241"/>
      <c r="C224" s="241"/>
      <c r="D224" s="241"/>
      <c r="E224" s="241"/>
      <c r="F224" s="241"/>
      <c r="G224" s="241"/>
      <c r="H224" s="241"/>
      <c r="I224" s="241"/>
      <c r="J224" s="241"/>
      <c r="K224" s="241"/>
      <c r="L224" s="241"/>
      <c r="M224" s="241"/>
      <c r="N224" s="241"/>
      <c r="O224" s="241"/>
      <c r="P224" s="241"/>
      <c r="Q224" s="241"/>
      <c r="R224" s="241"/>
      <c r="S224" s="241"/>
      <c r="T224" s="607"/>
      <c r="U224" s="607"/>
    </row>
    <row r="225" spans="1:21" ht="13" x14ac:dyDescent="0.4">
      <c r="A225" s="241"/>
      <c r="B225" s="241"/>
      <c r="C225" s="241"/>
      <c r="D225" s="241"/>
      <c r="E225" s="241"/>
      <c r="F225" s="241"/>
      <c r="G225" s="241"/>
      <c r="H225" s="241"/>
      <c r="I225" s="241"/>
      <c r="J225" s="241"/>
      <c r="K225" s="241"/>
      <c r="L225" s="241"/>
      <c r="M225" s="241"/>
      <c r="N225" s="241"/>
      <c r="O225" s="241"/>
      <c r="P225" s="241"/>
      <c r="Q225" s="241"/>
      <c r="R225" s="241"/>
      <c r="S225" s="241"/>
      <c r="T225" s="607"/>
      <c r="U225" s="607"/>
    </row>
    <row r="226" spans="1:21" ht="13" x14ac:dyDescent="0.4">
      <c r="A226" s="241"/>
      <c r="B226" s="241"/>
      <c r="C226" s="241"/>
      <c r="D226" s="241"/>
      <c r="E226" s="241"/>
      <c r="F226" s="241"/>
      <c r="G226" s="241"/>
      <c r="H226" s="241"/>
      <c r="I226" s="241"/>
      <c r="J226" s="241"/>
      <c r="K226" s="241"/>
      <c r="L226" s="241"/>
      <c r="M226" s="241"/>
      <c r="N226" s="241"/>
      <c r="O226" s="241"/>
      <c r="P226" s="241"/>
      <c r="Q226" s="241"/>
      <c r="R226" s="241"/>
      <c r="S226" s="241"/>
      <c r="T226" s="607"/>
      <c r="U226" s="607"/>
    </row>
    <row r="227" spans="1:21" ht="13" x14ac:dyDescent="0.4">
      <c r="A227" s="241"/>
      <c r="B227" s="241"/>
      <c r="C227" s="241"/>
      <c r="D227" s="241"/>
      <c r="E227" s="241"/>
      <c r="F227" s="241"/>
      <c r="G227" s="241"/>
      <c r="H227" s="241"/>
      <c r="I227" s="241"/>
      <c r="J227" s="241"/>
      <c r="K227" s="241"/>
      <c r="L227" s="241"/>
      <c r="M227" s="241"/>
      <c r="N227" s="241"/>
      <c r="O227" s="241"/>
      <c r="P227" s="241"/>
      <c r="Q227" s="241"/>
      <c r="R227" s="241"/>
      <c r="S227" s="241"/>
      <c r="T227" s="607"/>
      <c r="U227" s="607"/>
    </row>
    <row r="228" spans="1:21" ht="13" x14ac:dyDescent="0.4">
      <c r="A228" s="241"/>
      <c r="B228" s="241"/>
      <c r="C228" s="241"/>
      <c r="D228" s="241"/>
      <c r="E228" s="241"/>
      <c r="F228" s="241"/>
      <c r="G228" s="241"/>
      <c r="H228" s="241"/>
      <c r="I228" s="241"/>
      <c r="J228" s="241"/>
      <c r="K228" s="241"/>
      <c r="L228" s="241"/>
      <c r="M228" s="241"/>
      <c r="N228" s="241"/>
      <c r="O228" s="241"/>
      <c r="P228" s="241"/>
      <c r="Q228" s="241"/>
      <c r="R228" s="241"/>
      <c r="S228" s="241"/>
      <c r="T228" s="607"/>
      <c r="U228" s="607"/>
    </row>
    <row r="229" spans="1:21" ht="13" x14ac:dyDescent="0.4">
      <c r="A229" s="241"/>
      <c r="B229" s="241"/>
      <c r="C229" s="241"/>
      <c r="D229" s="241"/>
      <c r="E229" s="241"/>
      <c r="F229" s="241"/>
      <c r="G229" s="241"/>
      <c r="H229" s="241"/>
      <c r="I229" s="241"/>
      <c r="J229" s="241"/>
      <c r="K229" s="241"/>
      <c r="L229" s="241"/>
      <c r="M229" s="241"/>
      <c r="N229" s="241"/>
      <c r="O229" s="241"/>
      <c r="P229" s="241"/>
      <c r="Q229" s="241"/>
      <c r="R229" s="241"/>
      <c r="S229" s="241"/>
      <c r="T229" s="607"/>
      <c r="U229" s="607"/>
    </row>
    <row r="230" spans="1:21" ht="13" x14ac:dyDescent="0.4">
      <c r="A230" s="241"/>
      <c r="B230" s="241"/>
      <c r="C230" s="241"/>
      <c r="D230" s="241"/>
      <c r="E230" s="241"/>
      <c r="F230" s="241"/>
      <c r="G230" s="241"/>
      <c r="H230" s="241"/>
      <c r="I230" s="241"/>
      <c r="J230" s="241"/>
      <c r="K230" s="241"/>
      <c r="L230" s="241"/>
      <c r="M230" s="241"/>
      <c r="N230" s="241"/>
      <c r="O230" s="241"/>
      <c r="P230" s="241"/>
      <c r="Q230" s="241"/>
      <c r="R230" s="241"/>
      <c r="S230" s="241"/>
      <c r="T230" s="607"/>
      <c r="U230" s="607"/>
    </row>
    <row r="231" spans="1:21" ht="13" x14ac:dyDescent="0.4">
      <c r="A231" s="241"/>
      <c r="B231" s="241"/>
      <c r="C231" s="241"/>
      <c r="D231" s="241"/>
      <c r="E231" s="241"/>
      <c r="F231" s="241"/>
      <c r="G231" s="241"/>
      <c r="H231" s="241"/>
      <c r="I231" s="241"/>
      <c r="J231" s="241"/>
      <c r="K231" s="241"/>
      <c r="L231" s="241"/>
      <c r="M231" s="241"/>
      <c r="N231" s="241"/>
      <c r="O231" s="241"/>
      <c r="P231" s="241"/>
      <c r="Q231" s="241"/>
      <c r="R231" s="241"/>
      <c r="S231" s="241"/>
      <c r="T231" s="607"/>
      <c r="U231" s="607"/>
    </row>
    <row r="232" spans="1:21" ht="13" x14ac:dyDescent="0.4">
      <c r="A232" s="241"/>
      <c r="B232" s="241"/>
      <c r="C232" s="241"/>
      <c r="D232" s="241"/>
      <c r="E232" s="241"/>
      <c r="F232" s="241"/>
      <c r="G232" s="241"/>
      <c r="H232" s="241"/>
      <c r="I232" s="241"/>
      <c r="J232" s="241"/>
      <c r="K232" s="241"/>
      <c r="L232" s="241"/>
      <c r="M232" s="241"/>
      <c r="N232" s="241"/>
      <c r="O232" s="241"/>
      <c r="P232" s="241"/>
      <c r="Q232" s="241"/>
      <c r="R232" s="241"/>
      <c r="S232" s="241"/>
      <c r="T232" s="607"/>
      <c r="U232" s="607"/>
    </row>
    <row r="233" spans="1:21" ht="13" x14ac:dyDescent="0.4">
      <c r="A233" s="241"/>
      <c r="B233" s="241"/>
      <c r="C233" s="241"/>
      <c r="D233" s="241"/>
      <c r="E233" s="241"/>
      <c r="F233" s="241"/>
      <c r="G233" s="241"/>
      <c r="H233" s="241"/>
      <c r="I233" s="241"/>
      <c r="J233" s="241"/>
      <c r="K233" s="241"/>
      <c r="L233" s="241"/>
      <c r="M233" s="241"/>
      <c r="N233" s="241"/>
      <c r="O233" s="241"/>
      <c r="P233" s="241"/>
      <c r="Q233" s="241"/>
      <c r="R233" s="241"/>
      <c r="S233" s="241"/>
      <c r="T233" s="607"/>
      <c r="U233" s="607"/>
    </row>
    <row r="234" spans="1:21" ht="13" x14ac:dyDescent="0.4">
      <c r="A234" s="241"/>
      <c r="B234" s="241"/>
      <c r="C234" s="241"/>
      <c r="D234" s="241"/>
      <c r="E234" s="241"/>
      <c r="F234" s="241"/>
      <c r="G234" s="241"/>
      <c r="H234" s="241"/>
      <c r="I234" s="241"/>
      <c r="J234" s="241"/>
      <c r="K234" s="241"/>
      <c r="L234" s="241"/>
      <c r="M234" s="241"/>
      <c r="N234" s="241"/>
      <c r="O234" s="241"/>
      <c r="P234" s="241"/>
      <c r="Q234" s="241"/>
      <c r="R234" s="241"/>
      <c r="S234" s="241"/>
      <c r="T234" s="607"/>
      <c r="U234" s="607"/>
    </row>
    <row r="235" spans="1:21" ht="13" x14ac:dyDescent="0.4">
      <c r="A235" s="241"/>
      <c r="B235" s="241"/>
      <c r="C235" s="241"/>
      <c r="D235" s="241"/>
      <c r="E235" s="241"/>
      <c r="F235" s="241"/>
      <c r="G235" s="241"/>
      <c r="H235" s="241"/>
      <c r="I235" s="241"/>
      <c r="J235" s="241"/>
      <c r="K235" s="241"/>
      <c r="L235" s="241"/>
      <c r="M235" s="241"/>
      <c r="N235" s="241"/>
      <c r="O235" s="241"/>
      <c r="P235" s="241"/>
      <c r="Q235" s="241"/>
      <c r="R235" s="241"/>
      <c r="S235" s="241"/>
      <c r="T235" s="607"/>
      <c r="U235" s="607"/>
    </row>
    <row r="236" spans="1:21" ht="13" x14ac:dyDescent="0.4">
      <c r="A236" s="241"/>
      <c r="B236" s="241"/>
      <c r="C236" s="241"/>
      <c r="D236" s="241"/>
      <c r="E236" s="241"/>
      <c r="F236" s="241"/>
      <c r="G236" s="241"/>
      <c r="H236" s="241"/>
      <c r="I236" s="241"/>
      <c r="J236" s="241"/>
      <c r="K236" s="241"/>
      <c r="L236" s="241"/>
      <c r="M236" s="241"/>
      <c r="N236" s="241"/>
      <c r="O236" s="241"/>
      <c r="P236" s="241"/>
      <c r="Q236" s="241"/>
      <c r="R236" s="241"/>
      <c r="S236" s="241"/>
      <c r="T236" s="607"/>
      <c r="U236" s="607"/>
    </row>
    <row r="237" spans="1:21" ht="13" x14ac:dyDescent="0.4">
      <c r="A237" s="241"/>
      <c r="B237" s="241"/>
      <c r="C237" s="241"/>
      <c r="D237" s="241"/>
      <c r="E237" s="241"/>
      <c r="F237" s="241"/>
      <c r="G237" s="241"/>
      <c r="H237" s="241"/>
      <c r="I237" s="241"/>
      <c r="J237" s="241"/>
      <c r="K237" s="241"/>
      <c r="L237" s="241"/>
      <c r="M237" s="241"/>
      <c r="N237" s="241"/>
      <c r="O237" s="241"/>
      <c r="P237" s="241"/>
      <c r="Q237" s="241"/>
      <c r="R237" s="241"/>
      <c r="S237" s="241"/>
      <c r="T237" s="607"/>
      <c r="U237" s="607"/>
    </row>
    <row r="238" spans="1:21" ht="13" x14ac:dyDescent="0.4">
      <c r="A238" s="241"/>
      <c r="B238" s="241"/>
      <c r="C238" s="241"/>
      <c r="D238" s="241"/>
      <c r="E238" s="241"/>
      <c r="F238" s="241"/>
      <c r="G238" s="241"/>
      <c r="H238" s="241"/>
      <c r="I238" s="241"/>
      <c r="J238" s="241"/>
      <c r="K238" s="241"/>
      <c r="L238" s="241"/>
      <c r="M238" s="241"/>
      <c r="N238" s="241"/>
      <c r="O238" s="241"/>
      <c r="P238" s="241"/>
      <c r="Q238" s="241"/>
      <c r="R238" s="241"/>
      <c r="S238" s="241"/>
      <c r="T238" s="607"/>
      <c r="U238" s="607"/>
    </row>
    <row r="239" spans="1:21" ht="13" x14ac:dyDescent="0.4">
      <c r="A239" s="241"/>
      <c r="B239" s="241"/>
      <c r="C239" s="241"/>
      <c r="D239" s="241"/>
      <c r="E239" s="241"/>
      <c r="F239" s="241"/>
      <c r="G239" s="241"/>
      <c r="H239" s="241"/>
      <c r="I239" s="241"/>
      <c r="J239" s="241"/>
      <c r="K239" s="241"/>
      <c r="L239" s="241"/>
      <c r="M239" s="241"/>
      <c r="N239" s="241"/>
      <c r="O239" s="241"/>
      <c r="P239" s="241"/>
      <c r="Q239" s="241"/>
      <c r="R239" s="241"/>
      <c r="S239" s="241"/>
      <c r="T239" s="607"/>
      <c r="U239" s="607"/>
    </row>
    <row r="240" spans="1:21" ht="13" x14ac:dyDescent="0.4">
      <c r="A240" s="241"/>
      <c r="B240" s="241"/>
      <c r="C240" s="241"/>
      <c r="D240" s="241"/>
      <c r="E240" s="241"/>
      <c r="F240" s="241"/>
      <c r="G240" s="241"/>
      <c r="H240" s="241"/>
      <c r="I240" s="241"/>
      <c r="J240" s="241"/>
      <c r="K240" s="241"/>
      <c r="L240" s="241"/>
      <c r="M240" s="241"/>
      <c r="N240" s="241"/>
      <c r="O240" s="241"/>
      <c r="P240" s="241"/>
      <c r="Q240" s="241"/>
      <c r="R240" s="241"/>
      <c r="S240" s="241"/>
      <c r="T240" s="607"/>
      <c r="U240" s="607"/>
    </row>
    <row r="241" spans="1:21" ht="13" x14ac:dyDescent="0.4">
      <c r="A241" s="241"/>
      <c r="B241" s="241"/>
      <c r="C241" s="241"/>
      <c r="D241" s="241"/>
      <c r="E241" s="241"/>
      <c r="F241" s="241"/>
      <c r="G241" s="241"/>
      <c r="H241" s="241"/>
      <c r="I241" s="241"/>
      <c r="J241" s="241"/>
      <c r="K241" s="241"/>
      <c r="L241" s="241"/>
      <c r="M241" s="241"/>
      <c r="N241" s="241"/>
      <c r="O241" s="241"/>
      <c r="P241" s="241"/>
      <c r="Q241" s="241"/>
      <c r="R241" s="241"/>
      <c r="S241" s="241"/>
      <c r="T241" s="607"/>
      <c r="U241" s="607"/>
    </row>
    <row r="242" spans="1:21" ht="13" x14ac:dyDescent="0.4">
      <c r="A242" s="241"/>
      <c r="B242" s="241"/>
      <c r="C242" s="241"/>
      <c r="D242" s="241"/>
      <c r="E242" s="241"/>
      <c r="F242" s="241"/>
      <c r="G242" s="241"/>
      <c r="H242" s="241"/>
      <c r="I242" s="241"/>
      <c r="J242" s="241"/>
      <c r="K242" s="241"/>
      <c r="L242" s="241"/>
      <c r="M242" s="241"/>
      <c r="N242" s="241"/>
      <c r="O242" s="241"/>
      <c r="P242" s="241"/>
      <c r="Q242" s="241"/>
      <c r="R242" s="241"/>
      <c r="S242" s="241"/>
      <c r="T242" s="607"/>
      <c r="U242" s="607"/>
    </row>
    <row r="243" spans="1:21" ht="13" x14ac:dyDescent="0.4">
      <c r="A243" s="241"/>
      <c r="B243" s="241"/>
      <c r="C243" s="241"/>
      <c r="D243" s="241"/>
      <c r="E243" s="241"/>
      <c r="F243" s="241"/>
      <c r="G243" s="241"/>
      <c r="H243" s="241"/>
      <c r="I243" s="241"/>
      <c r="J243" s="241"/>
      <c r="K243" s="241"/>
      <c r="L243" s="241"/>
      <c r="M243" s="241"/>
      <c r="N243" s="241"/>
      <c r="O243" s="241"/>
      <c r="P243" s="241"/>
      <c r="Q243" s="241"/>
      <c r="R243" s="241"/>
      <c r="S243" s="241"/>
      <c r="T243" s="607"/>
      <c r="U243" s="607"/>
    </row>
    <row r="244" spans="1:21" ht="13" x14ac:dyDescent="0.4">
      <c r="A244" s="241"/>
      <c r="B244" s="241"/>
      <c r="C244" s="241"/>
      <c r="D244" s="241"/>
      <c r="E244" s="241"/>
      <c r="F244" s="241"/>
      <c r="G244" s="241"/>
      <c r="H244" s="241"/>
      <c r="I244" s="241"/>
      <c r="J244" s="241"/>
      <c r="K244" s="241"/>
      <c r="L244" s="241"/>
      <c r="M244" s="241"/>
      <c r="N244" s="241"/>
      <c r="O244" s="241"/>
      <c r="P244" s="241"/>
      <c r="Q244" s="241"/>
      <c r="R244" s="241"/>
      <c r="S244" s="241"/>
      <c r="T244" s="607"/>
      <c r="U244" s="607"/>
    </row>
    <row r="245" spans="1:21" ht="13" x14ac:dyDescent="0.4">
      <c r="A245" s="241"/>
      <c r="B245" s="241"/>
      <c r="C245" s="241"/>
      <c r="D245" s="241"/>
      <c r="E245" s="241"/>
      <c r="F245" s="241"/>
      <c r="G245" s="241"/>
      <c r="H245" s="241"/>
      <c r="I245" s="241"/>
      <c r="J245" s="241"/>
      <c r="K245" s="241"/>
      <c r="L245" s="241"/>
      <c r="M245" s="241"/>
      <c r="N245" s="241"/>
      <c r="O245" s="241"/>
      <c r="P245" s="241"/>
      <c r="Q245" s="241"/>
      <c r="R245" s="241"/>
      <c r="S245" s="241"/>
      <c r="T245" s="607"/>
      <c r="U245" s="607"/>
    </row>
    <row r="246" spans="1:21" ht="13" x14ac:dyDescent="0.4">
      <c r="A246" s="241"/>
      <c r="B246" s="241"/>
      <c r="C246" s="241"/>
      <c r="D246" s="241"/>
      <c r="E246" s="241"/>
      <c r="F246" s="241"/>
      <c r="G246" s="241"/>
      <c r="H246" s="241"/>
      <c r="I246" s="241"/>
      <c r="J246" s="241"/>
      <c r="K246" s="241"/>
      <c r="L246" s="241"/>
      <c r="M246" s="241"/>
      <c r="N246" s="241"/>
      <c r="O246" s="241"/>
      <c r="P246" s="241"/>
      <c r="Q246" s="241"/>
      <c r="R246" s="241"/>
      <c r="S246" s="241"/>
      <c r="T246" s="607"/>
      <c r="U246" s="607"/>
    </row>
    <row r="247" spans="1:21" ht="13" x14ac:dyDescent="0.4">
      <c r="A247" s="241"/>
      <c r="B247" s="241"/>
      <c r="C247" s="241"/>
      <c r="D247" s="241"/>
      <c r="E247" s="241"/>
      <c r="F247" s="241"/>
      <c r="G247" s="241"/>
      <c r="H247" s="241"/>
      <c r="I247" s="241"/>
      <c r="J247" s="241"/>
      <c r="K247" s="241"/>
      <c r="L247" s="241"/>
      <c r="M247" s="241"/>
      <c r="N247" s="241"/>
      <c r="O247" s="241"/>
      <c r="P247" s="241"/>
      <c r="Q247" s="241"/>
      <c r="R247" s="241"/>
      <c r="S247" s="241"/>
      <c r="T247" s="607"/>
      <c r="U247" s="607"/>
    </row>
    <row r="248" spans="1:21" ht="13" x14ac:dyDescent="0.4">
      <c r="A248" s="241"/>
      <c r="B248" s="241"/>
      <c r="C248" s="241"/>
      <c r="D248" s="241"/>
      <c r="E248" s="241"/>
      <c r="F248" s="241"/>
      <c r="G248" s="241"/>
      <c r="H248" s="241"/>
      <c r="I248" s="241"/>
      <c r="J248" s="241"/>
      <c r="K248" s="241"/>
      <c r="L248" s="241"/>
      <c r="M248" s="241"/>
      <c r="N248" s="241"/>
      <c r="O248" s="241"/>
      <c r="P248" s="241"/>
      <c r="Q248" s="241"/>
      <c r="R248" s="241"/>
      <c r="S248" s="241"/>
      <c r="T248" s="607"/>
      <c r="U248" s="607"/>
    </row>
    <row r="249" spans="1:21" ht="13" x14ac:dyDescent="0.4">
      <c r="A249" s="241"/>
      <c r="B249" s="241"/>
      <c r="C249" s="241"/>
      <c r="D249" s="241"/>
      <c r="E249" s="241"/>
      <c r="F249" s="241"/>
      <c r="G249" s="241"/>
      <c r="H249" s="241"/>
      <c r="I249" s="241"/>
      <c r="J249" s="241"/>
      <c r="K249" s="241"/>
      <c r="L249" s="241"/>
      <c r="M249" s="241"/>
      <c r="N249" s="241"/>
      <c r="O249" s="241"/>
      <c r="P249" s="241"/>
      <c r="Q249" s="241"/>
      <c r="R249" s="241"/>
      <c r="S249" s="241"/>
      <c r="T249" s="607"/>
      <c r="U249" s="607"/>
    </row>
    <row r="250" spans="1:21" ht="13" x14ac:dyDescent="0.4">
      <c r="A250" s="241"/>
      <c r="B250" s="241"/>
      <c r="C250" s="241"/>
      <c r="D250" s="241"/>
      <c r="E250" s="241"/>
      <c r="F250" s="241"/>
      <c r="G250" s="241"/>
      <c r="H250" s="241"/>
      <c r="I250" s="241"/>
      <c r="J250" s="241"/>
      <c r="K250" s="241"/>
      <c r="L250" s="241"/>
      <c r="M250" s="241"/>
      <c r="N250" s="241"/>
      <c r="O250" s="241"/>
      <c r="P250" s="241"/>
      <c r="Q250" s="241"/>
      <c r="R250" s="241"/>
      <c r="S250" s="241"/>
      <c r="T250" s="607"/>
      <c r="U250" s="607"/>
    </row>
    <row r="251" spans="1:21" ht="13" x14ac:dyDescent="0.4">
      <c r="A251" s="241"/>
      <c r="B251" s="241"/>
      <c r="C251" s="241"/>
      <c r="D251" s="241"/>
      <c r="E251" s="241"/>
      <c r="F251" s="241"/>
      <c r="G251" s="241"/>
      <c r="H251" s="241"/>
      <c r="I251" s="241"/>
      <c r="J251" s="241"/>
      <c r="K251" s="241"/>
      <c r="L251" s="241"/>
      <c r="M251" s="241"/>
      <c r="N251" s="241"/>
      <c r="O251" s="241"/>
      <c r="P251" s="241"/>
      <c r="Q251" s="241"/>
      <c r="R251" s="241"/>
      <c r="S251" s="241"/>
      <c r="T251" s="607"/>
      <c r="U251" s="607"/>
    </row>
    <row r="252" spans="1:21" ht="13" x14ac:dyDescent="0.4">
      <c r="A252" s="241"/>
      <c r="B252" s="241"/>
      <c r="C252" s="241"/>
      <c r="D252" s="241"/>
      <c r="E252" s="241"/>
      <c r="F252" s="241"/>
      <c r="G252" s="241"/>
      <c r="H252" s="241"/>
      <c r="I252" s="241"/>
      <c r="J252" s="241"/>
      <c r="K252" s="241"/>
      <c r="L252" s="241"/>
      <c r="M252" s="241"/>
      <c r="N252" s="241"/>
      <c r="O252" s="241"/>
      <c r="P252" s="241"/>
      <c r="Q252" s="241"/>
      <c r="R252" s="241"/>
      <c r="S252" s="241"/>
      <c r="T252" s="607"/>
      <c r="U252" s="607"/>
    </row>
    <row r="253" spans="1:21" ht="13" x14ac:dyDescent="0.4">
      <c r="A253" s="241"/>
      <c r="B253" s="241"/>
      <c r="C253" s="241"/>
      <c r="D253" s="241"/>
      <c r="E253" s="241"/>
      <c r="F253" s="241"/>
      <c r="G253" s="241"/>
      <c r="H253" s="241"/>
      <c r="I253" s="241"/>
      <c r="J253" s="241"/>
      <c r="K253" s="241"/>
      <c r="L253" s="241"/>
      <c r="M253" s="241"/>
      <c r="N253" s="241"/>
      <c r="O253" s="241"/>
      <c r="P253" s="241"/>
      <c r="Q253" s="241"/>
      <c r="R253" s="241"/>
      <c r="S253" s="241"/>
      <c r="T253" s="607"/>
      <c r="U253" s="607"/>
    </row>
    <row r="254" spans="1:21" ht="13" x14ac:dyDescent="0.4">
      <c r="A254" s="241"/>
      <c r="B254" s="241"/>
      <c r="C254" s="241"/>
      <c r="D254" s="241"/>
      <c r="E254" s="241"/>
      <c r="F254" s="241"/>
      <c r="G254" s="241"/>
      <c r="H254" s="241"/>
      <c r="I254" s="241"/>
      <c r="J254" s="241"/>
      <c r="K254" s="241"/>
      <c r="L254" s="241"/>
      <c r="M254" s="241"/>
      <c r="N254" s="241"/>
      <c r="O254" s="241"/>
      <c r="P254" s="241"/>
      <c r="Q254" s="241"/>
      <c r="R254" s="241"/>
      <c r="S254" s="241"/>
      <c r="T254" s="607"/>
      <c r="U254" s="607"/>
    </row>
    <row r="255" spans="1:21" ht="13" x14ac:dyDescent="0.4">
      <c r="A255" s="241"/>
      <c r="B255" s="241"/>
      <c r="C255" s="241"/>
      <c r="D255" s="241"/>
      <c r="E255" s="241"/>
      <c r="F255" s="241"/>
      <c r="G255" s="241"/>
      <c r="H255" s="241"/>
      <c r="I255" s="241"/>
      <c r="J255" s="241"/>
      <c r="K255" s="241"/>
      <c r="L255" s="241"/>
      <c r="M255" s="241"/>
      <c r="N255" s="241"/>
      <c r="O255" s="241"/>
      <c r="P255" s="241"/>
      <c r="Q255" s="241"/>
      <c r="R255" s="241"/>
      <c r="S255" s="241"/>
      <c r="T255" s="607"/>
      <c r="U255" s="607"/>
    </row>
    <row r="256" spans="1:21" ht="13" x14ac:dyDescent="0.4">
      <c r="A256" s="241"/>
      <c r="B256" s="241"/>
      <c r="C256" s="241"/>
      <c r="D256" s="241"/>
      <c r="E256" s="241"/>
      <c r="F256" s="241"/>
      <c r="G256" s="241"/>
      <c r="H256" s="241"/>
      <c r="I256" s="241"/>
      <c r="J256" s="241"/>
      <c r="K256" s="241"/>
      <c r="L256" s="241"/>
      <c r="M256" s="241"/>
      <c r="N256" s="241"/>
      <c r="O256" s="241"/>
      <c r="P256" s="241"/>
      <c r="Q256" s="241"/>
      <c r="R256" s="241"/>
      <c r="S256" s="241"/>
      <c r="T256" s="607"/>
      <c r="U256" s="607"/>
    </row>
    <row r="257" spans="1:21" ht="13" x14ac:dyDescent="0.4">
      <c r="A257" s="241"/>
      <c r="B257" s="241"/>
      <c r="C257" s="241"/>
      <c r="D257" s="241"/>
      <c r="E257" s="241"/>
      <c r="F257" s="241"/>
      <c r="G257" s="241"/>
      <c r="H257" s="241"/>
      <c r="I257" s="241"/>
      <c r="J257" s="241"/>
      <c r="K257" s="241"/>
      <c r="L257" s="241"/>
      <c r="M257" s="241"/>
      <c r="N257" s="241"/>
      <c r="O257" s="241"/>
      <c r="P257" s="241"/>
      <c r="Q257" s="241"/>
      <c r="R257" s="241"/>
      <c r="S257" s="241"/>
      <c r="T257" s="607"/>
      <c r="U257" s="607"/>
    </row>
    <row r="258" spans="1:21" ht="13" x14ac:dyDescent="0.4">
      <c r="A258" s="241"/>
      <c r="B258" s="241"/>
      <c r="C258" s="241"/>
      <c r="D258" s="241"/>
      <c r="E258" s="241"/>
      <c r="F258" s="241"/>
      <c r="G258" s="241"/>
      <c r="H258" s="241"/>
      <c r="I258" s="241"/>
      <c r="J258" s="241"/>
      <c r="K258" s="241"/>
      <c r="L258" s="241"/>
      <c r="M258" s="241"/>
      <c r="N258" s="241"/>
      <c r="O258" s="241"/>
      <c r="P258" s="241"/>
      <c r="Q258" s="241"/>
      <c r="R258" s="241"/>
      <c r="S258" s="241"/>
      <c r="T258" s="607"/>
      <c r="U258" s="607"/>
    </row>
    <row r="259" spans="1:21" ht="13" x14ac:dyDescent="0.4">
      <c r="A259" s="241"/>
      <c r="B259" s="241"/>
      <c r="C259" s="241"/>
      <c r="D259" s="241"/>
      <c r="E259" s="241"/>
      <c r="F259" s="241"/>
      <c r="G259" s="241"/>
      <c r="H259" s="241"/>
      <c r="I259" s="241"/>
      <c r="J259" s="241"/>
      <c r="K259" s="241"/>
      <c r="L259" s="241"/>
      <c r="M259" s="241"/>
      <c r="N259" s="241"/>
      <c r="O259" s="241"/>
      <c r="P259" s="241"/>
      <c r="Q259" s="241"/>
      <c r="R259" s="241"/>
      <c r="S259" s="241"/>
      <c r="T259" s="607"/>
      <c r="U259" s="607"/>
    </row>
    <row r="260" spans="1:21" ht="13" x14ac:dyDescent="0.4">
      <c r="A260" s="241"/>
      <c r="B260" s="241"/>
      <c r="C260" s="241"/>
      <c r="D260" s="241"/>
      <c r="E260" s="241"/>
      <c r="F260" s="241"/>
      <c r="G260" s="241"/>
      <c r="H260" s="241"/>
      <c r="I260" s="241"/>
      <c r="J260" s="241"/>
      <c r="K260" s="241"/>
      <c r="L260" s="241"/>
      <c r="M260" s="241"/>
      <c r="N260" s="241"/>
      <c r="O260" s="241"/>
      <c r="P260" s="241"/>
      <c r="Q260" s="241"/>
      <c r="R260" s="241"/>
      <c r="S260" s="241"/>
      <c r="T260" s="607"/>
      <c r="U260" s="607"/>
    </row>
    <row r="261" spans="1:21" ht="13" x14ac:dyDescent="0.4">
      <c r="A261" s="241"/>
      <c r="B261" s="241"/>
      <c r="C261" s="241"/>
      <c r="D261" s="241"/>
      <c r="E261" s="241"/>
      <c r="F261" s="241"/>
      <c r="G261" s="241"/>
      <c r="H261" s="241"/>
      <c r="I261" s="241"/>
      <c r="J261" s="241"/>
      <c r="K261" s="241"/>
      <c r="L261" s="241"/>
      <c r="M261" s="241"/>
      <c r="N261" s="241"/>
      <c r="O261" s="241"/>
      <c r="P261" s="241"/>
      <c r="Q261" s="241"/>
      <c r="R261" s="241"/>
      <c r="S261" s="241"/>
      <c r="T261" s="607"/>
      <c r="U261" s="607"/>
    </row>
    <row r="262" spans="1:21" ht="13" x14ac:dyDescent="0.4">
      <c r="A262" s="241"/>
      <c r="B262" s="241"/>
      <c r="C262" s="241"/>
      <c r="D262" s="241"/>
      <c r="E262" s="241"/>
      <c r="F262" s="241"/>
      <c r="G262" s="241"/>
      <c r="H262" s="241"/>
      <c r="I262" s="241"/>
      <c r="J262" s="241"/>
      <c r="K262" s="241"/>
      <c r="L262" s="241"/>
      <c r="M262" s="241"/>
      <c r="N262" s="241"/>
      <c r="O262" s="241"/>
      <c r="P262" s="241"/>
      <c r="Q262" s="241"/>
      <c r="R262" s="241"/>
      <c r="S262" s="241"/>
      <c r="T262" s="607"/>
      <c r="U262" s="607"/>
    </row>
    <row r="263" spans="1:21" ht="13" x14ac:dyDescent="0.4">
      <c r="A263" s="241"/>
      <c r="B263" s="241"/>
      <c r="C263" s="241"/>
      <c r="D263" s="241"/>
      <c r="E263" s="241"/>
      <c r="F263" s="241"/>
      <c r="G263" s="241"/>
      <c r="H263" s="241"/>
      <c r="I263" s="241"/>
      <c r="J263" s="241"/>
      <c r="K263" s="241"/>
      <c r="L263" s="241"/>
      <c r="M263" s="241"/>
      <c r="N263" s="241"/>
      <c r="O263" s="241"/>
      <c r="P263" s="241"/>
      <c r="Q263" s="241"/>
      <c r="R263" s="241"/>
      <c r="S263" s="241"/>
      <c r="T263" s="607"/>
      <c r="U263" s="607"/>
    </row>
    <row r="264" spans="1:21" ht="13" x14ac:dyDescent="0.4">
      <c r="A264" s="241"/>
      <c r="B264" s="241"/>
      <c r="C264" s="241"/>
      <c r="D264" s="241"/>
      <c r="E264" s="241"/>
      <c r="F264" s="241"/>
      <c r="G264" s="241"/>
      <c r="H264" s="241"/>
      <c r="I264" s="241"/>
      <c r="J264" s="241"/>
      <c r="K264" s="241"/>
      <c r="L264" s="241"/>
      <c r="M264" s="241"/>
      <c r="N264" s="241"/>
      <c r="O264" s="241"/>
      <c r="P264" s="241"/>
      <c r="Q264" s="241"/>
      <c r="R264" s="241"/>
      <c r="S264" s="241"/>
      <c r="T264" s="607"/>
      <c r="U264" s="607"/>
    </row>
    <row r="265" spans="1:21" ht="13" x14ac:dyDescent="0.4">
      <c r="A265" s="241"/>
      <c r="B265" s="241"/>
      <c r="C265" s="241"/>
      <c r="D265" s="241"/>
      <c r="E265" s="241"/>
      <c r="F265" s="241"/>
      <c r="G265" s="241"/>
      <c r="H265" s="241"/>
      <c r="I265" s="241"/>
      <c r="J265" s="241"/>
      <c r="K265" s="241"/>
      <c r="L265" s="241"/>
      <c r="M265" s="241"/>
      <c r="N265" s="241"/>
      <c r="O265" s="241"/>
      <c r="P265" s="241"/>
      <c r="Q265" s="241"/>
      <c r="R265" s="241"/>
      <c r="S265" s="241"/>
      <c r="T265" s="607"/>
      <c r="U265" s="607"/>
    </row>
    <row r="266" spans="1:21" ht="13" x14ac:dyDescent="0.4">
      <c r="A266" s="241"/>
      <c r="B266" s="241"/>
      <c r="C266" s="241"/>
      <c r="D266" s="241"/>
      <c r="E266" s="241"/>
      <c r="F266" s="241"/>
      <c r="G266" s="241"/>
      <c r="H266" s="241"/>
      <c r="I266" s="241"/>
      <c r="J266" s="241"/>
      <c r="K266" s="241"/>
      <c r="L266" s="241"/>
      <c r="M266" s="241"/>
      <c r="N266" s="241"/>
      <c r="O266" s="241"/>
      <c r="P266" s="241"/>
      <c r="Q266" s="241"/>
      <c r="R266" s="241"/>
      <c r="S266" s="241"/>
      <c r="T266" s="607"/>
      <c r="U266" s="607"/>
    </row>
    <row r="267" spans="1:21" ht="13" x14ac:dyDescent="0.4">
      <c r="A267" s="241"/>
      <c r="B267" s="241"/>
      <c r="C267" s="241"/>
      <c r="D267" s="241"/>
      <c r="E267" s="241"/>
      <c r="F267" s="241"/>
      <c r="G267" s="241"/>
      <c r="H267" s="241"/>
      <c r="I267" s="241"/>
      <c r="J267" s="241"/>
      <c r="K267" s="241"/>
      <c r="L267" s="241"/>
      <c r="M267" s="241"/>
      <c r="N267" s="241"/>
      <c r="O267" s="241"/>
      <c r="P267" s="241"/>
      <c r="Q267" s="241"/>
      <c r="R267" s="241"/>
      <c r="S267" s="241"/>
      <c r="T267" s="607"/>
      <c r="U267" s="607"/>
    </row>
    <row r="268" spans="1:21" ht="13" x14ac:dyDescent="0.4">
      <c r="A268" s="241"/>
      <c r="B268" s="241"/>
      <c r="C268" s="241"/>
      <c r="D268" s="241"/>
      <c r="E268" s="241"/>
      <c r="F268" s="241"/>
      <c r="G268" s="241"/>
      <c r="H268" s="241"/>
      <c r="I268" s="241"/>
      <c r="J268" s="241"/>
      <c r="K268" s="241"/>
      <c r="L268" s="241"/>
      <c r="M268" s="241"/>
      <c r="N268" s="241"/>
      <c r="O268" s="241"/>
      <c r="P268" s="241"/>
      <c r="Q268" s="241"/>
      <c r="R268" s="241"/>
      <c r="S268" s="241"/>
      <c r="T268" s="607"/>
      <c r="U268" s="607"/>
    </row>
    <row r="269" spans="1:21" ht="13" x14ac:dyDescent="0.4">
      <c r="A269" s="241"/>
      <c r="B269" s="241"/>
      <c r="C269" s="241"/>
      <c r="D269" s="241"/>
      <c r="E269" s="241"/>
      <c r="F269" s="241"/>
      <c r="G269" s="241"/>
      <c r="H269" s="241"/>
      <c r="I269" s="241"/>
      <c r="J269" s="241"/>
      <c r="K269" s="241"/>
      <c r="L269" s="241"/>
      <c r="M269" s="241"/>
      <c r="N269" s="241"/>
      <c r="O269" s="241"/>
      <c r="P269" s="241"/>
      <c r="Q269" s="241"/>
      <c r="R269" s="241"/>
      <c r="S269" s="241"/>
      <c r="T269" s="607"/>
      <c r="U269" s="607"/>
    </row>
    <row r="270" spans="1:21" ht="13" x14ac:dyDescent="0.4">
      <c r="A270" s="241"/>
      <c r="B270" s="241"/>
      <c r="C270" s="241"/>
      <c r="D270" s="241"/>
      <c r="E270" s="241"/>
      <c r="F270" s="241"/>
      <c r="G270" s="241"/>
      <c r="H270" s="241"/>
      <c r="I270" s="241"/>
      <c r="J270" s="241"/>
      <c r="K270" s="241"/>
      <c r="L270" s="241"/>
      <c r="M270" s="241"/>
      <c r="N270" s="241"/>
      <c r="O270" s="241"/>
      <c r="P270" s="241"/>
      <c r="Q270" s="241"/>
      <c r="R270" s="241"/>
      <c r="S270" s="241"/>
      <c r="T270" s="607"/>
      <c r="U270" s="607"/>
    </row>
    <row r="271" spans="1:21" ht="13" x14ac:dyDescent="0.4">
      <c r="A271" s="241"/>
      <c r="B271" s="241"/>
      <c r="C271" s="241"/>
      <c r="D271" s="241"/>
      <c r="E271" s="241"/>
      <c r="F271" s="241"/>
      <c r="G271" s="241"/>
      <c r="H271" s="241"/>
      <c r="I271" s="241"/>
      <c r="J271" s="241"/>
      <c r="K271" s="241"/>
      <c r="L271" s="241"/>
      <c r="M271" s="241"/>
      <c r="N271" s="241"/>
      <c r="O271" s="241"/>
      <c r="P271" s="241"/>
      <c r="Q271" s="241"/>
      <c r="R271" s="241"/>
      <c r="S271" s="241"/>
      <c r="T271" s="607"/>
      <c r="U271" s="607"/>
    </row>
    <row r="272" spans="1:21" ht="13" x14ac:dyDescent="0.4">
      <c r="A272" s="241"/>
      <c r="B272" s="241"/>
      <c r="C272" s="241"/>
      <c r="D272" s="241"/>
      <c r="E272" s="241"/>
      <c r="F272" s="241"/>
      <c r="G272" s="241"/>
      <c r="H272" s="241"/>
      <c r="I272" s="241"/>
      <c r="J272" s="241"/>
      <c r="K272" s="241"/>
      <c r="L272" s="241"/>
      <c r="M272" s="241"/>
      <c r="N272" s="241"/>
      <c r="O272" s="241"/>
      <c r="P272" s="241"/>
      <c r="Q272" s="241"/>
      <c r="R272" s="241"/>
      <c r="S272" s="241"/>
      <c r="T272" s="607"/>
      <c r="U272" s="607"/>
    </row>
    <row r="273" spans="1:21" ht="13" x14ac:dyDescent="0.4">
      <c r="A273" s="241"/>
      <c r="B273" s="241"/>
      <c r="C273" s="241"/>
      <c r="D273" s="241"/>
      <c r="E273" s="241"/>
      <c r="F273" s="241"/>
      <c r="G273" s="241"/>
      <c r="H273" s="241"/>
      <c r="I273" s="241"/>
      <c r="J273" s="241"/>
      <c r="K273" s="241"/>
      <c r="L273" s="241"/>
      <c r="M273" s="241"/>
      <c r="N273" s="241"/>
      <c r="O273" s="241"/>
      <c r="P273" s="241"/>
      <c r="Q273" s="241"/>
      <c r="R273" s="241"/>
      <c r="S273" s="241"/>
      <c r="T273" s="607"/>
      <c r="U273" s="607"/>
    </row>
    <row r="274" spans="1:21" ht="13" x14ac:dyDescent="0.4">
      <c r="A274" s="241"/>
      <c r="B274" s="241"/>
      <c r="C274" s="241"/>
      <c r="D274" s="241"/>
      <c r="E274" s="241"/>
      <c r="F274" s="241"/>
      <c r="G274" s="241"/>
      <c r="H274" s="241"/>
      <c r="I274" s="241"/>
      <c r="J274" s="241"/>
      <c r="K274" s="241"/>
      <c r="L274" s="241"/>
      <c r="M274" s="241"/>
      <c r="N274" s="241"/>
      <c r="O274" s="241"/>
      <c r="P274" s="241"/>
      <c r="Q274" s="241"/>
      <c r="R274" s="241"/>
      <c r="S274" s="241"/>
      <c r="T274" s="607"/>
      <c r="U274" s="607"/>
    </row>
    <row r="275" spans="1:21" ht="13" x14ac:dyDescent="0.4">
      <c r="A275" s="241"/>
      <c r="B275" s="241"/>
      <c r="C275" s="241"/>
      <c r="D275" s="241"/>
      <c r="E275" s="241"/>
      <c r="F275" s="241"/>
      <c r="G275" s="241"/>
      <c r="H275" s="241"/>
      <c r="I275" s="241"/>
      <c r="J275" s="241"/>
      <c r="K275" s="241"/>
      <c r="L275" s="241"/>
      <c r="M275" s="241"/>
      <c r="N275" s="241"/>
      <c r="O275" s="241"/>
      <c r="P275" s="241"/>
      <c r="Q275" s="241"/>
      <c r="R275" s="241"/>
      <c r="S275" s="241"/>
      <c r="T275" s="607"/>
      <c r="U275" s="607"/>
    </row>
    <row r="276" spans="1:21" ht="13" x14ac:dyDescent="0.4">
      <c r="A276" s="241"/>
      <c r="B276" s="241"/>
      <c r="C276" s="241"/>
      <c r="D276" s="241"/>
      <c r="E276" s="241"/>
      <c r="F276" s="241"/>
      <c r="G276" s="241"/>
      <c r="H276" s="241"/>
      <c r="I276" s="241"/>
      <c r="J276" s="241"/>
      <c r="K276" s="241"/>
      <c r="L276" s="241"/>
      <c r="M276" s="241"/>
      <c r="N276" s="241"/>
      <c r="O276" s="241"/>
      <c r="P276" s="241"/>
      <c r="Q276" s="241"/>
      <c r="R276" s="241"/>
      <c r="S276" s="241"/>
      <c r="T276" s="607"/>
      <c r="U276" s="607"/>
    </row>
    <row r="277" spans="1:21" ht="13" x14ac:dyDescent="0.4">
      <c r="A277" s="241"/>
      <c r="B277" s="241"/>
      <c r="C277" s="241"/>
      <c r="D277" s="241"/>
      <c r="E277" s="241"/>
      <c r="F277" s="241"/>
      <c r="G277" s="241"/>
      <c r="H277" s="241"/>
      <c r="I277" s="241"/>
      <c r="J277" s="241"/>
      <c r="K277" s="241"/>
      <c r="L277" s="241"/>
      <c r="M277" s="241"/>
      <c r="N277" s="241"/>
      <c r="O277" s="241"/>
      <c r="P277" s="241"/>
      <c r="Q277" s="241"/>
      <c r="R277" s="241"/>
      <c r="S277" s="241"/>
      <c r="T277" s="607"/>
      <c r="U277" s="607"/>
    </row>
    <row r="278" spans="1:21" ht="13" x14ac:dyDescent="0.4">
      <c r="A278" s="241"/>
      <c r="B278" s="241"/>
      <c r="C278" s="241"/>
      <c r="D278" s="241"/>
      <c r="E278" s="241"/>
      <c r="F278" s="241"/>
      <c r="G278" s="241"/>
      <c r="H278" s="241"/>
      <c r="I278" s="241"/>
      <c r="J278" s="241"/>
      <c r="K278" s="241"/>
      <c r="L278" s="241"/>
      <c r="M278" s="241"/>
      <c r="N278" s="241"/>
      <c r="O278" s="241"/>
      <c r="P278" s="241"/>
      <c r="Q278" s="241"/>
      <c r="R278" s="241"/>
      <c r="S278" s="241"/>
      <c r="T278" s="607"/>
      <c r="U278" s="607"/>
    </row>
    <row r="279" spans="1:21" ht="13" x14ac:dyDescent="0.4">
      <c r="A279" s="241"/>
      <c r="B279" s="241"/>
      <c r="C279" s="241"/>
      <c r="D279" s="241"/>
      <c r="E279" s="241"/>
      <c r="F279" s="241"/>
      <c r="G279" s="241"/>
      <c r="H279" s="241"/>
      <c r="I279" s="241"/>
      <c r="J279" s="241"/>
      <c r="K279" s="241"/>
      <c r="L279" s="241"/>
      <c r="M279" s="241"/>
      <c r="N279" s="241"/>
      <c r="O279" s="241"/>
      <c r="P279" s="241"/>
      <c r="Q279" s="241"/>
      <c r="R279" s="241"/>
      <c r="S279" s="241"/>
      <c r="T279" s="607"/>
      <c r="U279" s="607"/>
    </row>
    <row r="280" spans="1:21" ht="13" x14ac:dyDescent="0.4">
      <c r="A280" s="241"/>
      <c r="B280" s="241"/>
      <c r="C280" s="241"/>
      <c r="D280" s="241"/>
      <c r="E280" s="241"/>
      <c r="F280" s="241"/>
      <c r="G280" s="241"/>
      <c r="H280" s="241"/>
      <c r="I280" s="241"/>
      <c r="J280" s="241"/>
      <c r="K280" s="241"/>
      <c r="L280" s="241"/>
      <c r="M280" s="241"/>
      <c r="N280" s="241"/>
      <c r="O280" s="241"/>
      <c r="P280" s="241"/>
      <c r="Q280" s="241"/>
      <c r="R280" s="241"/>
      <c r="S280" s="241"/>
      <c r="T280" s="607"/>
      <c r="U280" s="607"/>
    </row>
    <row r="281" spans="1:21" ht="13" x14ac:dyDescent="0.4">
      <c r="A281" s="241"/>
      <c r="B281" s="241"/>
      <c r="C281" s="241"/>
      <c r="D281" s="241"/>
      <c r="E281" s="241"/>
      <c r="F281" s="241"/>
      <c r="G281" s="241"/>
      <c r="H281" s="241"/>
      <c r="I281" s="241"/>
      <c r="J281" s="241"/>
      <c r="K281" s="241"/>
      <c r="L281" s="241"/>
      <c r="M281" s="241"/>
      <c r="N281" s="241"/>
      <c r="O281" s="241"/>
      <c r="P281" s="241"/>
      <c r="Q281" s="241"/>
      <c r="R281" s="241"/>
      <c r="S281" s="241"/>
      <c r="T281" s="607"/>
      <c r="U281" s="607"/>
    </row>
    <row r="282" spans="1:21" ht="13" x14ac:dyDescent="0.4">
      <c r="A282" s="241"/>
      <c r="B282" s="241"/>
      <c r="C282" s="241"/>
      <c r="D282" s="241"/>
      <c r="E282" s="241"/>
      <c r="F282" s="241"/>
      <c r="G282" s="241"/>
      <c r="H282" s="241"/>
      <c r="I282" s="241"/>
      <c r="J282" s="241"/>
      <c r="K282" s="241"/>
      <c r="L282" s="241"/>
      <c r="M282" s="241"/>
      <c r="N282" s="241"/>
      <c r="O282" s="241"/>
      <c r="P282" s="241"/>
      <c r="Q282" s="241"/>
      <c r="R282" s="241"/>
      <c r="S282" s="241"/>
      <c r="T282" s="607"/>
      <c r="U282" s="607"/>
    </row>
    <row r="283" spans="1:21" ht="13" x14ac:dyDescent="0.4">
      <c r="A283" s="241"/>
      <c r="B283" s="241"/>
      <c r="C283" s="241"/>
      <c r="D283" s="241"/>
      <c r="E283" s="241"/>
      <c r="F283" s="241"/>
      <c r="G283" s="241"/>
      <c r="H283" s="241"/>
      <c r="I283" s="241"/>
      <c r="J283" s="241"/>
      <c r="K283" s="241"/>
      <c r="L283" s="241"/>
      <c r="M283" s="241"/>
      <c r="N283" s="241"/>
      <c r="O283" s="241"/>
      <c r="P283" s="241"/>
      <c r="Q283" s="241"/>
      <c r="R283" s="241"/>
      <c r="S283" s="241"/>
      <c r="T283" s="607"/>
      <c r="U283" s="607"/>
    </row>
  </sheetData>
  <sheetProtection algorithmName="SHA-512" hashValue="4Ne07XsCAJw4W+bpOBMhLwWI2ftgElsxDyoFfbedj2jFwX5Fa9APxQxQwrCTQU/nAgE3zZTrJUDSGvi0NF8dmg==" saltValue="YMhRxRqy/PzjySSfvZFFNQ==" spinCount="100000" sheet="1" objects="1" scenarios="1" formatRows="0"/>
  <mergeCells count="50">
    <mergeCell ref="P4:R4"/>
    <mergeCell ref="C5:D5"/>
    <mergeCell ref="E5:G5"/>
    <mergeCell ref="E10:K10"/>
    <mergeCell ref="M10:Q10"/>
    <mergeCell ref="C8:R8"/>
    <mergeCell ref="C4:D4"/>
    <mergeCell ref="E4:G4"/>
    <mergeCell ref="H4:I4"/>
    <mergeCell ref="J4:L4"/>
    <mergeCell ref="M4:O4"/>
    <mergeCell ref="H5:I5"/>
    <mergeCell ref="J5:L5"/>
    <mergeCell ref="M5:O5"/>
    <mergeCell ref="P5:R5"/>
    <mergeCell ref="C6:D6"/>
    <mergeCell ref="C2:R2"/>
    <mergeCell ref="C3:D3"/>
    <mergeCell ref="E3:G3"/>
    <mergeCell ref="H3:I3"/>
    <mergeCell ref="J3:L3"/>
    <mergeCell ref="M3:O3"/>
    <mergeCell ref="P3:R3"/>
    <mergeCell ref="D13:Q13"/>
    <mergeCell ref="C19:R19"/>
    <mergeCell ref="E22:K22"/>
    <mergeCell ref="E23:K23"/>
    <mergeCell ref="E24:K24"/>
    <mergeCell ref="M22:Q22"/>
    <mergeCell ref="D15:Q16"/>
    <mergeCell ref="E25:K25"/>
    <mergeCell ref="E26:K26"/>
    <mergeCell ref="E21:K21"/>
    <mergeCell ref="M21:Q21"/>
    <mergeCell ref="M26:Q26"/>
    <mergeCell ref="M25:Q25"/>
    <mergeCell ref="M24:Q24"/>
    <mergeCell ref="M23:Q23"/>
    <mergeCell ref="M27:Q27"/>
    <mergeCell ref="E28:K28"/>
    <mergeCell ref="M28:Q28"/>
    <mergeCell ref="D32:Q32"/>
    <mergeCell ref="E27:K27"/>
    <mergeCell ref="E29:K29"/>
    <mergeCell ref="M29:Q29"/>
    <mergeCell ref="E6:G6"/>
    <mergeCell ref="H6:I6"/>
    <mergeCell ref="J6:L6"/>
    <mergeCell ref="M6:O6"/>
    <mergeCell ref="P6:R6"/>
  </mergeCells>
  <phoneticPr fontId="19" type="noConversion"/>
  <conditionalFormatting sqref="L10">
    <cfRule type="cellIs" dxfId="15" priority="3" operator="equal">
      <formula>"Oui"</formula>
    </cfRule>
    <cfRule type="cellIs" dxfId="14" priority="4" operator="equal">
      <formula>"Non"</formula>
    </cfRule>
  </conditionalFormatting>
  <conditionalFormatting sqref="L21:L29">
    <cfRule type="cellIs" dxfId="13" priority="1" operator="equal">
      <formula>"Oui"</formula>
    </cfRule>
    <cfRule type="cellIs" dxfId="12" priority="2" operator="equal">
      <formula>"Non"</formula>
    </cfRule>
  </conditionalFormatting>
  <dataValidations count="3">
    <dataValidation allowBlank="1" showInputMessage="1" showErrorMessage="1" prompt="changement du maitre d’ouvrage ou de l’exploitant_x000a_la construction d’une nouvelle STEU ou la réhabilitation d’une STEU ;_x000a_la modification des points particuliers du système de collecte et des points de déversement au milieu ;_x000a_..._x000a__x000a__x000a__x000a__x000a__x000a_" sqref="E10:K10" xr:uid="{D81D6C72-D13E-42EE-944C-B78086C5EEEC}"/>
    <dataValidation allowBlank="1" showInputMessage="1" showErrorMessage="1" prompt="Joindre en annexe du rapport un exemple de fiche de vie pour chaque type de contrôle" sqref="C19:R19" xr:uid="{21CEABF3-B54C-4669-B22F-7C3EF1FBD22E}"/>
    <dataValidation type="list" allowBlank="1" showInputMessage="1" showErrorMessage="1" sqref="L10 L21:L29" xr:uid="{3A5995EB-25BB-48B9-A47F-0A13339CAA06}">
      <formula1>LISTE_7</formula1>
    </dataValidation>
  </dataValidations>
  <pageMargins left="0.7" right="0.7" top="0.75" bottom="0.75" header="0.3" footer="0.3"/>
  <pageSetup paperSize="9" scale="42" orientation="portrait" r:id="rId1"/>
  <rowBreaks count="1" manualBreakCount="1">
    <brk id="35" max="16383" man="1"/>
  </rowBreaks>
  <colBreaks count="1" manualBreakCount="1">
    <brk id="19" max="282"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ED775-84A5-4DBA-AC81-69F58B98E90C}">
  <sheetPr codeName="Feuil27">
    <tabColor theme="3" tint="0.39997558519241921"/>
  </sheetPr>
  <dimension ref="B1:AI60"/>
  <sheetViews>
    <sheetView zoomScale="90" zoomScaleNormal="90" workbookViewId="0">
      <selection activeCell="L14" sqref="L14:M14"/>
    </sheetView>
  </sheetViews>
  <sheetFormatPr baseColWidth="10" defaultColWidth="10.703125" defaultRowHeight="13" outlineLevelRow="1" x14ac:dyDescent="0.4"/>
  <cols>
    <col min="1" max="2" width="2.703125" style="241" customWidth="1"/>
    <col min="3" max="3" width="10.703125" style="241"/>
    <col min="4" max="16" width="12.703125" style="241" customWidth="1"/>
    <col min="17" max="17" width="12.703125" style="318" customWidth="1"/>
    <col min="18" max="18" width="17.87890625" style="318" customWidth="1"/>
    <col min="19" max="19" width="2.703125" style="241" customWidth="1"/>
    <col min="20" max="20" width="2.703125" style="614" customWidth="1"/>
    <col min="21" max="22" width="10.703125" style="614" customWidth="1"/>
    <col min="23" max="31" width="10.703125" style="614"/>
    <col min="32" max="33" width="10.703125" style="607"/>
    <col min="34" max="34" width="10.703125" style="318"/>
    <col min="35" max="35" width="10.703125" style="239"/>
    <col min="36" max="16384" width="10.703125" style="241"/>
  </cols>
  <sheetData>
    <row r="1" spans="2:32" ht="9.9499999999999993" customHeight="1" thickBot="1" x14ac:dyDescent="0.45">
      <c r="B1" s="250"/>
      <c r="C1" s="251"/>
      <c r="D1" s="251"/>
      <c r="E1" s="251"/>
      <c r="F1" s="251"/>
      <c r="G1" s="251"/>
      <c r="H1" s="251"/>
      <c r="I1" s="251"/>
      <c r="J1" s="251"/>
      <c r="K1" s="251"/>
      <c r="L1" s="251"/>
      <c r="M1" s="251"/>
      <c r="N1" s="251"/>
      <c r="O1" s="251"/>
      <c r="P1" s="251"/>
      <c r="Q1" s="337"/>
      <c r="R1" s="337"/>
      <c r="S1" s="252"/>
      <c r="U1" s="623" t="s">
        <v>282</v>
      </c>
      <c r="V1" s="623" t="s">
        <v>282</v>
      </c>
      <c r="W1" s="623" t="s">
        <v>282</v>
      </c>
      <c r="X1" s="623" t="s">
        <v>282</v>
      </c>
      <c r="Y1" s="623"/>
      <c r="Z1" s="623"/>
      <c r="AA1" s="623" t="s">
        <v>282</v>
      </c>
      <c r="AB1" s="623" t="s">
        <v>282</v>
      </c>
      <c r="AC1" s="623" t="s">
        <v>282</v>
      </c>
      <c r="AD1" s="623" t="s">
        <v>282</v>
      </c>
      <c r="AE1" s="623" t="s">
        <v>282</v>
      </c>
      <c r="AF1" s="624"/>
    </row>
    <row r="2" spans="2:32" ht="30" customHeight="1" thickTop="1" x14ac:dyDescent="0.4">
      <c r="B2" s="253"/>
      <c r="C2" s="1042" t="s">
        <v>530</v>
      </c>
      <c r="D2" s="1043"/>
      <c r="E2" s="1043"/>
      <c r="F2" s="1043"/>
      <c r="G2" s="1043"/>
      <c r="H2" s="1043"/>
      <c r="I2" s="1043"/>
      <c r="J2" s="1043"/>
      <c r="K2" s="1043"/>
      <c r="L2" s="1043"/>
      <c r="M2" s="1043"/>
      <c r="N2" s="1043"/>
      <c r="O2" s="1043"/>
      <c r="P2" s="1043"/>
      <c r="Q2" s="1043"/>
      <c r="R2" s="1044"/>
      <c r="S2" s="249"/>
      <c r="U2" s="623" t="s">
        <v>511</v>
      </c>
      <c r="V2" s="623" t="s">
        <v>512</v>
      </c>
      <c r="W2" s="623" t="s">
        <v>513</v>
      </c>
      <c r="X2" s="623" t="s">
        <v>401</v>
      </c>
      <c r="Y2" s="623" t="s">
        <v>307</v>
      </c>
      <c r="Z2" s="623" t="s">
        <v>511</v>
      </c>
      <c r="AA2" s="623" t="s">
        <v>402</v>
      </c>
      <c r="AB2" s="623" t="s">
        <v>403</v>
      </c>
      <c r="AC2" s="625" t="s">
        <v>404</v>
      </c>
      <c r="AD2" s="625" t="s">
        <v>29</v>
      </c>
      <c r="AE2" s="623" t="s">
        <v>164</v>
      </c>
    </row>
    <row r="3" spans="2:32" ht="20.100000000000001" customHeight="1" x14ac:dyDescent="0.4">
      <c r="B3" s="253"/>
      <c r="C3" s="1045" t="s">
        <v>455</v>
      </c>
      <c r="D3" s="1046"/>
      <c r="E3" s="1047" t="str">
        <f>IF(ISBLANK(Descriptif!L3),"",Descriptif!L3)</f>
        <v/>
      </c>
      <c r="F3" s="1047"/>
      <c r="G3" s="1047"/>
      <c r="H3" s="1046" t="s">
        <v>471</v>
      </c>
      <c r="I3" s="1046"/>
      <c r="J3" s="1047" t="str">
        <f>IF(ISBLANK(Descriptif!Q3),"",Descriptif!Q3)</f>
        <v/>
      </c>
      <c r="K3" s="1047"/>
      <c r="L3" s="1047"/>
      <c r="M3" s="1046" t="s">
        <v>442</v>
      </c>
      <c r="N3" s="1046"/>
      <c r="O3" s="1046"/>
      <c r="P3" s="1047" t="str">
        <f>IF(ISBLANK(Descriptif!U3),"",Descriptif!U3)</f>
        <v/>
      </c>
      <c r="Q3" s="1047"/>
      <c r="R3" s="1048"/>
      <c r="S3" s="249"/>
      <c r="X3" s="614" t="str" cm="1">
        <f t="array" ref="X3">IFERROR(INDEX($T$21:$T$1021,SMALL(IF($T$21:$T$1021&lt;&gt;"",ROW($T$21:$T$1021)-ROW($T$21)+1),ROW(1:1))),"")</f>
        <v/>
      </c>
      <c r="Y3" s="614" t="str">
        <f>IF(X3&lt;&gt;"",LEFT(X3,2),"")</f>
        <v/>
      </c>
      <c r="Z3" s="614" t="str">
        <f>IF($X3&lt;&gt;"",MID($X3, SEARCH("_", $X3) + 1, SEARCH("_", $X3, SEARCH("_",$X3) + 1) - SEARCH("_", $X3) - 1),"")</f>
        <v/>
      </c>
      <c r="AA3" s="614" t="str" cm="1">
        <f t="array" ref="AA3">IFERROR(INDEX($U$21:$U$1021,SMALL(IF($T$21:$T$1021&lt;&gt;"",ROW($T$21:$T$1021)-ROW($T$21)+1),ROW(1:1))),"")</f>
        <v/>
      </c>
      <c r="AB3" s="614" t="str" cm="1">
        <f t="array" ref="AB3">IFERROR(INDEX($V$21:$V$1021,SMALL(IF($T$21:$T$1021&lt;&gt;"",ROW($T$21:$T$1021)-ROW($T$21)+1),ROW(1:1))),"")</f>
        <v/>
      </c>
      <c r="AC3" s="614" t="str" cm="1">
        <f t="array" ref="AC3">IFERROR(INDEX($W$21:$W$1021,SMALL(IF($T$21:$T$1021&lt;&gt;"",ROW($T$21:$T$1021)-ROW($T$21)+1),ROW(1:1))),"")</f>
        <v/>
      </c>
      <c r="AD3" s="614" t="str">
        <f>IF(AND(X3&lt;&gt;"",AC3&lt;&gt;""),(AC3/100  * (1-$N$15)*100),"")</f>
        <v/>
      </c>
      <c r="AE3" s="614" t="str">
        <f>IF(X3&lt;&gt;"",IF(AD3&lt;&gt;"",IF(AD3&gt;80,"Validé",IF(AD3&lt;70,"Non Validé","Réserve")),"Non contrôlé"),"")</f>
        <v/>
      </c>
    </row>
    <row r="4" spans="2:32" ht="20.100000000000001" customHeight="1" x14ac:dyDescent="0.4">
      <c r="B4" s="253"/>
      <c r="C4" s="1045" t="s">
        <v>457</v>
      </c>
      <c r="D4" s="1046"/>
      <c r="E4" s="1047" t="str">
        <f>IF(ISBLANK(Descriptif!L4),"",Descriptif!L4)</f>
        <v/>
      </c>
      <c r="F4" s="1047"/>
      <c r="G4" s="1047"/>
      <c r="H4" s="1046" t="s">
        <v>457</v>
      </c>
      <c r="I4" s="1046"/>
      <c r="J4" s="1047" t="str">
        <f>IF(ISBLANK(Descriptif!Q4),"",Descriptif!Q4)</f>
        <v/>
      </c>
      <c r="K4" s="1047"/>
      <c r="L4" s="1047"/>
      <c r="M4" s="1046" t="s">
        <v>443</v>
      </c>
      <c r="N4" s="1046"/>
      <c r="O4" s="1046"/>
      <c r="P4" s="1047" t="str">
        <f>IF(ISBLANK(Descriptif!U4),"",Descriptif!U4)</f>
        <v/>
      </c>
      <c r="Q4" s="1047"/>
      <c r="R4" s="1048"/>
      <c r="S4" s="249"/>
      <c r="X4" s="614" t="str" cm="1">
        <f t="array" ref="X4">IFERROR(INDEX($T$21:$T$1021,SMALL(IF($T$21:$T$1021&lt;&gt;"",ROW($T$21:$T$1021)-ROW($T$21)+1),ROW(2:2))),"")</f>
        <v/>
      </c>
      <c r="Y4" s="614" t="str">
        <f t="shared" ref="Y4:Y20" si="0">IF(X4&lt;&gt;"",LEFT(X4,2),"")</f>
        <v/>
      </c>
      <c r="Z4" s="614" t="str">
        <f t="shared" ref="Z4:Z20" si="1">IF($X4&lt;&gt;"",MID($X4, SEARCH("_", $X4) + 1, SEARCH("_", $X4, SEARCH("_",$X4) + 1) - SEARCH("_", $X4) - 1),"")</f>
        <v/>
      </c>
      <c r="AA4" s="614" t="str" cm="1">
        <f t="array" ref="AA4">IFERROR(INDEX($U$21:$U$1021,SMALL(IF($T$21:$T$1021&lt;&gt;"",ROW($T$21:$T$1021)-ROW($T$21)+1),ROW(2:2))),"")</f>
        <v/>
      </c>
      <c r="AB4" s="614" t="str" cm="1">
        <f t="array" ref="AB4">IFERROR(INDEX($V$21:$V$1021,SMALL(IF($T$21:$T$1021&lt;&gt;"",ROW($T$21:$T$1021)-ROW($T$21)+1),ROW(2:2))),"")</f>
        <v/>
      </c>
      <c r="AC4" s="614" t="str" cm="1">
        <f t="array" ref="AC4">IFERROR(INDEX($W$21:$W$1021,SMALL(IF($T$21:$T$1021&lt;&gt;"",ROW($T$21:$T$1021)-ROW($T$21)+1),ROW(2:2))),"")</f>
        <v/>
      </c>
      <c r="AD4" s="614" t="str">
        <f t="shared" ref="AD4:AD20" si="2">IF(AND(X4&lt;&gt;"",AC4&lt;&gt;""),(AC4/100  * (1-$N$15)*100),"")</f>
        <v/>
      </c>
      <c r="AE4" s="614" t="str">
        <f t="shared" ref="AE4:AE19" si="3">IF(X4&lt;&gt;"",IF(AD4&lt;&gt;"",IF(AD4&gt;80,"Validé",IF(AD4&lt;70,"Non Validé","Réserve")),"Non contrôlé"),"")</f>
        <v/>
      </c>
    </row>
    <row r="5" spans="2:32" ht="30" customHeight="1" x14ac:dyDescent="0.4">
      <c r="B5" s="253"/>
      <c r="C5" s="1045" t="s">
        <v>458</v>
      </c>
      <c r="D5" s="1046"/>
      <c r="E5" s="1047" t="str">
        <f>IF(ISBLANK(Descriptif!F5),"",Descriptif!F5)</f>
        <v/>
      </c>
      <c r="F5" s="1047"/>
      <c r="G5" s="1047"/>
      <c r="H5" s="1046" t="s">
        <v>451</v>
      </c>
      <c r="I5" s="1046"/>
      <c r="J5" s="1047" t="str">
        <f>IF(ISBLANK(Descriptif!Q5),"",Descriptif!Q5)</f>
        <v/>
      </c>
      <c r="K5" s="1047"/>
      <c r="L5" s="1047"/>
      <c r="M5" s="1046" t="s">
        <v>444</v>
      </c>
      <c r="N5" s="1046"/>
      <c r="O5" s="1046"/>
      <c r="P5" s="1054" t="str">
        <f>IF(ISBLANK(Descriptif!U5),"",Descriptif!U5)</f>
        <v/>
      </c>
      <c r="Q5" s="1054"/>
      <c r="R5" s="1055"/>
      <c r="S5" s="249"/>
      <c r="X5" s="614" t="str" cm="1">
        <f t="array" ref="X5">IFERROR(INDEX($T$21:$T$1021,SMALL(IF($T$21:$T$1021&lt;&gt;"",ROW($T$21:$T$1021)-ROW($T$21)+1),ROW(3:3))),"")</f>
        <v/>
      </c>
      <c r="Y5" s="614" t="str">
        <f t="shared" si="0"/>
        <v/>
      </c>
      <c r="Z5" s="614" t="str">
        <f t="shared" si="1"/>
        <v/>
      </c>
      <c r="AA5" s="614" t="str" cm="1">
        <f t="array" ref="AA5">IFERROR(INDEX($U$21:$U$1021,SMALL(IF($T$21:$T$1021&lt;&gt;"",ROW($T$21:$T$1021)-ROW($T$21)+1),ROW(3:3))),"")</f>
        <v/>
      </c>
      <c r="AB5" s="614" t="str" cm="1">
        <f t="array" ref="AB5">IFERROR(INDEX($V$21:$V$1021,SMALL(IF($T$21:$T$1021&lt;&gt;"",ROW($T$21:$T$1021)-ROW($T$21)+1),ROW(3:3))),"")</f>
        <v/>
      </c>
      <c r="AC5" s="614" t="str" cm="1">
        <f t="array" ref="AC5">IFERROR(INDEX($W$21:$W$1021,SMALL(IF($T$21:$T$1021&lt;&gt;"",ROW($T$21:$T$1021)-ROW($T$21)+1),ROW(3:3))),"")</f>
        <v/>
      </c>
      <c r="AD5" s="614" t="str">
        <f t="shared" si="2"/>
        <v/>
      </c>
      <c r="AE5" s="614" t="str">
        <f t="shared" si="3"/>
        <v/>
      </c>
    </row>
    <row r="6" spans="2:32" ht="20.100000000000001" customHeight="1" thickBot="1" x14ac:dyDescent="0.45">
      <c r="B6" s="253"/>
      <c r="C6" s="1056" t="s">
        <v>459</v>
      </c>
      <c r="D6" s="1020"/>
      <c r="E6" s="1019" t="str">
        <f>IF(ISBLANK(Descriptif!L6),"",Descriptif!F6)</f>
        <v/>
      </c>
      <c r="F6" s="1019"/>
      <c r="G6" s="1019"/>
      <c r="H6" s="1020" t="s">
        <v>459</v>
      </c>
      <c r="I6" s="1020"/>
      <c r="J6" s="1019" t="str">
        <f>IF(ISBLANK(Descriptif!Q6),"",Descriptif!Q6)</f>
        <v/>
      </c>
      <c r="K6" s="1019"/>
      <c r="L6" s="1019"/>
      <c r="M6" s="1020" t="s">
        <v>445</v>
      </c>
      <c r="N6" s="1020"/>
      <c r="O6" s="1020"/>
      <c r="P6" s="1021" t="str">
        <f>IF(ISBLANK(Descriptif!U6),"",Descriptif!U6)</f>
        <v/>
      </c>
      <c r="Q6" s="1021"/>
      <c r="R6" s="1022"/>
      <c r="S6" s="249"/>
      <c r="X6" s="614" t="str" cm="1">
        <f t="array" ref="X6">IFERROR(INDEX($T$21:$T$1021,SMALL(IF($T$21:$T$1021&lt;&gt;"",ROW($T$21:$T$1021)-ROW($T$21)+1),ROW(4:4))),"")</f>
        <v/>
      </c>
      <c r="Y6" s="614" t="str">
        <f t="shared" si="0"/>
        <v/>
      </c>
      <c r="Z6" s="614" t="str">
        <f t="shared" si="1"/>
        <v/>
      </c>
      <c r="AA6" s="614" t="str" cm="1">
        <f t="array" ref="AA6">IFERROR(INDEX($U$21:$U$1021,SMALL(IF($T$21:$T$1021&lt;&gt;"",ROW($T$21:$T$1021)-ROW($T$21)+1),ROW(4:4))),"")</f>
        <v/>
      </c>
      <c r="AB6" s="614" t="str" cm="1">
        <f t="array" ref="AB6">IFERROR(INDEX($V$21:$V$1021,SMALL(IF($T$21:$T$1021&lt;&gt;"",ROW($T$21:$T$1021)-ROW($T$21)+1),ROW(4:4))),"")</f>
        <v/>
      </c>
      <c r="AC6" s="614" t="str" cm="1">
        <f t="array" ref="AC6">IFERROR(INDEX($W$21:$W$1021,SMALL(IF($T$21:$T$1021&lt;&gt;"",ROW($T$21:$T$1021)-ROW($T$21)+1),ROW(4:4))),"")</f>
        <v/>
      </c>
      <c r="AD6" s="614" t="str">
        <f t="shared" si="2"/>
        <v/>
      </c>
      <c r="AE6" s="614" t="str">
        <f t="shared" si="3"/>
        <v/>
      </c>
    </row>
    <row r="7" spans="2:32" ht="9.9499999999999993" customHeight="1" thickTop="1" thickBot="1" x14ac:dyDescent="0.45">
      <c r="B7" s="253"/>
      <c r="C7" s="254"/>
      <c r="D7" s="254"/>
      <c r="E7" s="254"/>
      <c r="F7" s="254"/>
      <c r="G7" s="254"/>
      <c r="H7" s="254"/>
      <c r="I7" s="254"/>
      <c r="J7" s="254"/>
      <c r="K7" s="254"/>
      <c r="L7" s="254"/>
      <c r="M7" s="254"/>
      <c r="N7" s="254"/>
      <c r="O7" s="254"/>
      <c r="P7" s="254"/>
      <c r="Q7" s="338"/>
      <c r="R7" s="338"/>
      <c r="S7" s="249"/>
      <c r="X7" s="614" t="str" cm="1">
        <f t="array" ref="X7">IFERROR(INDEX($T$21:$T$1021,SMALL(IF($T$21:$T$1021&lt;&gt;"",ROW($T$21:$T$1021)-ROW($T$21)+1),ROW(5:5))),"")</f>
        <v/>
      </c>
      <c r="Y7" s="614" t="str">
        <f t="shared" si="0"/>
        <v/>
      </c>
      <c r="Z7" s="614" t="str">
        <f t="shared" si="1"/>
        <v/>
      </c>
      <c r="AA7" s="614" t="str" cm="1">
        <f t="array" ref="AA7">IFERROR(INDEX($U$21:$U$1021,SMALL(IF($T$21:$T$1021&lt;&gt;"",ROW($T$21:$T$1021)-ROW($T$21)+1),ROW(5:5))),"")</f>
        <v/>
      </c>
      <c r="AB7" s="614" t="str" cm="1">
        <f t="array" ref="AB7">IFERROR(INDEX($V$21:$V$1021,SMALL(IF($T$21:$T$1021&lt;&gt;"",ROW($T$21:$T$1021)-ROW($T$21)+1),ROW(5:5))),"")</f>
        <v/>
      </c>
      <c r="AC7" s="614" t="str" cm="1">
        <f t="array" ref="AC7">IFERROR(INDEX($W$21:$W$1021,SMALL(IF($T$21:$T$1021&lt;&gt;"",ROW($T$21:$T$1021)-ROW($T$21)+1),ROW(5:5))),"")</f>
        <v/>
      </c>
      <c r="AD7" s="614" t="str">
        <f t="shared" si="2"/>
        <v/>
      </c>
      <c r="AE7" s="614" t="str">
        <f t="shared" si="3"/>
        <v/>
      </c>
    </row>
    <row r="8" spans="2:32" ht="20.100000000000001" customHeight="1" thickTop="1" thickBot="1" x14ac:dyDescent="0.45">
      <c r="B8" s="253"/>
      <c r="C8" s="1038" t="s">
        <v>501</v>
      </c>
      <c r="D8" s="1039"/>
      <c r="E8" s="1039"/>
      <c r="F8" s="1039"/>
      <c r="G8" s="1039"/>
      <c r="H8" s="1039"/>
      <c r="I8" s="1039"/>
      <c r="J8" s="1039"/>
      <c r="K8" s="1039"/>
      <c r="L8" s="1039"/>
      <c r="M8" s="1039"/>
      <c r="N8" s="1039"/>
      <c r="O8" s="1039"/>
      <c r="P8" s="1039"/>
      <c r="Q8" s="1039"/>
      <c r="R8" s="1040"/>
      <c r="S8" s="249"/>
      <c r="X8" s="614" t="str" cm="1">
        <f t="array" ref="X8">IFERROR(INDEX($T$21:$T$1021,SMALL(IF($T$21:$T$1021&lt;&gt;"",ROW($T$21:$T$1021)-ROW($T$21)+1),ROW(6:6))),"")</f>
        <v/>
      </c>
      <c r="Y8" s="614" t="str">
        <f t="shared" si="0"/>
        <v/>
      </c>
      <c r="Z8" s="614" t="str">
        <f t="shared" si="1"/>
        <v/>
      </c>
      <c r="AA8" s="614" t="str" cm="1">
        <f t="array" ref="AA8">IFERROR(INDEX($U$21:$U$1021,SMALL(IF($T$21:$T$1021&lt;&gt;"",ROW($T$21:$T$1021)-ROW($T$21)+1),ROW(6:6))),"")</f>
        <v/>
      </c>
      <c r="AB8" s="614" t="str" cm="1">
        <f t="array" ref="AB8">IFERROR(INDEX($V$21:$V$1021,SMALL(IF($T$21:$T$1021&lt;&gt;"",ROW($T$21:$T$1021)-ROW($T$21)+1),ROW(6:6))),"")</f>
        <v/>
      </c>
      <c r="AC8" s="614" t="str" cm="1">
        <f t="array" ref="AC8">IFERROR(INDEX($W$21:$W$1021,SMALL(IF($T$21:$T$1021&lt;&gt;"",ROW($T$21:$T$1021)-ROW($T$21)+1),ROW(6:6))),"")</f>
        <v/>
      </c>
      <c r="AD8" s="614" t="str">
        <f t="shared" si="2"/>
        <v/>
      </c>
      <c r="AE8" s="614" t="str">
        <f t="shared" si="3"/>
        <v/>
      </c>
    </row>
    <row r="9" spans="2:32" ht="20.100000000000001" customHeight="1" outlineLevel="1" thickTop="1" x14ac:dyDescent="0.4">
      <c r="B9" s="253"/>
      <c r="C9" s="446"/>
      <c r="D9" s="254"/>
      <c r="E9" s="254"/>
      <c r="F9" s="254"/>
      <c r="G9" s="254"/>
      <c r="H9" s="254"/>
      <c r="I9" s="254"/>
      <c r="J9" s="254"/>
      <c r="K9" s="254"/>
      <c r="L9" s="254"/>
      <c r="M9" s="254"/>
      <c r="N9" s="254"/>
      <c r="O9" s="254"/>
      <c r="P9" s="254"/>
      <c r="Q9" s="338"/>
      <c r="R9" s="501"/>
      <c r="S9" s="249"/>
      <c r="X9" s="614" t="str" cm="1">
        <f t="array" ref="X9">IFERROR(INDEX($T$21:$T$1021,SMALL(IF($T$21:$T$1021&lt;&gt;"",ROW($T$21:$T$1021)-ROW($T$21)+1),ROW(7:7))),"")</f>
        <v/>
      </c>
      <c r="Y9" s="614" t="str">
        <f t="shared" si="0"/>
        <v/>
      </c>
      <c r="Z9" s="614" t="str">
        <f t="shared" si="1"/>
        <v/>
      </c>
      <c r="AA9" s="614" t="str" cm="1">
        <f t="array" ref="AA9">IFERROR(INDEX($U$21:$U$1021,SMALL(IF($T$21:$T$1021&lt;&gt;"",ROW($T$21:$T$1021)-ROW($T$21)+1),ROW(7:7))),"")</f>
        <v/>
      </c>
      <c r="AB9" s="614" t="str" cm="1">
        <f t="array" ref="AB9">IFERROR(INDEX($V$21:$V$1021,SMALL(IF($T$21:$T$1021&lt;&gt;"",ROW($T$21:$T$1021)-ROW($T$21)+1),ROW(7:7))),"")</f>
        <v/>
      </c>
      <c r="AC9" s="614" t="str" cm="1">
        <f t="array" ref="AC9">IFERROR(INDEX($W$21:$W$1021,SMALL(IF($T$21:$T$1021&lt;&gt;"",ROW($T$21:$T$1021)-ROW($T$21)+1),ROW(7:7))),"")</f>
        <v/>
      </c>
      <c r="AD9" s="614" t="str">
        <f t="shared" si="2"/>
        <v/>
      </c>
      <c r="AE9" s="614" t="str">
        <f t="shared" si="3"/>
        <v/>
      </c>
    </row>
    <row r="10" spans="2:32" ht="32.1" customHeight="1" outlineLevel="1" x14ac:dyDescent="0.4">
      <c r="B10" s="253"/>
      <c r="C10" s="446"/>
      <c r="D10" s="1149" t="s">
        <v>173</v>
      </c>
      <c r="E10" s="1150"/>
      <c r="F10" s="1150"/>
      <c r="G10" s="1150"/>
      <c r="H10" s="1150"/>
      <c r="I10" s="1150"/>
      <c r="J10" s="1150"/>
      <c r="K10" s="1150"/>
      <c r="L10" s="1150"/>
      <c r="M10" s="1151"/>
      <c r="N10" s="1100" t="s">
        <v>414</v>
      </c>
      <c r="O10" s="1100"/>
      <c r="P10" s="1101"/>
      <c r="Q10" s="338"/>
      <c r="R10" s="501"/>
      <c r="S10" s="249"/>
      <c r="X10" s="614" t="str" cm="1">
        <f t="array" ref="X10">IFERROR(INDEX($T$21:$T$1021,SMALL(IF($T$21:$T$1021&lt;&gt;"",ROW($T$21:$T$1021)-ROW($T$21)+1),ROW(8:8))),"")</f>
        <v/>
      </c>
      <c r="Y10" s="614" t="str">
        <f t="shared" si="0"/>
        <v/>
      </c>
      <c r="Z10" s="614" t="str">
        <f t="shared" si="1"/>
        <v/>
      </c>
      <c r="AA10" s="614" t="str" cm="1">
        <f t="array" ref="AA10">IFERROR(INDEX($U$21:$U$1021,SMALL(IF($T$21:$T$1021&lt;&gt;"",ROW($T$21:$T$1021)-ROW($T$21)+1),ROW(8:8))),"")</f>
        <v/>
      </c>
      <c r="AB10" s="614" t="str" cm="1">
        <f t="array" ref="AB10">IFERROR(INDEX($V$21:$V$1021,SMALL(IF($T$21:$T$1021&lt;&gt;"",ROW($T$21:$T$1021)-ROW($T$21)+1),ROW(8:8))),"")</f>
        <v/>
      </c>
      <c r="AC10" s="614" t="str" cm="1">
        <f t="array" ref="AC10">IFERROR(INDEX($W$21:$W$1021,SMALL(IF($T$21:$T$1021&lt;&gt;"",ROW($T$21:$T$1021)-ROW($T$21)+1),ROW(8:8))),"")</f>
        <v/>
      </c>
      <c r="AD10" s="614" t="str">
        <f t="shared" si="2"/>
        <v/>
      </c>
      <c r="AE10" s="614" t="str">
        <f t="shared" si="3"/>
        <v/>
      </c>
    </row>
    <row r="11" spans="2:32" ht="32.1" customHeight="1" outlineLevel="1" x14ac:dyDescent="0.4">
      <c r="B11" s="253"/>
      <c r="C11" s="446"/>
      <c r="D11" s="1095" t="s">
        <v>460</v>
      </c>
      <c r="E11" s="1096"/>
      <c r="F11" s="1096"/>
      <c r="G11" s="1096"/>
      <c r="H11" s="1096"/>
      <c r="I11" s="1096"/>
      <c r="J11" s="1096"/>
      <c r="K11" s="1097"/>
      <c r="L11" s="1098"/>
      <c r="M11" s="1099"/>
      <c r="N11" s="1102" t="str">
        <f>IF(L11="","",IF(L11="Non",0.1,0))</f>
        <v/>
      </c>
      <c r="O11" s="1103"/>
      <c r="P11" s="1104"/>
      <c r="Q11" s="338"/>
      <c r="R11" s="501"/>
      <c r="S11" s="249"/>
      <c r="X11" s="614" t="str" cm="1">
        <f t="array" ref="X11">IFERROR(INDEX($T$21:$T$1021,SMALL(IF($T$21:$T$1021&lt;&gt;"",ROW($T$21:$T$1021)-ROW($T$21)+1),ROW(9:9))),"")</f>
        <v/>
      </c>
      <c r="Y11" s="614" t="str">
        <f t="shared" si="0"/>
        <v/>
      </c>
      <c r="Z11" s="614" t="str">
        <f t="shared" si="1"/>
        <v/>
      </c>
      <c r="AA11" s="614" t="str" cm="1">
        <f t="array" ref="AA11">IFERROR(INDEX($U$21:$U$1021,SMALL(IF($T$21:$T$1021&lt;&gt;"",ROW($T$21:$T$1021)-ROW($T$21)+1),ROW(9:9))),"")</f>
        <v/>
      </c>
      <c r="AB11" s="614" t="str" cm="1">
        <f t="array" ref="AB11">IFERROR(INDEX($V$21:$V$1021,SMALL(IF($T$21:$T$1021&lt;&gt;"",ROW($T$21:$T$1021)-ROW($T$21)+1),ROW(9:9))),"")</f>
        <v/>
      </c>
      <c r="AC11" s="614" t="str" cm="1">
        <f t="array" ref="AC11">IFERROR(INDEX($W$21:$W$1021,SMALL(IF($T$21:$T$1021&lt;&gt;"",ROW($T$21:$T$1021)-ROW($T$21)+1),ROW(9:9))),"")</f>
        <v/>
      </c>
      <c r="AD11" s="614" t="str">
        <f t="shared" si="2"/>
        <v/>
      </c>
      <c r="AE11" s="614" t="str">
        <f t="shared" si="3"/>
        <v/>
      </c>
    </row>
    <row r="12" spans="2:32" ht="32.1" customHeight="1" outlineLevel="1" x14ac:dyDescent="0.4">
      <c r="B12" s="253"/>
      <c r="C12" s="446"/>
      <c r="D12" s="1144" t="s">
        <v>461</v>
      </c>
      <c r="E12" s="1145"/>
      <c r="F12" s="1145"/>
      <c r="G12" s="1145"/>
      <c r="H12" s="1145"/>
      <c r="I12" s="1145"/>
      <c r="J12" s="1145"/>
      <c r="K12" s="1146"/>
      <c r="L12" s="1147"/>
      <c r="M12" s="1148"/>
      <c r="N12" s="1105" t="str">
        <f>IF(L12="","",IF(L12="Non",0.1,0))</f>
        <v/>
      </c>
      <c r="O12" s="1106"/>
      <c r="P12" s="1107"/>
      <c r="Q12" s="338"/>
      <c r="R12" s="501"/>
      <c r="S12" s="249"/>
      <c r="X12" s="614" t="str" cm="1">
        <f t="array" ref="X12">IFERROR(INDEX($T$21:$T$1021,SMALL(IF($T$21:$T$1021&lt;&gt;"",ROW($T$21:$T$1021)-ROW($T$21)+1),ROW(10:10))),"")</f>
        <v/>
      </c>
      <c r="Y12" s="614" t="str">
        <f t="shared" si="0"/>
        <v/>
      </c>
      <c r="Z12" s="614" t="str">
        <f t="shared" si="1"/>
        <v/>
      </c>
      <c r="AA12" s="614" t="str" cm="1">
        <f t="array" ref="AA12">IFERROR(INDEX($U$21:$U$1021,SMALL(IF($T$21:$T$1021&lt;&gt;"",ROW($T$21:$T$1021)-ROW($T$21)+1),ROW(10:10))),"")</f>
        <v/>
      </c>
      <c r="AB12" s="614" t="str" cm="1">
        <f t="array" ref="AB12">IFERROR(INDEX($V$21:$V$1021,SMALL(IF($T$21:$T$1021&lt;&gt;"",ROW($T$21:$T$1021)-ROW($T$21)+1),ROW(10:10))),"")</f>
        <v/>
      </c>
      <c r="AC12" s="614" t="str" cm="1">
        <f t="array" ref="AC12">IFERROR(INDEX($W$21:$W$1021,SMALL(IF($T$21:$T$1021&lt;&gt;"",ROW($T$21:$T$1021)-ROW($T$21)+1),ROW(10:10))),"")</f>
        <v/>
      </c>
      <c r="AD12" s="614" t="str">
        <f t="shared" si="2"/>
        <v/>
      </c>
      <c r="AE12" s="614" t="str">
        <f t="shared" si="3"/>
        <v/>
      </c>
    </row>
    <row r="13" spans="2:32" ht="32.1" customHeight="1" outlineLevel="1" x14ac:dyDescent="0.4">
      <c r="B13" s="253"/>
      <c r="C13" s="446"/>
      <c r="D13" s="1144" t="s">
        <v>462</v>
      </c>
      <c r="E13" s="1145"/>
      <c r="F13" s="1145"/>
      <c r="G13" s="1145"/>
      <c r="H13" s="1145"/>
      <c r="I13" s="1145"/>
      <c r="J13" s="1145"/>
      <c r="K13" s="1146"/>
      <c r="L13" s="1147"/>
      <c r="M13" s="1148"/>
      <c r="N13" s="1105" t="str">
        <f>IF(L13="","",IF(L13="Non",0.1,0))</f>
        <v/>
      </c>
      <c r="O13" s="1106"/>
      <c r="P13" s="1107"/>
      <c r="Q13" s="338"/>
      <c r="R13" s="501"/>
      <c r="S13" s="249"/>
      <c r="X13" s="614" t="str" cm="1">
        <f t="array" ref="X13">IFERROR(INDEX($T$21:$T$1021,SMALL(IF($T$21:$T$1021&lt;&gt;"",ROW($T$21:$T$1021)-ROW($T$21)+1),ROW(11:11))),"")</f>
        <v/>
      </c>
      <c r="Y13" s="614" t="str">
        <f t="shared" si="0"/>
        <v/>
      </c>
      <c r="Z13" s="614" t="str">
        <f t="shared" si="1"/>
        <v/>
      </c>
      <c r="AA13" s="614" t="str" cm="1">
        <f t="array" ref="AA13">IFERROR(INDEX($U$21:$U$1021,SMALL(IF($T$21:$T$1021&lt;&gt;"",ROW($T$21:$T$1021)-ROW($T$21)+1),ROW(11:11))),"")</f>
        <v/>
      </c>
      <c r="AB13" s="614" t="str" cm="1">
        <f t="array" ref="AB13">IFERROR(INDEX($V$21:$V$1021,SMALL(IF($T$21:$T$1021&lt;&gt;"",ROW($T$21:$T$1021)-ROW($T$21)+1),ROW(11:11))),"")</f>
        <v/>
      </c>
      <c r="AC13" s="614" t="str" cm="1">
        <f t="array" ref="AC13">IFERROR(INDEX($W$21:$W$1021,SMALL(IF($T$21:$T$1021&lt;&gt;"",ROW($T$21:$T$1021)-ROW($T$21)+1),ROW(11:11))),"")</f>
        <v/>
      </c>
      <c r="AD13" s="614" t="str">
        <f t="shared" si="2"/>
        <v/>
      </c>
      <c r="AE13" s="614" t="str">
        <f t="shared" si="3"/>
        <v/>
      </c>
    </row>
    <row r="14" spans="2:32" ht="32.1" customHeight="1" outlineLevel="1" x14ac:dyDescent="0.4">
      <c r="B14" s="253"/>
      <c r="C14" s="446"/>
      <c r="D14" s="1131" t="s">
        <v>463</v>
      </c>
      <c r="E14" s="1132"/>
      <c r="F14" s="1132"/>
      <c r="G14" s="1132"/>
      <c r="H14" s="1132"/>
      <c r="I14" s="1132"/>
      <c r="J14" s="1132"/>
      <c r="K14" s="1133"/>
      <c r="L14" s="1134"/>
      <c r="M14" s="1135"/>
      <c r="N14" s="1139" t="str">
        <f>IF(L14="","",IF(L14="Non",0.1,0))</f>
        <v/>
      </c>
      <c r="O14" s="1140"/>
      <c r="P14" s="1141"/>
      <c r="Q14" s="338"/>
      <c r="R14" s="501"/>
      <c r="S14" s="249"/>
      <c r="X14" s="614" t="str" cm="1">
        <f t="array" ref="X14">IFERROR(INDEX($T$21:$T$1021,SMALL(IF($T$21:$T$1021&lt;&gt;"",ROW($T$21:$T$1021)-ROW($T$21)+1),ROW(12:12))),"")</f>
        <v/>
      </c>
      <c r="Y14" s="614" t="str">
        <f t="shared" si="0"/>
        <v/>
      </c>
      <c r="Z14" s="614" t="str">
        <f t="shared" si="1"/>
        <v/>
      </c>
      <c r="AA14" s="614" t="str" cm="1">
        <f t="array" ref="AA14">IFERROR(INDEX($U$21:$U$1021,SMALL(IF($T$21:$T$1021&lt;&gt;"",ROW($T$21:$T$1021)-ROW($T$21)+1),ROW(12:12))),"")</f>
        <v/>
      </c>
      <c r="AB14" s="614" t="str" cm="1">
        <f t="array" ref="AB14">IFERROR(INDEX($V$21:$V$1021,SMALL(IF($T$21:$T$1021&lt;&gt;"",ROW($T$21:$T$1021)-ROW($T$21)+1),ROW(12:12))),"")</f>
        <v/>
      </c>
      <c r="AC14" s="614" t="str" cm="1">
        <f t="array" ref="AC14">IFERROR(INDEX($W$21:$W$1021,SMALL(IF($T$21:$T$1021&lt;&gt;"",ROW($T$21:$T$1021)-ROW($T$21)+1),ROW(12:12))),"")</f>
        <v/>
      </c>
      <c r="AD14" s="614" t="str">
        <f t="shared" si="2"/>
        <v/>
      </c>
      <c r="AE14" s="614" t="str">
        <f t="shared" si="3"/>
        <v/>
      </c>
    </row>
    <row r="15" spans="2:32" ht="26.1" customHeight="1" outlineLevel="1" x14ac:dyDescent="0.4">
      <c r="B15" s="253"/>
      <c r="C15" s="446"/>
      <c r="D15" s="529"/>
      <c r="E15" s="530"/>
      <c r="F15" s="530"/>
      <c r="G15" s="530"/>
      <c r="H15" s="530"/>
      <c r="I15" s="530"/>
      <c r="J15" s="530"/>
      <c r="K15" s="531"/>
      <c r="L15" s="1142" t="s">
        <v>381</v>
      </c>
      <c r="M15" s="1143"/>
      <c r="N15" s="1137">
        <f>SUM(N11:P14)</f>
        <v>0</v>
      </c>
      <c r="O15" s="1137"/>
      <c r="P15" s="1138"/>
      <c r="Q15" s="338"/>
      <c r="R15" s="501"/>
      <c r="S15" s="249"/>
      <c r="X15" s="614" t="str" cm="1">
        <f t="array" ref="X15">IFERROR(INDEX($T$21:$T$1021,SMALL(IF($T$21:$T$1021&lt;&gt;"",ROW($T$21:$T$1021)-ROW($T$21)+1),ROW(13:13))),"")</f>
        <v/>
      </c>
      <c r="Y15" s="614" t="str">
        <f t="shared" si="0"/>
        <v/>
      </c>
      <c r="Z15" s="614" t="str">
        <f t="shared" si="1"/>
        <v/>
      </c>
      <c r="AA15" s="614" t="str" cm="1">
        <f t="array" ref="AA15">IFERROR(INDEX($U$21:$U$1021,SMALL(IF($T$21:$T$1021&lt;&gt;"",ROW($T$21:$T$1021)-ROW($T$21)+1),ROW(13:13))),"")</f>
        <v/>
      </c>
      <c r="AB15" s="614" t="str" cm="1">
        <f t="array" ref="AB15">IFERROR(INDEX($V$21:$V$1021,SMALL(IF($T$21:$T$1021&lt;&gt;"",ROW($T$21:$T$1021)-ROW($T$21)+1),ROW(13:13))),"")</f>
        <v/>
      </c>
      <c r="AC15" s="614" t="str" cm="1">
        <f t="array" ref="AC15">IFERROR(INDEX($W$21:$W$1021,SMALL(IF($T$21:$T$1021&lt;&gt;"",ROW($T$21:$T$1021)-ROW($T$21)+1),ROW(13:13))),"")</f>
        <v/>
      </c>
      <c r="AD15" s="614" t="str">
        <f t="shared" si="2"/>
        <v/>
      </c>
      <c r="AE15" s="614" t="str">
        <f t="shared" si="3"/>
        <v/>
      </c>
    </row>
    <row r="16" spans="2:32" ht="20.100000000000001" customHeight="1" outlineLevel="1" x14ac:dyDescent="0.4">
      <c r="B16" s="253"/>
      <c r="C16" s="446"/>
      <c r="D16" s="449" t="s">
        <v>351</v>
      </c>
      <c r="E16" s="502"/>
      <c r="F16" s="502"/>
      <c r="G16" s="502"/>
      <c r="H16" s="502"/>
      <c r="I16" s="502"/>
      <c r="J16" s="502"/>
      <c r="K16" s="502"/>
      <c r="L16" s="502"/>
      <c r="M16" s="502"/>
      <c r="N16" s="502"/>
      <c r="O16" s="502"/>
      <c r="P16" s="502"/>
      <c r="Q16" s="503"/>
      <c r="R16" s="501"/>
      <c r="S16" s="249"/>
      <c r="Y16" s="614" t="str">
        <f t="shared" si="0"/>
        <v/>
      </c>
      <c r="Z16" s="614" t="str">
        <f t="shared" si="1"/>
        <v/>
      </c>
      <c r="AD16" s="614" t="str">
        <f t="shared" si="2"/>
        <v/>
      </c>
      <c r="AE16" s="614" t="str">
        <f t="shared" si="3"/>
        <v/>
      </c>
    </row>
    <row r="17" spans="2:31" ht="20.100000000000001" customHeight="1" outlineLevel="1" x14ac:dyDescent="0.4">
      <c r="B17" s="253"/>
      <c r="C17" s="446"/>
      <c r="D17" s="1057"/>
      <c r="E17" s="1058"/>
      <c r="F17" s="1058"/>
      <c r="G17" s="1058"/>
      <c r="H17" s="1058"/>
      <c r="I17" s="1058"/>
      <c r="J17" s="1058"/>
      <c r="K17" s="1058"/>
      <c r="L17" s="1058"/>
      <c r="M17" s="1058"/>
      <c r="N17" s="1058"/>
      <c r="O17" s="1058"/>
      <c r="P17" s="1059"/>
      <c r="Q17" s="503"/>
      <c r="R17" s="501"/>
      <c r="S17" s="249"/>
      <c r="Y17" s="614" t="str">
        <f t="shared" si="0"/>
        <v/>
      </c>
      <c r="Z17" s="614" t="str">
        <f t="shared" si="1"/>
        <v/>
      </c>
      <c r="AD17" s="614" t="str">
        <f t="shared" si="2"/>
        <v/>
      </c>
      <c r="AE17" s="614" t="str">
        <f t="shared" si="3"/>
        <v/>
      </c>
    </row>
    <row r="18" spans="2:31" ht="20.100000000000001" customHeight="1" outlineLevel="1" x14ac:dyDescent="0.4">
      <c r="B18" s="253"/>
      <c r="C18" s="446"/>
      <c r="D18" s="1060"/>
      <c r="E18" s="1061"/>
      <c r="F18" s="1061"/>
      <c r="G18" s="1061"/>
      <c r="H18" s="1061"/>
      <c r="I18" s="1061"/>
      <c r="J18" s="1061"/>
      <c r="K18" s="1061"/>
      <c r="L18" s="1061"/>
      <c r="M18" s="1061"/>
      <c r="N18" s="1061"/>
      <c r="O18" s="1061"/>
      <c r="P18" s="1062"/>
      <c r="Q18" s="503"/>
      <c r="R18" s="501"/>
      <c r="S18" s="249"/>
      <c r="Y18" s="614" t="str">
        <f t="shared" si="0"/>
        <v/>
      </c>
      <c r="Z18" s="614" t="str">
        <f t="shared" si="1"/>
        <v/>
      </c>
      <c r="AD18" s="614" t="str">
        <f t="shared" si="2"/>
        <v/>
      </c>
      <c r="AE18" s="614" t="str">
        <f t="shared" si="3"/>
        <v/>
      </c>
    </row>
    <row r="19" spans="2:31" ht="20.100000000000001" customHeight="1" outlineLevel="1" thickBot="1" x14ac:dyDescent="0.45">
      <c r="B19" s="253"/>
      <c r="C19" s="451"/>
      <c r="D19" s="452"/>
      <c r="E19" s="452"/>
      <c r="F19" s="452"/>
      <c r="G19" s="452"/>
      <c r="H19" s="452"/>
      <c r="I19" s="452"/>
      <c r="J19" s="452"/>
      <c r="K19" s="452"/>
      <c r="L19" s="452"/>
      <c r="M19" s="452"/>
      <c r="N19" s="452"/>
      <c r="O19" s="452"/>
      <c r="P19" s="452"/>
      <c r="Q19" s="504"/>
      <c r="R19" s="505"/>
      <c r="S19" s="249"/>
      <c r="X19" s="614" t="str" cm="1">
        <f t="array" ref="X19">IFERROR(INDEX($T$21:$T$1021,SMALL(IF($T$21:$T$1021&lt;&gt;"",ROW($T$21:$T$1021)-ROW($T$21)+1),ROW(14:14))),"")</f>
        <v/>
      </c>
      <c r="Y19" s="614" t="str">
        <f t="shared" si="0"/>
        <v/>
      </c>
      <c r="Z19" s="614" t="str">
        <f t="shared" si="1"/>
        <v/>
      </c>
      <c r="AA19" s="614" t="str" cm="1">
        <f t="array" ref="AA19">IFERROR(INDEX($U$21:$U$1021,SMALL(IF($T$21:$T$1021&lt;&gt;"",ROW($T$21:$T$1021)-ROW($T$21)+1),ROW(14:14))),"")</f>
        <v/>
      </c>
      <c r="AB19" s="614" t="str" cm="1">
        <f t="array" ref="AB19">IFERROR(INDEX($V$21:$V$1021,SMALL(IF($T$21:$T$1021&lt;&gt;"",ROW($T$21:$T$1021)-ROW($T$21)+1),ROW(14:14))),"")</f>
        <v/>
      </c>
      <c r="AC19" s="614" t="str" cm="1">
        <f t="array" ref="AC19">IFERROR(INDEX($W$21:$W$1021,SMALL(IF($T$21:$T$1021&lt;&gt;"",ROW($T$21:$T$1021)-ROW($T$21)+1),ROW(14:14))),"")</f>
        <v/>
      </c>
      <c r="AD19" s="614" t="str">
        <f t="shared" si="2"/>
        <v/>
      </c>
      <c r="AE19" s="614" t="str">
        <f t="shared" si="3"/>
        <v/>
      </c>
    </row>
    <row r="20" spans="2:31" ht="20.100000000000001" customHeight="1" thickTop="1" thickBot="1" x14ac:dyDescent="0.45">
      <c r="B20" s="253"/>
      <c r="C20" s="254"/>
      <c r="D20" s="254"/>
      <c r="E20" s="254"/>
      <c r="F20" s="254"/>
      <c r="G20" s="254"/>
      <c r="H20" s="254"/>
      <c r="I20" s="254"/>
      <c r="J20" s="254"/>
      <c r="K20" s="254"/>
      <c r="L20" s="254"/>
      <c r="M20" s="254"/>
      <c r="N20" s="254"/>
      <c r="O20" s="254"/>
      <c r="P20" s="254"/>
      <c r="Q20" s="338"/>
      <c r="R20" s="338"/>
      <c r="S20" s="249"/>
      <c r="X20" s="614" t="str" cm="1">
        <f t="array" ref="X20">IFERROR(INDEX($T$21:$T$1021,SMALL(IF($T$21:$T$1021&lt;&gt;"",ROW($T$21:$T$1021)-ROW($T$21)+1),ROW(15:15))),"")</f>
        <v/>
      </c>
      <c r="Y20" s="614" t="str">
        <f t="shared" si="0"/>
        <v/>
      </c>
      <c r="Z20" s="614" t="str">
        <f t="shared" si="1"/>
        <v/>
      </c>
      <c r="AA20" s="614" t="str" cm="1">
        <f t="array" ref="AA20">IFERROR(INDEX($U$21:$U$1021,SMALL(IF($T$21:$T$1021&lt;&gt;"",ROW($T$21:$T$1021)-ROW($T$21)+1),ROW(15:15))),"")</f>
        <v/>
      </c>
      <c r="AB20" s="614" t="str" cm="1">
        <f t="array" ref="AB20">IFERROR(INDEX($V$21:$V$1021,SMALL(IF($T$21:$T$1021&lt;&gt;"",ROW($T$21:$T$1021)-ROW($T$21)+1),ROW(15:15))),"")</f>
        <v/>
      </c>
      <c r="AC20" s="614" t="str" cm="1">
        <f t="array" ref="AC20">IFERROR(INDEX($W$21:$W$1021,SMALL(IF($T$21:$T$1021&lt;&gt;"",ROW($T$21:$T$1021)-ROW($T$21)+1),ROW(15:15))),"")</f>
        <v/>
      </c>
      <c r="AD20" s="614" t="str">
        <f t="shared" si="2"/>
        <v/>
      </c>
      <c r="AE20" s="614" t="str">
        <f>IF(X20&lt;&gt;"",IF(AD20&lt;&gt;"",IF(AD20&gt;80,"Validé",IF(AD20&lt;70,"Non Validé","Réserve")),"Non contrôlé"),"")</f>
        <v/>
      </c>
    </row>
    <row r="21" spans="2:31" ht="20.100000000000001" customHeight="1" thickTop="1" thickBot="1" x14ac:dyDescent="0.45">
      <c r="B21" s="253"/>
      <c r="C21" s="1038" t="s">
        <v>30</v>
      </c>
      <c r="D21" s="1039"/>
      <c r="E21" s="1039"/>
      <c r="F21" s="1039"/>
      <c r="G21" s="1039"/>
      <c r="H21" s="1039"/>
      <c r="I21" s="1039"/>
      <c r="J21" s="1039"/>
      <c r="K21" s="1121" t="s">
        <v>508</v>
      </c>
      <c r="L21" s="1121"/>
      <c r="M21" s="1121"/>
      <c r="N21" s="1121"/>
      <c r="O21" s="1121"/>
      <c r="P21" s="1121"/>
      <c r="Q21" s="1121"/>
      <c r="R21" s="506"/>
      <c r="S21" s="249"/>
    </row>
    <row r="22" spans="2:31" ht="20.100000000000001" customHeight="1" outlineLevel="1" thickTop="1" x14ac:dyDescent="0.4">
      <c r="B22" s="253"/>
      <c r="C22" s="446"/>
      <c r="D22" s="507"/>
      <c r="E22" s="254"/>
      <c r="F22" s="254"/>
      <c r="G22" s="254"/>
      <c r="H22" s="254"/>
      <c r="I22" s="254"/>
      <c r="J22" s="254"/>
      <c r="K22" s="254"/>
      <c r="L22" s="254"/>
      <c r="M22" s="254"/>
      <c r="N22" s="254"/>
      <c r="O22" s="254"/>
      <c r="P22" s="254"/>
      <c r="Q22" s="508"/>
      <c r="R22" s="501"/>
      <c r="S22" s="249"/>
    </row>
    <row r="23" spans="2:31" ht="20.100000000000001" customHeight="1" outlineLevel="1" x14ac:dyDescent="0.4">
      <c r="B23" s="253"/>
      <c r="C23" s="446"/>
      <c r="D23" s="1068" t="s">
        <v>506</v>
      </c>
      <c r="E23" s="1069"/>
      <c r="F23" s="1069"/>
      <c r="G23" s="1069"/>
      <c r="H23" s="1069"/>
      <c r="I23" s="1069"/>
      <c r="J23" s="1069"/>
      <c r="K23" s="1069"/>
      <c r="L23" s="1069"/>
      <c r="M23" s="1069"/>
      <c r="N23" s="1069"/>
      <c r="O23" s="1069"/>
      <c r="P23" s="1069"/>
      <c r="Q23" s="1070"/>
      <c r="R23" s="501"/>
      <c r="S23" s="249"/>
    </row>
    <row r="24" spans="2:31" ht="20.100000000000001" customHeight="1" outlineLevel="1" x14ac:dyDescent="0.4">
      <c r="B24" s="253"/>
      <c r="C24" s="446"/>
      <c r="D24" s="1136" t="s">
        <v>464</v>
      </c>
      <c r="E24" s="1136"/>
      <c r="F24" s="1136"/>
      <c r="G24" s="1092"/>
      <c r="H24" s="1092"/>
      <c r="I24" s="1092"/>
      <c r="J24" s="1092"/>
      <c r="K24" s="1136" t="s">
        <v>465</v>
      </c>
      <c r="L24" s="1136"/>
      <c r="M24" s="1136"/>
      <c r="N24" s="1071"/>
      <c r="O24" s="1071"/>
      <c r="P24" s="1071"/>
      <c r="Q24" s="1071"/>
      <c r="R24" s="501"/>
      <c r="S24" s="249"/>
    </row>
    <row r="25" spans="2:31" ht="30" customHeight="1" outlineLevel="1" x14ac:dyDescent="0.4">
      <c r="B25" s="253"/>
      <c r="C25" s="446"/>
      <c r="D25" s="1113" t="s">
        <v>598</v>
      </c>
      <c r="E25" s="1113"/>
      <c r="F25" s="1113"/>
      <c r="G25" s="1092"/>
      <c r="H25" s="1092"/>
      <c r="I25" s="1092"/>
      <c r="J25" s="1092"/>
      <c r="K25" s="1114" t="s">
        <v>505</v>
      </c>
      <c r="L25" s="1114"/>
      <c r="M25" s="1114"/>
      <c r="N25" s="1072"/>
      <c r="O25" s="1072"/>
      <c r="P25" s="1072"/>
      <c r="Q25" s="1072"/>
      <c r="R25" s="501"/>
      <c r="S25" s="249"/>
    </row>
    <row r="26" spans="2:31" ht="20.100000000000001" customHeight="1" outlineLevel="1" x14ac:dyDescent="0.4">
      <c r="B26" s="253"/>
      <c r="C26" s="446"/>
      <c r="D26" s="509"/>
      <c r="E26" s="509"/>
      <c r="F26" s="509"/>
      <c r="G26" s="509"/>
      <c r="H26" s="509"/>
      <c r="I26" s="509"/>
      <c r="J26" s="509"/>
      <c r="K26" s="509"/>
      <c r="L26" s="509"/>
      <c r="M26" s="509"/>
      <c r="N26" s="509"/>
      <c r="O26" s="509"/>
      <c r="P26" s="509"/>
      <c r="Q26" s="510"/>
      <c r="R26" s="501"/>
      <c r="S26" s="249"/>
    </row>
    <row r="27" spans="2:31" ht="20.100000000000001" customHeight="1" outlineLevel="1" x14ac:dyDescent="0.4">
      <c r="B27" s="253"/>
      <c r="C27" s="446"/>
      <c r="D27" s="1115" t="s">
        <v>268</v>
      </c>
      <c r="E27" s="1115"/>
      <c r="F27" s="1115"/>
      <c r="G27" s="1115"/>
      <c r="H27" s="1115"/>
      <c r="I27" s="1115"/>
      <c r="J27" s="1115"/>
      <c r="K27" s="1115"/>
      <c r="L27" s="1115"/>
      <c r="M27" s="1115"/>
      <c r="N27" s="1115"/>
      <c r="O27" s="1115"/>
      <c r="P27" s="1115"/>
      <c r="Q27" s="1115"/>
      <c r="R27" s="501"/>
      <c r="S27" s="249"/>
    </row>
    <row r="28" spans="2:31" ht="23.1" customHeight="1" outlineLevel="1" x14ac:dyDescent="0.4">
      <c r="B28" s="253"/>
      <c r="C28" s="446"/>
      <c r="D28" s="1116" t="s">
        <v>466</v>
      </c>
      <c r="E28" s="1117"/>
      <c r="F28" s="1117"/>
      <c r="G28" s="1117"/>
      <c r="H28" s="1117"/>
      <c r="I28" s="1117"/>
      <c r="J28" s="1117"/>
      <c r="K28" s="1077"/>
      <c r="L28" s="1077"/>
      <c r="M28" s="1077"/>
      <c r="N28" s="1077"/>
      <c r="O28" s="1077"/>
      <c r="P28" s="1077"/>
      <c r="Q28" s="1077"/>
      <c r="R28" s="501"/>
      <c r="S28" s="249"/>
    </row>
    <row r="29" spans="2:31" ht="23.1" customHeight="1" outlineLevel="1" x14ac:dyDescent="0.4">
      <c r="B29" s="253"/>
      <c r="C29" s="446"/>
      <c r="D29" s="1118" t="s">
        <v>599</v>
      </c>
      <c r="E29" s="1117"/>
      <c r="F29" s="1117"/>
      <c r="G29" s="1117"/>
      <c r="H29" s="1117"/>
      <c r="I29" s="1117"/>
      <c r="J29" s="1117"/>
      <c r="K29" s="1077"/>
      <c r="L29" s="1077"/>
      <c r="M29" s="1077"/>
      <c r="N29" s="1077"/>
      <c r="O29" s="1077"/>
      <c r="P29" s="1077"/>
      <c r="Q29" s="1077"/>
      <c r="R29" s="501"/>
      <c r="S29" s="249"/>
    </row>
    <row r="30" spans="2:31" ht="33.75" customHeight="1" outlineLevel="1" x14ac:dyDescent="0.4">
      <c r="B30" s="253"/>
      <c r="C30" s="446"/>
      <c r="D30" s="1119" t="s">
        <v>467</v>
      </c>
      <c r="E30" s="1120"/>
      <c r="F30" s="1120"/>
      <c r="G30" s="1120"/>
      <c r="H30" s="1120"/>
      <c r="I30" s="1120"/>
      <c r="J30" s="511"/>
      <c r="K30" s="1077"/>
      <c r="L30" s="1077"/>
      <c r="M30" s="1077"/>
      <c r="N30" s="1077"/>
      <c r="O30" s="1077"/>
      <c r="P30" s="1077"/>
      <c r="Q30" s="1077"/>
      <c r="R30" s="501"/>
      <c r="S30" s="249"/>
    </row>
    <row r="31" spans="2:31" ht="29.7" customHeight="1" outlineLevel="1" x14ac:dyDescent="0.4">
      <c r="B31" s="253"/>
      <c r="C31" s="446"/>
      <c r="D31" s="1078" t="s">
        <v>468</v>
      </c>
      <c r="E31" s="1079"/>
      <c r="F31" s="1079"/>
      <c r="G31" s="1079"/>
      <c r="H31" s="1079"/>
      <c r="I31" s="1079"/>
      <c r="J31" s="512"/>
      <c r="K31" s="1080"/>
      <c r="L31" s="1080"/>
      <c r="M31" s="1080"/>
      <c r="N31" s="1080"/>
      <c r="O31" s="1080"/>
      <c r="P31" s="1080"/>
      <c r="Q31" s="1080"/>
      <c r="R31" s="501"/>
      <c r="S31" s="249"/>
    </row>
    <row r="32" spans="2:31" ht="20.100000000000001" customHeight="1" outlineLevel="1" x14ac:dyDescent="0.4">
      <c r="B32" s="253"/>
      <c r="C32" s="446"/>
      <c r="D32" s="509"/>
      <c r="E32" s="509"/>
      <c r="F32" s="509"/>
      <c r="G32" s="509"/>
      <c r="H32" s="509"/>
      <c r="I32" s="509"/>
      <c r="J32" s="509"/>
      <c r="K32" s="509"/>
      <c r="L32" s="509"/>
      <c r="M32" s="509"/>
      <c r="N32" s="509"/>
      <c r="O32" s="509"/>
      <c r="P32" s="509"/>
      <c r="Q32" s="510"/>
      <c r="R32" s="501"/>
      <c r="S32" s="249"/>
    </row>
    <row r="33" spans="2:23" ht="20.100000000000001" customHeight="1" outlineLevel="1" x14ac:dyDescent="0.4">
      <c r="B33" s="253"/>
      <c r="C33" s="446"/>
      <c r="D33" s="1068" t="s">
        <v>507</v>
      </c>
      <c r="E33" s="1069"/>
      <c r="F33" s="1069"/>
      <c r="G33" s="1069"/>
      <c r="H33" s="1069"/>
      <c r="I33" s="1069"/>
      <c r="J33" s="1069"/>
      <c r="K33" s="1069"/>
      <c r="L33" s="1069"/>
      <c r="M33" s="1069"/>
      <c r="N33" s="1069"/>
      <c r="O33" s="1069"/>
      <c r="P33" s="1069"/>
      <c r="Q33" s="1070"/>
      <c r="R33" s="501"/>
      <c r="S33" s="249"/>
    </row>
    <row r="34" spans="2:23" ht="30" customHeight="1" outlineLevel="1" x14ac:dyDescent="0.4">
      <c r="B34" s="253"/>
      <c r="C34" s="446"/>
      <c r="D34" s="1093" t="s">
        <v>31</v>
      </c>
      <c r="E34" s="1093"/>
      <c r="F34" s="1094" t="s">
        <v>32</v>
      </c>
      <c r="G34" s="1094" t="s">
        <v>509</v>
      </c>
      <c r="H34" s="1094"/>
      <c r="I34" s="1093" t="s">
        <v>33</v>
      </c>
      <c r="J34" s="1094" t="s">
        <v>510</v>
      </c>
      <c r="K34" s="1094"/>
      <c r="L34" s="1093" t="s">
        <v>33</v>
      </c>
      <c r="M34" s="1111" t="s">
        <v>503</v>
      </c>
      <c r="N34" s="1112"/>
      <c r="O34" s="1111" t="s">
        <v>504</v>
      </c>
      <c r="P34" s="1112"/>
      <c r="Q34" s="513" t="s">
        <v>502</v>
      </c>
      <c r="R34" s="501"/>
      <c r="S34" s="249"/>
    </row>
    <row r="35" spans="2:23" ht="20.100000000000001" customHeight="1" outlineLevel="1" x14ac:dyDescent="0.4">
      <c r="B35" s="253"/>
      <c r="C35" s="446"/>
      <c r="D35" s="1093"/>
      <c r="E35" s="1093"/>
      <c r="F35" s="1094"/>
      <c r="G35" s="1094"/>
      <c r="H35" s="1094"/>
      <c r="I35" s="1093"/>
      <c r="J35" s="1094"/>
      <c r="K35" s="1094"/>
      <c r="L35" s="1093"/>
      <c r="M35" s="1081">
        <f>COUNTA(G37:H46)</f>
        <v>0</v>
      </c>
      <c r="N35" s="1081"/>
      <c r="O35" s="1081">
        <f>COUNTIF(O37:P46,"=Oui")</f>
        <v>0</v>
      </c>
      <c r="P35" s="1081"/>
      <c r="Q35" s="515">
        <f>IF(OR($J30="Oui",$J31="Oui"),100*(1-N15),IF(M35&gt;0,(O35/M35)*100*(1-N15),0))</f>
        <v>0</v>
      </c>
      <c r="R35" s="501"/>
      <c r="S35" s="249"/>
      <c r="T35" s="614" t="str">
        <f>IF(G24&lt;&gt;"",G24,"")</f>
        <v/>
      </c>
      <c r="U35" s="614" t="str">
        <f>IF(T35&lt;&gt;"",M35,"")</f>
        <v/>
      </c>
      <c r="V35" s="614" t="str">
        <f>IF(T35&lt;&gt;"",O35,"")</f>
        <v/>
      </c>
      <c r="W35" s="614">
        <f>IF(Q35&lt;&gt;"",Q35,"")</f>
        <v>0</v>
      </c>
    </row>
    <row r="36" spans="2:23" ht="20.100000000000001" customHeight="1" outlineLevel="1" x14ac:dyDescent="0.4">
      <c r="B36" s="253"/>
      <c r="C36" s="446"/>
      <c r="D36" s="1093"/>
      <c r="E36" s="1093"/>
      <c r="F36" s="1094"/>
      <c r="G36" s="1094"/>
      <c r="H36" s="1094"/>
      <c r="I36" s="1093"/>
      <c r="J36" s="1094"/>
      <c r="K36" s="1094"/>
      <c r="L36" s="1093"/>
      <c r="M36" s="1112" t="s">
        <v>34</v>
      </c>
      <c r="N36" s="1112"/>
      <c r="O36" s="1112" t="s">
        <v>35</v>
      </c>
      <c r="P36" s="1112"/>
      <c r="Q36" s="516" t="s">
        <v>497</v>
      </c>
      <c r="R36" s="501"/>
      <c r="S36" s="249"/>
    </row>
    <row r="37" spans="2:23" ht="20.100000000000001" customHeight="1" outlineLevel="1" x14ac:dyDescent="0.4">
      <c r="B37" s="253"/>
      <c r="C37" s="446"/>
      <c r="D37" s="1067" t="s">
        <v>36</v>
      </c>
      <c r="E37" s="1067"/>
      <c r="F37" s="517">
        <f>VLOOKUP(D37, 'SeuilsComparaison-EMT'!$C$5:$E$28, 3, FALSE)</f>
        <v>3</v>
      </c>
      <c r="G37" s="1108"/>
      <c r="H37" s="1108"/>
      <c r="I37" s="518"/>
      <c r="J37" s="1108"/>
      <c r="K37" s="1108"/>
      <c r="L37" s="518"/>
      <c r="M37" s="1109" t="str">
        <f>IF(OR(J37="",G37=""),"",IF(ISERROR(VLOOKUP(D37,'SeuilsComparaison-EMT'!$C$5:$J$25,4,FALSE)),"-",IF(OR(IF(ISTEXT(J37)=TRUE,SUBSTITUTE(J37,"&lt;","",1)*1,J37)&gt;VLOOKUP(D37,'SeuilsComparaison-EMT'!$C$5:$J$25,4,FALSE),IF(ISTEXT(G37)=TRUE,SUBSTITUTE(G37,"&lt;","",1)*1,G37)&gt;VLOOKUP(D37,'SeuilsComparaison-EMT'!$C$5:$J$25,4,FALSE)=TRUE),(IF(ISTEXT(G37)=TRUE,SUBSTITUTE(G37,"&lt;","",1)*1,G37)-((IF(ISTEXT(G37)=TRUE,SUBSTITUTE(G37,"&lt;","",1)*1,G37)+IF(ISTEXT(J37)=TRUE,SUBSTITUTE(J37,"&lt;","",1)*1,J37))/2))/((IF(ISTEXT(G37)=TRUE,SUBSTITUTE(G37,"&lt;","",1)*1,G37)+IF(ISTEXT(J37)=TRUE,SUBSTITUTE(J37,"&lt;","",1),J37))/2),"-")))</f>
        <v/>
      </c>
      <c r="N37" s="1109"/>
      <c r="O37" s="1110" t="str">
        <f>IF(OR(G37="",J37=""),"",IF(AND(I37="Oui",L37="Oui"),"Oui",IF(M37="-","Oui",IF(OR(J37&gt;VLOOKUP($D37,'SeuilsComparaison-EMT'!$C$5:$J$27,4,FALSE),G37&gt;VLOOKUP($D37,'SeuilsComparaison-EMT'!$C$5:$J$27,4,FALSE)=TRUE),IF(J37&lt;=VLOOKUP($D37,'SeuilsComparaison-EMT'!$C$5:$J$27,5,FALSE),IF(ABS(M37)&lt;=VLOOKUP($D37,'SeuilsComparaison-EMT'!$C$5:$J$27,6,FALSE),"Oui","Non"),IF(ABS(M37)&lt;=VLOOKUP($D37,'SeuilsComparaison-EMT'!$C$5:$J$27,8,FALSE),"Oui","Non")),"Oui"))))</f>
        <v/>
      </c>
      <c r="P37" s="1110"/>
      <c r="Q37" s="519" t="str">
        <f>IF(OR(AND(ISNUMBER(G37),G37&gt;VLOOKUP(D37,'SeuilsComparaison-EMT'!$C$5:$J$27,4,FALSE)),AND(ISNUMBER(J37),J37&gt;VLOOKUP(D37,'SeuilsComparaison-EMT'!$C$5:$J$27,4,FALSE))),IF(AVERAGE(G37,J37)&lt;=VLOOKUP(D37,'SeuilsComparaison-EMT'!$C$5:$J$27,5,FALSE),VLOOKUP(D37,'SeuilsComparaison-EMT'!$C$5:$J$27,6,FALSE),VLOOKUP(D37,'SeuilsComparaison-EMT'!$C$5:$J$27,8,FALSE)),"")</f>
        <v/>
      </c>
      <c r="R37" s="501"/>
      <c r="S37" s="249"/>
    </row>
    <row r="38" spans="2:23" ht="20.100000000000001" customHeight="1" outlineLevel="1" x14ac:dyDescent="0.4">
      <c r="B38" s="253"/>
      <c r="C38" s="446"/>
      <c r="D38" s="1066" t="s">
        <v>37</v>
      </c>
      <c r="E38" s="1066"/>
      <c r="F38" s="520">
        <f>VLOOKUP(D38, 'SeuilsComparaison-EMT'!$C$5:$E$28, 3, FALSE)</f>
        <v>30</v>
      </c>
      <c r="G38" s="1063"/>
      <c r="H38" s="1063"/>
      <c r="I38" s="521"/>
      <c r="J38" s="1063"/>
      <c r="K38" s="1063"/>
      <c r="L38" s="521"/>
      <c r="M38" s="1064" t="str">
        <f>IF(OR(J38="",G38=""),"",IF(ISERROR(VLOOKUP(D38,'SeuilsComparaison-EMT'!$C$5:$J$25,4,FALSE)),"-",IF(OR(IF(ISTEXT(J38)=TRUE,SUBSTITUTE(J38,"&lt;","",1)*1,J38)&gt;VLOOKUP(D38,'SeuilsComparaison-EMT'!$C$5:$J$25,4,FALSE),IF(ISTEXT(G38)=TRUE,SUBSTITUTE(G38,"&lt;","",1)*1,G38)&gt;VLOOKUP(D38,'SeuilsComparaison-EMT'!$C$5:$J$25,4,FALSE)=TRUE),(IF(ISTEXT(G38)=TRUE,SUBSTITUTE(G38,"&lt;","",1)*1,G38)-((IF(ISTEXT(G38)=TRUE,SUBSTITUTE(G38,"&lt;","",1)*1,G38)+IF(ISTEXT(J38)=TRUE,SUBSTITUTE(J38,"&lt;","",1)*1,J38))/2))/((IF(ISTEXT(G38)=TRUE,SUBSTITUTE(G38,"&lt;","",1)*1,G38)+IF(ISTEXT(J38)=TRUE,SUBSTITUTE(J38,"&lt;","",1),J38))/2),"-")))</f>
        <v/>
      </c>
      <c r="N38" s="1064"/>
      <c r="O38" s="1065" t="str">
        <f>IF(OR(G38="",J38=""),"",IF(AND(I38="Oui",L38="Oui"),"Oui",IF(M38="-","Oui",IF(OR(J38&gt;VLOOKUP($D38,'SeuilsComparaison-EMT'!$C$5:$J$27,4,FALSE),G38&gt;VLOOKUP($D38,'SeuilsComparaison-EMT'!$C$5:$J$27,4,FALSE)=TRUE),IF(J38&lt;=VLOOKUP($D38,'SeuilsComparaison-EMT'!$C$5:$J$27,5,FALSE),IF(ABS(M38)&lt;=VLOOKUP($D38,'SeuilsComparaison-EMT'!$C$5:$J$27,6,FALSE),"Oui","Non"),IF(ABS(M38)&lt;=VLOOKUP($D38,'SeuilsComparaison-EMT'!$C$5:$J$27,8,FALSE),"Oui","Non")),"Oui"))))</f>
        <v/>
      </c>
      <c r="P38" s="1065"/>
      <c r="Q38" s="522" t="str">
        <f>IF(OR(AND(ISNUMBER(G38),G38&gt;VLOOKUP(D38,'SeuilsComparaison-EMT'!$C$5:$J$27,4,FALSE)),AND(ISNUMBER(J38),J38&gt;VLOOKUP(D38,'SeuilsComparaison-EMT'!$C$5:$J$27,4,FALSE))),IF(AVERAGE(G38,J38)&lt;=VLOOKUP(D38,'SeuilsComparaison-EMT'!$C$5:$J$27,5,FALSE),VLOOKUP(D38,'SeuilsComparaison-EMT'!$C$5:$J$27,6,FALSE),VLOOKUP(D38,'SeuilsComparaison-EMT'!$C$5:$J$27,8,FALSE)),"")</f>
        <v/>
      </c>
      <c r="R38" s="501"/>
      <c r="S38" s="249"/>
    </row>
    <row r="39" spans="2:23" ht="20.100000000000001" customHeight="1" outlineLevel="1" x14ac:dyDescent="0.4">
      <c r="B39" s="253"/>
      <c r="C39" s="446"/>
      <c r="D39" s="1066" t="s">
        <v>38</v>
      </c>
      <c r="E39" s="1066"/>
      <c r="F39" s="520">
        <f>VLOOKUP(D39, 'SeuilsComparaison-EMT'!$C$5:$E$28, 3, FALSE)</f>
        <v>10</v>
      </c>
      <c r="G39" s="1063"/>
      <c r="H39" s="1063"/>
      <c r="I39" s="521"/>
      <c r="J39" s="1063"/>
      <c r="K39" s="1063"/>
      <c r="L39" s="521"/>
      <c r="M39" s="1064" t="str">
        <f>IF(OR(J39="",G39=""),"",IF(ISERROR(VLOOKUP(D39,'SeuilsComparaison-EMT'!$C$5:$J$25,4,FALSE)),"-",IF(OR(IF(ISTEXT(J39)=TRUE,SUBSTITUTE(J39,"&lt;","",1)*1,J39)&gt;VLOOKUP(D39,'SeuilsComparaison-EMT'!$C$5:$J$25,4,FALSE),IF(ISTEXT(G39)=TRUE,SUBSTITUTE(G39,"&lt;","",1)*1,G39)&gt;VLOOKUP(D39,'SeuilsComparaison-EMT'!$C$5:$J$25,4,FALSE)=TRUE),(IF(ISTEXT(G39)=TRUE,SUBSTITUTE(G39,"&lt;","",1)*1,G39)-((IF(ISTEXT(G39)=TRUE,SUBSTITUTE(G39,"&lt;","",1)*1,G39)+IF(ISTEXT(J39)=TRUE,SUBSTITUTE(J39,"&lt;","",1)*1,J39))/2))/((IF(ISTEXT(G39)=TRUE,SUBSTITUTE(G39,"&lt;","",1)*1,G39)+IF(ISTEXT(J39)=TRUE,SUBSTITUTE(J39,"&lt;","",1),J39))/2),"-")))</f>
        <v/>
      </c>
      <c r="N39" s="1064"/>
      <c r="O39" s="1065" t="str">
        <f>IF(OR(G39="",J39=""),"",IF(AND(I39="Oui",L39="Oui"),"Oui",IF(M39="-","Oui",IF(OR(J39&gt;VLOOKUP($D39,'SeuilsComparaison-EMT'!$C$5:$J$27,4,FALSE),G39&gt;VLOOKUP($D39,'SeuilsComparaison-EMT'!$C$5:$J$27,4,FALSE)=TRUE),IF(J39&lt;=VLOOKUP($D39,'SeuilsComparaison-EMT'!$C$5:$J$27,5,FALSE),IF(ABS(M39)&lt;=VLOOKUP($D39,'SeuilsComparaison-EMT'!$C$5:$J$27,6,FALSE),"Oui","Non"),IF(ABS(M39)&lt;=VLOOKUP($D39,'SeuilsComparaison-EMT'!$C$5:$J$27,8,FALSE),"Oui","Non")),"Oui"))))</f>
        <v/>
      </c>
      <c r="P39" s="1065"/>
      <c r="Q39" s="522" t="str">
        <f>IF(OR(AND(ISNUMBER(G39),G39&gt;VLOOKUP(D39,'SeuilsComparaison-EMT'!$C$5:$J$27,4,FALSE)),AND(ISNUMBER(J39),J39&gt;VLOOKUP(D39,'SeuilsComparaison-EMT'!$C$5:$J$27,4,FALSE))),IF(AVERAGE(G39,J39)&lt;=VLOOKUP(D39,'SeuilsComparaison-EMT'!$C$5:$J$27,5,FALSE),VLOOKUP(D39,'SeuilsComparaison-EMT'!$C$5:$J$27,6,FALSE),VLOOKUP(D39,'SeuilsComparaison-EMT'!$C$5:$J$27,8,FALSE)),"")</f>
        <v/>
      </c>
      <c r="R39" s="501"/>
      <c r="S39" s="249"/>
    </row>
    <row r="40" spans="2:23" ht="20.100000000000001" customHeight="1" outlineLevel="1" x14ac:dyDescent="0.4">
      <c r="B40" s="253"/>
      <c r="C40" s="446"/>
      <c r="D40" s="1066" t="s">
        <v>40</v>
      </c>
      <c r="E40" s="1066"/>
      <c r="F40" s="520">
        <f>VLOOKUP(D40, 'SeuilsComparaison-EMT'!$C$5:$E$28, 3, FALSE)</f>
        <v>2</v>
      </c>
      <c r="G40" s="1063"/>
      <c r="H40" s="1063"/>
      <c r="I40" s="521"/>
      <c r="J40" s="1063"/>
      <c r="K40" s="1063"/>
      <c r="L40" s="521"/>
      <c r="M40" s="1064" t="str">
        <f>IF(OR(J40="",G40=""),"",IF(ISERROR(VLOOKUP(D40,'SeuilsComparaison-EMT'!$C$5:$J$25,4,FALSE)),"-",IF(OR(IF(ISTEXT(J40)=TRUE,SUBSTITUTE(J40,"&lt;","",1)*1,J40)&gt;VLOOKUP(D40,'SeuilsComparaison-EMT'!$C$5:$J$25,4,FALSE),IF(ISTEXT(G40)=TRUE,SUBSTITUTE(G40,"&lt;","",1)*1,G40)&gt;VLOOKUP(D40,'SeuilsComparaison-EMT'!$C$5:$J$25,4,FALSE)=TRUE),(IF(ISTEXT(G40)=TRUE,SUBSTITUTE(G40,"&lt;","",1)*1,G40)-((IF(ISTEXT(G40)=TRUE,SUBSTITUTE(G40,"&lt;","",1)*1,G40)+IF(ISTEXT(J40)=TRUE,SUBSTITUTE(J40,"&lt;","",1)*1,J40))/2))/((IF(ISTEXT(G40)=TRUE,SUBSTITUTE(G40,"&lt;","",1)*1,G40)+IF(ISTEXT(J40)=TRUE,SUBSTITUTE(J40,"&lt;","",1),J40))/2),"-")))</f>
        <v/>
      </c>
      <c r="N40" s="1064"/>
      <c r="O40" s="1065" t="str">
        <f>IF(OR(G40="",J40=""),"",IF(AND(I40="Oui",L40="Oui"),"Oui",IF(M40="-","Oui",IF(OR(J40&gt;VLOOKUP($D40,'SeuilsComparaison-EMT'!$C$5:$J$27,4,FALSE),G40&gt;VLOOKUP($D40,'SeuilsComparaison-EMT'!$C$5:$J$27,4,FALSE)=TRUE),IF(J40&lt;=VLOOKUP($D40,'SeuilsComparaison-EMT'!$C$5:$J$27,5,FALSE),IF(ABS(M40)&lt;=VLOOKUP($D40,'SeuilsComparaison-EMT'!$C$5:$J$27,6,FALSE),"Oui","Non"),IF(ABS(M40)&lt;=VLOOKUP($D40,'SeuilsComparaison-EMT'!$C$5:$J$27,8,FALSE),"Oui","Non")),"Oui"))))</f>
        <v/>
      </c>
      <c r="P40" s="1065"/>
      <c r="Q40" s="522" t="str">
        <f>IF(OR(AND(ISNUMBER(G40),G40&gt;VLOOKUP(D40,'SeuilsComparaison-EMT'!$C$5:$J$27,4,FALSE)),AND(ISNUMBER(J40),J40&gt;VLOOKUP(D40,'SeuilsComparaison-EMT'!$C$5:$J$27,4,FALSE))),IF(AVERAGE(G40,J40)&lt;=VLOOKUP(D40,'SeuilsComparaison-EMT'!$C$5:$J$27,5,FALSE),VLOOKUP(D40,'SeuilsComparaison-EMT'!$C$5:$J$27,6,FALSE),VLOOKUP(D40,'SeuilsComparaison-EMT'!$C$5:$J$27,8,FALSE)),"")</f>
        <v/>
      </c>
      <c r="R40" s="501"/>
      <c r="S40" s="249"/>
    </row>
    <row r="41" spans="2:23" ht="20.100000000000001" customHeight="1" outlineLevel="1" x14ac:dyDescent="0.4">
      <c r="B41" s="253"/>
      <c r="C41" s="446"/>
      <c r="D41" s="1066" t="s">
        <v>41</v>
      </c>
      <c r="E41" s="1066"/>
      <c r="F41" s="520">
        <f>VLOOKUP(D41, 'SeuilsComparaison-EMT'!$C$5:$E$28, 3, FALSE)</f>
        <v>0.5</v>
      </c>
      <c r="G41" s="1063"/>
      <c r="H41" s="1063"/>
      <c r="I41" s="521"/>
      <c r="J41" s="1063"/>
      <c r="K41" s="1063"/>
      <c r="L41" s="521"/>
      <c r="M41" s="1064" t="str">
        <f>IF(OR(J41="",G41=""),"",IF(ISERROR(VLOOKUP(D41,'SeuilsComparaison-EMT'!$C$5:$J$25,4,FALSE)),"-",IF(OR(IF(ISTEXT(J41)=TRUE,SUBSTITUTE(J41,"&lt;","",1)*1,J41)&gt;VLOOKUP(D41,'SeuilsComparaison-EMT'!$C$5:$J$25,4,FALSE),IF(ISTEXT(G41)=TRUE,SUBSTITUTE(G41,"&lt;","",1)*1,G41)&gt;VLOOKUP(D41,'SeuilsComparaison-EMT'!$C$5:$J$25,4,FALSE)=TRUE),(IF(ISTEXT(G41)=TRUE,SUBSTITUTE(G41,"&lt;","",1)*1,G41)-((IF(ISTEXT(G41)=TRUE,SUBSTITUTE(G41,"&lt;","",1)*1,G41)+IF(ISTEXT(J41)=TRUE,SUBSTITUTE(J41,"&lt;","",1)*1,J41))/2))/((IF(ISTEXT(G41)=TRUE,SUBSTITUTE(G41,"&lt;","",1)*1,G41)+IF(ISTEXT(J41)=TRUE,SUBSTITUTE(J41,"&lt;","",1),J41))/2),"-")))</f>
        <v/>
      </c>
      <c r="N41" s="1064"/>
      <c r="O41" s="1065" t="str">
        <f>IF(OR(G41="",J41=""),"",IF(AND(I41="Oui",L41="Oui"),"Oui",IF(M41="-","Oui",IF(OR(J41&gt;VLOOKUP($D41,'SeuilsComparaison-EMT'!$C$5:$J$27,4,FALSE),G41&gt;VLOOKUP($D41,'SeuilsComparaison-EMT'!$C$5:$J$27,4,FALSE)=TRUE),IF(J41&lt;=VLOOKUP($D41,'SeuilsComparaison-EMT'!$C$5:$J$27,5,FALSE),IF(ABS(M41)&lt;=VLOOKUP($D41,'SeuilsComparaison-EMT'!$C$5:$J$27,6,FALSE),"Oui","Non"),IF(ABS(M41)&lt;=VLOOKUP($D41,'SeuilsComparaison-EMT'!$C$5:$J$27,8,FALSE),"Oui","Non")),"Oui"))))</f>
        <v/>
      </c>
      <c r="P41" s="1065"/>
      <c r="Q41" s="522" t="str">
        <f>IF(OR(AND(ISNUMBER(G41),G41&gt;VLOOKUP(D41,'SeuilsComparaison-EMT'!$C$5:$J$27,4,FALSE)),AND(ISNUMBER(J41),J41&gt;VLOOKUP(D41,'SeuilsComparaison-EMT'!$C$5:$J$27,4,FALSE))),IF(AVERAGE(G41,J41)&lt;=VLOOKUP(D41,'SeuilsComparaison-EMT'!$C$5:$J$27,5,FALSE),VLOOKUP(D41,'SeuilsComparaison-EMT'!$C$5:$J$27,6,FALSE),VLOOKUP(D41,'SeuilsComparaison-EMT'!$C$5:$J$27,8,FALSE)),"")</f>
        <v/>
      </c>
      <c r="R41" s="501"/>
      <c r="S41" s="249"/>
    </row>
    <row r="42" spans="2:23" ht="20.100000000000001" customHeight="1" outlineLevel="1" x14ac:dyDescent="0.4">
      <c r="B42" s="253"/>
      <c r="C42" s="446"/>
      <c r="D42" s="1066" t="s">
        <v>45</v>
      </c>
      <c r="E42" s="1066"/>
      <c r="F42" s="520">
        <f>VLOOKUP(D42, 'SeuilsComparaison-EMT'!$C$5:$E$28, 3, FALSE)</f>
        <v>1</v>
      </c>
      <c r="G42" s="1063"/>
      <c r="H42" s="1063"/>
      <c r="I42" s="521"/>
      <c r="J42" s="1063"/>
      <c r="K42" s="1063"/>
      <c r="L42" s="521"/>
      <c r="M42" s="1064" t="str">
        <f>IF(OR(J42="",G42=""),"",IF(ISERROR(VLOOKUP(D42,'SeuilsComparaison-EMT'!$C$5:$J$25,4,FALSE)),"-",IF(OR(IF(ISTEXT(J42)=TRUE,SUBSTITUTE(J42,"&lt;","",1)*1,J42)&gt;VLOOKUP(D42,'SeuilsComparaison-EMT'!$C$5:$J$25,4,FALSE),IF(ISTEXT(G42)=TRUE,SUBSTITUTE(G42,"&lt;","",1)*1,G42)&gt;VLOOKUP(D42,'SeuilsComparaison-EMT'!$C$5:$J$25,4,FALSE)=TRUE),(IF(ISTEXT(G42)=TRUE,SUBSTITUTE(G42,"&lt;","",1)*1,G42)-((IF(ISTEXT(G42)=TRUE,SUBSTITUTE(G42,"&lt;","",1)*1,G42)+IF(ISTEXT(J42)=TRUE,SUBSTITUTE(J42,"&lt;","",1)*1,J42))/2))/((IF(ISTEXT(G42)=TRUE,SUBSTITUTE(G42,"&lt;","",1)*1,G42)+IF(ISTEXT(J42)=TRUE,SUBSTITUTE(J42,"&lt;","",1),J42))/2),"-")))</f>
        <v/>
      </c>
      <c r="N42" s="1064"/>
      <c r="O42" s="1065" t="str">
        <f>IF(OR(G42="",J42=""),"",IF(AND(I42="Oui",L42="Oui"),"Oui",IF(M42="-","Oui",IF(OR(J42&gt;VLOOKUP($D42,'SeuilsComparaison-EMT'!$C$5:$J$27,4,FALSE),G42&gt;VLOOKUP($D42,'SeuilsComparaison-EMT'!$C$5:$J$27,4,FALSE)=TRUE),IF(J42&lt;=VLOOKUP($D42,'SeuilsComparaison-EMT'!$C$5:$J$27,5,FALSE),IF(ABS(M42)&lt;=VLOOKUP($D42,'SeuilsComparaison-EMT'!$C$5:$J$27,6,FALSE),"Oui","Non"),IF(ABS(M42)&lt;=VLOOKUP($D42,'SeuilsComparaison-EMT'!$C$5:$J$27,8,FALSE),"Oui","Non")),"Oui"))))</f>
        <v/>
      </c>
      <c r="P42" s="1065"/>
      <c r="Q42" s="522" t="str">
        <f>IF(OR(AND(ISNUMBER(G42),G42&gt;VLOOKUP(D42,'SeuilsComparaison-EMT'!$C$5:$J$27,4,FALSE)),AND(ISNUMBER(J42),J42&gt;VLOOKUP(D42,'SeuilsComparaison-EMT'!$C$5:$J$27,4,FALSE))),IF(AVERAGE(G42,J42)&lt;=VLOOKUP(D42,'SeuilsComparaison-EMT'!$C$5:$J$27,5,FALSE),VLOOKUP(D42,'SeuilsComparaison-EMT'!$C$5:$J$27,6,FALSE),VLOOKUP(D42,'SeuilsComparaison-EMT'!$C$5:$J$27,8,FALSE)),"")</f>
        <v/>
      </c>
      <c r="R42" s="501"/>
      <c r="S42" s="249"/>
    </row>
    <row r="43" spans="2:23" ht="20.100000000000001" customHeight="1" outlineLevel="1" x14ac:dyDescent="0.4">
      <c r="B43" s="253"/>
      <c r="C43" s="446"/>
      <c r="D43" s="1066" t="s">
        <v>42</v>
      </c>
      <c r="E43" s="1066"/>
      <c r="F43" s="520">
        <f>VLOOKUP(D43, 'SeuilsComparaison-EMT'!$C$5:$E$28, 3, FALSE)</f>
        <v>0.5</v>
      </c>
      <c r="G43" s="1063"/>
      <c r="H43" s="1063"/>
      <c r="I43" s="521"/>
      <c r="J43" s="1063"/>
      <c r="K43" s="1063"/>
      <c r="L43" s="521"/>
      <c r="M43" s="1064" t="str">
        <f>IF(OR(J43="",G43=""),"",IF(ISERROR(VLOOKUP(D43,'SeuilsComparaison-EMT'!$C$5:$J$25,4,FALSE)),"-",IF(OR(IF(ISTEXT(J43)=TRUE,SUBSTITUTE(J43,"&lt;","",1)*1,J43)&gt;VLOOKUP(D43,'SeuilsComparaison-EMT'!$C$5:$J$25,4,FALSE),IF(ISTEXT(G43)=TRUE,SUBSTITUTE(G43,"&lt;","",1)*1,G43)&gt;VLOOKUP(D43,'SeuilsComparaison-EMT'!$C$5:$J$25,4,FALSE)=TRUE),(IF(ISTEXT(G43)=TRUE,SUBSTITUTE(G43,"&lt;","",1)*1,G43)-((IF(ISTEXT(G43)=TRUE,SUBSTITUTE(G43,"&lt;","",1)*1,G43)+IF(ISTEXT(J43)=TRUE,SUBSTITUTE(J43,"&lt;","",1)*1,J43))/2))/((IF(ISTEXT(G43)=TRUE,SUBSTITUTE(G43,"&lt;","",1)*1,G43)+IF(ISTEXT(J43)=TRUE,SUBSTITUTE(J43,"&lt;","",1),J43))/2),"-")))</f>
        <v/>
      </c>
      <c r="N43" s="1064"/>
      <c r="O43" s="1065" t="str">
        <f>IF(OR(G43="",J43=""),"",IF(AND(I43="Oui",L43="Oui"),"Oui",IF(M43="-","Oui",IF(OR(J43&gt;VLOOKUP($D43,'SeuilsComparaison-EMT'!$C$5:$J$27,4,FALSE),G43&gt;VLOOKUP($D43,'SeuilsComparaison-EMT'!$C$5:$J$27,4,FALSE)=TRUE),IF(J43&lt;=VLOOKUP($D43,'SeuilsComparaison-EMT'!$C$5:$J$27,5,FALSE),IF(ABS(M43)&lt;=VLOOKUP($D43,'SeuilsComparaison-EMT'!$C$5:$J$27,6,FALSE),"Oui","Non"),IF(ABS(M43)&lt;=VLOOKUP($D43,'SeuilsComparaison-EMT'!$C$5:$J$27,8,FALSE),"Oui","Non")),"Oui"))))</f>
        <v/>
      </c>
      <c r="P43" s="1065"/>
      <c r="Q43" s="522" t="str">
        <f>IF(OR(AND(ISNUMBER(G43),G43&gt;VLOOKUP(D43,'SeuilsComparaison-EMT'!$C$5:$J$27,4,FALSE)),AND(ISNUMBER(J43),J43&gt;VLOOKUP(D43,'SeuilsComparaison-EMT'!$C$5:$J$27,4,FALSE))),IF(AVERAGE(G43,J43)&lt;=VLOOKUP(D43,'SeuilsComparaison-EMT'!$C$5:$J$27,5,FALSE),VLOOKUP(D43,'SeuilsComparaison-EMT'!$C$5:$J$27,6,FALSE),VLOOKUP(D43,'SeuilsComparaison-EMT'!$C$5:$J$27,8,FALSE)),"")</f>
        <v/>
      </c>
      <c r="R43" s="501"/>
      <c r="S43" s="249"/>
    </row>
    <row r="44" spans="2:23" ht="20.100000000000001" customHeight="1" outlineLevel="1" x14ac:dyDescent="0.4">
      <c r="B44" s="253"/>
      <c r="C44" s="446"/>
      <c r="D44" s="1066" t="s">
        <v>43</v>
      </c>
      <c r="E44" s="1066"/>
      <c r="F44" s="520">
        <f>VLOOKUP(D44, 'SeuilsComparaison-EMT'!$C$5:$E$28, 3, FALSE)</f>
        <v>0.05</v>
      </c>
      <c r="G44" s="1063"/>
      <c r="H44" s="1063"/>
      <c r="I44" s="521"/>
      <c r="J44" s="1063"/>
      <c r="K44" s="1063"/>
      <c r="L44" s="521"/>
      <c r="M44" s="1064" t="str">
        <f>IF(OR(J44="",G44=""),"",IF(ISERROR(VLOOKUP(D44,'SeuilsComparaison-EMT'!$C$5:$J$25,4,FALSE)),"-",IF(OR(IF(ISTEXT(J44)=TRUE,SUBSTITUTE(J44,"&lt;","",1)*1,J44)&gt;VLOOKUP(D44,'SeuilsComparaison-EMT'!$C$5:$J$25,4,FALSE),IF(ISTEXT(G44)=TRUE,SUBSTITUTE(G44,"&lt;","",1)*1,G44)&gt;VLOOKUP(D44,'SeuilsComparaison-EMT'!$C$5:$J$25,4,FALSE)=TRUE),(IF(ISTEXT(G44)=TRUE,SUBSTITUTE(G44,"&lt;","",1)*1,G44)-((IF(ISTEXT(G44)=TRUE,SUBSTITUTE(G44,"&lt;","",1)*1,G44)+IF(ISTEXT(J44)=TRUE,SUBSTITUTE(J44,"&lt;","",1)*1,J44))/2))/((IF(ISTEXT(G44)=TRUE,SUBSTITUTE(G44,"&lt;","",1)*1,G44)+IF(ISTEXT(J44)=TRUE,SUBSTITUTE(J44,"&lt;","",1),J44))/2),"-")))</f>
        <v/>
      </c>
      <c r="N44" s="1064"/>
      <c r="O44" s="1065" t="str">
        <f>IF(OR(G44="",J44=""),"",IF(AND(I44="Oui",L44="Oui"),"Oui",IF(M44="-","Oui",IF(OR(J44&gt;VLOOKUP($D44,'SeuilsComparaison-EMT'!$C$5:$J$27,4,FALSE),G44&gt;VLOOKUP($D44,'SeuilsComparaison-EMT'!$C$5:$J$27,4,FALSE)=TRUE),IF(J44&lt;=VLOOKUP($D44,'SeuilsComparaison-EMT'!$C$5:$J$27,5,FALSE),IF(ABS(M44)&lt;=VLOOKUP($D44,'SeuilsComparaison-EMT'!$C$5:$J$27,6,FALSE),"Oui","Non"),IF(ABS(M44)&lt;=VLOOKUP($D44,'SeuilsComparaison-EMT'!$C$5:$J$27,8,FALSE),"Oui","Non")),"Oui"))))</f>
        <v/>
      </c>
      <c r="P44" s="1065"/>
      <c r="Q44" s="522" t="str">
        <f>IF(OR(AND(ISNUMBER(G44),G44&gt;VLOOKUP(D44,'SeuilsComparaison-EMT'!$C$5:$J$27,4,FALSE)),AND(ISNUMBER(J44),J44&gt;VLOOKUP(D44,'SeuilsComparaison-EMT'!$C$5:$J$27,4,FALSE))),IF(AVERAGE(G44,J44)&lt;=VLOOKUP(D44,'SeuilsComparaison-EMT'!$C$5:$J$27,5,FALSE),VLOOKUP(D44,'SeuilsComparaison-EMT'!$C$5:$J$27,6,FALSE),VLOOKUP(D44,'SeuilsComparaison-EMT'!$C$5:$J$27,8,FALSE)),"")</f>
        <v/>
      </c>
      <c r="R44" s="501"/>
      <c r="S44" s="249"/>
    </row>
    <row r="45" spans="2:23" ht="20.100000000000001" customHeight="1" outlineLevel="1" x14ac:dyDescent="0.4">
      <c r="B45" s="253"/>
      <c r="C45" s="446"/>
      <c r="D45" s="1066" t="s">
        <v>44</v>
      </c>
      <c r="E45" s="1066"/>
      <c r="F45" s="520">
        <f>VLOOKUP(D45, 'SeuilsComparaison-EMT'!$C$5:$E$28, 3, FALSE)</f>
        <v>1</v>
      </c>
      <c r="G45" s="1063"/>
      <c r="H45" s="1063"/>
      <c r="I45" s="521"/>
      <c r="J45" s="1063"/>
      <c r="K45" s="1063"/>
      <c r="L45" s="521"/>
      <c r="M45" s="1064" t="str">
        <f>IF(OR(J45="",G45=""),"",IF(ISERROR(VLOOKUP(D45,'SeuilsComparaison-EMT'!$C$5:$J$25,4,FALSE)),"-",IF(OR(IF(ISTEXT(J45)=TRUE,SUBSTITUTE(J45,"&lt;","",1)*1,J45)&gt;VLOOKUP(D45,'SeuilsComparaison-EMT'!$C$5:$J$25,4,FALSE),IF(ISTEXT(G45)=TRUE,SUBSTITUTE(G45,"&lt;","",1)*1,G45)&gt;VLOOKUP(D45,'SeuilsComparaison-EMT'!$C$5:$J$25,4,FALSE)=TRUE),(IF(ISTEXT(G45)=TRUE,SUBSTITUTE(G45,"&lt;","",1)*1,G45)-((IF(ISTEXT(G45)=TRUE,SUBSTITUTE(G45,"&lt;","",1)*1,G45)+IF(ISTEXT(J45)=TRUE,SUBSTITUTE(J45,"&lt;","",1)*1,J45))/2))/((IF(ISTEXT(G45)=TRUE,SUBSTITUTE(G45,"&lt;","",1)*1,G45)+IF(ISTEXT(J45)=TRUE,SUBSTITUTE(J45,"&lt;","",1),J45))/2),"-")))</f>
        <v/>
      </c>
      <c r="N45" s="1064"/>
      <c r="O45" s="1065" t="str">
        <f>IF(OR(G45="",J45=""),"",IF(AND(I45="Oui",L45="Oui"),"Oui",IF(M45="-","Oui",IF(OR(J45&gt;VLOOKUP($D45,'SeuilsComparaison-EMT'!$C$5:$J$27,4,FALSE),G45&gt;VLOOKUP($D45,'SeuilsComparaison-EMT'!$C$5:$J$27,4,FALSE)=TRUE),IF(J45&lt;=VLOOKUP($D45,'SeuilsComparaison-EMT'!$C$5:$J$27,5,FALSE),IF(ABS(M45)&lt;=VLOOKUP($D45,'SeuilsComparaison-EMT'!$C$5:$J$27,6,FALSE),"Oui","Non"),IF(ABS(M45)&lt;=VLOOKUP($D45,'SeuilsComparaison-EMT'!$C$5:$J$27,8,FALSE),"Oui","Non")),"Oui"))))</f>
        <v/>
      </c>
      <c r="P45" s="1065"/>
      <c r="Q45" s="522" t="str">
        <f>IF(OR(AND(ISNUMBER(G45),G45&gt;VLOOKUP(D45,'SeuilsComparaison-EMT'!$C$5:$J$27,4,FALSE)),AND(ISNUMBER(J45),J45&gt;VLOOKUP(D45,'SeuilsComparaison-EMT'!$C$5:$J$27,4,FALSE))),IF(AVERAGE(G45,J45)&lt;=VLOOKUP(D45,'SeuilsComparaison-EMT'!$C$5:$J$27,5,FALSE),VLOOKUP(D45,'SeuilsComparaison-EMT'!$C$5:$J$27,6,FALSE),VLOOKUP(D45,'SeuilsComparaison-EMT'!$C$5:$J$27,8,FALSE)),"")</f>
        <v/>
      </c>
      <c r="R45" s="501"/>
      <c r="S45" s="249"/>
    </row>
    <row r="46" spans="2:23" ht="20.100000000000001" customHeight="1" outlineLevel="1" x14ac:dyDescent="0.4">
      <c r="B46" s="253"/>
      <c r="C46" s="446"/>
      <c r="D46" s="1066" t="s">
        <v>46</v>
      </c>
      <c r="E46" s="1066"/>
      <c r="F46" s="520">
        <f>VLOOKUP(D46, 'SeuilsComparaison-EMT'!$C$5:$E$28, 3, FALSE)</f>
        <v>0.05</v>
      </c>
      <c r="G46" s="1063"/>
      <c r="H46" s="1063"/>
      <c r="I46" s="521"/>
      <c r="J46" s="1063"/>
      <c r="K46" s="1063"/>
      <c r="L46" s="521"/>
      <c r="M46" s="1064" t="str">
        <f>IF(OR(J46="",G46=""),"",IF(ISERROR(VLOOKUP(D46,'SeuilsComparaison-EMT'!$C$5:$J$25,4,FALSE)),"-",IF(OR(IF(ISTEXT(J46)=TRUE,SUBSTITUTE(J46,"&lt;","",1)*1,J46)&gt;VLOOKUP(D46,'SeuilsComparaison-EMT'!$C$5:$J$25,4,FALSE),IF(ISTEXT(G46)=TRUE,SUBSTITUTE(G46,"&lt;","",1)*1,G46)&gt;VLOOKUP(D46,'SeuilsComparaison-EMT'!$C$5:$J$25,4,FALSE)=TRUE),(IF(ISTEXT(G46)=TRUE,SUBSTITUTE(G46,"&lt;","",1)*1,G46)-((IF(ISTEXT(G46)=TRUE,SUBSTITUTE(G46,"&lt;","",1)*1,G46)+IF(ISTEXT(J46)=TRUE,SUBSTITUTE(J46,"&lt;","",1)*1,J46))/2))/((IF(ISTEXT(G46)=TRUE,SUBSTITUTE(G46,"&lt;","",1)*1,G46)+IF(ISTEXT(J46)=TRUE,SUBSTITUTE(J46,"&lt;","",1),J46))/2),"-")))</f>
        <v/>
      </c>
      <c r="N46" s="1064"/>
      <c r="O46" s="1065" t="str">
        <f>IF(OR(G46="",J46=""),"",IF(AND(I46="Oui",L46="Oui"),"Oui",IF(M46="-","Oui",IF(OR(J46&gt;VLOOKUP($D46,'SeuilsComparaison-EMT'!$C$5:$J$27,4,FALSE),G46&gt;VLOOKUP($D46,'SeuilsComparaison-EMT'!$C$5:$J$27,4,FALSE)=TRUE),IF(J46&lt;=VLOOKUP($D46,'SeuilsComparaison-EMT'!$C$5:$J$27,5,FALSE),IF(ABS(M46)&lt;=VLOOKUP($D46,'SeuilsComparaison-EMT'!$C$5:$J$27,6,FALSE),"Oui","Non"),IF(ABS(M46)&lt;=VLOOKUP($D46,'SeuilsComparaison-EMT'!$C$5:$J$27,8,FALSE),"Oui","Non")),"Oui"))))</f>
        <v/>
      </c>
      <c r="P46" s="1065"/>
      <c r="Q46" s="522" t="str">
        <f>IF(OR(AND(ISNUMBER(G46),G46&gt;VLOOKUP(D46,'SeuilsComparaison-EMT'!$C$5:$J$27,4,FALSE)),AND(ISNUMBER(J46),J46&gt;VLOOKUP(D46,'SeuilsComparaison-EMT'!$C$5:$J$27,4,FALSE))),IF(AVERAGE(G46,J46)&lt;=VLOOKUP(D46,'SeuilsComparaison-EMT'!$C$5:$J$27,5,FALSE),VLOOKUP(D46,'SeuilsComparaison-EMT'!$C$5:$J$27,6,FALSE),VLOOKUP(D46,'SeuilsComparaison-EMT'!$C$5:$J$27,8,FALSE)),"")</f>
        <v/>
      </c>
      <c r="R46" s="501"/>
      <c r="S46" s="249"/>
    </row>
    <row r="47" spans="2:23" ht="20.100000000000001" customHeight="1" outlineLevel="1" x14ac:dyDescent="0.4">
      <c r="B47" s="253"/>
      <c r="C47" s="446"/>
      <c r="D47" s="1066" t="s">
        <v>279</v>
      </c>
      <c r="E47" s="1066"/>
      <c r="F47" s="520">
        <f>VLOOKUP(D47, 'SeuilsComparaison-EMT'!$C$5:$E$28, 3, FALSE)</f>
        <v>0</v>
      </c>
      <c r="G47" s="1085"/>
      <c r="H47" s="1085"/>
      <c r="I47" s="523"/>
      <c r="J47" s="1085"/>
      <c r="K47" s="1085"/>
      <c r="L47" s="523"/>
      <c r="M47" s="1086" t="str">
        <f>IF(OR(J47="",G47=""),"",IF(ISERROR(VLOOKUP(D47,'SeuilsComparaison-EMT'!$C$5:$J$25,4,FALSE)),"-",IF(OR(IF(ISTEXT(J47)=TRUE,SUBSTITUTE(J47,"&lt;","",1)*1,J47)&gt;VLOOKUP(D47,'SeuilsComparaison-EMT'!$C$5:$J$25,4,FALSE),IF(ISTEXT(G47)=TRUE,SUBSTITUTE(G47,"&lt;","",1)*1,G47)&gt;VLOOKUP(D47,'SeuilsComparaison-EMT'!$C$5:$J$25,4,FALSE)=TRUE),(IF(ISTEXT(G47)=TRUE,SUBSTITUTE(G47,"&lt;","",1)*1,G47)-((IF(ISTEXT(G47)=TRUE,SUBSTITUTE(G47,"&lt;","",1)*1,G47)+IF(ISTEXT(J47)=TRUE,SUBSTITUTE(J47,"&lt;","",1)*1,J47))/2))/((IF(ISTEXT(G47)=TRUE,SUBSTITUTE(G47,"&lt;","",1)*1,G47)+IF(ISTEXT(J47)=TRUE,SUBSTITUTE(J47,"&lt;","",1),J47))/2),"-")))</f>
        <v/>
      </c>
      <c r="N47" s="1086"/>
      <c r="O47" s="1087" t="str">
        <f>IF(OR(G47="",J47=""),"",IF(AND(I47="Oui",L47="Oui"),"Oui",IF(M47="-","Oui",IF(OR(J47&gt;VLOOKUP($D47,'SeuilsComparaison-EMT'!$C$5:$J$27,4,FALSE),G47&gt;VLOOKUP($D47,'SeuilsComparaison-EMT'!$C$5:$J$27,4,FALSE)=TRUE),IF(J47&lt;=VLOOKUP($D47,'SeuilsComparaison-EMT'!$C$5:$J$27,5,FALSE),IF(ABS(M47)&lt;=VLOOKUP($D47,'SeuilsComparaison-EMT'!$C$5:$J$27,6,FALSE),"Oui","Non"),IF(ABS(M47)&lt;=VLOOKUP($D47,'SeuilsComparaison-EMT'!$C$5:$J$27,8,FALSE),"Oui","Non")),"Oui"))))</f>
        <v/>
      </c>
      <c r="P47" s="1087"/>
      <c r="Q47" s="522" t="str">
        <f>IF(OR(AND(ISNUMBER(G47),G47&gt;VLOOKUP(D47,'SeuilsComparaison-EMT'!$C$5:$J$27,4,FALSE)),AND(ISNUMBER(J47),J47&gt;VLOOKUP(D47,'SeuilsComparaison-EMT'!$C$5:$J$27,4,FALSE))),IF(AVERAGE(G47,J47)&lt;=VLOOKUP(D47,'SeuilsComparaison-EMT'!$C$5:$J$27,5,FALSE),VLOOKUP(D47,'SeuilsComparaison-EMT'!$C$5:$J$27,6,FALSE),VLOOKUP(D47,'SeuilsComparaison-EMT'!$C$5:$J$27,8,FALSE)),"")</f>
        <v/>
      </c>
      <c r="R47" s="501"/>
      <c r="S47" s="249"/>
    </row>
    <row r="48" spans="2:23" ht="20.100000000000001" customHeight="1" outlineLevel="1" x14ac:dyDescent="0.4">
      <c r="B48" s="253"/>
      <c r="C48" s="446"/>
      <c r="D48" s="1088" t="s">
        <v>280</v>
      </c>
      <c r="E48" s="1088"/>
      <c r="F48" s="524">
        <f>VLOOKUP(D48, 'SeuilsComparaison-EMT'!$C$5:$E$28, 3, FALSE)</f>
        <v>5</v>
      </c>
      <c r="G48" s="1089"/>
      <c r="H48" s="1089"/>
      <c r="I48" s="525"/>
      <c r="J48" s="1089"/>
      <c r="K48" s="1089"/>
      <c r="L48" s="525"/>
      <c r="M48" s="1090" t="str">
        <f>IF(OR(J48="",G48=""),"",IF(ISERROR(VLOOKUP(D48,'SeuilsComparaison-EMT'!$C$5:$J$25,4,FALSE)),"-",IF(OR(IF(ISTEXT(J48)=TRUE,SUBSTITUTE(J48,"&lt;","",1)*1,J48)&gt;VLOOKUP(D48,'SeuilsComparaison-EMT'!$C$5:$J$25,4,FALSE),IF(ISTEXT(G48)=TRUE,SUBSTITUTE(G48,"&lt;","",1)*1,G48)&gt;VLOOKUP(D48,'SeuilsComparaison-EMT'!$C$5:$J$25,4,FALSE)=TRUE),(IF(ISTEXT(G48)=TRUE,SUBSTITUTE(G48,"&lt;","",1)*1,G48)-((IF(ISTEXT(G48)=TRUE,SUBSTITUTE(G48,"&lt;","",1)*1,G48)+IF(ISTEXT(J48)=TRUE,SUBSTITUTE(J48,"&lt;","",1)*1,J48))/2))/((IF(ISTEXT(G48)=TRUE,SUBSTITUTE(G48,"&lt;","",1)*1,G48)+IF(ISTEXT(J48)=TRUE,SUBSTITUTE(J48,"&lt;","",1),J48))/2),"-")))</f>
        <v/>
      </c>
      <c r="N48" s="1090"/>
      <c r="O48" s="1091" t="str">
        <f>IF(OR(G48="",J48=""),"",IF(AND(I48="Oui",L48="Oui"),"Oui",IF(M48="-","Oui",IF(OR(J48&gt;VLOOKUP($D48,'SeuilsComparaison-EMT'!$C$5:$J$27,4,FALSE),G48&gt;VLOOKUP($D48,'SeuilsComparaison-EMT'!$C$5:$J$27,4,FALSE)=TRUE),IF(J48&lt;=VLOOKUP($D48,'SeuilsComparaison-EMT'!$C$5:$J$27,5,FALSE),IF(ABS(M48)&lt;=VLOOKUP($D48,'SeuilsComparaison-EMT'!$C$5:$J$27,6,FALSE),"Oui","Non"),IF(ABS(M48)&lt;=VLOOKUP($D48,'SeuilsComparaison-EMT'!$C$5:$J$27,8,FALSE),"Oui","Non")),"Oui"))))</f>
        <v/>
      </c>
      <c r="P48" s="1091"/>
      <c r="Q48" s="526" t="str">
        <f>IF(OR(AND(ISNUMBER(G48),G48&gt;VLOOKUP(D48,'SeuilsComparaison-EMT'!$C$5:$J$27,4,FALSE)),AND(ISNUMBER(J48),J48&gt;VLOOKUP(D48,'SeuilsComparaison-EMT'!$C$5:$J$27,4,FALSE))),IF(AVERAGE(G48,J48)&lt;=VLOOKUP(D48,'SeuilsComparaison-EMT'!$C$5:$J$27,5,FALSE),VLOOKUP(D48,'SeuilsComparaison-EMT'!$C$5:$J$27,6,FALSE),VLOOKUP(D48,'SeuilsComparaison-EMT'!$C$5:$J$27,8,FALSE)),"")</f>
        <v/>
      </c>
      <c r="R48" s="501"/>
      <c r="S48" s="249"/>
    </row>
    <row r="49" spans="2:19" ht="20.100000000000001" customHeight="1" outlineLevel="1" x14ac:dyDescent="0.4">
      <c r="B49" s="253"/>
      <c r="C49" s="446"/>
      <c r="D49" s="1081" t="s">
        <v>56</v>
      </c>
      <c r="E49" s="1081"/>
      <c r="F49" s="514">
        <f>VLOOKUP(D49, 'SeuilsComparaison-EMT'!$C$5:$E$28, 3, FALSE)</f>
        <v>0</v>
      </c>
      <c r="G49" s="1082"/>
      <c r="H49" s="1082"/>
      <c r="I49" s="527"/>
      <c r="J49" s="1082"/>
      <c r="K49" s="1082"/>
      <c r="L49" s="527"/>
      <c r="M49" s="1083" t="str">
        <f>IF(OR(J49="",G49=""),"",IF(ISERROR(VLOOKUP(D49,'SeuilsComparaison-EMT'!$C$5:$J$25,4,FALSE)),"-",IF(OR(IF(ISTEXT(J49)=TRUE,SUBSTITUTE(J49,"&lt;","",1)*1,J49)&gt;VLOOKUP(D49,'SeuilsComparaison-EMT'!$C$5:$J$25,4,FALSE),IF(ISTEXT(G49)=TRUE,SUBSTITUTE(G49,"&lt;","",1)*1,G49)&gt;VLOOKUP(D49,'SeuilsComparaison-EMT'!$C$5:$J$25,4,FALSE)=TRUE),(IF(ISTEXT(G49)=TRUE,SUBSTITUTE(G49,"&lt;","",1)*1,G49)-((IF(ISTEXT(G49)=TRUE,SUBSTITUTE(G49,"&lt;","",1)*1,G49)+IF(ISTEXT(J49)=TRUE,SUBSTITUTE(J49,"&lt;","",1)*1,J49))/2))/((IF(ISTEXT(G49)=TRUE,SUBSTITUTE(G49,"&lt;","",1)*1,G49)+IF(ISTEXT(J49)=TRUE,SUBSTITUTE(J49,"&lt;","",1),J49))/2),"-")))</f>
        <v/>
      </c>
      <c r="N49" s="1083"/>
      <c r="O49" s="1084" t="str">
        <f>IF(OR(G49="",J49=""),"",IF(AND(I49="Oui",L49="Oui"),"Oui",IF(M49="-","Oui",IF(OR(J49&gt;VLOOKUP($D49,'SeuilsComparaison-EMT'!$C$5:$J$27,4,FALSE),G49&gt;VLOOKUP($D49,'SeuilsComparaison-EMT'!$C$5:$J$27,4,FALSE)=TRUE),IF(J49&lt;=VLOOKUP($D49,'SeuilsComparaison-EMT'!$C$5:$J$27,5,FALSE),IF(ABS(M49)&lt;=VLOOKUP($D49,'SeuilsComparaison-EMT'!$C$5:$J$27,6,FALSE),"Oui","Non"),IF(ABS(M49)&lt;=VLOOKUP($D49,'SeuilsComparaison-EMT'!$C$5:$J$27,8,FALSE),"Oui","Non")),"Oui"))))</f>
        <v/>
      </c>
      <c r="P49" s="1084"/>
      <c r="Q49" s="528" t="str">
        <f>IF(OR(AND(ISNUMBER(G49),G49&gt;VLOOKUP(D49,'SeuilsComparaison-EMT'!$C$5:$J$27,4,FALSE)),AND(ISNUMBER(J49),J49&gt;VLOOKUP(D49,'SeuilsComparaison-EMT'!$C$5:$J$27,4,FALSE))),IF(AVERAGE(G49,J49)&lt;=VLOOKUP(D49,'SeuilsComparaison-EMT'!$C$5:$J$27,5,FALSE),VLOOKUP(D49,'SeuilsComparaison-EMT'!$C$5:$J$27,6,FALSE),VLOOKUP(D49,'SeuilsComparaison-EMT'!$C$5:$J$27,8,FALSE)),"")</f>
        <v/>
      </c>
      <c r="R49" s="501"/>
      <c r="S49" s="249"/>
    </row>
    <row r="50" spans="2:19" ht="20.100000000000001" customHeight="1" outlineLevel="1" x14ac:dyDescent="0.4">
      <c r="B50" s="253"/>
      <c r="C50" s="446"/>
      <c r="D50" s="509"/>
      <c r="E50" s="509"/>
      <c r="F50" s="509"/>
      <c r="G50" s="509"/>
      <c r="H50" s="509"/>
      <c r="I50" s="509"/>
      <c r="J50" s="509"/>
      <c r="K50" s="509"/>
      <c r="L50" s="509"/>
      <c r="M50" s="509"/>
      <c r="N50" s="509"/>
      <c r="O50" s="509"/>
      <c r="P50" s="509"/>
      <c r="Q50" s="510"/>
      <c r="R50" s="501"/>
      <c r="S50" s="249"/>
    </row>
    <row r="51" spans="2:19" ht="20.100000000000001" customHeight="1" outlineLevel="1" x14ac:dyDescent="0.4">
      <c r="B51" s="253"/>
      <c r="C51" s="446"/>
      <c r="D51" s="1076" t="s">
        <v>351</v>
      </c>
      <c r="E51" s="1076"/>
      <c r="F51" s="1076"/>
      <c r="G51" s="1076"/>
      <c r="H51" s="1076"/>
      <c r="I51" s="1076"/>
      <c r="J51" s="1076"/>
      <c r="K51" s="1076"/>
      <c r="L51" s="1076"/>
      <c r="M51" s="1076"/>
      <c r="N51" s="1076"/>
      <c r="O51" s="1076"/>
      <c r="P51" s="1076"/>
      <c r="Q51" s="510"/>
      <c r="R51" s="501"/>
      <c r="S51" s="249"/>
    </row>
    <row r="52" spans="2:19" ht="20.100000000000001" customHeight="1" outlineLevel="1" x14ac:dyDescent="0.4">
      <c r="B52" s="253"/>
      <c r="C52" s="446"/>
      <c r="D52" s="1122"/>
      <c r="E52" s="1123"/>
      <c r="F52" s="1123"/>
      <c r="G52" s="1123"/>
      <c r="H52" s="1123"/>
      <c r="I52" s="1123"/>
      <c r="J52" s="1123"/>
      <c r="K52" s="1123"/>
      <c r="L52" s="1123"/>
      <c r="M52" s="1123"/>
      <c r="N52" s="1123"/>
      <c r="O52" s="1123"/>
      <c r="P52" s="1123"/>
      <c r="Q52" s="1124"/>
      <c r="R52" s="501"/>
      <c r="S52" s="249"/>
    </row>
    <row r="53" spans="2:19" ht="20.100000000000001" customHeight="1" outlineLevel="1" x14ac:dyDescent="0.4">
      <c r="B53" s="253"/>
      <c r="C53" s="446"/>
      <c r="D53" s="1125"/>
      <c r="E53" s="1126"/>
      <c r="F53" s="1126"/>
      <c r="G53" s="1126"/>
      <c r="H53" s="1126"/>
      <c r="I53" s="1126"/>
      <c r="J53" s="1126"/>
      <c r="K53" s="1126"/>
      <c r="L53" s="1126"/>
      <c r="M53" s="1126"/>
      <c r="N53" s="1126"/>
      <c r="O53" s="1126"/>
      <c r="P53" s="1126"/>
      <c r="Q53" s="1127"/>
      <c r="R53" s="501"/>
      <c r="S53" s="249"/>
    </row>
    <row r="54" spans="2:19" ht="20.100000000000001" customHeight="1" outlineLevel="1" x14ac:dyDescent="0.4">
      <c r="B54" s="253"/>
      <c r="C54" s="446"/>
      <c r="D54" s="1125"/>
      <c r="E54" s="1126"/>
      <c r="F54" s="1126"/>
      <c r="G54" s="1126"/>
      <c r="H54" s="1126"/>
      <c r="I54" s="1126"/>
      <c r="J54" s="1126"/>
      <c r="K54" s="1126"/>
      <c r="L54" s="1126"/>
      <c r="M54" s="1126"/>
      <c r="N54" s="1126"/>
      <c r="O54" s="1126"/>
      <c r="P54" s="1126"/>
      <c r="Q54" s="1127"/>
      <c r="R54" s="501"/>
      <c r="S54" s="249"/>
    </row>
    <row r="55" spans="2:19" ht="20.100000000000001" customHeight="1" outlineLevel="1" x14ac:dyDescent="0.4">
      <c r="B55" s="253"/>
      <c r="C55" s="446"/>
      <c r="D55" s="1125"/>
      <c r="E55" s="1126"/>
      <c r="F55" s="1126"/>
      <c r="G55" s="1126"/>
      <c r="H55" s="1126"/>
      <c r="I55" s="1126"/>
      <c r="J55" s="1126"/>
      <c r="K55" s="1126"/>
      <c r="L55" s="1126"/>
      <c r="M55" s="1126"/>
      <c r="N55" s="1126"/>
      <c r="O55" s="1126"/>
      <c r="P55" s="1126"/>
      <c r="Q55" s="1127"/>
      <c r="R55" s="501"/>
      <c r="S55" s="249"/>
    </row>
    <row r="56" spans="2:19" ht="20.100000000000001" customHeight="1" outlineLevel="1" x14ac:dyDescent="0.4">
      <c r="B56" s="253"/>
      <c r="C56" s="446"/>
      <c r="D56" s="1128"/>
      <c r="E56" s="1129"/>
      <c r="F56" s="1129"/>
      <c r="G56" s="1129"/>
      <c r="H56" s="1129"/>
      <c r="I56" s="1129"/>
      <c r="J56" s="1129"/>
      <c r="K56" s="1129"/>
      <c r="L56" s="1129"/>
      <c r="M56" s="1129"/>
      <c r="N56" s="1129"/>
      <c r="O56" s="1129"/>
      <c r="P56" s="1129"/>
      <c r="Q56" s="1130"/>
      <c r="R56" s="501"/>
      <c r="S56" s="249"/>
    </row>
    <row r="57" spans="2:19" ht="20.100000000000001" customHeight="1" outlineLevel="1" x14ac:dyDescent="0.4">
      <c r="B57" s="253"/>
      <c r="C57" s="446"/>
      <c r="D57" s="254"/>
      <c r="E57" s="254"/>
      <c r="F57" s="254"/>
      <c r="G57" s="254"/>
      <c r="H57" s="254"/>
      <c r="I57" s="254"/>
      <c r="J57" s="254"/>
      <c r="K57" s="254"/>
      <c r="L57" s="254"/>
      <c r="M57" s="254"/>
      <c r="N57" s="254"/>
      <c r="O57" s="254"/>
      <c r="P57" s="254"/>
      <c r="Q57" s="254"/>
      <c r="R57" s="501"/>
      <c r="S57" s="249"/>
    </row>
    <row r="58" spans="2:19" ht="20.100000000000001" customHeight="1" outlineLevel="1" x14ac:dyDescent="0.4">
      <c r="B58" s="253"/>
      <c r="C58" s="446"/>
      <c r="D58" s="254"/>
      <c r="E58" s="254"/>
      <c r="F58" s="254"/>
      <c r="G58" s="254"/>
      <c r="H58" s="254"/>
      <c r="I58" s="254"/>
      <c r="J58" s="1073" t="s">
        <v>281</v>
      </c>
      <c r="K58" s="1074"/>
      <c r="L58" s="1075"/>
      <c r="M58" s="254"/>
      <c r="N58" s="254"/>
      <c r="O58" s="254"/>
      <c r="P58" s="254"/>
      <c r="Q58" s="338"/>
      <c r="R58" s="501"/>
      <c r="S58" s="249"/>
    </row>
    <row r="59" spans="2:19" ht="20.100000000000001" customHeight="1" outlineLevel="1" thickBot="1" x14ac:dyDescent="0.45">
      <c r="B59" s="253"/>
      <c r="C59" s="451"/>
      <c r="D59" s="452"/>
      <c r="E59" s="452"/>
      <c r="F59" s="452"/>
      <c r="G59" s="452"/>
      <c r="H59" s="452"/>
      <c r="I59" s="452"/>
      <c r="J59" s="452"/>
      <c r="K59" s="452"/>
      <c r="L59" s="452"/>
      <c r="M59" s="452"/>
      <c r="N59" s="452"/>
      <c r="O59" s="452"/>
      <c r="P59" s="452"/>
      <c r="Q59" s="504"/>
      <c r="R59" s="505"/>
      <c r="S59" s="249"/>
    </row>
    <row r="60" spans="2:19" ht="20.100000000000001" customHeight="1" thickTop="1" x14ac:dyDescent="0.4">
      <c r="B60" s="246"/>
      <c r="C60" s="247"/>
      <c r="D60" s="247"/>
      <c r="E60" s="247"/>
      <c r="F60" s="247"/>
      <c r="G60" s="247"/>
      <c r="H60" s="247"/>
      <c r="I60" s="247"/>
      <c r="J60" s="247"/>
      <c r="K60" s="247"/>
      <c r="L60" s="247"/>
      <c r="M60" s="247"/>
      <c r="N60" s="247"/>
      <c r="O60" s="247"/>
      <c r="P60" s="247"/>
      <c r="Q60" s="339"/>
      <c r="R60" s="339"/>
      <c r="S60" s="248"/>
    </row>
  </sheetData>
  <sheetProtection algorithmName="SHA-512" hashValue="QYtBZWquGxvh+Tb/v+fN13gicRkSS5vO510BTgOGV06PeRn7WwmS68cOduZt4V/NCJy/+unMdghQnnXaSrBhgQ==" saltValue="Q6ZmtWVELsGqDcM7kmbb4A==" spinCount="100000" sheet="1" objects="1" scenarios="1" formatRows="0"/>
  <mergeCells count="144">
    <mergeCell ref="C21:J21"/>
    <mergeCell ref="K21:Q21"/>
    <mergeCell ref="M5:O5"/>
    <mergeCell ref="P5:R5"/>
    <mergeCell ref="M6:O6"/>
    <mergeCell ref="D52:Q56"/>
    <mergeCell ref="D14:K14"/>
    <mergeCell ref="L14:M14"/>
    <mergeCell ref="O35:P35"/>
    <mergeCell ref="M36:N36"/>
    <mergeCell ref="O36:P36"/>
    <mergeCell ref="D24:F24"/>
    <mergeCell ref="G24:J24"/>
    <mergeCell ref="K24:M24"/>
    <mergeCell ref="N15:P15"/>
    <mergeCell ref="N13:P13"/>
    <mergeCell ref="N14:P14"/>
    <mergeCell ref="L15:M15"/>
    <mergeCell ref="D13:K13"/>
    <mergeCell ref="L13:M13"/>
    <mergeCell ref="D12:K12"/>
    <mergeCell ref="L12:M12"/>
    <mergeCell ref="C8:R8"/>
    <mergeCell ref="D10:M10"/>
    <mergeCell ref="D11:K11"/>
    <mergeCell ref="L11:M11"/>
    <mergeCell ref="N10:P10"/>
    <mergeCell ref="N11:P11"/>
    <mergeCell ref="N12:P12"/>
    <mergeCell ref="G37:H37"/>
    <mergeCell ref="J37:K37"/>
    <mergeCell ref="M37:N37"/>
    <mergeCell ref="O37:P37"/>
    <mergeCell ref="I34:I36"/>
    <mergeCell ref="J34:K36"/>
    <mergeCell ref="L34:L36"/>
    <mergeCell ref="M34:N34"/>
    <mergeCell ref="O34:P34"/>
    <mergeCell ref="M35:N35"/>
    <mergeCell ref="D25:F25"/>
    <mergeCell ref="D33:Q33"/>
    <mergeCell ref="K25:M25"/>
    <mergeCell ref="D27:Q27"/>
    <mergeCell ref="D28:J28"/>
    <mergeCell ref="K28:Q28"/>
    <mergeCell ref="D29:J29"/>
    <mergeCell ref="K29:Q29"/>
    <mergeCell ref="D30:I30"/>
    <mergeCell ref="D38:E38"/>
    <mergeCell ref="C2:R2"/>
    <mergeCell ref="C3:D3"/>
    <mergeCell ref="E3:G3"/>
    <mergeCell ref="C4:D4"/>
    <mergeCell ref="E4:G4"/>
    <mergeCell ref="H3:I3"/>
    <mergeCell ref="J3:L3"/>
    <mergeCell ref="H4:I4"/>
    <mergeCell ref="J4:L4"/>
    <mergeCell ref="M3:O3"/>
    <mergeCell ref="P3:R3"/>
    <mergeCell ref="M4:O4"/>
    <mergeCell ref="P4:R4"/>
    <mergeCell ref="C5:D5"/>
    <mergeCell ref="E5:G5"/>
    <mergeCell ref="C6:D6"/>
    <mergeCell ref="E6:G6"/>
    <mergeCell ref="H5:I5"/>
    <mergeCell ref="J5:L5"/>
    <mergeCell ref="G25:J25"/>
    <mergeCell ref="D34:E36"/>
    <mergeCell ref="F34:F36"/>
    <mergeCell ref="G34:H36"/>
    <mergeCell ref="K30:Q30"/>
    <mergeCell ref="D31:I31"/>
    <mergeCell ref="K31:Q31"/>
    <mergeCell ref="M38:N38"/>
    <mergeCell ref="O38:P38"/>
    <mergeCell ref="D49:E49"/>
    <mergeCell ref="G49:H49"/>
    <mergeCell ref="J49:K49"/>
    <mergeCell ref="M49:N49"/>
    <mergeCell ref="O49:P49"/>
    <mergeCell ref="D47:E47"/>
    <mergeCell ref="G47:H47"/>
    <mergeCell ref="J47:K47"/>
    <mergeCell ref="M47:N47"/>
    <mergeCell ref="O47:P47"/>
    <mergeCell ref="D48:E48"/>
    <mergeCell ref="G48:H48"/>
    <mergeCell ref="J48:K48"/>
    <mergeCell ref="M48:N48"/>
    <mergeCell ref="O48:P48"/>
    <mergeCell ref="G39:H39"/>
    <mergeCell ref="J39:K39"/>
    <mergeCell ref="M39:N39"/>
    <mergeCell ref="O39:P39"/>
    <mergeCell ref="M41:N41"/>
    <mergeCell ref="D39:E39"/>
    <mergeCell ref="J58:L58"/>
    <mergeCell ref="D51:P51"/>
    <mergeCell ref="D46:E46"/>
    <mergeCell ref="G46:H46"/>
    <mergeCell ref="J46:K46"/>
    <mergeCell ref="D42:E42"/>
    <mergeCell ref="G42:H42"/>
    <mergeCell ref="J42:K42"/>
    <mergeCell ref="M42:N42"/>
    <mergeCell ref="O42:P42"/>
    <mergeCell ref="G44:H44"/>
    <mergeCell ref="J44:K44"/>
    <mergeCell ref="M44:N44"/>
    <mergeCell ref="O44:P44"/>
    <mergeCell ref="D43:E43"/>
    <mergeCell ref="G43:H43"/>
    <mergeCell ref="O46:P46"/>
    <mergeCell ref="D45:E45"/>
    <mergeCell ref="G45:H45"/>
    <mergeCell ref="J45:K45"/>
    <mergeCell ref="M45:N45"/>
    <mergeCell ref="O45:P45"/>
    <mergeCell ref="D17:P18"/>
    <mergeCell ref="H6:I6"/>
    <mergeCell ref="J6:L6"/>
    <mergeCell ref="J43:K43"/>
    <mergeCell ref="M43:N43"/>
    <mergeCell ref="O43:P43"/>
    <mergeCell ref="D44:E44"/>
    <mergeCell ref="M46:N46"/>
    <mergeCell ref="D40:E40"/>
    <mergeCell ref="G40:H40"/>
    <mergeCell ref="J40:K40"/>
    <mergeCell ref="M40:N40"/>
    <mergeCell ref="O40:P40"/>
    <mergeCell ref="D41:E41"/>
    <mergeCell ref="G41:H41"/>
    <mergeCell ref="J41:K41"/>
    <mergeCell ref="D37:E37"/>
    <mergeCell ref="D23:Q23"/>
    <mergeCell ref="N24:Q24"/>
    <mergeCell ref="N25:Q25"/>
    <mergeCell ref="P6:R6"/>
    <mergeCell ref="O41:P41"/>
    <mergeCell ref="G38:H38"/>
    <mergeCell ref="J38:K38"/>
  </mergeCells>
  <conditionalFormatting sqref="D22">
    <cfRule type="expression" dxfId="11" priority="132">
      <formula>AND(#REF!="Oui",#REF!="Oui")</formula>
    </cfRule>
  </conditionalFormatting>
  <conditionalFormatting sqref="D31:Q31">
    <cfRule type="expression" dxfId="10" priority="55">
      <formula>#REF! = "Oui"</formula>
    </cfRule>
  </conditionalFormatting>
  <conditionalFormatting sqref="J30:J31">
    <cfRule type="cellIs" dxfId="9" priority="56" operator="equal">
      <formula>"Oui"</formula>
    </cfRule>
    <cfRule type="cellIs" dxfId="8" priority="57" operator="equal">
      <formula>"Non"</formula>
    </cfRule>
  </conditionalFormatting>
  <conditionalFormatting sqref="K25:M25">
    <cfRule type="expression" dxfId="7" priority="133">
      <formula>$D25="Oui"</formula>
    </cfRule>
  </conditionalFormatting>
  <conditionalFormatting sqref="L11:L14">
    <cfRule type="cellIs" dxfId="6" priority="178" operator="equal">
      <formula>"Oui"</formula>
    </cfRule>
    <cfRule type="cellIs" dxfId="5" priority="179" operator="equal">
      <formula>"Non"</formula>
    </cfRule>
  </conditionalFormatting>
  <conditionalFormatting sqref="M37:N48">
    <cfRule type="expression" dxfId="4" priority="87" stopIfTrue="1">
      <formula>IF(ABS(M37)&gt;Q37,TRUE,FALSE)</formula>
    </cfRule>
  </conditionalFormatting>
  <conditionalFormatting sqref="M37:N49">
    <cfRule type="expression" dxfId="3" priority="86" stopIfTrue="1">
      <formula>IF(ABS(M37)&lt;=Q37,TRUE,FALSE)</formula>
    </cfRule>
  </conditionalFormatting>
  <conditionalFormatting sqref="N25">
    <cfRule type="expression" dxfId="2" priority="136">
      <formula>$D25="Non"</formula>
    </cfRule>
  </conditionalFormatting>
  <conditionalFormatting sqref="O37:O49">
    <cfRule type="cellIs" dxfId="1" priority="116" operator="equal">
      <formula>"Oui"</formula>
    </cfRule>
    <cfRule type="cellIs" dxfId="0" priority="117" operator="equal">
      <formula>"Non"</formula>
    </cfRule>
  </conditionalFormatting>
  <dataValidations count="6">
    <dataValidation type="list" allowBlank="1" showInputMessage="1" showErrorMessage="1" sqref="G25 L12:L14 O37:P48 J30:J31" xr:uid="{D9571EBC-6FF8-4CB6-B6B8-5654E9E0B57B}">
      <formula1>LISTE_1</formula1>
    </dataValidation>
    <dataValidation type="list" allowBlank="1" showInputMessage="1" showErrorMessage="1" sqref="L11:M11" xr:uid="{4E722016-2475-44AF-AE08-F4A2E58C1B8F}">
      <formula1>LISTE_7</formula1>
    </dataValidation>
    <dataValidation allowBlank="1" showInputMessage="1" showErrorMessage="1" prompt="Vérifier l’information sur 3 rapports d’analyses correspondant à des bilans réalisés en période estivale" sqref="D13:K14" xr:uid="{545C6CD0-A9ED-41E6-A298-62445C7FF17E}"/>
    <dataValidation type="list" allowBlank="1" showInputMessage="1" showErrorMessage="1" sqref="G24" xr:uid="{6478A3AA-E53F-46B7-8EB5-18387D457970}">
      <formula1>listePreleveurs</formula1>
    </dataValidation>
    <dataValidation type="list" allowBlank="1" showInputMessage="1" showErrorMessage="1" sqref="L37:L49 O49:P49 I37:I49" xr:uid="{9827A3EB-1CBF-4ADD-9F4D-3F87BB2F1115}">
      <formula1>"Oui,Non"</formula1>
    </dataValidation>
    <dataValidation allowBlank="1" showInputMessage="1" showErrorMessage="1" promptTitle="Coefficient Analytique" prompt="Le coefficient est égale au nombre d'analyse conforme / nombre d'analyse réalisées x le score de pénalité" sqref="Q34" xr:uid="{313D5F53-6AFF-4D4B-86B9-F6AB2F5BA58F}"/>
  </dataValidations>
  <pageMargins left="0.7" right="0.7" top="0.75" bottom="0.75" header="0.3" footer="0.3"/>
  <pageSetup paperSize="9" scale="41" orientation="portrait" r:id="rId1"/>
  <colBreaks count="1" manualBreakCount="1">
    <brk id="19"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5CD8F-4820-4BC7-B3E1-BD02013B1AD3}">
  <sheetPr codeName="Feuil2"/>
  <dimension ref="B2:X38"/>
  <sheetViews>
    <sheetView zoomScaleNormal="100" workbookViewId="0">
      <pane xSplit="1" ySplit="10" topLeftCell="B11" activePane="bottomRight" state="frozen"/>
      <selection pane="topRight" activeCell="B1" sqref="B1"/>
      <selection pane="bottomLeft" activeCell="A9" sqref="A9"/>
      <selection pane="bottomRight" activeCell="B2" sqref="B2:R2"/>
    </sheetView>
  </sheetViews>
  <sheetFormatPr baseColWidth="10" defaultColWidth="11.41015625" defaultRowHeight="12.7" x14ac:dyDescent="0.4"/>
  <cols>
    <col min="1" max="1" width="3.703125" customWidth="1"/>
    <col min="2" max="10" width="12.703125" customWidth="1"/>
  </cols>
  <sheetData>
    <row r="2" spans="2:24" ht="17.7" x14ac:dyDescent="0.55000000000000004">
      <c r="B2" s="1155" t="s">
        <v>613</v>
      </c>
      <c r="C2" s="1155"/>
      <c r="D2" s="1155"/>
      <c r="E2" s="1155"/>
      <c r="F2" s="1155"/>
      <c r="G2" s="1155"/>
      <c r="H2" s="1155"/>
      <c r="I2" s="1155"/>
      <c r="J2" s="1155"/>
      <c r="K2" s="1155"/>
      <c r="L2" s="1155"/>
      <c r="M2" s="1155"/>
      <c r="N2" s="1155"/>
      <c r="O2" s="1155"/>
      <c r="P2" s="1155"/>
      <c r="Q2" s="1155"/>
      <c r="R2" s="1155"/>
    </row>
    <row r="3" spans="2:24" ht="15.35" x14ac:dyDescent="0.5">
      <c r="B3" s="532"/>
      <c r="C3" s="532"/>
      <c r="D3" s="532"/>
      <c r="E3" s="532"/>
      <c r="F3" s="532"/>
      <c r="G3" s="532"/>
      <c r="H3" s="532"/>
      <c r="I3" s="532"/>
      <c r="J3" s="532"/>
    </row>
    <row r="4" spans="2:24" x14ac:dyDescent="0.4">
      <c r="B4" s="1158" t="s">
        <v>583</v>
      </c>
      <c r="C4" s="1158"/>
      <c r="D4" s="533" t="s">
        <v>584</v>
      </c>
    </row>
    <row r="5" spans="2:24" ht="17.7" x14ac:dyDescent="0.55000000000000004">
      <c r="H5" s="1155" t="s">
        <v>610</v>
      </c>
      <c r="I5" s="1155"/>
      <c r="J5" s="1155"/>
      <c r="K5" s="1155"/>
      <c r="L5" s="1155"/>
      <c r="M5" s="1155"/>
      <c r="N5" s="1155"/>
      <c r="O5" s="1155"/>
      <c r="P5" s="1155"/>
      <c r="Q5" s="1155"/>
      <c r="R5" s="1155"/>
      <c r="S5" s="1155"/>
      <c r="T5" s="1155"/>
      <c r="U5" s="1155"/>
      <c r="V5" s="1155"/>
      <c r="W5" s="1155"/>
      <c r="X5" s="1155"/>
    </row>
    <row r="6" spans="2:24" x14ac:dyDescent="0.4">
      <c r="B6" s="1158" t="s">
        <v>585</v>
      </c>
      <c r="C6" s="1158"/>
    </row>
    <row r="8" spans="2:24" x14ac:dyDescent="0.4">
      <c r="B8" s="1157" t="s">
        <v>589</v>
      </c>
      <c r="C8" s="1156" t="s">
        <v>611</v>
      </c>
      <c r="D8" s="1156"/>
      <c r="E8" s="1156"/>
      <c r="F8" s="1156"/>
      <c r="G8" s="1156"/>
      <c r="H8" s="1156"/>
      <c r="I8" s="1156"/>
      <c r="J8" s="1156"/>
      <c r="K8" s="1156" t="s">
        <v>612</v>
      </c>
      <c r="L8" s="1156"/>
      <c r="M8" s="1156"/>
      <c r="N8" s="1156"/>
      <c r="O8" s="1156"/>
      <c r="P8" s="1156"/>
      <c r="Q8" s="1156"/>
      <c r="R8" s="1156"/>
    </row>
    <row r="9" spans="2:24" ht="12.75" customHeight="1" x14ac:dyDescent="0.4">
      <c r="B9" s="1157"/>
      <c r="C9" s="1152" t="str">
        <f>Critères!$B$3</f>
        <v>Débitmètre électromagnétique (Eau)</v>
      </c>
      <c r="D9" s="1153"/>
      <c r="E9" s="1153"/>
      <c r="F9" s="1154"/>
      <c r="G9" s="1152" t="str">
        <f>Critères!$N$3</f>
        <v>Débitmètre Ultrason</v>
      </c>
      <c r="H9" s="1153"/>
      <c r="I9" s="1153"/>
      <c r="J9" s="1154"/>
      <c r="K9" s="1152" t="str">
        <f>Critères!$B$3</f>
        <v>Débitmètre électromagnétique (Eau)</v>
      </c>
      <c r="L9" s="1153"/>
      <c r="M9" s="1153"/>
      <c r="N9" s="1154"/>
      <c r="O9" s="1152" t="str">
        <f>Critères!$N$3</f>
        <v>Débitmètre Ultrason</v>
      </c>
      <c r="P9" s="1153"/>
      <c r="Q9" s="1153"/>
      <c r="R9" s="1154"/>
    </row>
    <row r="10" spans="2:24" ht="27.35" x14ac:dyDescent="0.4">
      <c r="B10" s="1157"/>
      <c r="C10" s="534" t="s">
        <v>586</v>
      </c>
      <c r="D10" s="535" t="s">
        <v>587</v>
      </c>
      <c r="E10" s="535" t="s">
        <v>588</v>
      </c>
      <c r="F10" s="536" t="s">
        <v>590</v>
      </c>
      <c r="G10" s="534" t="s">
        <v>586</v>
      </c>
      <c r="H10" s="535" t="s">
        <v>587</v>
      </c>
      <c r="I10" s="535" t="s">
        <v>588</v>
      </c>
      <c r="J10" s="536" t="s">
        <v>590</v>
      </c>
      <c r="K10" s="534" t="s">
        <v>586</v>
      </c>
      <c r="L10" s="535" t="s">
        <v>587</v>
      </c>
      <c r="M10" s="535" t="s">
        <v>588</v>
      </c>
      <c r="N10" s="536" t="s">
        <v>590</v>
      </c>
      <c r="O10" s="534" t="s">
        <v>586</v>
      </c>
      <c r="P10" s="535" t="s">
        <v>587</v>
      </c>
      <c r="Q10" s="535" t="s">
        <v>588</v>
      </c>
      <c r="R10" s="536" t="s">
        <v>590</v>
      </c>
    </row>
    <row r="11" spans="2:24" x14ac:dyDescent="0.4">
      <c r="B11" s="537">
        <v>20</v>
      </c>
      <c r="C11" s="538">
        <v>1</v>
      </c>
      <c r="D11" s="539">
        <f t="shared" ref="D11:D23" si="0">(PI()*POWER($B11/1000,2)/4)*C11*3600</f>
        <v>1.1309733552923256</v>
      </c>
      <c r="E11" s="540">
        <v>3</v>
      </c>
      <c r="F11" s="541">
        <f t="shared" ref="F11:F23" si="1">(PI()*POWER($B11/1000,2)/4)*E11*3600</f>
        <v>3.3929200658769765</v>
      </c>
      <c r="G11" s="538">
        <v>1</v>
      </c>
      <c r="H11" s="539">
        <f t="shared" ref="H11:H23" si="2">(PI()*POWER($B11/1000,2)/4)*G11*3600</f>
        <v>1.1309733552923256</v>
      </c>
      <c r="I11" s="540">
        <v>5</v>
      </c>
      <c r="J11" s="541">
        <f t="shared" ref="J11:J23" si="3">(PI()*POWER($B11/1000,2)/4)*I11*3600</f>
        <v>5.6548667764616276</v>
      </c>
      <c r="K11" s="538">
        <v>0.3</v>
      </c>
      <c r="L11" s="539">
        <f t="shared" ref="L11:L38" si="4">(PI()*POWER($B11/1000,2)/4)*K11*3600</f>
        <v>0.33929200658769765</v>
      </c>
      <c r="M11" s="540">
        <v>10</v>
      </c>
      <c r="N11" s="541">
        <f t="shared" ref="N11:N38" si="5">(PI()*POWER($B11/1000,2)/4)*M11*3600</f>
        <v>11.309733552923255</v>
      </c>
      <c r="O11" s="538">
        <v>0.3</v>
      </c>
      <c r="P11" s="539">
        <f t="shared" ref="P11:P38" si="6">(PI()*POWER($B11/1000,2)/4)*O11*3600</f>
        <v>0.33929200658769765</v>
      </c>
      <c r="Q11" s="540">
        <v>10</v>
      </c>
      <c r="R11" s="541">
        <f t="shared" ref="R11:R38" si="7">(PI()*POWER($B11/1000,2)/4)*Q11*3600</f>
        <v>11.309733552923255</v>
      </c>
    </row>
    <row r="12" spans="2:24" x14ac:dyDescent="0.4">
      <c r="B12" s="537">
        <v>25</v>
      </c>
      <c r="C12" s="538">
        <v>1</v>
      </c>
      <c r="D12" s="539">
        <f t="shared" si="0"/>
        <v>1.7671458676442588</v>
      </c>
      <c r="E12" s="540">
        <v>3</v>
      </c>
      <c r="F12" s="541">
        <f t="shared" si="1"/>
        <v>5.3014376029327765</v>
      </c>
      <c r="G12" s="538">
        <v>1</v>
      </c>
      <c r="H12" s="539">
        <f t="shared" si="2"/>
        <v>1.7671458676442588</v>
      </c>
      <c r="I12" s="540">
        <v>5</v>
      </c>
      <c r="J12" s="541">
        <f t="shared" si="3"/>
        <v>8.8357293382212934</v>
      </c>
      <c r="K12" s="538">
        <v>0.3</v>
      </c>
      <c r="L12" s="539">
        <f t="shared" si="4"/>
        <v>0.53014376029327759</v>
      </c>
      <c r="M12" s="540">
        <v>10</v>
      </c>
      <c r="N12" s="541">
        <f t="shared" si="5"/>
        <v>17.671458676442587</v>
      </c>
      <c r="O12" s="538">
        <v>0.3</v>
      </c>
      <c r="P12" s="539">
        <f t="shared" si="6"/>
        <v>0.53014376029327759</v>
      </c>
      <c r="Q12" s="540">
        <v>10</v>
      </c>
      <c r="R12" s="541">
        <f t="shared" si="7"/>
        <v>17.671458676442587</v>
      </c>
    </row>
    <row r="13" spans="2:24" x14ac:dyDescent="0.4">
      <c r="B13" s="537">
        <v>32</v>
      </c>
      <c r="C13" s="538">
        <v>1</v>
      </c>
      <c r="D13" s="539">
        <f t="shared" si="0"/>
        <v>2.8952917895483532</v>
      </c>
      <c r="E13" s="540">
        <v>3</v>
      </c>
      <c r="F13" s="541">
        <f t="shared" si="1"/>
        <v>8.6858753686450605</v>
      </c>
      <c r="G13" s="538">
        <v>1</v>
      </c>
      <c r="H13" s="539">
        <f t="shared" si="2"/>
        <v>2.8952917895483532</v>
      </c>
      <c r="I13" s="540">
        <v>5</v>
      </c>
      <c r="J13" s="541">
        <f t="shared" si="3"/>
        <v>14.476458947741765</v>
      </c>
      <c r="K13" s="538">
        <v>0.3</v>
      </c>
      <c r="L13" s="539">
        <f t="shared" si="4"/>
        <v>0.86858753686450585</v>
      </c>
      <c r="M13" s="540">
        <v>10</v>
      </c>
      <c r="N13" s="541">
        <f t="shared" si="5"/>
        <v>28.95291789548353</v>
      </c>
      <c r="O13" s="538">
        <v>0.3</v>
      </c>
      <c r="P13" s="539">
        <f t="shared" si="6"/>
        <v>0.86858753686450585</v>
      </c>
      <c r="Q13" s="540">
        <v>10</v>
      </c>
      <c r="R13" s="541">
        <f t="shared" si="7"/>
        <v>28.95291789548353</v>
      </c>
    </row>
    <row r="14" spans="2:24" x14ac:dyDescent="0.4">
      <c r="B14" s="537">
        <v>40</v>
      </c>
      <c r="C14" s="538">
        <v>1</v>
      </c>
      <c r="D14" s="539">
        <f t="shared" si="0"/>
        <v>4.5238934211693023</v>
      </c>
      <c r="E14" s="540">
        <v>3</v>
      </c>
      <c r="F14" s="541">
        <f t="shared" si="1"/>
        <v>13.571680263507906</v>
      </c>
      <c r="G14" s="538">
        <v>1</v>
      </c>
      <c r="H14" s="539">
        <f t="shared" si="2"/>
        <v>4.5238934211693023</v>
      </c>
      <c r="I14" s="540">
        <v>5</v>
      </c>
      <c r="J14" s="541">
        <f t="shared" si="3"/>
        <v>22.61946710584651</v>
      </c>
      <c r="K14" s="538">
        <v>0.3</v>
      </c>
      <c r="L14" s="539">
        <f t="shared" si="4"/>
        <v>1.3571680263507906</v>
      </c>
      <c r="M14" s="540">
        <v>10</v>
      </c>
      <c r="N14" s="541">
        <f t="shared" si="5"/>
        <v>45.238934211693021</v>
      </c>
      <c r="O14" s="538">
        <v>0.3</v>
      </c>
      <c r="P14" s="539">
        <f t="shared" si="6"/>
        <v>1.3571680263507906</v>
      </c>
      <c r="Q14" s="540">
        <v>10</v>
      </c>
      <c r="R14" s="541">
        <f t="shared" si="7"/>
        <v>45.238934211693021</v>
      </c>
    </row>
    <row r="15" spans="2:24" x14ac:dyDescent="0.4">
      <c r="B15" s="537">
        <v>50</v>
      </c>
      <c r="C15" s="538">
        <v>1</v>
      </c>
      <c r="D15" s="539">
        <f t="shared" si="0"/>
        <v>7.0685834705770354</v>
      </c>
      <c r="E15" s="540">
        <v>3</v>
      </c>
      <c r="F15" s="541">
        <f t="shared" si="1"/>
        <v>21.205750411731106</v>
      </c>
      <c r="G15" s="538">
        <v>1</v>
      </c>
      <c r="H15" s="539">
        <f t="shared" si="2"/>
        <v>7.0685834705770354</v>
      </c>
      <c r="I15" s="540">
        <v>5</v>
      </c>
      <c r="J15" s="541">
        <f t="shared" si="3"/>
        <v>35.342917352885173</v>
      </c>
      <c r="K15" s="538">
        <v>0.3</v>
      </c>
      <c r="L15" s="539">
        <f t="shared" si="4"/>
        <v>2.1205750411731104</v>
      </c>
      <c r="M15" s="540">
        <v>10</v>
      </c>
      <c r="N15" s="541">
        <f t="shared" si="5"/>
        <v>70.685834705770347</v>
      </c>
      <c r="O15" s="538">
        <v>0.3</v>
      </c>
      <c r="P15" s="539">
        <f t="shared" si="6"/>
        <v>2.1205750411731104</v>
      </c>
      <c r="Q15" s="540">
        <v>10</v>
      </c>
      <c r="R15" s="541">
        <f t="shared" si="7"/>
        <v>70.685834705770347</v>
      </c>
    </row>
    <row r="16" spans="2:24" x14ac:dyDescent="0.4">
      <c r="B16" s="537">
        <v>65</v>
      </c>
      <c r="C16" s="538">
        <v>1</v>
      </c>
      <c r="D16" s="539">
        <f t="shared" si="0"/>
        <v>11.94590606527519</v>
      </c>
      <c r="E16" s="540">
        <v>3</v>
      </c>
      <c r="F16" s="541">
        <f t="shared" si="1"/>
        <v>35.837718195825573</v>
      </c>
      <c r="G16" s="538">
        <v>1</v>
      </c>
      <c r="H16" s="539">
        <f t="shared" si="2"/>
        <v>11.94590606527519</v>
      </c>
      <c r="I16" s="540">
        <v>5</v>
      </c>
      <c r="J16" s="541">
        <f t="shared" si="3"/>
        <v>59.729530326375951</v>
      </c>
      <c r="K16" s="538">
        <v>0.3</v>
      </c>
      <c r="L16" s="539">
        <f t="shared" si="4"/>
        <v>3.583771819582557</v>
      </c>
      <c r="M16" s="540">
        <v>10</v>
      </c>
      <c r="N16" s="541">
        <f t="shared" si="5"/>
        <v>119.4590606527519</v>
      </c>
      <c r="O16" s="538">
        <v>0.3</v>
      </c>
      <c r="P16" s="539">
        <f t="shared" si="6"/>
        <v>3.583771819582557</v>
      </c>
      <c r="Q16" s="540">
        <v>10</v>
      </c>
      <c r="R16" s="541">
        <f t="shared" si="7"/>
        <v>119.4590606527519</v>
      </c>
    </row>
    <row r="17" spans="2:18" x14ac:dyDescent="0.4">
      <c r="B17" s="537">
        <v>80</v>
      </c>
      <c r="C17" s="538">
        <v>1</v>
      </c>
      <c r="D17" s="539">
        <f t="shared" si="0"/>
        <v>18.095573684677209</v>
      </c>
      <c r="E17" s="540">
        <v>3</v>
      </c>
      <c r="F17" s="541">
        <f t="shared" si="1"/>
        <v>54.286721054031624</v>
      </c>
      <c r="G17" s="538">
        <v>1</v>
      </c>
      <c r="H17" s="539">
        <f t="shared" si="2"/>
        <v>18.095573684677209</v>
      </c>
      <c r="I17" s="540">
        <v>5</v>
      </c>
      <c r="J17" s="541">
        <f t="shared" si="3"/>
        <v>90.477868423386042</v>
      </c>
      <c r="K17" s="538">
        <v>0.3</v>
      </c>
      <c r="L17" s="539">
        <f t="shared" si="4"/>
        <v>5.4286721054031624</v>
      </c>
      <c r="M17" s="540">
        <v>10</v>
      </c>
      <c r="N17" s="541">
        <f t="shared" si="5"/>
        <v>180.95573684677208</v>
      </c>
      <c r="O17" s="538">
        <v>0.3</v>
      </c>
      <c r="P17" s="539">
        <f t="shared" si="6"/>
        <v>5.4286721054031624</v>
      </c>
      <c r="Q17" s="540">
        <v>10</v>
      </c>
      <c r="R17" s="541">
        <f t="shared" si="7"/>
        <v>180.95573684677208</v>
      </c>
    </row>
    <row r="18" spans="2:18" x14ac:dyDescent="0.4">
      <c r="B18" s="537">
        <v>100</v>
      </c>
      <c r="C18" s="538">
        <v>1</v>
      </c>
      <c r="D18" s="539">
        <f t="shared" si="0"/>
        <v>28.274333882308142</v>
      </c>
      <c r="E18" s="540">
        <v>3</v>
      </c>
      <c r="F18" s="541">
        <f t="shared" si="1"/>
        <v>84.823001646924425</v>
      </c>
      <c r="G18" s="538">
        <v>1</v>
      </c>
      <c r="H18" s="539">
        <f t="shared" si="2"/>
        <v>28.274333882308142</v>
      </c>
      <c r="I18" s="540">
        <v>5</v>
      </c>
      <c r="J18" s="541">
        <f t="shared" si="3"/>
        <v>141.37166941154069</v>
      </c>
      <c r="K18" s="538">
        <v>0.3</v>
      </c>
      <c r="L18" s="539">
        <f t="shared" si="4"/>
        <v>8.4823001646924414</v>
      </c>
      <c r="M18" s="540">
        <v>10</v>
      </c>
      <c r="N18" s="541">
        <f t="shared" si="5"/>
        <v>282.74333882308139</v>
      </c>
      <c r="O18" s="538">
        <v>0.3</v>
      </c>
      <c r="P18" s="539">
        <f t="shared" si="6"/>
        <v>8.4823001646924414</v>
      </c>
      <c r="Q18" s="540">
        <v>10</v>
      </c>
      <c r="R18" s="541">
        <f t="shared" si="7"/>
        <v>282.74333882308139</v>
      </c>
    </row>
    <row r="19" spans="2:18" x14ac:dyDescent="0.4">
      <c r="B19" s="537">
        <v>125</v>
      </c>
      <c r="C19" s="538">
        <v>1</v>
      </c>
      <c r="D19" s="539">
        <f t="shared" si="0"/>
        <v>44.178646691106465</v>
      </c>
      <c r="E19" s="540">
        <v>3</v>
      </c>
      <c r="F19" s="541">
        <f t="shared" si="1"/>
        <v>132.53594007331941</v>
      </c>
      <c r="G19" s="538">
        <v>1</v>
      </c>
      <c r="H19" s="539">
        <f t="shared" si="2"/>
        <v>44.178646691106465</v>
      </c>
      <c r="I19" s="540">
        <v>5</v>
      </c>
      <c r="J19" s="541">
        <f t="shared" si="3"/>
        <v>220.89323345553234</v>
      </c>
      <c r="K19" s="538">
        <v>0.3</v>
      </c>
      <c r="L19" s="539">
        <f t="shared" si="4"/>
        <v>13.253594007331939</v>
      </c>
      <c r="M19" s="540">
        <v>10</v>
      </c>
      <c r="N19" s="541">
        <f t="shared" si="5"/>
        <v>441.78646691106468</v>
      </c>
      <c r="O19" s="538">
        <v>0.3</v>
      </c>
      <c r="P19" s="539">
        <f t="shared" si="6"/>
        <v>13.253594007331939</v>
      </c>
      <c r="Q19" s="540">
        <v>10</v>
      </c>
      <c r="R19" s="541">
        <f t="shared" si="7"/>
        <v>441.78646691106468</v>
      </c>
    </row>
    <row r="20" spans="2:18" x14ac:dyDescent="0.4">
      <c r="B20" s="537">
        <v>150</v>
      </c>
      <c r="C20" s="538">
        <v>1</v>
      </c>
      <c r="D20" s="539">
        <f t="shared" si="0"/>
        <v>63.617251235193315</v>
      </c>
      <c r="E20" s="540">
        <v>3</v>
      </c>
      <c r="F20" s="541">
        <f t="shared" si="1"/>
        <v>190.85175370557994</v>
      </c>
      <c r="G20" s="538">
        <v>1</v>
      </c>
      <c r="H20" s="539">
        <f t="shared" si="2"/>
        <v>63.617251235193315</v>
      </c>
      <c r="I20" s="540">
        <v>5</v>
      </c>
      <c r="J20" s="541">
        <f t="shared" si="3"/>
        <v>318.08625617596653</v>
      </c>
      <c r="K20" s="538">
        <v>0.3</v>
      </c>
      <c r="L20" s="539">
        <f t="shared" si="4"/>
        <v>19.085175370557991</v>
      </c>
      <c r="M20" s="540">
        <v>10</v>
      </c>
      <c r="N20" s="541">
        <f t="shared" si="5"/>
        <v>636.17251235193305</v>
      </c>
      <c r="O20" s="538">
        <v>0.3</v>
      </c>
      <c r="P20" s="539">
        <f t="shared" si="6"/>
        <v>19.085175370557991</v>
      </c>
      <c r="Q20" s="540">
        <v>10</v>
      </c>
      <c r="R20" s="541">
        <f t="shared" si="7"/>
        <v>636.17251235193305</v>
      </c>
    </row>
    <row r="21" spans="2:18" x14ac:dyDescent="0.4">
      <c r="B21" s="537">
        <v>200</v>
      </c>
      <c r="C21" s="538">
        <v>1</v>
      </c>
      <c r="D21" s="539">
        <f t="shared" si="0"/>
        <v>113.09733552923257</v>
      </c>
      <c r="E21" s="540">
        <v>3</v>
      </c>
      <c r="F21" s="541">
        <f t="shared" si="1"/>
        <v>339.2920065876977</v>
      </c>
      <c r="G21" s="538">
        <v>1</v>
      </c>
      <c r="H21" s="539">
        <f t="shared" si="2"/>
        <v>113.09733552923257</v>
      </c>
      <c r="I21" s="540">
        <v>5</v>
      </c>
      <c r="J21" s="541">
        <f t="shared" si="3"/>
        <v>565.48667764616278</v>
      </c>
      <c r="K21" s="538">
        <v>0.3</v>
      </c>
      <c r="L21" s="539">
        <f t="shared" si="4"/>
        <v>33.929200658769766</v>
      </c>
      <c r="M21" s="540">
        <v>10</v>
      </c>
      <c r="N21" s="541">
        <f t="shared" si="5"/>
        <v>1130.9733552923256</v>
      </c>
      <c r="O21" s="538">
        <v>0.3</v>
      </c>
      <c r="P21" s="539">
        <f t="shared" si="6"/>
        <v>33.929200658769766</v>
      </c>
      <c r="Q21" s="540">
        <v>10</v>
      </c>
      <c r="R21" s="541">
        <f t="shared" si="7"/>
        <v>1130.9733552923256</v>
      </c>
    </row>
    <row r="22" spans="2:18" x14ac:dyDescent="0.4">
      <c r="B22" s="537">
        <v>250</v>
      </c>
      <c r="C22" s="538">
        <v>1</v>
      </c>
      <c r="D22" s="539">
        <f t="shared" si="0"/>
        <v>176.71458676442586</v>
      </c>
      <c r="E22" s="540">
        <v>3</v>
      </c>
      <c r="F22" s="541">
        <f t="shared" si="1"/>
        <v>530.14376029327764</v>
      </c>
      <c r="G22" s="538">
        <v>1</v>
      </c>
      <c r="H22" s="539">
        <f t="shared" si="2"/>
        <v>176.71458676442586</v>
      </c>
      <c r="I22" s="540">
        <v>5</v>
      </c>
      <c r="J22" s="541">
        <f t="shared" si="3"/>
        <v>883.57293382212936</v>
      </c>
      <c r="K22" s="538">
        <v>0.3</v>
      </c>
      <c r="L22" s="539">
        <f t="shared" si="4"/>
        <v>53.014376029327757</v>
      </c>
      <c r="M22" s="540">
        <v>10</v>
      </c>
      <c r="N22" s="541">
        <f t="shared" si="5"/>
        <v>1767.1458676442587</v>
      </c>
      <c r="O22" s="538">
        <v>0.3</v>
      </c>
      <c r="P22" s="539">
        <f t="shared" si="6"/>
        <v>53.014376029327757</v>
      </c>
      <c r="Q22" s="540">
        <v>10</v>
      </c>
      <c r="R22" s="541">
        <f t="shared" si="7"/>
        <v>1767.1458676442587</v>
      </c>
    </row>
    <row r="23" spans="2:18" x14ac:dyDescent="0.4">
      <c r="B23" s="537">
        <v>300</v>
      </c>
      <c r="C23" s="538">
        <v>1</v>
      </c>
      <c r="D23" s="539">
        <f t="shared" si="0"/>
        <v>254.46900494077326</v>
      </c>
      <c r="E23" s="540">
        <v>3</v>
      </c>
      <c r="F23" s="541">
        <f t="shared" si="1"/>
        <v>763.40701482231975</v>
      </c>
      <c r="G23" s="538">
        <v>1</v>
      </c>
      <c r="H23" s="539">
        <f t="shared" si="2"/>
        <v>254.46900494077326</v>
      </c>
      <c r="I23" s="540">
        <v>5</v>
      </c>
      <c r="J23" s="541">
        <f t="shared" si="3"/>
        <v>1272.3450247038661</v>
      </c>
      <c r="K23" s="538">
        <v>0.3</v>
      </c>
      <c r="L23" s="539">
        <f t="shared" si="4"/>
        <v>76.340701482231964</v>
      </c>
      <c r="M23" s="540">
        <v>10</v>
      </c>
      <c r="N23" s="541">
        <f t="shared" si="5"/>
        <v>2544.6900494077322</v>
      </c>
      <c r="O23" s="538">
        <v>0.3</v>
      </c>
      <c r="P23" s="539">
        <f t="shared" si="6"/>
        <v>76.340701482231964</v>
      </c>
      <c r="Q23" s="540">
        <v>10</v>
      </c>
      <c r="R23" s="541">
        <f t="shared" si="7"/>
        <v>2544.6900494077322</v>
      </c>
    </row>
    <row r="24" spans="2:18" x14ac:dyDescent="0.4">
      <c r="B24" s="537">
        <v>350</v>
      </c>
      <c r="C24" s="538">
        <v>1</v>
      </c>
      <c r="D24" s="539">
        <f t="shared" ref="D24:F38" si="8">(PI()*POWER($B24/1000,2)/4)*C24*3600</f>
        <v>346.36059005827462</v>
      </c>
      <c r="E24" s="540">
        <v>3</v>
      </c>
      <c r="F24" s="541">
        <f t="shared" si="8"/>
        <v>1039.0817701748238</v>
      </c>
      <c r="G24" s="538">
        <v>1</v>
      </c>
      <c r="H24" s="539">
        <f t="shared" ref="H24:J24" si="9">(PI()*POWER($B24/1000,2)/4)*G24*3600</f>
        <v>346.36059005827462</v>
      </c>
      <c r="I24" s="540">
        <v>5</v>
      </c>
      <c r="J24" s="541">
        <f t="shared" si="9"/>
        <v>1731.8029502913732</v>
      </c>
      <c r="K24" s="538">
        <v>0.3</v>
      </c>
      <c r="L24" s="539">
        <f t="shared" si="4"/>
        <v>103.90817701748239</v>
      </c>
      <c r="M24" s="540">
        <v>10</v>
      </c>
      <c r="N24" s="541">
        <f t="shared" si="5"/>
        <v>3463.6059005827465</v>
      </c>
      <c r="O24" s="538">
        <v>0.3</v>
      </c>
      <c r="P24" s="539">
        <f t="shared" si="6"/>
        <v>103.90817701748239</v>
      </c>
      <c r="Q24" s="540">
        <v>10</v>
      </c>
      <c r="R24" s="541">
        <f t="shared" si="7"/>
        <v>3463.6059005827465</v>
      </c>
    </row>
    <row r="25" spans="2:18" x14ac:dyDescent="0.4">
      <c r="B25" s="537">
        <v>400</v>
      </c>
      <c r="C25" s="538">
        <v>1</v>
      </c>
      <c r="D25" s="539">
        <f t="shared" si="8"/>
        <v>452.38934211693027</v>
      </c>
      <c r="E25" s="540">
        <v>3</v>
      </c>
      <c r="F25" s="541">
        <f t="shared" si="8"/>
        <v>1357.1680263507908</v>
      </c>
      <c r="G25" s="538">
        <v>1</v>
      </c>
      <c r="H25" s="539">
        <f t="shared" ref="H25:J25" si="10">(PI()*POWER($B25/1000,2)/4)*G25*3600</f>
        <v>452.38934211693027</v>
      </c>
      <c r="I25" s="540">
        <v>5</v>
      </c>
      <c r="J25" s="541">
        <f t="shared" si="10"/>
        <v>2261.9467105846511</v>
      </c>
      <c r="K25" s="538">
        <v>0.3</v>
      </c>
      <c r="L25" s="539">
        <f t="shared" si="4"/>
        <v>135.71680263507906</v>
      </c>
      <c r="M25" s="540">
        <v>10</v>
      </c>
      <c r="N25" s="541">
        <f t="shared" si="5"/>
        <v>4523.8934211693022</v>
      </c>
      <c r="O25" s="538">
        <v>0.3</v>
      </c>
      <c r="P25" s="539">
        <f t="shared" si="6"/>
        <v>135.71680263507906</v>
      </c>
      <c r="Q25" s="540">
        <v>10</v>
      </c>
      <c r="R25" s="541">
        <f t="shared" si="7"/>
        <v>4523.8934211693022</v>
      </c>
    </row>
    <row r="26" spans="2:18" x14ac:dyDescent="0.4">
      <c r="B26" s="537">
        <v>500</v>
      </c>
      <c r="C26" s="538">
        <v>1</v>
      </c>
      <c r="D26" s="539">
        <f t="shared" si="8"/>
        <v>706.85834705770344</v>
      </c>
      <c r="E26" s="540">
        <v>3</v>
      </c>
      <c r="F26" s="541">
        <f t="shared" si="8"/>
        <v>2120.5750411731105</v>
      </c>
      <c r="G26" s="538">
        <v>1</v>
      </c>
      <c r="H26" s="539">
        <f t="shared" ref="H26:J26" si="11">(PI()*POWER($B26/1000,2)/4)*G26*3600</f>
        <v>706.85834705770344</v>
      </c>
      <c r="I26" s="540">
        <v>5</v>
      </c>
      <c r="J26" s="541">
        <f t="shared" si="11"/>
        <v>3534.2917352885174</v>
      </c>
      <c r="K26" s="538">
        <v>0.3</v>
      </c>
      <c r="L26" s="539">
        <f t="shared" si="4"/>
        <v>212.05750411731103</v>
      </c>
      <c r="M26" s="540">
        <v>10</v>
      </c>
      <c r="N26" s="541">
        <f t="shared" si="5"/>
        <v>7068.5834705770349</v>
      </c>
      <c r="O26" s="538">
        <v>0.3</v>
      </c>
      <c r="P26" s="539">
        <f t="shared" si="6"/>
        <v>212.05750411731103</v>
      </c>
      <c r="Q26" s="540">
        <v>10</v>
      </c>
      <c r="R26" s="541">
        <f t="shared" si="7"/>
        <v>7068.5834705770349</v>
      </c>
    </row>
    <row r="27" spans="2:18" x14ac:dyDescent="0.4">
      <c r="B27" s="537">
        <v>600</v>
      </c>
      <c r="C27" s="538">
        <v>1</v>
      </c>
      <c r="D27" s="539">
        <f t="shared" si="8"/>
        <v>1017.876019763093</v>
      </c>
      <c r="E27" s="540">
        <v>3</v>
      </c>
      <c r="F27" s="541">
        <f t="shared" si="8"/>
        <v>3053.628059289279</v>
      </c>
      <c r="G27" s="538">
        <v>1</v>
      </c>
      <c r="H27" s="539">
        <f t="shared" ref="H27:J27" si="12">(PI()*POWER($B27/1000,2)/4)*G27*3600</f>
        <v>1017.876019763093</v>
      </c>
      <c r="I27" s="540">
        <v>5</v>
      </c>
      <c r="J27" s="541">
        <f t="shared" si="12"/>
        <v>5089.3800988154644</v>
      </c>
      <c r="K27" s="538">
        <v>0.3</v>
      </c>
      <c r="L27" s="539">
        <f t="shared" si="4"/>
        <v>305.36280592892786</v>
      </c>
      <c r="M27" s="540">
        <v>10</v>
      </c>
      <c r="N27" s="541">
        <f t="shared" si="5"/>
        <v>10178.760197630929</v>
      </c>
      <c r="O27" s="538">
        <v>0.3</v>
      </c>
      <c r="P27" s="539">
        <f t="shared" si="6"/>
        <v>305.36280592892786</v>
      </c>
      <c r="Q27" s="540">
        <v>10</v>
      </c>
      <c r="R27" s="541">
        <f t="shared" si="7"/>
        <v>10178.760197630929</v>
      </c>
    </row>
    <row r="28" spans="2:18" x14ac:dyDescent="0.4">
      <c r="B28" s="537">
        <v>700</v>
      </c>
      <c r="C28" s="538">
        <v>1</v>
      </c>
      <c r="D28" s="539">
        <f t="shared" si="8"/>
        <v>1385.4423602330985</v>
      </c>
      <c r="E28" s="540">
        <v>3</v>
      </c>
      <c r="F28" s="541">
        <f t="shared" si="8"/>
        <v>4156.327080699295</v>
      </c>
      <c r="G28" s="538">
        <v>1</v>
      </c>
      <c r="H28" s="539">
        <f t="shared" ref="H28:J28" si="13">(PI()*POWER($B28/1000,2)/4)*G28*3600</f>
        <v>1385.4423602330985</v>
      </c>
      <c r="I28" s="540">
        <v>5</v>
      </c>
      <c r="J28" s="541">
        <f t="shared" si="13"/>
        <v>6927.2118011654929</v>
      </c>
      <c r="K28" s="538">
        <v>0.3</v>
      </c>
      <c r="L28" s="539">
        <f t="shared" si="4"/>
        <v>415.63270806992955</v>
      </c>
      <c r="M28" s="540">
        <v>10</v>
      </c>
      <c r="N28" s="541">
        <f t="shared" si="5"/>
        <v>13854.423602330986</v>
      </c>
      <c r="O28" s="538">
        <v>0.3</v>
      </c>
      <c r="P28" s="539">
        <f t="shared" si="6"/>
        <v>415.63270806992955</v>
      </c>
      <c r="Q28" s="540">
        <v>10</v>
      </c>
      <c r="R28" s="541">
        <f t="shared" si="7"/>
        <v>13854.423602330986</v>
      </c>
    </row>
    <row r="29" spans="2:18" x14ac:dyDescent="0.4">
      <c r="B29" s="537">
        <v>800</v>
      </c>
      <c r="C29" s="538">
        <v>1</v>
      </c>
      <c r="D29" s="539">
        <f t="shared" si="8"/>
        <v>1809.5573684677211</v>
      </c>
      <c r="E29" s="540">
        <v>3</v>
      </c>
      <c r="F29" s="541">
        <f t="shared" si="8"/>
        <v>5428.6721054031632</v>
      </c>
      <c r="G29" s="538">
        <v>1</v>
      </c>
      <c r="H29" s="539">
        <f t="shared" ref="H29:J29" si="14">(PI()*POWER($B29/1000,2)/4)*G29*3600</f>
        <v>1809.5573684677211</v>
      </c>
      <c r="I29" s="540">
        <v>5</v>
      </c>
      <c r="J29" s="541">
        <f t="shared" si="14"/>
        <v>9047.7868423386044</v>
      </c>
      <c r="K29" s="538">
        <v>0.3</v>
      </c>
      <c r="L29" s="539">
        <f t="shared" si="4"/>
        <v>542.86721054031625</v>
      </c>
      <c r="M29" s="540">
        <v>10</v>
      </c>
      <c r="N29" s="541">
        <f t="shared" si="5"/>
        <v>18095.573684677209</v>
      </c>
      <c r="O29" s="538">
        <v>0.3</v>
      </c>
      <c r="P29" s="539">
        <f t="shared" si="6"/>
        <v>542.86721054031625</v>
      </c>
      <c r="Q29" s="540">
        <v>10</v>
      </c>
      <c r="R29" s="541">
        <f t="shared" si="7"/>
        <v>18095.573684677209</v>
      </c>
    </row>
    <row r="30" spans="2:18" x14ac:dyDescent="0.4">
      <c r="B30" s="537">
        <v>900</v>
      </c>
      <c r="C30" s="538">
        <v>1</v>
      </c>
      <c r="D30" s="539">
        <f t="shared" si="8"/>
        <v>2290.2210444669595</v>
      </c>
      <c r="E30" s="540">
        <v>3</v>
      </c>
      <c r="F30" s="541">
        <f t="shared" si="8"/>
        <v>6870.6631334008789</v>
      </c>
      <c r="G30" s="538">
        <v>1</v>
      </c>
      <c r="H30" s="539">
        <f t="shared" ref="H30:J30" si="15">(PI()*POWER($B30/1000,2)/4)*G30*3600</f>
        <v>2290.2210444669595</v>
      </c>
      <c r="I30" s="540">
        <v>5</v>
      </c>
      <c r="J30" s="541">
        <f t="shared" si="15"/>
        <v>11451.105222334796</v>
      </c>
      <c r="K30" s="538">
        <v>0.3</v>
      </c>
      <c r="L30" s="539">
        <f t="shared" si="4"/>
        <v>687.06631334008773</v>
      </c>
      <c r="M30" s="540">
        <v>10</v>
      </c>
      <c r="N30" s="541">
        <f t="shared" si="5"/>
        <v>22902.210444669592</v>
      </c>
      <c r="O30" s="538">
        <v>0.3</v>
      </c>
      <c r="P30" s="539">
        <f t="shared" si="6"/>
        <v>687.06631334008773</v>
      </c>
      <c r="Q30" s="540">
        <v>10</v>
      </c>
      <c r="R30" s="541">
        <f t="shared" si="7"/>
        <v>22902.210444669592</v>
      </c>
    </row>
    <row r="31" spans="2:18" x14ac:dyDescent="0.4">
      <c r="B31" s="537">
        <v>1000</v>
      </c>
      <c r="C31" s="538">
        <v>1</v>
      </c>
      <c r="D31" s="539">
        <f t="shared" si="8"/>
        <v>2827.4333882308138</v>
      </c>
      <c r="E31" s="540">
        <v>3</v>
      </c>
      <c r="F31" s="541">
        <f t="shared" si="8"/>
        <v>8482.3001646924422</v>
      </c>
      <c r="G31" s="538">
        <v>1</v>
      </c>
      <c r="H31" s="539">
        <f t="shared" ref="H31:J31" si="16">(PI()*POWER($B31/1000,2)/4)*G31*3600</f>
        <v>2827.4333882308138</v>
      </c>
      <c r="I31" s="540">
        <v>5</v>
      </c>
      <c r="J31" s="541">
        <f t="shared" si="16"/>
        <v>14137.16694115407</v>
      </c>
      <c r="K31" s="538">
        <v>0.3</v>
      </c>
      <c r="L31" s="539">
        <f t="shared" si="4"/>
        <v>848.23001646924411</v>
      </c>
      <c r="M31" s="540">
        <v>10</v>
      </c>
      <c r="N31" s="541">
        <f t="shared" si="5"/>
        <v>28274.333882308139</v>
      </c>
      <c r="O31" s="538">
        <v>0.3</v>
      </c>
      <c r="P31" s="539">
        <f t="shared" si="6"/>
        <v>848.23001646924411</v>
      </c>
      <c r="Q31" s="540">
        <v>10</v>
      </c>
      <c r="R31" s="541">
        <f t="shared" si="7"/>
        <v>28274.333882308139</v>
      </c>
    </row>
    <row r="32" spans="2:18" x14ac:dyDescent="0.4">
      <c r="B32" s="537">
        <v>1200</v>
      </c>
      <c r="C32" s="538">
        <v>1</v>
      </c>
      <c r="D32" s="539">
        <f t="shared" si="8"/>
        <v>4071.5040790523722</v>
      </c>
      <c r="E32" s="540">
        <v>3</v>
      </c>
      <c r="F32" s="541">
        <f t="shared" si="8"/>
        <v>12214.512237157116</v>
      </c>
      <c r="G32" s="538">
        <v>1</v>
      </c>
      <c r="H32" s="539">
        <f t="shared" ref="H32:J32" si="17">(PI()*POWER($B32/1000,2)/4)*G32*3600</f>
        <v>4071.5040790523722</v>
      </c>
      <c r="I32" s="540">
        <v>5</v>
      </c>
      <c r="J32" s="541">
        <f t="shared" si="17"/>
        <v>20357.520395261858</v>
      </c>
      <c r="K32" s="538">
        <v>0.3</v>
      </c>
      <c r="L32" s="539">
        <f t="shared" si="4"/>
        <v>1221.4512237157114</v>
      </c>
      <c r="M32" s="540">
        <v>10</v>
      </c>
      <c r="N32" s="541">
        <f t="shared" si="5"/>
        <v>40715.040790523715</v>
      </c>
      <c r="O32" s="538">
        <v>0.3</v>
      </c>
      <c r="P32" s="539">
        <f t="shared" si="6"/>
        <v>1221.4512237157114</v>
      </c>
      <c r="Q32" s="540">
        <v>10</v>
      </c>
      <c r="R32" s="541">
        <f t="shared" si="7"/>
        <v>40715.040790523715</v>
      </c>
    </row>
    <row r="33" spans="2:18" x14ac:dyDescent="0.4">
      <c r="B33" s="537">
        <v>1400</v>
      </c>
      <c r="C33" s="538">
        <v>1</v>
      </c>
      <c r="D33" s="539">
        <f t="shared" si="8"/>
        <v>5541.769440932394</v>
      </c>
      <c r="E33" s="540">
        <v>3</v>
      </c>
      <c r="F33" s="541">
        <f t="shared" si="8"/>
        <v>16625.30832279718</v>
      </c>
      <c r="G33" s="538">
        <v>1</v>
      </c>
      <c r="H33" s="539">
        <f t="shared" ref="H33:J33" si="18">(PI()*POWER($B33/1000,2)/4)*G33*3600</f>
        <v>5541.769440932394</v>
      </c>
      <c r="I33" s="540">
        <v>5</v>
      </c>
      <c r="J33" s="541">
        <f t="shared" si="18"/>
        <v>27708.847204661972</v>
      </c>
      <c r="K33" s="538">
        <v>0.3</v>
      </c>
      <c r="L33" s="539">
        <f t="shared" si="4"/>
        <v>1662.5308322797182</v>
      </c>
      <c r="M33" s="540">
        <v>10</v>
      </c>
      <c r="N33" s="541">
        <f t="shared" si="5"/>
        <v>55417.694409323944</v>
      </c>
      <c r="O33" s="538">
        <v>0.3</v>
      </c>
      <c r="P33" s="539">
        <f t="shared" si="6"/>
        <v>1662.5308322797182</v>
      </c>
      <c r="Q33" s="540">
        <v>10</v>
      </c>
      <c r="R33" s="541">
        <f t="shared" si="7"/>
        <v>55417.694409323944</v>
      </c>
    </row>
    <row r="34" spans="2:18" x14ac:dyDescent="0.4">
      <c r="B34" s="537">
        <v>1600</v>
      </c>
      <c r="C34" s="538">
        <v>1</v>
      </c>
      <c r="D34" s="539">
        <f t="shared" si="8"/>
        <v>7238.2294738708842</v>
      </c>
      <c r="E34" s="540">
        <v>3</v>
      </c>
      <c r="F34" s="541">
        <f t="shared" si="8"/>
        <v>21714.688421612653</v>
      </c>
      <c r="G34" s="538">
        <v>1</v>
      </c>
      <c r="H34" s="539">
        <f t="shared" ref="H34:J34" si="19">(PI()*POWER($B34/1000,2)/4)*G34*3600</f>
        <v>7238.2294738708842</v>
      </c>
      <c r="I34" s="540">
        <v>5</v>
      </c>
      <c r="J34" s="541">
        <f t="shared" si="19"/>
        <v>36191.147369354418</v>
      </c>
      <c r="K34" s="538">
        <v>0.3</v>
      </c>
      <c r="L34" s="539">
        <f t="shared" si="4"/>
        <v>2171.468842161265</v>
      </c>
      <c r="M34" s="540">
        <v>10</v>
      </c>
      <c r="N34" s="541">
        <f t="shared" si="5"/>
        <v>72382.294738708835</v>
      </c>
      <c r="O34" s="538">
        <v>0.3</v>
      </c>
      <c r="P34" s="539">
        <f t="shared" si="6"/>
        <v>2171.468842161265</v>
      </c>
      <c r="Q34" s="540">
        <v>10</v>
      </c>
      <c r="R34" s="541">
        <f t="shared" si="7"/>
        <v>72382.294738708835</v>
      </c>
    </row>
    <row r="35" spans="2:18" x14ac:dyDescent="0.4">
      <c r="B35" s="537">
        <v>1800</v>
      </c>
      <c r="C35" s="538">
        <v>1</v>
      </c>
      <c r="D35" s="539">
        <f t="shared" si="8"/>
        <v>9160.8841778678379</v>
      </c>
      <c r="E35" s="540">
        <v>3</v>
      </c>
      <c r="F35" s="541">
        <f t="shared" si="8"/>
        <v>27482.652533603516</v>
      </c>
      <c r="G35" s="538">
        <v>1</v>
      </c>
      <c r="H35" s="539">
        <f t="shared" ref="H35:J35" si="20">(PI()*POWER($B35/1000,2)/4)*G35*3600</f>
        <v>9160.8841778678379</v>
      </c>
      <c r="I35" s="540">
        <v>5</v>
      </c>
      <c r="J35" s="541">
        <f t="shared" si="20"/>
        <v>45804.420889339184</v>
      </c>
      <c r="K35" s="538">
        <v>0.3</v>
      </c>
      <c r="L35" s="539">
        <f t="shared" si="4"/>
        <v>2748.2652533603509</v>
      </c>
      <c r="M35" s="540">
        <v>10</v>
      </c>
      <c r="N35" s="541">
        <f t="shared" si="5"/>
        <v>91608.841778678368</v>
      </c>
      <c r="O35" s="538">
        <v>0.3</v>
      </c>
      <c r="P35" s="539">
        <f t="shared" si="6"/>
        <v>2748.2652533603509</v>
      </c>
      <c r="Q35" s="540">
        <v>10</v>
      </c>
      <c r="R35" s="541">
        <f t="shared" si="7"/>
        <v>91608.841778678368</v>
      </c>
    </row>
    <row r="36" spans="2:18" x14ac:dyDescent="0.4">
      <c r="B36" s="537">
        <v>2000</v>
      </c>
      <c r="C36" s="538">
        <v>1</v>
      </c>
      <c r="D36" s="539">
        <f t="shared" si="8"/>
        <v>11309.733552923255</v>
      </c>
      <c r="E36" s="540">
        <v>3</v>
      </c>
      <c r="F36" s="541">
        <f t="shared" si="8"/>
        <v>33929.200658769769</v>
      </c>
      <c r="G36" s="538">
        <v>1</v>
      </c>
      <c r="H36" s="539">
        <f t="shared" ref="H36:J36" si="21">(PI()*POWER($B36/1000,2)/4)*G36*3600</f>
        <v>11309.733552923255</v>
      </c>
      <c r="I36" s="540">
        <v>5</v>
      </c>
      <c r="J36" s="541">
        <f t="shared" si="21"/>
        <v>56548.667764616279</v>
      </c>
      <c r="K36" s="538">
        <v>0.3</v>
      </c>
      <c r="L36" s="539">
        <f t="shared" si="4"/>
        <v>3392.9200658769764</v>
      </c>
      <c r="M36" s="540">
        <v>10</v>
      </c>
      <c r="N36" s="541">
        <f t="shared" si="5"/>
        <v>113097.33552923256</v>
      </c>
      <c r="O36" s="538">
        <v>0.3</v>
      </c>
      <c r="P36" s="539">
        <f t="shared" si="6"/>
        <v>3392.9200658769764</v>
      </c>
      <c r="Q36" s="540">
        <v>10</v>
      </c>
      <c r="R36" s="541">
        <f t="shared" si="7"/>
        <v>113097.33552923256</v>
      </c>
    </row>
    <row r="37" spans="2:18" x14ac:dyDescent="0.4">
      <c r="B37" s="537">
        <v>2600</v>
      </c>
      <c r="C37" s="538">
        <v>1</v>
      </c>
      <c r="D37" s="539">
        <f t="shared" si="8"/>
        <v>19113.449704440303</v>
      </c>
      <c r="E37" s="540">
        <v>3</v>
      </c>
      <c r="F37" s="541">
        <f t="shared" si="8"/>
        <v>57340.349113320903</v>
      </c>
      <c r="G37" s="538">
        <v>1</v>
      </c>
      <c r="H37" s="539">
        <f t="shared" ref="H37:J37" si="22">(PI()*POWER($B37/1000,2)/4)*G37*3600</f>
        <v>19113.449704440303</v>
      </c>
      <c r="I37" s="540">
        <v>5</v>
      </c>
      <c r="J37" s="541">
        <f t="shared" si="22"/>
        <v>95567.248522201509</v>
      </c>
      <c r="K37" s="538">
        <v>0.3</v>
      </c>
      <c r="L37" s="539">
        <f t="shared" si="4"/>
        <v>5734.0349113320899</v>
      </c>
      <c r="M37" s="540">
        <v>10</v>
      </c>
      <c r="N37" s="541">
        <f t="shared" si="5"/>
        <v>191134.49704440302</v>
      </c>
      <c r="O37" s="538">
        <v>0.3</v>
      </c>
      <c r="P37" s="539">
        <f t="shared" si="6"/>
        <v>5734.0349113320899</v>
      </c>
      <c r="Q37" s="540">
        <v>10</v>
      </c>
      <c r="R37" s="541">
        <f t="shared" si="7"/>
        <v>191134.49704440302</v>
      </c>
    </row>
    <row r="38" spans="2:18" x14ac:dyDescent="0.4">
      <c r="B38" s="542">
        <v>3000</v>
      </c>
      <c r="C38" s="543">
        <v>1</v>
      </c>
      <c r="D38" s="544">
        <f t="shared" si="8"/>
        <v>25446.900494077323</v>
      </c>
      <c r="E38" s="545">
        <v>3</v>
      </c>
      <c r="F38" s="546">
        <f t="shared" si="8"/>
        <v>76340.701482231976</v>
      </c>
      <c r="G38" s="543">
        <v>1</v>
      </c>
      <c r="H38" s="544">
        <f t="shared" ref="H38:J38" si="23">(PI()*POWER($B38/1000,2)/4)*G38*3600</f>
        <v>25446.900494077323</v>
      </c>
      <c r="I38" s="545">
        <v>5</v>
      </c>
      <c r="J38" s="546">
        <f t="shared" si="23"/>
        <v>127234.50247038662</v>
      </c>
      <c r="K38" s="543">
        <v>0.3</v>
      </c>
      <c r="L38" s="544">
        <f t="shared" si="4"/>
        <v>7634.0701482231971</v>
      </c>
      <c r="M38" s="545">
        <v>10</v>
      </c>
      <c r="N38" s="546">
        <f t="shared" si="5"/>
        <v>254469.00494077324</v>
      </c>
      <c r="O38" s="543">
        <v>0.3</v>
      </c>
      <c r="P38" s="544">
        <f t="shared" si="6"/>
        <v>7634.0701482231971</v>
      </c>
      <c r="Q38" s="545">
        <v>10</v>
      </c>
      <c r="R38" s="546">
        <f t="shared" si="7"/>
        <v>254469.00494077324</v>
      </c>
    </row>
  </sheetData>
  <sheetProtection algorithmName="SHA-512" hashValue="jR7iz7FWW2daFWHm7reyXmpiAyYjxcA32qYva+4cNJiNxkKcmqFBINrM4g2vr+hWbA342WIzA5o7lelg0iEUjw==" saltValue="yciRlt0JWTCJCJehm37WOA==" spinCount="100000" sheet="1" objects="1" scenarios="1" formatRows="0"/>
  <mergeCells count="11">
    <mergeCell ref="K9:N9"/>
    <mergeCell ref="O9:R9"/>
    <mergeCell ref="B2:R2"/>
    <mergeCell ref="C8:J8"/>
    <mergeCell ref="K8:R8"/>
    <mergeCell ref="B8:B10"/>
    <mergeCell ref="B4:C4"/>
    <mergeCell ref="B6:C6"/>
    <mergeCell ref="C9:F9"/>
    <mergeCell ref="G9:J9"/>
    <mergeCell ref="H5:X5"/>
  </mergeCells>
  <hyperlinks>
    <hyperlink ref="D4" r:id="rId1" display="https://view.officeapps.live.com/op/view.aspx?src=https%3A%2F%2Fwww.eaurmc.fr%2Fupload%2Fdocs%2Fapplication%2Fvnd.openxmlformats-officedocument.spreadsheetml.sheet%2F2025-02%2Ffeuilledecontrole_v7.0_locked.xlsx&amp;wdOrigin=BROWSELINK" xr:uid="{E9BF9AFD-8A39-45F3-963D-549A85E5148A}"/>
  </hyperlinks>
  <pageMargins left="0.7" right="0.7" top="0.75" bottom="0.75" header="0.3" footer="0.3"/>
  <pageSetup paperSize="9" scale="7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9"/>
  <dimension ref="A1:N78"/>
  <sheetViews>
    <sheetView showGridLines="0" topLeftCell="A11" zoomScale="115" zoomScaleNormal="115" workbookViewId="0">
      <selection activeCell="D21" sqref="D21:D25"/>
    </sheetView>
  </sheetViews>
  <sheetFormatPr baseColWidth="10" defaultColWidth="11.41015625" defaultRowHeight="12.7" x14ac:dyDescent="0.4"/>
  <cols>
    <col min="1" max="1" width="36.87890625" bestFit="1" customWidth="1"/>
    <col min="2" max="2" width="24.41015625" customWidth="1"/>
    <col min="3" max="3" width="20.5859375" customWidth="1"/>
    <col min="4" max="4" width="28.703125" customWidth="1"/>
    <col min="5" max="6" width="19.29296875" customWidth="1"/>
    <col min="7" max="7" width="28.29296875" customWidth="1"/>
    <col min="8" max="8" width="13.5859375" customWidth="1"/>
    <col min="10" max="10" width="26.29296875" customWidth="1"/>
  </cols>
  <sheetData>
    <row r="1" spans="1:14" x14ac:dyDescent="0.4">
      <c r="A1" s="235"/>
      <c r="B1" s="235"/>
      <c r="C1" s="235"/>
      <c r="D1" s="235"/>
      <c r="E1" s="235"/>
      <c r="F1" s="235"/>
      <c r="G1" s="235"/>
      <c r="H1" s="235"/>
      <c r="I1" s="235"/>
      <c r="J1" s="235"/>
      <c r="K1" s="235"/>
      <c r="L1" s="235"/>
      <c r="M1" s="235"/>
      <c r="N1" s="235"/>
    </row>
    <row r="2" spans="1:14" x14ac:dyDescent="0.4">
      <c r="A2" s="235"/>
      <c r="B2" s="235"/>
      <c r="C2" s="235"/>
      <c r="D2" s="235"/>
      <c r="E2" s="235"/>
      <c r="F2" s="235"/>
      <c r="G2" s="235"/>
      <c r="H2" s="235"/>
      <c r="I2" s="235"/>
      <c r="J2" s="235"/>
      <c r="K2" s="235"/>
      <c r="L2" s="235"/>
      <c r="M2" s="235"/>
      <c r="N2" s="235"/>
    </row>
    <row r="3" spans="1:14" x14ac:dyDescent="0.4">
      <c r="A3" s="302" t="s">
        <v>92</v>
      </c>
      <c r="B3" s="302" t="s">
        <v>93</v>
      </c>
      <c r="C3" s="302" t="s">
        <v>167</v>
      </c>
      <c r="D3" s="303" t="s">
        <v>94</v>
      </c>
      <c r="E3" s="302" t="s">
        <v>531</v>
      </c>
      <c r="F3" s="302" t="s">
        <v>532</v>
      </c>
      <c r="G3" s="303" t="s">
        <v>626</v>
      </c>
      <c r="H3" s="303" t="s">
        <v>94</v>
      </c>
      <c r="I3" s="1159" t="s">
        <v>533</v>
      </c>
      <c r="J3" s="1160"/>
      <c r="K3" s="235"/>
      <c r="L3" s="235"/>
      <c r="M3" s="235"/>
      <c r="N3" s="235"/>
    </row>
    <row r="4" spans="1:14" x14ac:dyDescent="0.4">
      <c r="A4" t="s">
        <v>62</v>
      </c>
      <c r="B4" s="235" t="s">
        <v>69</v>
      </c>
      <c r="C4" s="235" t="s">
        <v>378</v>
      </c>
      <c r="D4" s="308" t="s">
        <v>97</v>
      </c>
      <c r="E4" s="2" t="s">
        <v>98</v>
      </c>
      <c r="F4" s="2" t="s">
        <v>99</v>
      </c>
      <c r="G4" s="2" t="s">
        <v>627</v>
      </c>
      <c r="H4" s="235" t="s">
        <v>100</v>
      </c>
      <c r="I4" s="403" t="s">
        <v>98</v>
      </c>
      <c r="J4" s="404" t="s">
        <v>535</v>
      </c>
      <c r="K4" s="235"/>
      <c r="L4" s="235"/>
      <c r="M4" s="235"/>
      <c r="N4" s="235"/>
    </row>
    <row r="5" spans="1:14" x14ac:dyDescent="0.4">
      <c r="A5" t="s">
        <v>203</v>
      </c>
      <c r="B5" s="235" t="s">
        <v>70</v>
      </c>
      <c r="C5" s="235" t="s">
        <v>379</v>
      </c>
      <c r="D5" s="308" t="s">
        <v>60</v>
      </c>
      <c r="E5" s="2" t="s">
        <v>95</v>
      </c>
      <c r="F5" s="2" t="s">
        <v>101</v>
      </c>
      <c r="G5" s="2" t="s">
        <v>59</v>
      </c>
      <c r="H5" s="235" t="s">
        <v>103</v>
      </c>
      <c r="I5" s="403" t="s">
        <v>95</v>
      </c>
      <c r="J5" s="404" t="s">
        <v>536</v>
      </c>
      <c r="K5" s="235"/>
      <c r="L5" s="235"/>
      <c r="M5" s="235"/>
      <c r="N5" s="235"/>
    </row>
    <row r="6" spans="1:14" x14ac:dyDescent="0.4">
      <c r="A6" t="s">
        <v>204</v>
      </c>
      <c r="B6" s="235" t="s">
        <v>71</v>
      </c>
      <c r="C6" s="235" t="s">
        <v>283</v>
      </c>
      <c r="D6" s="308" t="s">
        <v>59</v>
      </c>
      <c r="E6" s="2" t="s">
        <v>58</v>
      </c>
      <c r="F6" s="2" t="s">
        <v>104</v>
      </c>
      <c r="G6" s="2" t="s">
        <v>628</v>
      </c>
      <c r="H6" s="235"/>
      <c r="I6" s="403" t="s">
        <v>58</v>
      </c>
      <c r="J6" s="405" t="s">
        <v>537</v>
      </c>
      <c r="K6" s="235"/>
      <c r="L6" s="235"/>
      <c r="M6" s="235"/>
      <c r="N6" s="235"/>
    </row>
    <row r="7" spans="1:14" x14ac:dyDescent="0.4">
      <c r="A7" t="s">
        <v>64</v>
      </c>
      <c r="B7" s="235"/>
      <c r="C7" s="235" t="s">
        <v>269</v>
      </c>
      <c r="D7" s="308" t="s">
        <v>520</v>
      </c>
      <c r="E7" s="2" t="s">
        <v>106</v>
      </c>
      <c r="F7" s="2" t="s">
        <v>107</v>
      </c>
      <c r="G7" s="235"/>
      <c r="H7" s="235"/>
      <c r="I7" s="403" t="s">
        <v>106</v>
      </c>
      <c r="J7" s="405" t="s">
        <v>538</v>
      </c>
      <c r="K7" s="235"/>
      <c r="L7" s="235"/>
      <c r="M7" s="235"/>
      <c r="N7" s="235"/>
    </row>
    <row r="8" spans="1:14" x14ac:dyDescent="0.4">
      <c r="A8" t="s">
        <v>26</v>
      </c>
      <c r="B8" s="235"/>
      <c r="C8" s="235"/>
      <c r="D8" s="308" t="s">
        <v>108</v>
      </c>
      <c r="E8" s="2" t="s">
        <v>109</v>
      </c>
      <c r="F8" s="3"/>
      <c r="G8" s="235"/>
      <c r="H8" s="235"/>
      <c r="I8" s="403" t="s">
        <v>109</v>
      </c>
      <c r="J8" s="405" t="s">
        <v>539</v>
      </c>
      <c r="K8" s="235"/>
      <c r="L8" s="235"/>
      <c r="M8" s="235"/>
      <c r="N8" s="235"/>
    </row>
    <row r="9" spans="1:14" x14ac:dyDescent="0.4">
      <c r="A9" t="s">
        <v>580</v>
      </c>
      <c r="B9" s="235"/>
      <c r="C9" s="235"/>
      <c r="D9" s="308" t="s">
        <v>110</v>
      </c>
      <c r="E9" s="2" t="s">
        <v>111</v>
      </c>
      <c r="F9" s="3"/>
      <c r="G9" s="235"/>
      <c r="H9" s="235"/>
      <c r="I9" s="403" t="s">
        <v>111</v>
      </c>
      <c r="J9" s="404" t="s">
        <v>540</v>
      </c>
      <c r="K9" s="235"/>
      <c r="L9" s="235"/>
      <c r="M9" s="235"/>
      <c r="N9" s="235"/>
    </row>
    <row r="10" spans="1:14" x14ac:dyDescent="0.4">
      <c r="A10" t="s">
        <v>66</v>
      </c>
      <c r="B10" s="235"/>
      <c r="C10" s="235"/>
      <c r="D10" s="307"/>
      <c r="E10" s="2" t="s">
        <v>113</v>
      </c>
      <c r="F10" s="2"/>
      <c r="G10" s="235"/>
      <c r="H10" s="235"/>
      <c r="I10" s="403" t="s">
        <v>113</v>
      </c>
      <c r="J10" s="404" t="s">
        <v>541</v>
      </c>
      <c r="K10" s="235"/>
      <c r="L10" s="235"/>
      <c r="M10" s="235"/>
      <c r="N10" s="235"/>
    </row>
    <row r="11" spans="1:14" x14ac:dyDescent="0.4">
      <c r="A11" t="s">
        <v>27</v>
      </c>
      <c r="B11" s="235"/>
      <c r="C11" s="235"/>
      <c r="D11" s="307"/>
      <c r="E11" s="2" t="s">
        <v>96</v>
      </c>
      <c r="F11" s="235"/>
      <c r="G11" s="235"/>
      <c r="H11" s="235"/>
      <c r="I11" s="403" t="s">
        <v>96</v>
      </c>
      <c r="J11" s="404" t="s">
        <v>545</v>
      </c>
      <c r="K11" s="235"/>
      <c r="L11" s="235"/>
      <c r="M11" s="235"/>
      <c r="N11" s="235"/>
    </row>
    <row r="12" spans="1:14" x14ac:dyDescent="0.4">
      <c r="A12" t="s">
        <v>68</v>
      </c>
      <c r="B12" s="235"/>
      <c r="C12" s="235"/>
      <c r="D12" s="307"/>
      <c r="E12" s="2" t="s">
        <v>105</v>
      </c>
      <c r="F12" s="235"/>
      <c r="G12" s="235"/>
      <c r="H12" s="235"/>
      <c r="I12" s="403" t="s">
        <v>105</v>
      </c>
      <c r="J12" s="404" t="s">
        <v>546</v>
      </c>
      <c r="K12" s="235"/>
      <c r="L12" s="235"/>
      <c r="M12" s="235"/>
      <c r="N12" s="235"/>
    </row>
    <row r="13" spans="1:14" x14ac:dyDescent="0.4">
      <c r="A13" t="s">
        <v>65</v>
      </c>
      <c r="B13" s="235"/>
      <c r="C13" s="235"/>
      <c r="D13" s="235"/>
      <c r="E13" s="2" t="s">
        <v>114</v>
      </c>
      <c r="F13" s="235"/>
      <c r="G13" s="235"/>
      <c r="H13" s="235"/>
      <c r="I13" s="403" t="s">
        <v>114</v>
      </c>
      <c r="J13" s="404" t="s">
        <v>538</v>
      </c>
      <c r="K13" s="235"/>
      <c r="L13" s="235"/>
      <c r="M13" s="235"/>
      <c r="N13" s="235"/>
    </row>
    <row r="14" spans="1:14" x14ac:dyDescent="0.4">
      <c r="A14" t="s">
        <v>67</v>
      </c>
      <c r="B14" s="235"/>
      <c r="C14" s="235"/>
      <c r="D14" s="235"/>
      <c r="E14" s="2" t="s">
        <v>117</v>
      </c>
      <c r="F14" s="235"/>
      <c r="G14" s="235"/>
      <c r="H14" s="235"/>
      <c r="I14" s="403" t="s">
        <v>117</v>
      </c>
      <c r="J14" s="404" t="s">
        <v>547</v>
      </c>
      <c r="K14" s="235"/>
      <c r="L14" s="235"/>
      <c r="M14" s="235"/>
      <c r="N14" s="235"/>
    </row>
    <row r="15" spans="1:14" x14ac:dyDescent="0.4">
      <c r="A15" t="s">
        <v>118</v>
      </c>
      <c r="B15" s="235"/>
      <c r="C15" s="235"/>
      <c r="D15" s="235"/>
      <c r="E15" s="2" t="s">
        <v>115</v>
      </c>
      <c r="F15" s="235"/>
      <c r="G15" s="235"/>
      <c r="H15" s="235"/>
      <c r="I15" s="403" t="s">
        <v>115</v>
      </c>
      <c r="J15" s="404" t="s">
        <v>548</v>
      </c>
      <c r="K15" s="235"/>
      <c r="L15" s="235"/>
      <c r="M15" s="235"/>
      <c r="N15" s="235"/>
    </row>
    <row r="16" spans="1:14" x14ac:dyDescent="0.4">
      <c r="A16" s="235"/>
      <c r="B16" s="235"/>
      <c r="C16" s="235"/>
      <c r="D16" s="235"/>
      <c r="E16" s="2" t="s">
        <v>116</v>
      </c>
      <c r="F16" s="235"/>
      <c r="G16" s="235"/>
      <c r="H16" s="235"/>
      <c r="I16" s="406" t="s">
        <v>549</v>
      </c>
      <c r="J16" s="407" t="s">
        <v>555</v>
      </c>
      <c r="K16" s="235"/>
      <c r="L16" s="235"/>
      <c r="M16" s="235"/>
      <c r="N16" s="235"/>
    </row>
    <row r="17" spans="1:14" x14ac:dyDescent="0.4">
      <c r="A17" s="235"/>
      <c r="B17" s="235"/>
      <c r="C17" s="235"/>
      <c r="D17" s="235"/>
      <c r="E17" s="2" t="s">
        <v>119</v>
      </c>
      <c r="F17" s="235"/>
      <c r="G17" s="235"/>
      <c r="H17" s="235"/>
      <c r="I17" s="406" t="s">
        <v>550</v>
      </c>
      <c r="J17" s="407" t="s">
        <v>556</v>
      </c>
      <c r="K17" s="235"/>
      <c r="L17" s="235"/>
      <c r="M17" s="235"/>
      <c r="N17" s="235"/>
    </row>
    <row r="18" spans="1:14" x14ac:dyDescent="0.4">
      <c r="A18" s="235"/>
      <c r="B18" s="235"/>
      <c r="C18" s="235"/>
      <c r="D18" s="235"/>
      <c r="E18" s="2" t="s">
        <v>112</v>
      </c>
      <c r="F18" s="235"/>
      <c r="G18" s="235"/>
      <c r="H18" s="235"/>
      <c r="I18" s="406" t="s">
        <v>551</v>
      </c>
      <c r="J18" s="407" t="s">
        <v>557</v>
      </c>
      <c r="K18" s="235"/>
      <c r="L18" s="235"/>
      <c r="M18" s="235"/>
      <c r="N18" s="235"/>
    </row>
    <row r="19" spans="1:14" x14ac:dyDescent="0.4">
      <c r="A19" s="235"/>
      <c r="B19" s="235"/>
      <c r="C19" s="235"/>
      <c r="D19" s="235"/>
      <c r="E19" s="2" t="s">
        <v>120</v>
      </c>
      <c r="F19" s="235"/>
      <c r="G19" s="235"/>
      <c r="H19" s="235"/>
      <c r="I19" s="406" t="s">
        <v>552</v>
      </c>
      <c r="J19" s="407" t="s">
        <v>558</v>
      </c>
      <c r="K19" s="235"/>
      <c r="L19" s="235"/>
      <c r="M19" s="235"/>
      <c r="N19" s="235"/>
    </row>
    <row r="20" spans="1:14" x14ac:dyDescent="0.4">
      <c r="A20" s="302" t="s">
        <v>88</v>
      </c>
      <c r="B20" s="302" t="s">
        <v>90</v>
      </c>
      <c r="C20" s="302" t="s">
        <v>89</v>
      </c>
      <c r="D20" s="302" t="s">
        <v>121</v>
      </c>
      <c r="E20" s="302"/>
      <c r="F20" s="302" t="s">
        <v>91</v>
      </c>
      <c r="G20" s="302" t="s">
        <v>427</v>
      </c>
      <c r="H20" s="303" t="s">
        <v>433</v>
      </c>
      <c r="I20" s="406" t="s">
        <v>553</v>
      </c>
      <c r="J20" s="407" t="s">
        <v>559</v>
      </c>
      <c r="K20" s="235"/>
      <c r="L20" s="235"/>
      <c r="M20" s="235"/>
      <c r="N20" s="235"/>
    </row>
    <row r="21" spans="1:14" ht="16.7" customHeight="1" x14ac:dyDescent="0.4">
      <c r="A21" s="2" t="s">
        <v>57</v>
      </c>
      <c r="B21" s="2" t="s">
        <v>97</v>
      </c>
      <c r="C21" s="2" t="s">
        <v>97</v>
      </c>
      <c r="D21" s="2" t="s">
        <v>97</v>
      </c>
      <c r="E21" s="235"/>
      <c r="F21" s="2" t="s">
        <v>97</v>
      </c>
      <c r="G21" s="2" t="s">
        <v>527</v>
      </c>
      <c r="H21" s="2" t="s">
        <v>57</v>
      </c>
      <c r="I21" s="406" t="s">
        <v>554</v>
      </c>
      <c r="J21" s="407" t="s">
        <v>560</v>
      </c>
      <c r="K21" s="235"/>
      <c r="L21" s="235"/>
      <c r="M21" s="235"/>
      <c r="N21" s="235"/>
    </row>
    <row r="22" spans="1:14" x14ac:dyDescent="0.4">
      <c r="A22" s="2" t="s">
        <v>102</v>
      </c>
      <c r="B22" s="2" t="s">
        <v>60</v>
      </c>
      <c r="C22" s="2" t="s">
        <v>60</v>
      </c>
      <c r="D22" s="2" t="s">
        <v>632</v>
      </c>
      <c r="E22" s="235"/>
      <c r="F22" s="2" t="s">
        <v>122</v>
      </c>
      <c r="G22" s="2"/>
      <c r="H22" s="2" t="s">
        <v>102</v>
      </c>
      <c r="I22" s="406" t="s">
        <v>116</v>
      </c>
      <c r="J22" s="407" t="s">
        <v>566</v>
      </c>
      <c r="K22" s="235"/>
      <c r="L22" s="235"/>
      <c r="M22" s="235"/>
      <c r="N22" s="235"/>
    </row>
    <row r="23" spans="1:14" x14ac:dyDescent="0.4">
      <c r="A23" s="2" t="s">
        <v>527</v>
      </c>
      <c r="B23" s="2" t="s">
        <v>59</v>
      </c>
      <c r="C23" s="2" t="s">
        <v>59</v>
      </c>
      <c r="D23" s="2" t="s">
        <v>633</v>
      </c>
      <c r="E23" s="235"/>
      <c r="F23" s="2" t="s">
        <v>123</v>
      </c>
      <c r="G23" s="2"/>
      <c r="H23" s="2" t="s">
        <v>59</v>
      </c>
      <c r="I23" s="403" t="s">
        <v>119</v>
      </c>
      <c r="J23" s="404" t="s">
        <v>567</v>
      </c>
      <c r="K23" s="235"/>
      <c r="L23" s="235"/>
      <c r="M23" s="235"/>
      <c r="N23" s="235"/>
    </row>
    <row r="24" spans="1:14" x14ac:dyDescent="0.4">
      <c r="A24" s="235"/>
      <c r="B24" s="2" t="s">
        <v>527</v>
      </c>
      <c r="C24" s="2" t="s">
        <v>520</v>
      </c>
      <c r="D24" s="2" t="s">
        <v>59</v>
      </c>
      <c r="E24" s="235"/>
      <c r="F24" s="2" t="s">
        <v>59</v>
      </c>
      <c r="G24" s="235"/>
      <c r="H24" s="2"/>
      <c r="I24" s="406" t="s">
        <v>561</v>
      </c>
      <c r="J24" s="407" t="s">
        <v>565</v>
      </c>
      <c r="K24" s="235"/>
      <c r="L24" s="235"/>
      <c r="M24" s="235"/>
      <c r="N24" s="235"/>
    </row>
    <row r="25" spans="1:14" ht="14.25" customHeight="1" x14ac:dyDescent="0.4">
      <c r="A25" s="235"/>
      <c r="B25" s="235"/>
      <c r="C25" s="2" t="s">
        <v>527</v>
      </c>
      <c r="D25" s="2" t="s">
        <v>527</v>
      </c>
      <c r="E25" s="235"/>
      <c r="F25" s="2" t="s">
        <v>527</v>
      </c>
      <c r="G25" s="235"/>
      <c r="H25" s="235"/>
      <c r="I25" s="406" t="s">
        <v>562</v>
      </c>
      <c r="J25" s="407" t="s">
        <v>568</v>
      </c>
      <c r="K25" s="235"/>
      <c r="L25" s="235"/>
      <c r="M25" s="235"/>
      <c r="N25" s="235"/>
    </row>
    <row r="26" spans="1:14" x14ac:dyDescent="0.4">
      <c r="A26" s="235"/>
      <c r="B26" s="235"/>
      <c r="C26" s="235"/>
      <c r="D26" s="2"/>
      <c r="E26" s="235"/>
      <c r="F26" s="235"/>
      <c r="G26" s="235"/>
      <c r="H26" s="235"/>
      <c r="I26" s="403" t="s">
        <v>112</v>
      </c>
      <c r="J26" s="404" t="s">
        <v>535</v>
      </c>
      <c r="K26" s="235"/>
      <c r="L26" s="235"/>
      <c r="M26" s="235"/>
      <c r="N26" s="235"/>
    </row>
    <row r="27" spans="1:14" x14ac:dyDescent="0.4">
      <c r="A27" s="235"/>
      <c r="B27" s="235"/>
      <c r="C27" s="235"/>
      <c r="D27" s="2"/>
      <c r="E27" s="235"/>
      <c r="F27" s="235"/>
      <c r="G27" s="235"/>
      <c r="H27" s="235"/>
      <c r="I27" s="406" t="s">
        <v>563</v>
      </c>
      <c r="J27" s="407" t="s">
        <v>569</v>
      </c>
      <c r="K27" s="235"/>
      <c r="L27" s="235"/>
      <c r="M27" s="235"/>
      <c r="N27" s="235"/>
    </row>
    <row r="28" spans="1:14" x14ac:dyDescent="0.4">
      <c r="A28" s="302" t="s">
        <v>181</v>
      </c>
      <c r="B28" s="302"/>
      <c r="C28" s="302"/>
      <c r="D28" s="302"/>
      <c r="E28" s="235"/>
      <c r="F28" s="235"/>
      <c r="G28" s="235"/>
      <c r="H28" s="235"/>
      <c r="I28" s="406" t="s">
        <v>564</v>
      </c>
      <c r="J28" s="407" t="s">
        <v>570</v>
      </c>
      <c r="K28" s="235"/>
      <c r="L28" s="235"/>
      <c r="M28" s="235"/>
      <c r="N28" s="235"/>
    </row>
    <row r="29" spans="1:14" x14ac:dyDescent="0.4">
      <c r="A29" s="304" t="s">
        <v>177</v>
      </c>
      <c r="B29" s="304" t="s">
        <v>180</v>
      </c>
      <c r="C29" s="304" t="s">
        <v>284</v>
      </c>
      <c r="D29" s="304" t="s">
        <v>415</v>
      </c>
      <c r="E29" s="356" t="s">
        <v>525</v>
      </c>
      <c r="F29" s="235"/>
      <c r="G29" s="235"/>
      <c r="H29" s="235"/>
      <c r="I29" s="403" t="s">
        <v>120</v>
      </c>
      <c r="J29" s="404" t="s">
        <v>571</v>
      </c>
      <c r="K29" s="235"/>
      <c r="L29" s="235"/>
      <c r="M29" s="235"/>
      <c r="N29" s="235"/>
    </row>
    <row r="30" spans="1:14" x14ac:dyDescent="0.4">
      <c r="A30" s="355" t="s">
        <v>203</v>
      </c>
      <c r="B30" s="558" t="s">
        <v>62</v>
      </c>
      <c r="C30" s="307" t="s">
        <v>170</v>
      </c>
      <c r="D30" s="307" t="s">
        <v>428</v>
      </c>
      <c r="E30" s="355" t="s">
        <v>63</v>
      </c>
      <c r="F30" s="307"/>
      <c r="G30" s="235"/>
      <c r="H30" s="235"/>
      <c r="I30" s="403" t="s">
        <v>99</v>
      </c>
      <c r="J30" s="408" t="s">
        <v>534</v>
      </c>
      <c r="K30" s="235"/>
      <c r="L30" s="235"/>
      <c r="M30" s="235"/>
      <c r="N30" s="235"/>
    </row>
    <row r="31" spans="1:14" x14ac:dyDescent="0.4">
      <c r="A31" s="355" t="s">
        <v>204</v>
      </c>
      <c r="B31" s="558" t="s">
        <v>64</v>
      </c>
      <c r="C31" s="307" t="s">
        <v>285</v>
      </c>
      <c r="D31" s="307" t="s">
        <v>429</v>
      </c>
      <c r="E31" s="307"/>
      <c r="F31" s="307"/>
      <c r="G31" s="235"/>
      <c r="H31" s="235"/>
      <c r="I31" s="403" t="s">
        <v>101</v>
      </c>
      <c r="J31" s="404" t="s">
        <v>542</v>
      </c>
      <c r="K31" s="235"/>
      <c r="L31" s="235"/>
      <c r="M31" s="235"/>
      <c r="N31" s="235"/>
    </row>
    <row r="32" spans="1:14" x14ac:dyDescent="0.4">
      <c r="A32" s="355" t="s">
        <v>516</v>
      </c>
      <c r="B32" s="558" t="s">
        <v>26</v>
      </c>
      <c r="C32" s="307" t="s">
        <v>286</v>
      </c>
      <c r="D32" s="307" t="s">
        <v>430</v>
      </c>
      <c r="E32" s="307"/>
      <c r="F32" s="307"/>
      <c r="G32" s="235"/>
      <c r="H32" s="235"/>
      <c r="I32" s="403" t="s">
        <v>104</v>
      </c>
      <c r="J32" s="404" t="s">
        <v>543</v>
      </c>
      <c r="K32" s="235"/>
      <c r="L32" s="235"/>
      <c r="M32" s="235"/>
      <c r="N32" s="235"/>
    </row>
    <row r="33" spans="1:14" x14ac:dyDescent="0.4">
      <c r="A33" s="355" t="s">
        <v>178</v>
      </c>
      <c r="B33" s="558" t="s">
        <v>580</v>
      </c>
      <c r="C33" s="307"/>
      <c r="D33" s="307"/>
      <c r="E33" s="307"/>
      <c r="F33" s="307"/>
      <c r="G33" s="235"/>
      <c r="H33" s="235"/>
      <c r="I33" s="409" t="s">
        <v>107</v>
      </c>
      <c r="J33" s="410" t="s">
        <v>544</v>
      </c>
      <c r="K33" s="235"/>
      <c r="L33" s="235"/>
      <c r="M33" s="235"/>
      <c r="N33" s="235"/>
    </row>
    <row r="34" spans="1:14" x14ac:dyDescent="0.4">
      <c r="A34" s="355" t="s">
        <v>517</v>
      </c>
      <c r="B34" s="558" t="s">
        <v>66</v>
      </c>
      <c r="C34" s="307"/>
      <c r="D34" s="307"/>
      <c r="E34" s="307"/>
      <c r="F34" s="307"/>
      <c r="G34" s="235"/>
      <c r="H34" s="235"/>
      <c r="I34" s="235"/>
      <c r="J34" s="235"/>
      <c r="K34" s="235"/>
      <c r="L34" s="235"/>
      <c r="M34" s="235"/>
      <c r="N34" s="235"/>
    </row>
    <row r="35" spans="1:14" x14ac:dyDescent="0.4">
      <c r="A35" s="307"/>
      <c r="B35" s="558" t="s">
        <v>27</v>
      </c>
      <c r="C35" s="307"/>
      <c r="D35" s="307"/>
      <c r="E35" s="307"/>
      <c r="F35" s="307"/>
      <c r="G35" s="235"/>
      <c r="H35" s="235"/>
      <c r="I35" s="235"/>
      <c r="J35" s="235"/>
      <c r="K35" s="235"/>
      <c r="L35" s="235"/>
      <c r="M35" s="235"/>
      <c r="N35" s="235"/>
    </row>
    <row r="36" spans="1:14" x14ac:dyDescent="0.4">
      <c r="A36" s="307"/>
      <c r="B36" s="558" t="s">
        <v>68</v>
      </c>
      <c r="C36" s="307"/>
      <c r="D36" s="307"/>
      <c r="E36" s="307"/>
      <c r="F36" s="307"/>
      <c r="G36" s="235"/>
      <c r="H36" s="235"/>
      <c r="I36" s="235"/>
      <c r="J36" s="235"/>
      <c r="K36" s="235"/>
      <c r="L36" s="235"/>
      <c r="M36" s="235"/>
      <c r="N36" s="235"/>
    </row>
    <row r="37" spans="1:14" x14ac:dyDescent="0.4">
      <c r="A37" s="307"/>
      <c r="B37" s="558" t="s">
        <v>65</v>
      </c>
      <c r="C37" s="307"/>
      <c r="D37" s="307"/>
      <c r="E37" s="307"/>
      <c r="F37" s="307"/>
      <c r="G37" s="235"/>
      <c r="H37" s="235"/>
      <c r="I37" s="235"/>
      <c r="J37" s="235"/>
      <c r="K37" s="235"/>
      <c r="L37" s="235"/>
      <c r="M37" s="235"/>
      <c r="N37" s="235"/>
    </row>
    <row r="38" spans="1:14" x14ac:dyDescent="0.4">
      <c r="A38" s="307"/>
      <c r="B38" s="558" t="s">
        <v>67</v>
      </c>
      <c r="C38" s="307"/>
      <c r="D38" s="307"/>
      <c r="E38" s="307"/>
      <c r="F38" s="307"/>
      <c r="G38" s="235"/>
      <c r="H38" s="235"/>
      <c r="I38" s="235"/>
      <c r="J38" s="235"/>
      <c r="K38" s="235"/>
      <c r="L38" s="235"/>
      <c r="M38" s="235"/>
      <c r="N38" s="235"/>
    </row>
    <row r="39" spans="1:14" x14ac:dyDescent="0.4">
      <c r="A39" s="307"/>
      <c r="B39" s="307"/>
      <c r="C39" s="307"/>
      <c r="D39" s="307"/>
      <c r="E39" s="307"/>
      <c r="F39" s="307"/>
      <c r="G39" s="235"/>
      <c r="H39" s="235"/>
      <c r="I39" s="235"/>
      <c r="J39" s="235"/>
      <c r="K39" s="235"/>
      <c r="L39" s="235"/>
      <c r="M39" s="235"/>
      <c r="N39" s="235"/>
    </row>
    <row r="40" spans="1:14" x14ac:dyDescent="0.4">
      <c r="A40" s="307"/>
      <c r="B40" s="307"/>
      <c r="C40" s="307"/>
      <c r="D40" s="307"/>
      <c r="E40" s="307"/>
      <c r="F40" s="307"/>
      <c r="G40" s="235"/>
      <c r="H40" s="235"/>
      <c r="I40" s="235"/>
      <c r="J40" s="235"/>
      <c r="K40" s="235"/>
      <c r="L40" s="235"/>
      <c r="M40" s="235"/>
      <c r="N40" s="235"/>
    </row>
    <row r="41" spans="1:14" x14ac:dyDescent="0.4">
      <c r="A41" s="235"/>
      <c r="B41" s="235"/>
      <c r="C41" s="235"/>
      <c r="D41" s="235"/>
      <c r="E41" s="235"/>
      <c r="F41" s="235"/>
      <c r="G41" s="235"/>
      <c r="H41" s="235"/>
      <c r="I41" s="235"/>
      <c r="J41" s="235"/>
      <c r="K41" s="235"/>
      <c r="L41" s="235"/>
      <c r="M41" s="235"/>
      <c r="N41" s="235"/>
    </row>
    <row r="42" spans="1:14" x14ac:dyDescent="0.4">
      <c r="A42" s="302" t="s">
        <v>182</v>
      </c>
      <c r="B42" s="302"/>
      <c r="C42" s="302"/>
      <c r="D42" s="302"/>
      <c r="E42" s="302"/>
      <c r="F42" s="302"/>
      <c r="G42" s="302"/>
      <c r="H42" s="235"/>
      <c r="I42" s="235"/>
      <c r="J42" s="235"/>
      <c r="K42" s="235"/>
      <c r="L42" s="235"/>
      <c r="M42" s="235"/>
      <c r="N42" s="235"/>
    </row>
    <row r="43" spans="1:14" x14ac:dyDescent="0.4">
      <c r="A43" s="304" t="s">
        <v>184</v>
      </c>
      <c r="B43" s="304" t="s">
        <v>35</v>
      </c>
      <c r="C43" s="304" t="s">
        <v>189</v>
      </c>
      <c r="D43" s="304" t="s">
        <v>196</v>
      </c>
      <c r="E43" s="304" t="s">
        <v>195</v>
      </c>
      <c r="F43" s="304" t="s">
        <v>179</v>
      </c>
      <c r="G43" s="305" t="s">
        <v>265</v>
      </c>
      <c r="H43" s="235"/>
      <c r="I43" s="235"/>
      <c r="J43" s="235"/>
      <c r="K43" s="235"/>
      <c r="L43" s="235"/>
      <c r="M43" s="235"/>
      <c r="N43" s="235"/>
    </row>
    <row r="44" spans="1:14" x14ac:dyDescent="0.4">
      <c r="A44" s="235" t="s">
        <v>165</v>
      </c>
      <c r="B44" s="235" t="s">
        <v>166</v>
      </c>
      <c r="C44" s="235" t="s">
        <v>188</v>
      </c>
      <c r="D44" s="235" t="s">
        <v>171</v>
      </c>
      <c r="E44" s="235" t="s">
        <v>197</v>
      </c>
      <c r="F44" s="235" t="s">
        <v>262</v>
      </c>
      <c r="G44" s="235" t="s">
        <v>352</v>
      </c>
      <c r="H44" s="235"/>
      <c r="I44" s="235"/>
      <c r="J44" s="235"/>
      <c r="K44" s="235"/>
      <c r="L44" s="235"/>
      <c r="M44" s="235"/>
      <c r="N44" s="235"/>
    </row>
    <row r="45" spans="1:14" x14ac:dyDescent="0.4">
      <c r="A45" s="235" t="s">
        <v>183</v>
      </c>
      <c r="B45" s="235" t="s">
        <v>293</v>
      </c>
      <c r="C45" s="235" t="s">
        <v>190</v>
      </c>
      <c r="D45" s="235" t="s">
        <v>194</v>
      </c>
      <c r="E45" s="235" t="s">
        <v>201</v>
      </c>
      <c r="F45" s="235" t="s">
        <v>263</v>
      </c>
      <c r="G45" s="235" t="s">
        <v>169</v>
      </c>
      <c r="H45" s="235"/>
      <c r="I45" s="235"/>
      <c r="J45" s="235"/>
      <c r="K45" s="235"/>
      <c r="L45" s="235"/>
      <c r="M45" s="235"/>
      <c r="N45" s="235"/>
    </row>
    <row r="46" spans="1:14" x14ac:dyDescent="0.4">
      <c r="A46" s="235" t="s">
        <v>202</v>
      </c>
      <c r="B46" s="235" t="s">
        <v>185</v>
      </c>
      <c r="C46" s="235" t="s">
        <v>191</v>
      </c>
      <c r="D46" s="235" t="s">
        <v>186</v>
      </c>
      <c r="E46" s="235" t="s">
        <v>172</v>
      </c>
      <c r="F46" s="235" t="s">
        <v>261</v>
      </c>
      <c r="G46" s="235" t="s">
        <v>266</v>
      </c>
      <c r="H46" s="235"/>
      <c r="I46" s="235"/>
      <c r="J46" s="235"/>
      <c r="K46" s="235"/>
      <c r="L46" s="235"/>
      <c r="M46" s="235"/>
      <c r="N46" s="235"/>
    </row>
    <row r="47" spans="1:14" x14ac:dyDescent="0.4">
      <c r="A47" s="235"/>
      <c r="B47" s="235" t="s">
        <v>186</v>
      </c>
      <c r="C47" s="235" t="s">
        <v>192</v>
      </c>
      <c r="D47" s="235"/>
      <c r="E47" s="235" t="s">
        <v>198</v>
      </c>
      <c r="F47" s="235"/>
      <c r="G47" s="235" t="s">
        <v>353</v>
      </c>
      <c r="H47" s="235"/>
      <c r="I47" s="235"/>
      <c r="J47" s="235"/>
      <c r="K47" s="235"/>
      <c r="L47" s="235"/>
      <c r="M47" s="235"/>
      <c r="N47" s="235"/>
    </row>
    <row r="48" spans="1:14" x14ac:dyDescent="0.4">
      <c r="A48" s="235"/>
      <c r="B48" s="235" t="s">
        <v>187</v>
      </c>
      <c r="C48" s="235" t="s">
        <v>193</v>
      </c>
      <c r="D48" s="235"/>
      <c r="E48" s="235" t="s">
        <v>199</v>
      </c>
      <c r="F48" s="235"/>
      <c r="G48" s="235"/>
      <c r="H48" s="235"/>
      <c r="I48" s="235"/>
      <c r="J48" s="235"/>
      <c r="K48" s="235"/>
      <c r="L48" s="235"/>
      <c r="M48" s="235"/>
      <c r="N48" s="235"/>
    </row>
    <row r="49" spans="1:14" x14ac:dyDescent="0.4">
      <c r="A49" s="235"/>
      <c r="B49" s="235"/>
      <c r="C49" s="235"/>
      <c r="D49" s="235"/>
      <c r="E49" s="235" t="s">
        <v>200</v>
      </c>
      <c r="F49" s="235"/>
      <c r="G49" s="235"/>
      <c r="H49" s="235"/>
      <c r="I49" s="235"/>
      <c r="J49" s="235"/>
      <c r="K49" s="235"/>
      <c r="L49" s="235"/>
      <c r="M49" s="235"/>
      <c r="N49" s="235"/>
    </row>
    <row r="50" spans="1:14" x14ac:dyDescent="0.4">
      <c r="A50" s="235"/>
      <c r="B50" s="235"/>
      <c r="C50" s="235"/>
      <c r="D50" s="235"/>
      <c r="E50" s="235" t="s">
        <v>168</v>
      </c>
      <c r="F50" s="235"/>
      <c r="G50" s="235"/>
      <c r="H50" s="235"/>
      <c r="I50" s="235"/>
      <c r="J50" s="235"/>
      <c r="K50" s="235"/>
      <c r="L50" s="235"/>
      <c r="M50" s="235"/>
      <c r="N50" s="235"/>
    </row>
    <row r="51" spans="1:14" x14ac:dyDescent="0.4">
      <c r="A51" s="235"/>
      <c r="B51" s="235"/>
      <c r="C51" s="235"/>
      <c r="D51" s="235"/>
      <c r="E51" s="235" t="s">
        <v>193</v>
      </c>
      <c r="F51" s="235"/>
      <c r="G51" s="235"/>
      <c r="H51" s="235"/>
      <c r="I51" s="235"/>
      <c r="J51" s="235"/>
      <c r="K51" s="235"/>
      <c r="L51" s="235"/>
      <c r="M51" s="235"/>
      <c r="N51" s="235"/>
    </row>
    <row r="52" spans="1:14" x14ac:dyDescent="0.4">
      <c r="A52" s="235"/>
      <c r="B52" s="235"/>
      <c r="C52" s="235"/>
      <c r="D52" s="235"/>
      <c r="E52" s="235"/>
      <c r="F52" s="235"/>
      <c r="G52" s="235"/>
      <c r="H52" s="235"/>
      <c r="I52" s="235"/>
      <c r="J52" s="235"/>
      <c r="K52" s="235"/>
      <c r="L52" s="235"/>
      <c r="M52" s="235"/>
      <c r="N52" s="235"/>
    </row>
    <row r="53" spans="1:14" x14ac:dyDescent="0.4">
      <c r="A53" s="306" t="s">
        <v>354</v>
      </c>
      <c r="B53" s="235"/>
      <c r="C53" s="235"/>
      <c r="D53" s="235"/>
      <c r="E53" s="235"/>
      <c r="F53" s="235"/>
      <c r="G53" s="235"/>
      <c r="H53" s="235"/>
      <c r="I53" s="235"/>
      <c r="J53" s="235"/>
      <c r="K53" s="235"/>
      <c r="L53" s="235"/>
      <c r="M53" s="235"/>
      <c r="N53" s="235"/>
    </row>
    <row r="54" spans="1:14" x14ac:dyDescent="0.4">
      <c r="A54" s="304" t="s">
        <v>355</v>
      </c>
      <c r="B54" s="304" t="s">
        <v>389</v>
      </c>
      <c r="C54" s="235"/>
      <c r="D54" s="235"/>
      <c r="E54" s="235"/>
      <c r="F54" s="235"/>
      <c r="G54" s="235"/>
      <c r="H54" s="235"/>
      <c r="I54" s="235"/>
      <c r="J54" s="235"/>
      <c r="K54" s="235"/>
      <c r="L54" s="235"/>
      <c r="M54" s="235"/>
      <c r="N54" s="235"/>
    </row>
    <row r="55" spans="1:14" x14ac:dyDescent="0.4">
      <c r="A55" s="235" t="s">
        <v>418</v>
      </c>
      <c r="B55" s="235" t="s">
        <v>390</v>
      </c>
      <c r="C55" s="235"/>
      <c r="D55" s="235"/>
      <c r="E55" s="235"/>
      <c r="F55" s="235"/>
      <c r="G55" s="235"/>
      <c r="H55" s="235"/>
      <c r="I55" s="235"/>
      <c r="J55" s="235"/>
      <c r="K55" s="235"/>
      <c r="L55" s="235"/>
      <c r="M55" s="235"/>
      <c r="N55" s="235"/>
    </row>
    <row r="56" spans="1:14" x14ac:dyDescent="0.4">
      <c r="A56" s="235" t="s">
        <v>496</v>
      </c>
      <c r="B56" s="235" t="s">
        <v>393</v>
      </c>
      <c r="C56" s="235"/>
      <c r="D56" s="235"/>
      <c r="E56" s="235"/>
      <c r="F56" s="235"/>
      <c r="G56" s="235"/>
      <c r="H56" s="235"/>
      <c r="I56" s="235"/>
      <c r="J56" s="235"/>
      <c r="K56" s="235"/>
      <c r="L56" s="235"/>
      <c r="M56" s="235"/>
      <c r="N56" s="235"/>
    </row>
    <row r="57" spans="1:14" x14ac:dyDescent="0.4">
      <c r="A57" s="235" t="s">
        <v>356</v>
      </c>
      <c r="B57" s="235"/>
      <c r="C57" s="235"/>
      <c r="D57" s="235"/>
      <c r="E57" s="235"/>
      <c r="F57" s="235"/>
      <c r="G57" s="235"/>
      <c r="H57" s="235"/>
      <c r="I57" s="235"/>
      <c r="J57" s="235"/>
      <c r="K57" s="235"/>
      <c r="L57" s="235"/>
      <c r="M57" s="235"/>
      <c r="N57" s="235"/>
    </row>
    <row r="58" spans="1:14" x14ac:dyDescent="0.4">
      <c r="A58" s="235"/>
      <c r="B58" s="235"/>
      <c r="C58" s="235"/>
      <c r="D58" s="235"/>
      <c r="E58" s="235"/>
      <c r="F58" s="235"/>
      <c r="G58" s="235"/>
      <c r="H58" s="235"/>
      <c r="I58" s="235"/>
      <c r="J58" s="235"/>
      <c r="K58" s="235"/>
      <c r="L58" s="235"/>
      <c r="M58" s="235"/>
      <c r="N58" s="235"/>
    </row>
    <row r="59" spans="1:14" x14ac:dyDescent="0.4">
      <c r="A59" s="235"/>
      <c r="B59" s="235"/>
      <c r="C59" s="235"/>
      <c r="D59" s="235"/>
      <c r="E59" s="235"/>
      <c r="F59" s="235"/>
      <c r="G59" s="235"/>
      <c r="H59" s="235"/>
      <c r="I59" s="235"/>
      <c r="J59" s="235"/>
      <c r="K59" s="235"/>
      <c r="L59" s="235"/>
      <c r="M59" s="235"/>
      <c r="N59" s="235"/>
    </row>
    <row r="60" spans="1:14" x14ac:dyDescent="0.4">
      <c r="A60" s="235"/>
      <c r="B60" s="235"/>
      <c r="C60" s="235"/>
      <c r="D60" s="235"/>
      <c r="E60" s="235"/>
      <c r="F60" s="235"/>
      <c r="G60" s="235"/>
      <c r="H60" s="235"/>
      <c r="I60" s="235"/>
      <c r="J60" s="235"/>
      <c r="K60" s="235"/>
      <c r="L60" s="235"/>
      <c r="M60" s="235"/>
      <c r="N60" s="235"/>
    </row>
    <row r="61" spans="1:14" x14ac:dyDescent="0.4">
      <c r="A61" s="235"/>
      <c r="B61" s="235"/>
      <c r="C61" s="235"/>
      <c r="D61" s="235"/>
      <c r="E61" s="235"/>
      <c r="F61" s="235"/>
      <c r="G61" s="235"/>
      <c r="H61" s="235"/>
      <c r="I61" s="235"/>
      <c r="J61" s="235"/>
      <c r="K61" s="235"/>
      <c r="L61" s="235"/>
      <c r="M61" s="235"/>
      <c r="N61" s="235"/>
    </row>
    <row r="62" spans="1:14" x14ac:dyDescent="0.4">
      <c r="A62" s="235"/>
      <c r="B62" s="235"/>
      <c r="C62" s="235"/>
      <c r="D62" s="235"/>
      <c r="E62" s="235"/>
      <c r="F62" s="235"/>
      <c r="G62" s="235"/>
      <c r="H62" s="235"/>
      <c r="I62" s="235"/>
      <c r="J62" s="235"/>
      <c r="K62" s="235"/>
      <c r="L62" s="235"/>
      <c r="M62" s="235"/>
      <c r="N62" s="235"/>
    </row>
    <row r="63" spans="1:14" x14ac:dyDescent="0.4">
      <c r="A63" s="235"/>
      <c r="B63" s="235"/>
      <c r="C63" s="235"/>
      <c r="D63" s="235"/>
      <c r="E63" s="235"/>
      <c r="F63" s="235"/>
      <c r="G63" s="235"/>
      <c r="H63" s="235"/>
      <c r="I63" s="235"/>
      <c r="J63" s="235"/>
      <c r="K63" s="235"/>
      <c r="L63" s="235"/>
      <c r="M63" s="235"/>
      <c r="N63" s="235"/>
    </row>
    <row r="64" spans="1:14" x14ac:dyDescent="0.4">
      <c r="A64" s="235"/>
      <c r="B64" s="235"/>
      <c r="C64" s="235"/>
      <c r="D64" s="235"/>
      <c r="E64" s="235"/>
      <c r="F64" s="235"/>
      <c r="G64" s="235"/>
      <c r="H64" s="235"/>
      <c r="I64" s="235"/>
      <c r="J64" s="235"/>
      <c r="K64" s="235"/>
      <c r="L64" s="235"/>
      <c r="M64" s="235"/>
      <c r="N64" s="235"/>
    </row>
    <row r="65" spans="1:14" x14ac:dyDescent="0.4">
      <c r="A65" s="235"/>
      <c r="B65" s="235"/>
      <c r="C65" s="235"/>
      <c r="D65" s="235"/>
      <c r="E65" s="235"/>
      <c r="F65" s="235"/>
      <c r="G65" s="235"/>
      <c r="H65" s="235"/>
      <c r="I65" s="235"/>
      <c r="J65" s="235"/>
      <c r="K65" s="235"/>
      <c r="L65" s="235"/>
      <c r="M65" s="235"/>
      <c r="N65" s="235"/>
    </row>
    <row r="66" spans="1:14" x14ac:dyDescent="0.4">
      <c r="A66" s="235"/>
      <c r="B66" s="235"/>
      <c r="C66" s="235"/>
      <c r="D66" s="235"/>
      <c r="E66" s="235"/>
      <c r="F66" s="235"/>
      <c r="G66" s="235"/>
      <c r="H66" s="235"/>
      <c r="I66" s="235"/>
      <c r="J66" s="235"/>
      <c r="K66" s="235"/>
      <c r="L66" s="235"/>
      <c r="M66" s="235"/>
      <c r="N66" s="235"/>
    </row>
    <row r="67" spans="1:14" x14ac:dyDescent="0.4">
      <c r="A67" s="235"/>
      <c r="B67" s="235"/>
      <c r="C67" s="235"/>
      <c r="D67" s="235"/>
      <c r="E67" s="235"/>
      <c r="F67" s="235"/>
      <c r="G67" s="235"/>
      <c r="H67" s="235"/>
      <c r="I67" s="235"/>
      <c r="J67" s="235"/>
      <c r="K67" s="235"/>
      <c r="L67" s="235"/>
      <c r="M67" s="235"/>
      <c r="N67" s="235"/>
    </row>
    <row r="68" spans="1:14" x14ac:dyDescent="0.4">
      <c r="A68" s="235"/>
      <c r="B68" s="235"/>
      <c r="C68" s="235"/>
      <c r="D68" s="235"/>
      <c r="E68" s="235"/>
      <c r="F68" s="235"/>
      <c r="G68" s="235"/>
      <c r="H68" s="235"/>
      <c r="I68" s="235"/>
      <c r="J68" s="235"/>
      <c r="K68" s="235"/>
      <c r="L68" s="235"/>
      <c r="M68" s="235"/>
      <c r="N68" s="235"/>
    </row>
    <row r="69" spans="1:14" x14ac:dyDescent="0.4">
      <c r="I69" s="235"/>
      <c r="J69" s="235"/>
    </row>
    <row r="70" spans="1:14" x14ac:dyDescent="0.4">
      <c r="I70" s="235"/>
      <c r="J70" s="235"/>
    </row>
    <row r="71" spans="1:14" x14ac:dyDescent="0.4">
      <c r="I71" s="235"/>
      <c r="J71" s="235"/>
    </row>
    <row r="72" spans="1:14" x14ac:dyDescent="0.4">
      <c r="I72" s="235"/>
      <c r="J72" s="235"/>
    </row>
    <row r="73" spans="1:14" x14ac:dyDescent="0.4">
      <c r="I73" s="235"/>
      <c r="J73" s="235"/>
    </row>
    <row r="74" spans="1:14" x14ac:dyDescent="0.4">
      <c r="I74" s="235"/>
      <c r="J74" s="235"/>
    </row>
    <row r="75" spans="1:14" x14ac:dyDescent="0.4">
      <c r="I75" s="235"/>
      <c r="J75" s="235"/>
    </row>
    <row r="76" spans="1:14" x14ac:dyDescent="0.4">
      <c r="I76" s="235"/>
      <c r="J76" s="235"/>
    </row>
    <row r="77" spans="1:14" x14ac:dyDescent="0.4">
      <c r="I77" s="235"/>
      <c r="J77" s="235"/>
    </row>
    <row r="78" spans="1:14" x14ac:dyDescent="0.4">
      <c r="I78" s="235"/>
      <c r="J78" s="235"/>
    </row>
  </sheetData>
  <sheetProtection algorithmName="SHA-512" hashValue="njtd8c7fKrRFb7W9YN9fD3b1ygBeZ4LUePPMPgNsbj1Mp8rSJskt/sc1KTdtbGc+YeFmuNi2ZKVORxgVuT1P0Q==" saltValue="Li24NGYVpGHwn0EbB4Q6vA==" spinCount="100000" sheet="1" objects="1" scenarios="1" formatRows="0"/>
  <sortState xmlns:xlrd2="http://schemas.microsoft.com/office/spreadsheetml/2017/richdata2" ref="H21:H27">
    <sortCondition ref="H21:H27"/>
  </sortState>
  <mergeCells count="1">
    <mergeCell ref="I3:J3"/>
  </mergeCells>
  <phoneticPr fontId="19" type="noConversion"/>
  <conditionalFormatting sqref="D4:D9 I23:J29">
    <cfRule type="expression" priority="13">
      <formula>IF($B$3="Industrie",1,0)</formula>
    </cfRule>
  </conditionalFormatting>
  <conditionalFormatting sqref="E4:E13 E15 E17:E19">
    <cfRule type="expression" priority="4">
      <formula>IF($B$3="Industrie",1,0)</formula>
    </cfRule>
  </conditionalFormatting>
  <conditionalFormatting sqref="F4:G12">
    <cfRule type="expression" priority="86">
      <formula>IF($B$3="Industrie",1,0)</formula>
    </cfRule>
  </conditionalFormatting>
  <conditionalFormatting sqref="G21:H22">
    <cfRule type="expression" priority="3">
      <formula>IF($B$3="Industrie",1,0)</formula>
    </cfRule>
  </conditionalFormatting>
  <conditionalFormatting sqref="I30:I33">
    <cfRule type="expression" priority="2">
      <formula>IF($B$3="Industrie",1,0)</formula>
    </cfRule>
  </conditionalFormatting>
  <conditionalFormatting sqref="I4:J5 I6:I8 I9:J13 I15:J21 A21:A23">
    <cfRule type="expression" priority="12">
      <formula>IF($B$3="Industrie",1,0)</formula>
    </cfRule>
  </conditionalFormatting>
  <conditionalFormatting sqref="J31:J33">
    <cfRule type="expression" priority="1">
      <formula>IF($B$3="Industrie",1,0)</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3"/>
  <dimension ref="A1:N47"/>
  <sheetViews>
    <sheetView showGridLines="0" zoomScaleNormal="100" zoomScaleSheetLayoutView="100" workbookViewId="0"/>
  </sheetViews>
  <sheetFormatPr baseColWidth="10" defaultColWidth="0" defaultRowHeight="12.75" customHeight="1" zeroHeight="1" x14ac:dyDescent="0.4"/>
  <cols>
    <col min="1" max="1" width="2.703125" style="4" customWidth="1"/>
    <col min="2" max="2" width="10.1171875" style="4" bestFit="1" customWidth="1"/>
    <col min="3" max="3" width="10.5859375" style="6" bestFit="1" customWidth="1"/>
    <col min="4" max="4" width="14" style="6" bestFit="1" customWidth="1"/>
    <col min="5" max="5" width="11.87890625" style="4" bestFit="1" customWidth="1"/>
    <col min="6" max="6" width="11.5859375" style="4" bestFit="1" customWidth="1"/>
    <col min="7" max="7" width="17.87890625" style="4" customWidth="1"/>
    <col min="8" max="8" width="10.703125" style="4" customWidth="1"/>
    <col min="9" max="9" width="12.41015625" style="4" bestFit="1" customWidth="1"/>
    <col min="10" max="10" width="10.703125" style="4" customWidth="1"/>
    <col min="11" max="11" width="3.703125" style="4" customWidth="1"/>
    <col min="12" max="14" width="0" style="4" hidden="1" customWidth="1"/>
    <col min="15" max="16384" width="11.41015625" style="4" hidden="1"/>
  </cols>
  <sheetData>
    <row r="1" spans="1:11" ht="13" thickBot="1" x14ac:dyDescent="0.45">
      <c r="A1" s="20"/>
      <c r="B1" s="20"/>
      <c r="C1" s="76"/>
      <c r="D1" s="76"/>
      <c r="E1" s="20"/>
      <c r="F1" s="20"/>
      <c r="G1" s="20"/>
      <c r="H1" s="20"/>
      <c r="I1" s="20"/>
      <c r="J1" s="20"/>
      <c r="K1" s="20"/>
    </row>
    <row r="2" spans="1:11" ht="15.7" thickBot="1" x14ac:dyDescent="0.45">
      <c r="A2" s="20"/>
      <c r="B2" s="1161" t="s">
        <v>575</v>
      </c>
      <c r="C2" s="1162"/>
      <c r="D2" s="1162"/>
      <c r="E2" s="1162"/>
      <c r="F2" s="1162"/>
      <c r="G2" s="1162"/>
      <c r="H2" s="1162"/>
      <c r="I2" s="1162"/>
      <c r="J2" s="1163"/>
      <c r="K2" s="20"/>
    </row>
    <row r="3" spans="1:11" ht="13" thickBot="1" x14ac:dyDescent="0.45">
      <c r="A3" s="20"/>
      <c r="B3" s="20"/>
      <c r="C3" s="76"/>
      <c r="D3" s="76"/>
      <c r="E3" s="20"/>
      <c r="F3" s="20"/>
      <c r="G3" s="20"/>
      <c r="H3" s="20"/>
      <c r="I3" s="20"/>
      <c r="J3" s="20"/>
      <c r="K3" s="20"/>
    </row>
    <row r="4" spans="1:11" s="5" customFormat="1" ht="67.7" customHeight="1" thickBot="1" x14ac:dyDescent="0.45">
      <c r="A4" s="56"/>
      <c r="B4" s="496" t="s">
        <v>25</v>
      </c>
      <c r="C4" s="497" t="s">
        <v>31</v>
      </c>
      <c r="D4" s="497" t="s">
        <v>124</v>
      </c>
      <c r="E4" s="497" t="s">
        <v>125</v>
      </c>
      <c r="F4" s="497" t="s">
        <v>126</v>
      </c>
      <c r="G4" s="498" t="s">
        <v>127</v>
      </c>
      <c r="H4" s="499" t="s">
        <v>128</v>
      </c>
      <c r="I4" s="498" t="s">
        <v>129</v>
      </c>
      <c r="J4" s="500" t="s">
        <v>128</v>
      </c>
      <c r="K4" s="56"/>
    </row>
    <row r="5" spans="1:11" ht="14.7" x14ac:dyDescent="0.4">
      <c r="A5" s="20"/>
      <c r="B5" s="492">
        <v>1313</v>
      </c>
      <c r="C5" s="493" t="s">
        <v>36</v>
      </c>
      <c r="D5" s="493" t="s">
        <v>130</v>
      </c>
      <c r="E5" s="494">
        <v>3</v>
      </c>
      <c r="F5" s="493">
        <v>15</v>
      </c>
      <c r="G5" s="487">
        <v>80</v>
      </c>
      <c r="H5" s="495">
        <v>0.3</v>
      </c>
      <c r="I5" s="487">
        <v>80</v>
      </c>
      <c r="J5" s="466">
        <v>0.2</v>
      </c>
      <c r="K5" s="20"/>
    </row>
    <row r="6" spans="1:11" ht="14.7" x14ac:dyDescent="0.4">
      <c r="A6" s="20"/>
      <c r="B6" s="474">
        <v>1314</v>
      </c>
      <c r="C6" s="475" t="s">
        <v>37</v>
      </c>
      <c r="D6" s="475" t="s">
        <v>130</v>
      </c>
      <c r="E6" s="476">
        <v>30</v>
      </c>
      <c r="F6" s="475">
        <v>80</v>
      </c>
      <c r="G6" s="470">
        <v>250</v>
      </c>
      <c r="H6" s="488">
        <v>0.2</v>
      </c>
      <c r="I6" s="470">
        <v>250</v>
      </c>
      <c r="J6" s="467">
        <v>0.1</v>
      </c>
      <c r="K6" s="20"/>
    </row>
    <row r="7" spans="1:11" ht="14.7" x14ac:dyDescent="0.4">
      <c r="A7" s="20"/>
      <c r="B7" s="474">
        <v>6396</v>
      </c>
      <c r="C7" s="475" t="s">
        <v>38</v>
      </c>
      <c r="D7" s="475" t="s">
        <v>130</v>
      </c>
      <c r="E7" s="476">
        <v>10</v>
      </c>
      <c r="F7" s="475">
        <v>20</v>
      </c>
      <c r="G7" s="470">
        <v>150</v>
      </c>
      <c r="H7" s="488">
        <v>0.2</v>
      </c>
      <c r="I7" s="470">
        <v>150</v>
      </c>
      <c r="J7" s="467">
        <v>0.1</v>
      </c>
      <c r="K7" s="20"/>
    </row>
    <row r="8" spans="1:11" ht="12.7" x14ac:dyDescent="0.4">
      <c r="A8" s="20"/>
      <c r="B8" s="474">
        <v>1305</v>
      </c>
      <c r="C8" s="475" t="s">
        <v>40</v>
      </c>
      <c r="D8" s="475" t="s">
        <v>131</v>
      </c>
      <c r="E8" s="476">
        <v>2</v>
      </c>
      <c r="F8" s="475">
        <v>15</v>
      </c>
      <c r="G8" s="470">
        <v>60</v>
      </c>
      <c r="H8" s="488">
        <v>0.3</v>
      </c>
      <c r="I8" s="470">
        <v>60</v>
      </c>
      <c r="J8" s="467">
        <v>0.2</v>
      </c>
      <c r="K8" s="20"/>
    </row>
    <row r="9" spans="1:11" ht="12.7" x14ac:dyDescent="0.4">
      <c r="A9" s="20"/>
      <c r="B9" s="477">
        <v>1319</v>
      </c>
      <c r="C9" s="478" t="s">
        <v>41</v>
      </c>
      <c r="D9" s="475" t="s">
        <v>132</v>
      </c>
      <c r="E9" s="476">
        <v>0.5</v>
      </c>
      <c r="F9" s="475">
        <v>6</v>
      </c>
      <c r="G9" s="471"/>
      <c r="H9" s="489"/>
      <c r="I9" s="470">
        <v>6</v>
      </c>
      <c r="J9" s="467">
        <v>0.1</v>
      </c>
      <c r="K9" s="20"/>
    </row>
    <row r="10" spans="1:11" ht="12.7" x14ac:dyDescent="0.4">
      <c r="A10" s="20"/>
      <c r="B10" s="474">
        <v>1551</v>
      </c>
      <c r="C10" s="475" t="s">
        <v>45</v>
      </c>
      <c r="D10" s="475" t="s">
        <v>132</v>
      </c>
      <c r="E10" s="476">
        <v>1</v>
      </c>
      <c r="F10" s="475">
        <v>6</v>
      </c>
      <c r="G10" s="471"/>
      <c r="H10" s="489"/>
      <c r="I10" s="470">
        <v>6</v>
      </c>
      <c r="J10" s="467">
        <v>0.2</v>
      </c>
      <c r="K10" s="20"/>
    </row>
    <row r="11" spans="1:11" ht="14.7" x14ac:dyDescent="0.4">
      <c r="A11" s="20"/>
      <c r="B11" s="477">
        <v>1335</v>
      </c>
      <c r="C11" s="478" t="s">
        <v>42</v>
      </c>
      <c r="D11" s="475" t="s">
        <v>133</v>
      </c>
      <c r="E11" s="476">
        <v>0.5</v>
      </c>
      <c r="F11" s="475">
        <v>6</v>
      </c>
      <c r="G11" s="471"/>
      <c r="H11" s="489"/>
      <c r="I11" s="470">
        <v>6</v>
      </c>
      <c r="J11" s="467">
        <v>0.1</v>
      </c>
      <c r="K11" s="20"/>
    </row>
    <row r="12" spans="1:11" ht="14.7" x14ac:dyDescent="0.4">
      <c r="A12" s="20"/>
      <c r="B12" s="477">
        <v>1339</v>
      </c>
      <c r="C12" s="478" t="s">
        <v>43</v>
      </c>
      <c r="D12" s="475" t="s">
        <v>134</v>
      </c>
      <c r="E12" s="476">
        <v>0.05</v>
      </c>
      <c r="F12" s="475">
        <v>1</v>
      </c>
      <c r="G12" s="471"/>
      <c r="H12" s="489"/>
      <c r="I12" s="470">
        <v>1</v>
      </c>
      <c r="J12" s="467">
        <v>0.2</v>
      </c>
      <c r="K12" s="20"/>
    </row>
    <row r="13" spans="1:11" ht="14.7" x14ac:dyDescent="0.4">
      <c r="A13" s="20"/>
      <c r="B13" s="477">
        <v>1340</v>
      </c>
      <c r="C13" s="478" t="s">
        <v>44</v>
      </c>
      <c r="D13" s="475" t="s">
        <v>135</v>
      </c>
      <c r="E13" s="476">
        <v>1</v>
      </c>
      <c r="F13" s="475">
        <v>5</v>
      </c>
      <c r="G13" s="471"/>
      <c r="H13" s="489"/>
      <c r="I13" s="470">
        <v>5</v>
      </c>
      <c r="J13" s="467">
        <v>0.2</v>
      </c>
      <c r="K13" s="20"/>
    </row>
    <row r="14" spans="1:11" ht="12.7" x14ac:dyDescent="0.4">
      <c r="A14" s="20"/>
      <c r="B14" s="474">
        <v>1350</v>
      </c>
      <c r="C14" s="475" t="s">
        <v>46</v>
      </c>
      <c r="D14" s="475" t="s">
        <v>136</v>
      </c>
      <c r="E14" s="476">
        <v>0.05</v>
      </c>
      <c r="F14" s="475">
        <v>1</v>
      </c>
      <c r="G14" s="471"/>
      <c r="H14" s="489"/>
      <c r="I14" s="470">
        <v>1</v>
      </c>
      <c r="J14" s="467">
        <v>0.2</v>
      </c>
      <c r="K14" s="20"/>
    </row>
    <row r="15" spans="1:11" ht="12.7" x14ac:dyDescent="0.4">
      <c r="A15" s="20"/>
      <c r="B15" s="474">
        <v>1369</v>
      </c>
      <c r="C15" s="475" t="s">
        <v>48</v>
      </c>
      <c r="D15" s="479" t="s">
        <v>131</v>
      </c>
      <c r="E15" s="476">
        <v>5.0000000000000001E-3</v>
      </c>
      <c r="F15" s="475">
        <v>0.5</v>
      </c>
      <c r="G15" s="470">
        <v>1</v>
      </c>
      <c r="H15" s="488">
        <v>0.6</v>
      </c>
      <c r="I15" s="470">
        <v>1</v>
      </c>
      <c r="J15" s="467">
        <v>0.3</v>
      </c>
      <c r="K15" s="20"/>
    </row>
    <row r="16" spans="1:11" ht="12.7" x14ac:dyDescent="0.4">
      <c r="A16" s="20"/>
      <c r="B16" s="474">
        <v>1388</v>
      </c>
      <c r="C16" s="475" t="s">
        <v>49</v>
      </c>
      <c r="D16" s="479" t="s">
        <v>131</v>
      </c>
      <c r="E16" s="476">
        <v>1E-3</v>
      </c>
      <c r="F16" s="475">
        <v>0.5</v>
      </c>
      <c r="G16" s="470">
        <v>1</v>
      </c>
      <c r="H16" s="488">
        <v>0.6</v>
      </c>
      <c r="I16" s="470">
        <v>1</v>
      </c>
      <c r="J16" s="467">
        <v>0.3</v>
      </c>
      <c r="K16" s="20"/>
    </row>
    <row r="17" spans="1:11" ht="12.7" x14ac:dyDescent="0.4">
      <c r="A17" s="20"/>
      <c r="B17" s="474">
        <v>1389</v>
      </c>
      <c r="C17" s="475" t="s">
        <v>50</v>
      </c>
      <c r="D17" s="479" t="s">
        <v>131</v>
      </c>
      <c r="E17" s="476">
        <v>5.0000000000000001E-3</v>
      </c>
      <c r="F17" s="475">
        <v>0.5</v>
      </c>
      <c r="G17" s="470">
        <v>1</v>
      </c>
      <c r="H17" s="488">
        <v>0.6</v>
      </c>
      <c r="I17" s="470">
        <v>1</v>
      </c>
      <c r="J17" s="467">
        <v>0.3</v>
      </c>
      <c r="K17" s="20"/>
    </row>
    <row r="18" spans="1:11" ht="12.7" x14ac:dyDescent="0.4">
      <c r="A18" s="20"/>
      <c r="B18" s="474">
        <v>1392</v>
      </c>
      <c r="C18" s="475" t="s">
        <v>51</v>
      </c>
      <c r="D18" s="479" t="s">
        <v>131</v>
      </c>
      <c r="E18" s="476">
        <v>5.0000000000000001E-3</v>
      </c>
      <c r="F18" s="475">
        <v>0.5</v>
      </c>
      <c r="G18" s="470">
        <v>1</v>
      </c>
      <c r="H18" s="488">
        <v>0.6</v>
      </c>
      <c r="I18" s="470">
        <v>1</v>
      </c>
      <c r="J18" s="467">
        <v>0.3</v>
      </c>
      <c r="K18" s="20"/>
    </row>
    <row r="19" spans="1:11" ht="12.7" x14ac:dyDescent="0.4">
      <c r="A19" s="20"/>
      <c r="B19" s="474">
        <v>1387</v>
      </c>
      <c r="C19" s="475" t="s">
        <v>52</v>
      </c>
      <c r="D19" s="479" t="s">
        <v>131</v>
      </c>
      <c r="E19" s="476">
        <v>2.0000000000000001E-4</v>
      </c>
      <c r="F19" s="475">
        <v>5.0000000000000001E-3</v>
      </c>
      <c r="G19" s="470">
        <v>0.01</v>
      </c>
      <c r="H19" s="488">
        <v>0.6</v>
      </c>
      <c r="I19" s="470">
        <v>0.01</v>
      </c>
      <c r="J19" s="467">
        <v>0.3</v>
      </c>
      <c r="K19" s="20"/>
    </row>
    <row r="20" spans="1:11" ht="12.7" x14ac:dyDescent="0.4">
      <c r="A20" s="20"/>
      <c r="B20" s="474">
        <v>1386</v>
      </c>
      <c r="C20" s="475" t="s">
        <v>53</v>
      </c>
      <c r="D20" s="479" t="s">
        <v>131</v>
      </c>
      <c r="E20" s="476">
        <v>5.0000000000000001E-3</v>
      </c>
      <c r="F20" s="475">
        <v>0.5</v>
      </c>
      <c r="G20" s="470">
        <v>1</v>
      </c>
      <c r="H20" s="488">
        <v>0.6</v>
      </c>
      <c r="I20" s="470">
        <v>1</v>
      </c>
      <c r="J20" s="467">
        <v>0.3</v>
      </c>
      <c r="K20" s="20"/>
    </row>
    <row r="21" spans="1:11" ht="12.7" x14ac:dyDescent="0.4">
      <c r="A21" s="20"/>
      <c r="B21" s="474">
        <v>1382</v>
      </c>
      <c r="C21" s="475" t="s">
        <v>54</v>
      </c>
      <c r="D21" s="479" t="s">
        <v>131</v>
      </c>
      <c r="E21" s="476">
        <v>2E-3</v>
      </c>
      <c r="F21" s="475">
        <v>0.5</v>
      </c>
      <c r="G21" s="470">
        <v>1</v>
      </c>
      <c r="H21" s="488">
        <v>0.6</v>
      </c>
      <c r="I21" s="470">
        <v>1</v>
      </c>
      <c r="J21" s="467">
        <v>0.3</v>
      </c>
      <c r="K21" s="20"/>
    </row>
    <row r="22" spans="1:11" ht="12.7" x14ac:dyDescent="0.4">
      <c r="A22" s="20"/>
      <c r="B22" s="474">
        <v>1383</v>
      </c>
      <c r="C22" s="475" t="s">
        <v>55</v>
      </c>
      <c r="D22" s="479" t="s">
        <v>131</v>
      </c>
      <c r="E22" s="476">
        <v>5.0000000000000001E-3</v>
      </c>
      <c r="F22" s="475">
        <v>0.5</v>
      </c>
      <c r="G22" s="470">
        <v>1</v>
      </c>
      <c r="H22" s="488">
        <v>0.6</v>
      </c>
      <c r="I22" s="470">
        <v>1</v>
      </c>
      <c r="J22" s="467">
        <v>0.3</v>
      </c>
      <c r="K22" s="20"/>
    </row>
    <row r="23" spans="1:11" ht="12.7" x14ac:dyDescent="0.4">
      <c r="A23" s="20"/>
      <c r="B23" s="474">
        <v>1106</v>
      </c>
      <c r="C23" s="475" t="s">
        <v>47</v>
      </c>
      <c r="D23" s="479" t="s">
        <v>131</v>
      </c>
      <c r="E23" s="476">
        <v>0.01</v>
      </c>
      <c r="F23" s="475">
        <v>0.05</v>
      </c>
      <c r="G23" s="470">
        <v>0.5</v>
      </c>
      <c r="H23" s="488">
        <v>0.6</v>
      </c>
      <c r="I23" s="470">
        <v>0.5</v>
      </c>
      <c r="J23" s="467">
        <v>0.3</v>
      </c>
      <c r="K23" s="20"/>
    </row>
    <row r="24" spans="1:11" ht="12.7" x14ac:dyDescent="0.4">
      <c r="A24" s="20"/>
      <c r="B24" s="474">
        <v>1841</v>
      </c>
      <c r="C24" s="475" t="s">
        <v>39</v>
      </c>
      <c r="D24" s="479" t="s">
        <v>131</v>
      </c>
      <c r="E24" s="476">
        <v>0.3</v>
      </c>
      <c r="F24" s="475">
        <v>5</v>
      </c>
      <c r="G24" s="470">
        <v>15</v>
      </c>
      <c r="H24" s="488">
        <v>0.3</v>
      </c>
      <c r="I24" s="470">
        <v>15</v>
      </c>
      <c r="J24" s="467">
        <v>0.1</v>
      </c>
      <c r="K24" s="20"/>
    </row>
    <row r="25" spans="1:11" ht="12.7" x14ac:dyDescent="0.4">
      <c r="A25" s="20"/>
      <c r="B25" s="474">
        <v>1798</v>
      </c>
      <c r="C25" s="475" t="s">
        <v>279</v>
      </c>
      <c r="D25" s="479"/>
      <c r="E25" s="476"/>
      <c r="F25" s="475"/>
      <c r="G25" s="470"/>
      <c r="H25" s="488"/>
      <c r="I25" s="470"/>
      <c r="J25" s="467"/>
      <c r="K25" s="20"/>
    </row>
    <row r="26" spans="1:11" ht="12.7" x14ac:dyDescent="0.4">
      <c r="A26" s="20"/>
      <c r="B26" s="480">
        <v>1337</v>
      </c>
      <c r="C26" s="481" t="s">
        <v>280</v>
      </c>
      <c r="D26" s="482" t="s">
        <v>131</v>
      </c>
      <c r="E26" s="483">
        <v>5</v>
      </c>
      <c r="F26" s="481"/>
      <c r="G26" s="472"/>
      <c r="H26" s="490"/>
      <c r="I26" s="472"/>
      <c r="J26" s="468"/>
      <c r="K26" s="20"/>
    </row>
    <row r="27" spans="1:11" ht="13" thickBot="1" x14ac:dyDescent="0.45">
      <c r="A27" s="20"/>
      <c r="B27" s="484">
        <v>1799</v>
      </c>
      <c r="C27" s="485" t="s">
        <v>56</v>
      </c>
      <c r="D27" s="486" t="s">
        <v>340</v>
      </c>
      <c r="E27" s="485"/>
      <c r="F27" s="485"/>
      <c r="G27" s="473"/>
      <c r="H27" s="491">
        <v>0.2</v>
      </c>
      <c r="I27" s="473"/>
      <c r="J27" s="469">
        <v>0.05</v>
      </c>
      <c r="K27" s="21"/>
    </row>
    <row r="28" spans="1:11" ht="12.75" customHeight="1" x14ac:dyDescent="0.4">
      <c r="A28" s="20"/>
      <c r="B28" s="1164" t="s">
        <v>137</v>
      </c>
      <c r="C28" s="1164"/>
      <c r="D28" s="1164"/>
      <c r="E28" s="1164"/>
      <c r="F28" s="1164"/>
      <c r="G28" s="1164"/>
      <c r="H28" s="1164"/>
      <c r="I28" s="1164"/>
      <c r="J28" s="1164"/>
      <c r="K28" s="20"/>
    </row>
    <row r="29" spans="1:11" ht="14.45" customHeight="1" x14ac:dyDescent="0.4">
      <c r="A29" s="20"/>
      <c r="B29" s="1164"/>
      <c r="C29" s="1164"/>
      <c r="D29" s="1164"/>
      <c r="E29" s="1164"/>
      <c r="F29" s="1164"/>
      <c r="G29" s="1164"/>
      <c r="H29" s="1164"/>
      <c r="I29" s="1164"/>
      <c r="J29" s="1164"/>
      <c r="K29" s="20"/>
    </row>
    <row r="33" spans="4:9" ht="2.1" customHeight="1" x14ac:dyDescent="0.4"/>
    <row r="34" spans="4:9" ht="66.75" hidden="1" customHeight="1" x14ac:dyDescent="0.4"/>
    <row r="37" spans="4:9" ht="12.7" hidden="1" x14ac:dyDescent="0.4">
      <c r="D37" s="1165"/>
      <c r="E37" s="1166"/>
      <c r="F37" s="1166"/>
      <c r="G37" s="1166"/>
      <c r="H37" s="1166"/>
      <c r="I37" s="1166"/>
    </row>
    <row r="38" spans="4:9" ht="12.7" hidden="1" x14ac:dyDescent="0.4">
      <c r="D38" s="1166"/>
      <c r="E38" s="1166"/>
      <c r="F38" s="1166"/>
      <c r="G38" s="1166"/>
      <c r="H38" s="1166"/>
      <c r="I38" s="1166"/>
    </row>
    <row r="39" spans="4:9" ht="12.7" hidden="1" x14ac:dyDescent="0.4">
      <c r="D39" s="1166"/>
      <c r="E39" s="1166"/>
      <c r="F39" s="1166"/>
      <c r="G39" s="1166"/>
      <c r="H39" s="1166"/>
      <c r="I39" s="1166"/>
    </row>
    <row r="40" spans="4:9" ht="12.7" hidden="1" x14ac:dyDescent="0.4">
      <c r="D40" s="1166"/>
      <c r="E40" s="1166"/>
      <c r="F40" s="1166"/>
      <c r="G40" s="1166"/>
      <c r="H40" s="1166"/>
      <c r="I40" s="1166"/>
    </row>
    <row r="41" spans="4:9" ht="12.7" hidden="1" x14ac:dyDescent="0.4">
      <c r="D41" s="1166"/>
      <c r="E41" s="1166"/>
      <c r="F41" s="1166"/>
      <c r="G41" s="1166"/>
      <c r="H41" s="1166"/>
      <c r="I41" s="1166"/>
    </row>
    <row r="42" spans="4:9" ht="12.7" hidden="1" x14ac:dyDescent="0.4">
      <c r="D42" s="1166"/>
      <c r="E42" s="1166"/>
      <c r="F42" s="1166"/>
      <c r="G42" s="1166"/>
      <c r="H42" s="1166"/>
      <c r="I42" s="1166"/>
    </row>
    <row r="43" spans="4:9" ht="12.7" hidden="1" x14ac:dyDescent="0.4">
      <c r="D43" s="1166"/>
      <c r="E43" s="1166"/>
      <c r="F43" s="1166"/>
      <c r="G43" s="1166"/>
      <c r="H43" s="1166"/>
      <c r="I43" s="1166"/>
    </row>
    <row r="44" spans="4:9" ht="12.7" hidden="1" x14ac:dyDescent="0.4">
      <c r="D44" s="1166"/>
      <c r="E44" s="1166"/>
      <c r="F44" s="1166"/>
      <c r="G44" s="1166"/>
      <c r="H44" s="1166"/>
      <c r="I44" s="1166"/>
    </row>
    <row r="45" spans="4:9" ht="12.7" hidden="1" x14ac:dyDescent="0.4">
      <c r="D45" s="1166"/>
      <c r="E45" s="1166"/>
      <c r="F45" s="1166"/>
      <c r="G45" s="1166"/>
      <c r="H45" s="1166"/>
      <c r="I45" s="1166"/>
    </row>
    <row r="46" spans="4:9" ht="12.7" hidden="1" x14ac:dyDescent="0.4">
      <c r="D46" s="1166"/>
      <c r="E46" s="1166"/>
      <c r="F46" s="1166"/>
      <c r="G46" s="1166"/>
      <c r="H46" s="1166"/>
      <c r="I46" s="1166"/>
    </row>
    <row r="47" spans="4:9" ht="12.7" hidden="1" x14ac:dyDescent="0.4">
      <c r="D47" s="1166"/>
      <c r="E47" s="1166"/>
      <c r="F47" s="1166"/>
      <c r="G47" s="1166"/>
      <c r="H47" s="1166"/>
      <c r="I47" s="1166"/>
    </row>
  </sheetData>
  <sheetProtection algorithmName="SHA-512" hashValue="Z6/mZMKioCPDJg+DU0eUkwHNtQubpqpTYXeZzCdAbGHSZmixSYChMdaExP87zRhcRbH5LmbAZ3fEF/ECDmEqGA==" saltValue="XTwhAyd9csGMh80Y4STFfg==" spinCount="100000" sheet="1" objects="1" scenarios="1" formatRows="0"/>
  <mergeCells count="3">
    <mergeCell ref="B2:J2"/>
    <mergeCell ref="B28:J29"/>
    <mergeCell ref="D37:I47"/>
  </mergeCells>
  <pageMargins left="0.78740157499999996" right="0.78740157499999996" top="0.984251969" bottom="0.984251969" header="0.4921259845" footer="0.4921259845"/>
  <pageSetup paperSize="9" scale="73"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73A4E-88F5-4C88-B35C-F58E081CBD65}">
  <sheetPr codeName="Feuil11"/>
  <dimension ref="B1:U43"/>
  <sheetViews>
    <sheetView workbookViewId="0">
      <selection activeCell="F19" sqref="F19"/>
    </sheetView>
  </sheetViews>
  <sheetFormatPr baseColWidth="10" defaultRowHeight="12.7" x14ac:dyDescent="0.4"/>
  <cols>
    <col min="1" max="1" width="3.29296875" customWidth="1"/>
    <col min="3" max="3" width="15.29296875" bestFit="1" customWidth="1"/>
    <col min="4" max="4" width="18.41015625" customWidth="1"/>
    <col min="5" max="5" width="17.29296875" customWidth="1"/>
    <col min="6" max="6" width="21.29296875" customWidth="1"/>
    <col min="7" max="19" width="13.87890625" customWidth="1"/>
  </cols>
  <sheetData>
    <row r="1" spans="2:19" s="86" customFormat="1" ht="28.35" customHeight="1" x14ac:dyDescent="0.4">
      <c r="B1" s="87" t="s">
        <v>306</v>
      </c>
    </row>
    <row r="2" spans="2:19" s="84" customFormat="1" ht="23.45" customHeight="1" x14ac:dyDescent="0.4">
      <c r="B2" s="85" t="s">
        <v>304</v>
      </c>
    </row>
    <row r="3" spans="2:19" ht="13" thickBot="1" x14ac:dyDescent="0.45"/>
    <row r="4" spans="2:19" s="9" customFormat="1" ht="17.45" customHeight="1" x14ac:dyDescent="0.4">
      <c r="B4" s="1184" t="s">
        <v>405</v>
      </c>
      <c r="C4" s="1185"/>
      <c r="D4" s="285" t="s">
        <v>295</v>
      </c>
      <c r="E4" s="1186" t="s">
        <v>167</v>
      </c>
      <c r="F4" s="1186"/>
      <c r="G4" s="1186"/>
      <c r="H4" s="1186"/>
      <c r="I4" s="1186"/>
    </row>
    <row r="5" spans="2:19" x14ac:dyDescent="0.4">
      <c r="B5" s="1187">
        <f>IF(Qualité!L29="Oui",1,0.9)</f>
        <v>0.9</v>
      </c>
      <c r="C5" s="1188"/>
      <c r="D5" s="286"/>
      <c r="E5" s="82" t="s">
        <v>296</v>
      </c>
      <c r="F5" s="82" t="s">
        <v>294</v>
      </c>
      <c r="G5" s="82" t="s">
        <v>309</v>
      </c>
      <c r="H5" s="82" t="s">
        <v>298</v>
      </c>
      <c r="I5" s="82" t="s">
        <v>299</v>
      </c>
    </row>
    <row r="6" spans="2:19" x14ac:dyDescent="0.4">
      <c r="B6" s="1187"/>
      <c r="C6" s="1188"/>
      <c r="D6" s="286" t="s">
        <v>12</v>
      </c>
      <c r="E6" s="83" t="s">
        <v>521</v>
      </c>
      <c r="F6" s="83" t="s">
        <v>359</v>
      </c>
      <c r="G6" s="83" t="s">
        <v>360</v>
      </c>
      <c r="H6" s="83" t="s">
        <v>300</v>
      </c>
      <c r="I6" s="83" t="s">
        <v>361</v>
      </c>
    </row>
    <row r="7" spans="2:19" ht="13" thickBot="1" x14ac:dyDescent="0.45">
      <c r="B7" s="1189"/>
      <c r="C7" s="1190"/>
      <c r="D7" s="286" t="str">
        <f>PARAM!$C4</f>
        <v>Débitmètre en charge</v>
      </c>
      <c r="E7" s="81" t="s">
        <v>357</v>
      </c>
      <c r="F7" s="81" t="s">
        <v>367</v>
      </c>
      <c r="G7" s="81" t="s">
        <v>368</v>
      </c>
      <c r="H7" s="81" t="s">
        <v>369</v>
      </c>
      <c r="I7" s="81" t="s">
        <v>370</v>
      </c>
    </row>
    <row r="8" spans="2:19" x14ac:dyDescent="0.4">
      <c r="D8" s="82" t="str">
        <f>PARAM!$C5</f>
        <v>Débitmètre gravitaire</v>
      </c>
      <c r="E8" s="81" t="s">
        <v>371</v>
      </c>
      <c r="F8" s="81" t="s">
        <v>490</v>
      </c>
      <c r="G8" s="81" t="s">
        <v>372</v>
      </c>
      <c r="H8" s="81" t="s">
        <v>297</v>
      </c>
      <c r="I8" s="81" t="s">
        <v>373</v>
      </c>
    </row>
    <row r="9" spans="2:19" x14ac:dyDescent="0.4">
      <c r="D9" s="82" t="str">
        <f>PARAM!$C6</f>
        <v>Préleveur</v>
      </c>
      <c r="E9" s="81" t="s">
        <v>362</v>
      </c>
      <c r="F9" s="81" t="s">
        <v>363</v>
      </c>
      <c r="G9" s="81" t="s">
        <v>364</v>
      </c>
      <c r="H9" s="81" t="s">
        <v>365</v>
      </c>
      <c r="I9" s="81" t="s">
        <v>366</v>
      </c>
    </row>
    <row r="10" spans="2:19" x14ac:dyDescent="0.4">
      <c r="D10" s="82" t="str">
        <f>PARAM!$C7</f>
        <v>Sonde de température</v>
      </c>
      <c r="E10" s="81" t="s">
        <v>358</v>
      </c>
      <c r="F10" s="81" t="s">
        <v>359</v>
      </c>
      <c r="G10" s="81" t="s">
        <v>360</v>
      </c>
      <c r="H10" s="81" t="s">
        <v>300</v>
      </c>
      <c r="I10" s="81" t="s">
        <v>361</v>
      </c>
    </row>
    <row r="12" spans="2:19" s="9" customFormat="1" ht="17.45" customHeight="1" x14ac:dyDescent="0.4">
      <c r="D12" s="101" t="s">
        <v>313</v>
      </c>
      <c r="E12" s="1191" t="s">
        <v>312</v>
      </c>
      <c r="F12" s="1186"/>
      <c r="G12" s="1186"/>
      <c r="H12" s="1186"/>
      <c r="I12" s="1186"/>
      <c r="J12" s="1186"/>
      <c r="K12" s="1186"/>
      <c r="L12" s="1186"/>
      <c r="M12" s="1186"/>
      <c r="N12" s="1186"/>
      <c r="O12" s="1186"/>
      <c r="P12" s="1186"/>
      <c r="Q12" s="1186"/>
      <c r="R12" s="1186"/>
      <c r="S12" s="1192"/>
    </row>
    <row r="13" spans="2:19" x14ac:dyDescent="0.4">
      <c r="D13" s="99" t="s">
        <v>311</v>
      </c>
      <c r="E13" s="100">
        <f>Descriptif!$AD$2</f>
        <v>14</v>
      </c>
      <c r="F13" s="100">
        <f>E13+1</f>
        <v>15</v>
      </c>
      <c r="G13" s="100">
        <f t="shared" ref="G13:S13" si="0">F13+1</f>
        <v>16</v>
      </c>
      <c r="H13" s="100">
        <f t="shared" si="0"/>
        <v>17</v>
      </c>
      <c r="I13" s="100">
        <f t="shared" si="0"/>
        <v>18</v>
      </c>
      <c r="J13" s="100">
        <f t="shared" si="0"/>
        <v>19</v>
      </c>
      <c r="K13" s="100">
        <f t="shared" si="0"/>
        <v>20</v>
      </c>
      <c r="L13" s="100">
        <f t="shared" si="0"/>
        <v>21</v>
      </c>
      <c r="M13" s="100">
        <f t="shared" si="0"/>
        <v>22</v>
      </c>
      <c r="N13" s="100">
        <f t="shared" si="0"/>
        <v>23</v>
      </c>
      <c r="O13" s="100">
        <f t="shared" si="0"/>
        <v>24</v>
      </c>
      <c r="P13" s="100">
        <f t="shared" si="0"/>
        <v>25</v>
      </c>
      <c r="Q13" s="100">
        <f t="shared" si="0"/>
        <v>26</v>
      </c>
      <c r="R13" s="100">
        <f t="shared" si="0"/>
        <v>27</v>
      </c>
      <c r="S13" s="100">
        <f t="shared" si="0"/>
        <v>28</v>
      </c>
    </row>
    <row r="15" spans="2:19" s="84" customFormat="1" ht="23.1" customHeight="1" x14ac:dyDescent="0.4">
      <c r="B15" s="85" t="s">
        <v>305</v>
      </c>
    </row>
    <row r="16" spans="2:19" s="9" customFormat="1" ht="18" customHeight="1" thickBot="1" x14ac:dyDescent="0.45">
      <c r="B16" s="9" t="s">
        <v>523</v>
      </c>
    </row>
    <row r="17" spans="2:21" s="9" customFormat="1" ht="15.95" customHeight="1" thickBot="1" x14ac:dyDescent="0.45">
      <c r="B17" s="103" t="s">
        <v>307</v>
      </c>
      <c r="C17" s="104" t="s">
        <v>511</v>
      </c>
      <c r="D17" s="105"/>
      <c r="E17" s="106"/>
      <c r="F17" s="107" t="s">
        <v>5</v>
      </c>
      <c r="G17" s="107" t="s">
        <v>6</v>
      </c>
      <c r="H17" s="107" t="s">
        <v>7</v>
      </c>
      <c r="I17" s="107" t="s">
        <v>16</v>
      </c>
      <c r="J17" s="107" t="s">
        <v>17</v>
      </c>
      <c r="K17" s="107" t="s">
        <v>18</v>
      </c>
      <c r="L17" s="107" t="s">
        <v>19</v>
      </c>
      <c r="M17" s="107" t="s">
        <v>20</v>
      </c>
      <c r="N17" s="107" t="s">
        <v>21</v>
      </c>
      <c r="O17" s="107" t="s">
        <v>22</v>
      </c>
      <c r="P17" s="107" t="s">
        <v>23</v>
      </c>
      <c r="Q17" s="108" t="s">
        <v>24</v>
      </c>
      <c r="R17" s="108" t="s">
        <v>301</v>
      </c>
      <c r="S17" s="108" t="s">
        <v>302</v>
      </c>
      <c r="T17" s="108" t="s">
        <v>303</v>
      </c>
    </row>
    <row r="18" spans="2:21" x14ac:dyDescent="0.4">
      <c r="B18" s="1178" t="s">
        <v>99</v>
      </c>
      <c r="C18" s="351"/>
      <c r="D18" s="89" t="str">
        <f>$D$7</f>
        <v>Débitmètre en charge</v>
      </c>
      <c r="E18" s="89"/>
      <c r="F18" s="90" t="str" cm="1">
        <f t="array" aca="1" ref="F18" ca="1">IF(AND(OR(INDIRECT("Descriptif!I"&amp;E$13)=Recap_reseau!$B18,INDIRECT("Descriptif!I"&amp;E$13)=Recap_reseau!$C18),INDIRECT("Descriptif!M"&amp;E$13)=$D18),INDIRECT("Descriptif!F"&amp;E$13),"")</f>
        <v/>
      </c>
      <c r="G18" s="90" t="str" cm="1">
        <f t="array" aca="1" ref="G18" ca="1">IF(AND(OR(INDIRECT("Descriptif!I"&amp;F$13)=Recap_reseau!$B18,INDIRECT("Descriptif!I"&amp;F$13)=Recap_reseau!$C18),INDIRECT("Descriptif!M"&amp;F$13)=$D18),INDIRECT("Descriptif!F"&amp;F$13),"")</f>
        <v/>
      </c>
      <c r="H18" s="90" t="str" cm="1">
        <f t="array" aca="1" ref="H18" ca="1">IF(AND(OR(INDIRECT("Descriptif!I"&amp;G$13)=Recap_reseau!$B18,INDIRECT("Descriptif!I"&amp;G$13)=Recap_reseau!$C18),INDIRECT("Descriptif!M"&amp;G$13)=$D18),INDIRECT("Descriptif!F"&amp;G$13),"")</f>
        <v/>
      </c>
      <c r="I18" s="90" t="str" cm="1">
        <f t="array" aca="1" ref="I18" ca="1">IF(AND(OR(INDIRECT("Descriptif!I"&amp;H$13)=Recap_reseau!$B18,INDIRECT("Descriptif!I"&amp;H$13)=Recap_reseau!$C18),INDIRECT("Descriptif!M"&amp;H$13)=$D18),INDIRECT("Descriptif!F"&amp;H$13),"")</f>
        <v/>
      </c>
      <c r="J18" s="90" t="str" cm="1">
        <f t="array" aca="1" ref="J18" ca="1">IF(AND(OR(INDIRECT("Descriptif!I"&amp;I$13)=Recap_reseau!$B18,INDIRECT("Descriptif!I"&amp;I$13)=Recap_reseau!$C18),INDIRECT("Descriptif!M"&amp;I$13)=$D18),INDIRECT("Descriptif!F"&amp;I$13),"")</f>
        <v/>
      </c>
      <c r="K18" s="90" t="str" cm="1">
        <f t="array" aca="1" ref="K18" ca="1">IF(AND(OR(INDIRECT("Descriptif!I"&amp;J$13)=Recap_reseau!$B18,INDIRECT("Descriptif!I"&amp;J$13)=Recap_reseau!$C18),INDIRECT("Descriptif!M"&amp;J$13)=$D18),INDIRECT("Descriptif!F"&amp;J$13),"")</f>
        <v/>
      </c>
      <c r="L18" s="90" t="str" cm="1">
        <f t="array" aca="1" ref="L18" ca="1">IF(AND(OR(INDIRECT("Descriptif!I"&amp;K$13)=Recap_reseau!$B18,INDIRECT("Descriptif!I"&amp;K$13)=Recap_reseau!$C18),INDIRECT("Descriptif!M"&amp;K$13)=$D18),INDIRECT("Descriptif!F"&amp;K$13),"")</f>
        <v/>
      </c>
      <c r="M18" s="90" t="str" cm="1">
        <f t="array" aca="1" ref="M18" ca="1">IF(AND(OR(INDIRECT("Descriptif!I"&amp;L$13)=Recap_reseau!$B18,INDIRECT("Descriptif!I"&amp;L$13)=Recap_reseau!$C18),INDIRECT("Descriptif!M"&amp;L$13)=$D18),INDIRECT("Descriptif!F"&amp;L$13),"")</f>
        <v/>
      </c>
      <c r="N18" s="90" t="str" cm="1">
        <f t="array" aca="1" ref="N18" ca="1">IF(AND(OR(INDIRECT("Descriptif!I"&amp;M$13)=Recap_reseau!$B18,INDIRECT("Descriptif!I"&amp;M$13)=Recap_reseau!$C18),INDIRECT("Descriptif!M"&amp;M$13)=$D18),INDIRECT("Descriptif!F"&amp;M$13),"")</f>
        <v/>
      </c>
      <c r="O18" s="90" t="str" cm="1">
        <f t="array" aca="1" ref="O18" ca="1">IF(AND(OR(INDIRECT("Descriptif!I"&amp;N$13)=Recap_reseau!$B18,INDIRECT("Descriptif!I"&amp;N$13)=Recap_reseau!$C18),INDIRECT("Descriptif!M"&amp;N$13)=$D18),INDIRECT("Descriptif!F"&amp;N$13),"")</f>
        <v/>
      </c>
      <c r="P18" s="90" t="str" cm="1">
        <f t="array" aca="1" ref="P18" ca="1">IF(AND(OR(INDIRECT("Descriptif!I"&amp;O$13)=Recap_reseau!$B18,INDIRECT("Descriptif!I"&amp;O$13)=Recap_reseau!$C18),INDIRECT("Descriptif!M"&amp;O$13)=$D18),INDIRECT("Descriptif!F"&amp;O$13),"")</f>
        <v/>
      </c>
      <c r="Q18" s="90" t="str" cm="1">
        <f t="array" aca="1" ref="Q18" ca="1">IF(AND(OR(INDIRECT("Descriptif!I"&amp;P$13)=Recap_reseau!$B18,INDIRECT("Descriptif!I"&amp;P$13)=Recap_reseau!$C18),INDIRECT("Descriptif!M"&amp;P$13)=$D18),INDIRECT("Descriptif!F"&amp;P$13),"")</f>
        <v/>
      </c>
      <c r="R18" s="90" t="str" cm="1">
        <f t="array" aca="1" ref="R18" ca="1">IF(AND(OR(INDIRECT("Descriptif!I"&amp;Q$13)=Recap_reseau!$B18,INDIRECT("Descriptif!I"&amp;Q$13)=Recap_reseau!$C18),INDIRECT("Descriptif!M"&amp;Q$13)=$D18),INDIRECT("Descriptif!F"&amp;Q$13),"")</f>
        <v/>
      </c>
      <c r="S18" s="90" t="str" cm="1">
        <f t="array" aca="1" ref="S18" ca="1">IF(AND(OR(INDIRECT("Descriptif!I"&amp;R$13)=Recap_reseau!$B18,INDIRECT("Descriptif!I"&amp;R$13)=Recap_reseau!$C18),INDIRECT("Descriptif!M"&amp;R$13)=$D18),INDIRECT("Descriptif!F"&amp;R$13),"")</f>
        <v/>
      </c>
      <c r="T18" s="90" t="str" cm="1">
        <f t="array" aca="1" ref="T18" ca="1">IF(AND(OR(INDIRECT("Descriptif!I"&amp;S$13)=Recap_reseau!$B18,INDIRECT("Descriptif!I"&amp;S$13)=Recap_reseau!$C18),INDIRECT("Descriptif!M"&amp;S$13)=$D18),INDIRECT("Descriptif!F"&amp;S$13),"")</f>
        <v/>
      </c>
    </row>
    <row r="19" spans="2:21" x14ac:dyDescent="0.4">
      <c r="B19" s="1179"/>
      <c r="C19" s="352"/>
      <c r="D19" s="88" t="str">
        <f>$D$8</f>
        <v>Débitmètre gravitaire</v>
      </c>
      <c r="E19" s="88"/>
      <c r="F19" s="10" t="str" cm="1">
        <f t="array" aca="1" ref="F19" ca="1">IF(AND(OR(INDIRECT("Descriptif!I"&amp;E$13)=Recap_reseau!$B18,INDIRECT("Descriptif!I"&amp;E$13)=Recap_reseau!$C18),INDIRECT("Descriptif!M"&amp;E$13)=$D19),INDIRECT("Descriptif!F"&amp;E$13),"")</f>
        <v/>
      </c>
      <c r="G19" s="10" t="str" cm="1">
        <f t="array" aca="1" ref="G19" ca="1">IF(AND(OR(INDIRECT("Descriptif!I"&amp;F$13)=Recap_reseau!$B18,INDIRECT("Descriptif!I"&amp;F$13)=Recap_reseau!$C18),INDIRECT("Descriptif!M"&amp;F$13)=$D19),INDIRECT("Descriptif!F"&amp;F$13),"")</f>
        <v/>
      </c>
      <c r="H19" s="10" t="str" cm="1">
        <f t="array" aca="1" ref="H19" ca="1">IF(AND(OR(INDIRECT("Descriptif!I"&amp;G$13)=Recap_reseau!$B18,INDIRECT("Descriptif!I"&amp;G$13)=Recap_reseau!$C18),INDIRECT("Descriptif!M"&amp;G$13)=$D19),INDIRECT("Descriptif!F"&amp;G$13),"")</f>
        <v/>
      </c>
      <c r="I19" s="10" t="str" cm="1">
        <f t="array" aca="1" ref="I19" ca="1">IF(AND(OR(INDIRECT("Descriptif!I"&amp;H$13)=Recap_reseau!$B18,INDIRECT("Descriptif!I"&amp;H$13)=Recap_reseau!$C18),INDIRECT("Descriptif!M"&amp;H$13)=$D19),INDIRECT("Descriptif!F"&amp;H$13),"")</f>
        <v/>
      </c>
      <c r="J19" s="10" t="str" cm="1">
        <f t="array" aca="1" ref="J19" ca="1">IF(AND(OR(INDIRECT("Descriptif!I"&amp;I$13)=Recap_reseau!$B18,INDIRECT("Descriptif!I"&amp;I$13)=Recap_reseau!$C18),INDIRECT("Descriptif!M"&amp;I$13)=$D19),INDIRECT("Descriptif!F"&amp;I$13),"")</f>
        <v/>
      </c>
      <c r="K19" s="10" t="str" cm="1">
        <f t="array" aca="1" ref="K19" ca="1">IF(AND(OR(INDIRECT("Descriptif!I"&amp;J$13)=Recap_reseau!$B18,INDIRECT("Descriptif!I"&amp;J$13)=Recap_reseau!$C18),INDIRECT("Descriptif!M"&amp;J$13)=$D19),INDIRECT("Descriptif!F"&amp;J$13),"")</f>
        <v/>
      </c>
      <c r="L19" s="10" t="str" cm="1">
        <f t="array" aca="1" ref="L19" ca="1">IF(AND(OR(INDIRECT("Descriptif!I"&amp;K$13)=Recap_reseau!$B18,INDIRECT("Descriptif!I"&amp;K$13)=Recap_reseau!$C18),INDIRECT("Descriptif!M"&amp;K$13)=$D19),INDIRECT("Descriptif!F"&amp;K$13),"")</f>
        <v/>
      </c>
      <c r="M19" s="10" t="str" cm="1">
        <f t="array" aca="1" ref="M19" ca="1">IF(AND(OR(INDIRECT("Descriptif!I"&amp;L$13)=Recap_reseau!$B18,INDIRECT("Descriptif!I"&amp;L$13)=Recap_reseau!$C18),INDIRECT("Descriptif!M"&amp;L$13)=$D19),INDIRECT("Descriptif!F"&amp;L$13),"")</f>
        <v/>
      </c>
      <c r="N19" s="10" t="str" cm="1">
        <f t="array" aca="1" ref="N19" ca="1">IF(AND(OR(INDIRECT("Descriptif!I"&amp;M$13)=Recap_reseau!$B18,INDIRECT("Descriptif!I"&amp;M$13)=Recap_reseau!$C18),INDIRECT("Descriptif!M"&amp;M$13)=$D19),INDIRECT("Descriptif!F"&amp;M$13),"")</f>
        <v/>
      </c>
      <c r="O19" s="10" t="str" cm="1">
        <f t="array" aca="1" ref="O19" ca="1">IF(AND(OR(INDIRECT("Descriptif!I"&amp;N$13)=Recap_reseau!$B18,INDIRECT("Descriptif!I"&amp;N$13)=Recap_reseau!$C18),INDIRECT("Descriptif!M"&amp;N$13)=$D19),INDIRECT("Descriptif!F"&amp;N$13),"")</f>
        <v/>
      </c>
      <c r="P19" s="10" t="str" cm="1">
        <f t="array" aca="1" ref="P19" ca="1">IF(AND(OR(INDIRECT("Descriptif!I"&amp;O$13)=Recap_reseau!$B18,INDIRECT("Descriptif!I"&amp;O$13)=Recap_reseau!$C18),INDIRECT("Descriptif!M"&amp;O$13)=$D19),INDIRECT("Descriptif!F"&amp;O$13),"")</f>
        <v/>
      </c>
      <c r="Q19" s="10" t="str" cm="1">
        <f t="array" aca="1" ref="Q19" ca="1">IF(AND(OR(INDIRECT("Descriptif!I"&amp;P$13)=Recap_reseau!$B18,INDIRECT("Descriptif!I"&amp;P$13)=Recap_reseau!$C18),INDIRECT("Descriptif!M"&amp;P$13)=$D19),INDIRECT("Descriptif!F"&amp;P$13),"")</f>
        <v/>
      </c>
      <c r="R19" s="10" t="str" cm="1">
        <f t="array" aca="1" ref="R19" ca="1">IF(AND(OR(INDIRECT("Descriptif!I"&amp;Q$13)=Recap_reseau!$B18,INDIRECT("Descriptif!I"&amp;Q$13)=Recap_reseau!$C18),INDIRECT("Descriptif!M"&amp;Q$13)=$D19),INDIRECT("Descriptif!F"&amp;Q$13),"")</f>
        <v/>
      </c>
      <c r="S19" s="10" t="str" cm="1">
        <f t="array" aca="1" ref="S19" ca="1">IF(AND(OR(INDIRECT("Descriptif!I"&amp;R$13)=Recap_reseau!$B18,INDIRECT("Descriptif!I"&amp;R$13)=Recap_reseau!$C18),INDIRECT("Descriptif!M"&amp;R$13)=$D19),INDIRECT("Descriptif!F"&amp;R$13),"")</f>
        <v/>
      </c>
      <c r="T19" s="10" t="str" cm="1">
        <f t="array" aca="1" ref="T19" ca="1">IF(AND(OR(INDIRECT("Descriptif!I"&amp;S$13)=Recap_reseau!$B18,INDIRECT("Descriptif!I"&amp;S$13)=Recap_reseau!$C18),INDIRECT("Descriptif!M"&amp;S$13)=$D19),INDIRECT("Descriptif!F"&amp;S$13),"")</f>
        <v/>
      </c>
    </row>
    <row r="20" spans="2:21" x14ac:dyDescent="0.4">
      <c r="B20" s="1179"/>
      <c r="C20" s="352"/>
      <c r="D20" s="88" t="str">
        <f>$D$9</f>
        <v>Préleveur</v>
      </c>
      <c r="E20" s="88"/>
      <c r="F20" s="10" t="str" cm="1">
        <f t="array" aca="1" ref="F20" ca="1">IF(AND(OR(INDIRECT("Descriptif!I"&amp;E$13)=Recap_reseau!$B18,INDIRECT("Descriptif!I"&amp;E$13)=Recap_reseau!$C18),INDIRECT("Descriptif!M"&amp;E$13)=$D20),INDIRECT("Descriptif!F"&amp;E$13),"")</f>
        <v/>
      </c>
      <c r="G20" s="10" t="str" cm="1">
        <f t="array" aca="1" ref="G20" ca="1">IF(AND(OR(INDIRECT("Descriptif!I"&amp;F$13)=Recap_reseau!$B18,INDIRECT("Descriptif!I"&amp;F$13)=Recap_reseau!$C18),INDIRECT("Descriptif!M"&amp;F$13)=$D20),INDIRECT("Descriptif!F"&amp;F$13),"")</f>
        <v/>
      </c>
      <c r="H20" s="10" t="str" cm="1">
        <f t="array" aca="1" ref="H20" ca="1">IF(AND(OR(INDIRECT("Descriptif!I"&amp;G$13)=Recap_reseau!$B18,INDIRECT("Descriptif!I"&amp;G$13)=Recap_reseau!$C18),INDIRECT("Descriptif!M"&amp;G$13)=$D20),INDIRECT("Descriptif!F"&amp;G$13),"")</f>
        <v/>
      </c>
      <c r="I20" s="10" t="str" cm="1">
        <f t="array" aca="1" ref="I20" ca="1">IF(AND(OR(INDIRECT("Descriptif!I"&amp;H$13)=Recap_reseau!$B18,INDIRECT("Descriptif!I"&amp;H$13)=Recap_reseau!$C18),INDIRECT("Descriptif!M"&amp;H$13)=$D20),INDIRECT("Descriptif!F"&amp;H$13),"")</f>
        <v/>
      </c>
      <c r="J20" s="10" t="str" cm="1">
        <f t="array" aca="1" ref="J20" ca="1">IF(AND(OR(INDIRECT("Descriptif!I"&amp;I$13)=Recap_reseau!$B18,INDIRECT("Descriptif!I"&amp;I$13)=Recap_reseau!$C18),INDIRECT("Descriptif!M"&amp;I$13)=$D20),INDIRECT("Descriptif!F"&amp;I$13),"")</f>
        <v/>
      </c>
      <c r="K20" s="10" t="str" cm="1">
        <f t="array" aca="1" ref="K20" ca="1">IF(AND(OR(INDIRECT("Descriptif!I"&amp;J$13)=Recap_reseau!$B18,INDIRECT("Descriptif!I"&amp;J$13)=Recap_reseau!$C18),INDIRECT("Descriptif!M"&amp;J$13)=$D20),INDIRECT("Descriptif!F"&amp;J$13),"")</f>
        <v/>
      </c>
      <c r="L20" s="10" t="str" cm="1">
        <f t="array" aca="1" ref="L20" ca="1">IF(AND(OR(INDIRECT("Descriptif!I"&amp;K$13)=Recap_reseau!$B18,INDIRECT("Descriptif!I"&amp;K$13)=Recap_reseau!$C18),INDIRECT("Descriptif!M"&amp;K$13)=$D20),INDIRECT("Descriptif!F"&amp;K$13),"")</f>
        <v/>
      </c>
      <c r="M20" s="10" t="str" cm="1">
        <f t="array" aca="1" ref="M20" ca="1">IF(AND(OR(INDIRECT("Descriptif!I"&amp;L$13)=Recap_reseau!$B18,INDIRECT("Descriptif!I"&amp;L$13)=Recap_reseau!$C18),INDIRECT("Descriptif!M"&amp;L$13)=$D20),INDIRECT("Descriptif!F"&amp;L$13),"")</f>
        <v/>
      </c>
      <c r="N20" s="10" t="str" cm="1">
        <f t="array" aca="1" ref="N20" ca="1">IF(AND(OR(INDIRECT("Descriptif!I"&amp;M$13)=Recap_reseau!$B18,INDIRECT("Descriptif!I"&amp;M$13)=Recap_reseau!$C18),INDIRECT("Descriptif!M"&amp;M$13)=$D20),INDIRECT("Descriptif!F"&amp;M$13),"")</f>
        <v/>
      </c>
      <c r="O20" s="10" t="str" cm="1">
        <f t="array" aca="1" ref="O20" ca="1">IF(AND(OR(INDIRECT("Descriptif!I"&amp;N$13)=Recap_reseau!$B18,INDIRECT("Descriptif!I"&amp;N$13)=Recap_reseau!$C18),INDIRECT("Descriptif!M"&amp;N$13)=$D20),INDIRECT("Descriptif!F"&amp;N$13),"")</f>
        <v/>
      </c>
      <c r="P20" s="10" t="str" cm="1">
        <f t="array" aca="1" ref="P20" ca="1">IF(AND(OR(INDIRECT("Descriptif!I"&amp;O$13)=Recap_reseau!$B18,INDIRECT("Descriptif!I"&amp;O$13)=Recap_reseau!$C18),INDIRECT("Descriptif!M"&amp;O$13)=$D20),INDIRECT("Descriptif!F"&amp;O$13),"")</f>
        <v/>
      </c>
      <c r="Q20" s="10" t="str" cm="1">
        <f t="array" aca="1" ref="Q20" ca="1">IF(AND(OR(INDIRECT("Descriptif!I"&amp;P$13)=Recap_reseau!$B18,INDIRECT("Descriptif!I"&amp;P$13)=Recap_reseau!$C18),INDIRECT("Descriptif!M"&amp;P$13)=$D20),INDIRECT("Descriptif!F"&amp;P$13),"")</f>
        <v/>
      </c>
      <c r="R20" s="10" t="str" cm="1">
        <f t="array" aca="1" ref="R20" ca="1">IF(AND(OR(INDIRECT("Descriptif!I"&amp;Q$13)=Recap_reseau!$B18,INDIRECT("Descriptif!I"&amp;Q$13)=Recap_reseau!$C18),INDIRECT("Descriptif!M"&amp;Q$13)=$D20),INDIRECT("Descriptif!F"&amp;Q$13),"")</f>
        <v/>
      </c>
      <c r="S20" s="10" t="str" cm="1">
        <f t="array" aca="1" ref="S20" ca="1">IF(AND(OR(INDIRECT("Descriptif!I"&amp;R$13)=Recap_reseau!$B18,INDIRECT("Descriptif!I"&amp;R$13)=Recap_reseau!$C18),INDIRECT("Descriptif!M"&amp;R$13)=$D20),INDIRECT("Descriptif!F"&amp;R$13),"")</f>
        <v/>
      </c>
      <c r="T20" s="10" t="str" cm="1">
        <f t="array" aca="1" ref="T20" ca="1">IF(AND(OR(INDIRECT("Descriptif!I"&amp;S$13)=Recap_reseau!$B18,INDIRECT("Descriptif!I"&amp;S$13)=Recap_reseau!$C18),INDIRECT("Descriptif!M"&amp;S$13)=$D20),INDIRECT("Descriptif!F"&amp;S$13),"")</f>
        <v/>
      </c>
    </row>
    <row r="21" spans="2:21" x14ac:dyDescent="0.4">
      <c r="B21" s="1179"/>
      <c r="C21" s="352"/>
      <c r="D21" s="287" t="s">
        <v>392</v>
      </c>
      <c r="E21" s="287"/>
      <c r="F21" s="288" t="str">
        <f ca="1">IF(F20&lt;&gt;"",VLOOKUP(F20,Analytique!$X$3:$AE$29,1,FALSE),"")</f>
        <v/>
      </c>
      <c r="G21" s="288" t="str">
        <f ca="1">IF(G20&lt;&gt;"",VLOOKUP(G20,Analytique!$X$3:$AE$29,1,FALSE),"")</f>
        <v/>
      </c>
      <c r="H21" s="288" t="str">
        <f ca="1">IF(H20&lt;&gt;"",VLOOKUP(H20,Analytique!$X$3:$AE$29,1,FALSE),"")</f>
        <v/>
      </c>
      <c r="I21" s="288" t="str">
        <f ca="1">IF(I20&lt;&gt;"",VLOOKUP(I20,Analytique!$X$3:$AE$29,1,FALSE),"")</f>
        <v/>
      </c>
      <c r="J21" s="288" t="str">
        <f ca="1">IF(J20&lt;&gt;"",VLOOKUP(J20,Analytique!$X$3:$AE$29,1,FALSE),"")</f>
        <v/>
      </c>
      <c r="K21" s="288" t="str">
        <f ca="1">IF(K20&lt;&gt;"",VLOOKUP(K20,Analytique!$X$3:$AE$29,1,FALSE),"")</f>
        <v/>
      </c>
      <c r="L21" s="288" t="str">
        <f ca="1">IF(L20&lt;&gt;"",VLOOKUP(L20,Analytique!$X$3:$AE$29,1,FALSE),"")</f>
        <v/>
      </c>
      <c r="M21" s="288" t="str">
        <f ca="1">IF(M20&lt;&gt;"",VLOOKUP(M20,Analytique!$X$3:$AE$29,1,FALSE),"")</f>
        <v/>
      </c>
      <c r="N21" s="288" t="str">
        <f ca="1">IF(N20&lt;&gt;"",VLOOKUP(N20,Analytique!$X$3:$AE$29,1,FALSE),"")</f>
        <v/>
      </c>
      <c r="O21" s="288" t="str">
        <f ca="1">IF(O20&lt;&gt;"",VLOOKUP(O20,Analytique!$X$3:$AE$29,1,FALSE),"")</f>
        <v/>
      </c>
      <c r="P21" s="288" t="str">
        <f ca="1">IF(P20&lt;&gt;"",VLOOKUP(P20,Analytique!$X$3:$AE$29,1,FALSE),"")</f>
        <v/>
      </c>
      <c r="Q21" s="288" t="str">
        <f ca="1">IF(Q20&lt;&gt;"",VLOOKUP(Q20,Analytique!$X$3:$AE$29,1,FALSE),"")</f>
        <v/>
      </c>
      <c r="R21" s="288" t="str">
        <f ca="1">IF(R20&lt;&gt;"",VLOOKUP(R20,Analytique!$X$3:$AE$29,1,FALSE),"")</f>
        <v/>
      </c>
      <c r="S21" s="288" t="str">
        <f ca="1">IF(S20&lt;&gt;"",VLOOKUP(S20,Analytique!$X$3:$AE$29,1,FALSE),"")</f>
        <v/>
      </c>
      <c r="T21" s="288" t="str">
        <f ca="1">IF(T20&lt;&gt;"",VLOOKUP(T20,Analytique!$X$3:$AE$29,1,FALSE),"")</f>
        <v/>
      </c>
    </row>
    <row r="22" spans="2:21" ht="13" thickBot="1" x14ac:dyDescent="0.45">
      <c r="B22" s="1180"/>
      <c r="C22" s="353"/>
      <c r="D22" s="93" t="str">
        <f>$D$10</f>
        <v>Sonde de température</v>
      </c>
      <c r="E22" s="93"/>
      <c r="F22" s="94" t="str" cm="1">
        <f t="array" aca="1" ref="F22" ca="1">IF(AND(OR(INDIRECT("Descriptif!I"&amp;E$13)=Recap_reseau!$B18,INDIRECT("Descriptif!I"&amp;E$13)=Recap_reseau!$C18),INDIRECT("Descriptif!M"&amp;E$13)=$D22),INDIRECT("Descriptif!F"&amp;E$13),"")</f>
        <v/>
      </c>
      <c r="G22" s="94" t="str" cm="1">
        <f t="array" aca="1" ref="G22" ca="1">IF(AND(OR(INDIRECT("Descriptif!I"&amp;F$13)=Recap_reseau!$B18,INDIRECT("Descriptif!I"&amp;F$13)=Recap_reseau!$C18),INDIRECT("Descriptif!M"&amp;F$13)=$D22),INDIRECT("Descriptif!F"&amp;F$13),"")</f>
        <v/>
      </c>
      <c r="H22" s="94" t="str" cm="1">
        <f t="array" aca="1" ref="H22" ca="1">IF(AND(OR(INDIRECT("Descriptif!I"&amp;G$13)=Recap_reseau!$B18,INDIRECT("Descriptif!I"&amp;G$13)=Recap_reseau!$C18),INDIRECT("Descriptif!M"&amp;G$13)=$D22),INDIRECT("Descriptif!F"&amp;G$13),"")</f>
        <v/>
      </c>
      <c r="I22" s="94" t="str" cm="1">
        <f t="array" aca="1" ref="I22" ca="1">IF(AND(OR(INDIRECT("Descriptif!I"&amp;H$13)=Recap_reseau!$B18,INDIRECT("Descriptif!I"&amp;H$13)=Recap_reseau!$C18),INDIRECT("Descriptif!M"&amp;H$13)=$D22),INDIRECT("Descriptif!F"&amp;H$13),"")</f>
        <v/>
      </c>
      <c r="J22" s="94" t="str" cm="1">
        <f t="array" aca="1" ref="J22" ca="1">IF(AND(OR(INDIRECT("Descriptif!I"&amp;I$13)=Recap_reseau!$B18,INDIRECT("Descriptif!I"&amp;I$13)=Recap_reseau!$C18),INDIRECT("Descriptif!M"&amp;I$13)=$D22),INDIRECT("Descriptif!F"&amp;I$13),"")</f>
        <v/>
      </c>
      <c r="K22" s="94" t="str" cm="1">
        <f t="array" aca="1" ref="K22" ca="1">IF(AND(OR(INDIRECT("Descriptif!I"&amp;J$13)=Recap_reseau!$B18,INDIRECT("Descriptif!I"&amp;J$13)=Recap_reseau!$C18),INDIRECT("Descriptif!M"&amp;J$13)=$D22),INDIRECT("Descriptif!F"&amp;J$13),"")</f>
        <v/>
      </c>
      <c r="L22" s="94" t="str" cm="1">
        <f t="array" aca="1" ref="L22" ca="1">IF(AND(OR(INDIRECT("Descriptif!I"&amp;K$13)=Recap_reseau!$B18,INDIRECT("Descriptif!I"&amp;K$13)=Recap_reseau!$C18),INDIRECT("Descriptif!M"&amp;K$13)=$D22),INDIRECT("Descriptif!F"&amp;K$13),"")</f>
        <v/>
      </c>
      <c r="M22" s="94" t="str" cm="1">
        <f t="array" aca="1" ref="M22" ca="1">IF(AND(OR(INDIRECT("Descriptif!I"&amp;L$13)=Recap_reseau!$B18,INDIRECT("Descriptif!I"&amp;L$13)=Recap_reseau!$C18),INDIRECT("Descriptif!M"&amp;L$13)=$D22),INDIRECT("Descriptif!F"&amp;L$13),"")</f>
        <v/>
      </c>
      <c r="N22" s="94" t="str" cm="1">
        <f t="array" aca="1" ref="N22" ca="1">IF(AND(OR(INDIRECT("Descriptif!I"&amp;M$13)=Recap_reseau!$B18,INDIRECT("Descriptif!I"&amp;M$13)=Recap_reseau!$C18),INDIRECT("Descriptif!M"&amp;M$13)=$D22),INDIRECT("Descriptif!F"&amp;M$13),"")</f>
        <v/>
      </c>
      <c r="O22" s="94" t="str" cm="1">
        <f t="array" aca="1" ref="O22" ca="1">IF(AND(OR(INDIRECT("Descriptif!I"&amp;N$13)=Recap_reseau!$B18,INDIRECT("Descriptif!I"&amp;N$13)=Recap_reseau!$C18),INDIRECT("Descriptif!M"&amp;N$13)=$D22),INDIRECT("Descriptif!F"&amp;N$13),"")</f>
        <v/>
      </c>
      <c r="P22" s="94" t="str" cm="1">
        <f t="array" aca="1" ref="P22" ca="1">IF(AND(OR(INDIRECT("Descriptif!I"&amp;O$13)=Recap_reseau!$B18,INDIRECT("Descriptif!I"&amp;O$13)=Recap_reseau!$C18),INDIRECT("Descriptif!M"&amp;O$13)=$D22),INDIRECT("Descriptif!F"&amp;O$13),"")</f>
        <v/>
      </c>
      <c r="Q22" s="94" t="str" cm="1">
        <f t="array" aca="1" ref="Q22" ca="1">IF(AND(OR(INDIRECT("Descriptif!I"&amp;P$13)=Recap_reseau!$B18,INDIRECT("Descriptif!I"&amp;P$13)=Recap_reseau!$C18),INDIRECT("Descriptif!M"&amp;P$13)=$D22),INDIRECT("Descriptif!F"&amp;P$13),"")</f>
        <v/>
      </c>
      <c r="R22" s="94" t="str" cm="1">
        <f t="array" aca="1" ref="R22" ca="1">IF(AND(OR(INDIRECT("Descriptif!I"&amp;Q$13)=Recap_reseau!$B18,INDIRECT("Descriptif!I"&amp;Q$13)=Recap_reseau!$C18),INDIRECT("Descriptif!M"&amp;Q$13)=$D22),INDIRECT("Descriptif!F"&amp;Q$13),"")</f>
        <v/>
      </c>
      <c r="S22" s="94" t="str" cm="1">
        <f t="array" aca="1" ref="S22" ca="1">IF(AND(OR(INDIRECT("Descriptif!I"&amp;R$13)=Recap_reseau!$B18,INDIRECT("Descriptif!I"&amp;R$13)=Recap_reseau!$C18),INDIRECT("Descriptif!M"&amp;R$13)=$D22),INDIRECT("Descriptif!F"&amp;R$13),"")</f>
        <v/>
      </c>
      <c r="T22" s="94" t="str" cm="1">
        <f t="array" aca="1" ref="T22" ca="1">IF(AND(OR(INDIRECT("Descriptif!I"&amp;S$13)=Recap_reseau!$B18,INDIRECT("Descriptif!I"&amp;S$13)=Recap_reseau!$C18),INDIRECT("Descriptif!M"&amp;S$13)=$D22),INDIRECT("Descriptif!F"&amp;S$13),"")</f>
        <v/>
      </c>
    </row>
    <row r="24" spans="2:21" s="84" customFormat="1" ht="23.1" customHeight="1" x14ac:dyDescent="0.4">
      <c r="B24" s="85" t="s">
        <v>314</v>
      </c>
    </row>
    <row r="25" spans="2:21" ht="13" thickBot="1" x14ac:dyDescent="0.45">
      <c r="B25" t="s">
        <v>406</v>
      </c>
    </row>
    <row r="26" spans="2:21" s="9" customFormat="1" ht="27.95" customHeight="1" thickBot="1" x14ac:dyDescent="0.45">
      <c r="B26" s="109" t="s">
        <v>307</v>
      </c>
      <c r="C26" s="110" t="s">
        <v>308</v>
      </c>
      <c r="D26" s="115"/>
      <c r="E26" s="128" t="s">
        <v>316</v>
      </c>
      <c r="F26" s="116" t="s">
        <v>315</v>
      </c>
      <c r="G26" s="107" t="s">
        <v>5</v>
      </c>
      <c r="H26" s="107" t="s">
        <v>6</v>
      </c>
      <c r="I26" s="107" t="s">
        <v>7</v>
      </c>
      <c r="J26" s="107" t="s">
        <v>16</v>
      </c>
      <c r="K26" s="107" t="s">
        <v>17</v>
      </c>
      <c r="L26" s="107" t="s">
        <v>18</v>
      </c>
      <c r="M26" s="107" t="s">
        <v>19</v>
      </c>
      <c r="N26" s="107" t="s">
        <v>20</v>
      </c>
      <c r="O26" s="107" t="s">
        <v>21</v>
      </c>
      <c r="P26" s="107" t="s">
        <v>22</v>
      </c>
      <c r="Q26" s="107" t="s">
        <v>23</v>
      </c>
      <c r="R26" s="108" t="s">
        <v>24</v>
      </c>
      <c r="S26" s="108" t="s">
        <v>301</v>
      </c>
      <c r="T26" s="108" t="s">
        <v>302</v>
      </c>
      <c r="U26" s="108" t="s">
        <v>303</v>
      </c>
    </row>
    <row r="27" spans="2:21" x14ac:dyDescent="0.4">
      <c r="B27" s="1178" t="s">
        <v>99</v>
      </c>
      <c r="C27" s="1181" t="s">
        <v>101</v>
      </c>
      <c r="D27" s="89" t="str">
        <f>$D$7</f>
        <v>Débitmètre en charge</v>
      </c>
      <c r="E27" s="1175" t="str">
        <f ca="1">IFERROR(AVERAGE(F29:F31)*$B$5,"")</f>
        <v/>
      </c>
      <c r="F27" s="125" t="str">
        <f t="shared" ref="F27:F32" ca="1" si="1">IFERROR(AVERAGE(G27:U27),"")</f>
        <v/>
      </c>
      <c r="G27" s="120" t="str" cm="1">
        <f t="array" aca="1" ref="G27" ca="1">IF(F18&lt;&gt;"",INDIRECT(F18&amp;"!"&amp;$F$7),"")</f>
        <v/>
      </c>
      <c r="H27" s="90" t="str" cm="1">
        <f t="array" aca="1" ref="H27" ca="1">IF(G18&lt;&gt;"",INDIRECT(G18&amp;"!"&amp;$F$7),"")</f>
        <v/>
      </c>
      <c r="I27" s="90" t="str" cm="1">
        <f t="array" aca="1" ref="I27" ca="1">IF(H18&lt;&gt;"",INDIRECT(H18&amp;"!"&amp;$F$7),"")</f>
        <v/>
      </c>
      <c r="J27" s="90" t="str" cm="1">
        <f t="array" aca="1" ref="J27" ca="1">IF(I18&lt;&gt;"",INDIRECT(I18&amp;"!"&amp;$F$7),"")</f>
        <v/>
      </c>
      <c r="K27" s="90" t="str" cm="1">
        <f t="array" aca="1" ref="K27" ca="1">IF(J18&lt;&gt;"",INDIRECT(J18&amp;"!"&amp;$F$7),"")</f>
        <v/>
      </c>
      <c r="L27" s="90" t="str" cm="1">
        <f t="array" aca="1" ref="L27" ca="1">IF(K18&lt;&gt;"",INDIRECT(K18&amp;"!"&amp;$F$7),"")</f>
        <v/>
      </c>
      <c r="M27" s="90" t="str" cm="1">
        <f t="array" aca="1" ref="M27" ca="1">IF(L18&lt;&gt;"",INDIRECT(L18&amp;"!"&amp;$F$7),"")</f>
        <v/>
      </c>
      <c r="N27" s="90" t="str" cm="1">
        <f t="array" aca="1" ref="N27" ca="1">IF(M18&lt;&gt;"",INDIRECT(M18&amp;"!"&amp;$F$7),"")</f>
        <v/>
      </c>
      <c r="O27" s="90" t="str" cm="1">
        <f t="array" aca="1" ref="O27" ca="1">IF(N18&lt;&gt;"",INDIRECT(N18&amp;"!"&amp;$F$7),"")</f>
        <v/>
      </c>
      <c r="P27" s="90" t="str" cm="1">
        <f t="array" aca="1" ref="P27" ca="1">IF(O18&lt;&gt;"",INDIRECT(O18&amp;"!"&amp;$F$7),"")</f>
        <v/>
      </c>
      <c r="Q27" s="90" t="str" cm="1">
        <f t="array" aca="1" ref="Q27" ca="1">IF(P18&lt;&gt;"",INDIRECT(P18&amp;"!"&amp;$F$7),"")</f>
        <v/>
      </c>
      <c r="R27" s="90" t="str" cm="1">
        <f t="array" aca="1" ref="R27" ca="1">IF(Q18&lt;&gt;"",INDIRECT(Q18&amp;"!"&amp;$F$7),"")</f>
        <v/>
      </c>
      <c r="S27" s="90" t="str" cm="1">
        <f t="array" aca="1" ref="S27" ca="1">IF(R18&lt;&gt;"",INDIRECT(R18&amp;"!"&amp;$F$7),"")</f>
        <v/>
      </c>
      <c r="T27" s="90" t="str" cm="1">
        <f t="array" aca="1" ref="T27" ca="1">IF(S18&lt;&gt;"",INDIRECT(S18&amp;"!"&amp;$F$7),"")</f>
        <v/>
      </c>
      <c r="U27" s="91" t="str" cm="1">
        <f t="array" aca="1" ref="U27" ca="1">IF(T18&lt;&gt;"",INDIRECT(T18&amp;"!"&amp;$F$7),"")</f>
        <v/>
      </c>
    </row>
    <row r="28" spans="2:21" x14ac:dyDescent="0.4">
      <c r="B28" s="1179"/>
      <c r="C28" s="1182"/>
      <c r="D28" s="88" t="str">
        <f>$D$8</f>
        <v>Débitmètre gravitaire</v>
      </c>
      <c r="E28" s="1176"/>
      <c r="F28" s="126" t="str">
        <f t="shared" ca="1" si="1"/>
        <v/>
      </c>
      <c r="G28" s="121" t="str" cm="1">
        <f t="array" aca="1" ref="G28" ca="1">IF(F19&lt;&gt;"",INDIRECT(F19&amp;"!"&amp;$F$8),"")</f>
        <v/>
      </c>
      <c r="H28" s="10" t="str" cm="1">
        <f t="array" aca="1" ref="H28" ca="1">IF(G19&lt;&gt;"",INDIRECT(G19&amp;"!"&amp;$F$8),"")</f>
        <v/>
      </c>
      <c r="I28" s="10" t="str" cm="1">
        <f t="array" aca="1" ref="I28" ca="1">IF(H19&lt;&gt;"",INDIRECT(H19&amp;"!"&amp;$F$8),"")</f>
        <v/>
      </c>
      <c r="J28" s="10" t="str" cm="1">
        <f t="array" aca="1" ref="J28" ca="1">IF(I19&lt;&gt;"",INDIRECT(I19&amp;"!"&amp;$F$8),"")</f>
        <v/>
      </c>
      <c r="K28" s="10" t="str" cm="1">
        <f t="array" aca="1" ref="K28" ca="1">IF(J19&lt;&gt;"",INDIRECT(J19&amp;"!"&amp;$F$8),"")</f>
        <v/>
      </c>
      <c r="L28" s="10" t="str" cm="1">
        <f t="array" aca="1" ref="L28" ca="1">IF(K19&lt;&gt;"",INDIRECT(K19&amp;"!"&amp;$F$8),"")</f>
        <v/>
      </c>
      <c r="M28" s="10" t="str" cm="1">
        <f t="array" aca="1" ref="M28" ca="1">IF(L19&lt;&gt;"",INDIRECT(L19&amp;"!"&amp;$F$8),"")</f>
        <v/>
      </c>
      <c r="N28" s="10" t="str" cm="1">
        <f t="array" aca="1" ref="N28" ca="1">IF(M19&lt;&gt;"",INDIRECT(M19&amp;"!"&amp;$F$8),"")</f>
        <v/>
      </c>
      <c r="O28" s="10" t="str" cm="1">
        <f t="array" aca="1" ref="O28" ca="1">IF(N19&lt;&gt;"",INDIRECT(N19&amp;"!"&amp;$F$8),"")</f>
        <v/>
      </c>
      <c r="P28" s="10" t="str" cm="1">
        <f t="array" aca="1" ref="P28" ca="1">IF(O19&lt;&gt;"",INDIRECT(O19&amp;"!"&amp;$F$8),"")</f>
        <v/>
      </c>
      <c r="Q28" s="10" t="str" cm="1">
        <f t="array" aca="1" ref="Q28" ca="1">IF(P19&lt;&gt;"",INDIRECT(P19&amp;"!"&amp;$F$8),"")</f>
        <v/>
      </c>
      <c r="R28" s="10" t="str" cm="1">
        <f t="array" aca="1" ref="R28" ca="1">IF(Q19&lt;&gt;"",INDIRECT(Q19&amp;"!"&amp;$F$8),"")</f>
        <v/>
      </c>
      <c r="S28" s="10" t="str" cm="1">
        <f t="array" aca="1" ref="S28" ca="1">IF(R19&lt;&gt;"",INDIRECT(R19&amp;"!"&amp;$F$8),"")</f>
        <v/>
      </c>
      <c r="T28" s="10" t="str" cm="1">
        <f t="array" aca="1" ref="T28" ca="1">IF(S19&lt;&gt;"",INDIRECT(S19&amp;"!"&amp;$F$8),"")</f>
        <v/>
      </c>
      <c r="U28" s="92" t="str" cm="1">
        <f t="array" aca="1" ref="U28" ca="1">IF(T19&lt;&gt;"",INDIRECT(T19&amp;"!"&amp;$F$8),"")</f>
        <v/>
      </c>
    </row>
    <row r="29" spans="2:21" x14ac:dyDescent="0.4">
      <c r="B29" s="1179"/>
      <c r="C29" s="1182"/>
      <c r="D29" s="88" t="s">
        <v>400</v>
      </c>
      <c r="E29" s="1176"/>
      <c r="F29" s="126" t="str">
        <f t="shared" ca="1" si="1"/>
        <v/>
      </c>
      <c r="G29" s="122" t="str">
        <f ca="1">IF(COUNT(G27:G28)&gt;0,SUM(G27:G28),"")</f>
        <v/>
      </c>
      <c r="H29" s="111" t="str">
        <f t="shared" ref="H29:U29" ca="1" si="2">IF(COUNT(H27:H28)&gt;0,SUM(H27:H28),"")</f>
        <v/>
      </c>
      <c r="I29" s="111" t="str">
        <f t="shared" ca="1" si="2"/>
        <v/>
      </c>
      <c r="J29" s="111" t="str">
        <f t="shared" ca="1" si="2"/>
        <v/>
      </c>
      <c r="K29" s="111" t="str">
        <f t="shared" ca="1" si="2"/>
        <v/>
      </c>
      <c r="L29" s="111" t="str">
        <f t="shared" ca="1" si="2"/>
        <v/>
      </c>
      <c r="M29" s="111" t="str">
        <f t="shared" ca="1" si="2"/>
        <v/>
      </c>
      <c r="N29" s="111" t="str">
        <f t="shared" ca="1" si="2"/>
        <v/>
      </c>
      <c r="O29" s="111" t="str">
        <f t="shared" ca="1" si="2"/>
        <v/>
      </c>
      <c r="P29" s="111" t="str">
        <f t="shared" ca="1" si="2"/>
        <v/>
      </c>
      <c r="Q29" s="111" t="str">
        <f t="shared" ca="1" si="2"/>
        <v/>
      </c>
      <c r="R29" s="111" t="str">
        <f t="shared" ca="1" si="2"/>
        <v/>
      </c>
      <c r="S29" s="111" t="str">
        <f t="shared" ca="1" si="2"/>
        <v/>
      </c>
      <c r="T29" s="111" t="str">
        <f t="shared" ca="1" si="2"/>
        <v/>
      </c>
      <c r="U29" s="112" t="str">
        <f t="shared" ca="1" si="2"/>
        <v/>
      </c>
    </row>
    <row r="30" spans="2:21" x14ac:dyDescent="0.4">
      <c r="B30" s="1179"/>
      <c r="C30" s="1182"/>
      <c r="D30" s="88" t="str">
        <f>$D$9</f>
        <v>Préleveur</v>
      </c>
      <c r="E30" s="1176"/>
      <c r="F30" s="126" t="str">
        <f t="shared" ca="1" si="1"/>
        <v/>
      </c>
      <c r="G30" s="121" t="str" cm="1">
        <f t="array" aca="1" ref="G30" ca="1">IF(F20&lt;&gt;"",INDIRECT(F20&amp;"!"&amp;$F$9),"")</f>
        <v/>
      </c>
      <c r="H30" s="10" t="str" cm="1">
        <f t="array" aca="1" ref="H30" ca="1">IF(G20&lt;&gt;"",INDIRECT(G20&amp;"!"&amp;$F$9),"")</f>
        <v/>
      </c>
      <c r="I30" s="10" t="str" cm="1">
        <f t="array" aca="1" ref="I30" ca="1">IF(H20&lt;&gt;"",INDIRECT(H20&amp;"!"&amp;$F$9),"")</f>
        <v/>
      </c>
      <c r="J30" s="10" t="str" cm="1">
        <f t="array" aca="1" ref="J30" ca="1">IF(I20&lt;&gt;"",INDIRECT(I20&amp;"!"&amp;$F$9),"")</f>
        <v/>
      </c>
      <c r="K30" s="10" t="str" cm="1">
        <f t="array" aca="1" ref="K30" ca="1">IF(J20&lt;&gt;"",INDIRECT(J20&amp;"!"&amp;$F$9),"")</f>
        <v/>
      </c>
      <c r="L30" s="10" t="str" cm="1">
        <f t="array" aca="1" ref="L30" ca="1">IF(K20&lt;&gt;"",INDIRECT(K20&amp;"!"&amp;$F$9),"")</f>
        <v/>
      </c>
      <c r="M30" s="10" t="str" cm="1">
        <f t="array" aca="1" ref="M30" ca="1">IF(L20&lt;&gt;"",INDIRECT(L20&amp;"!"&amp;$F$9),"")</f>
        <v/>
      </c>
      <c r="N30" s="10" t="str" cm="1">
        <f t="array" aca="1" ref="N30" ca="1">IF(M20&lt;&gt;"",INDIRECT(M20&amp;"!"&amp;$F$9),"")</f>
        <v/>
      </c>
      <c r="O30" s="10" t="str" cm="1">
        <f t="array" aca="1" ref="O30" ca="1">IF(N20&lt;&gt;"",INDIRECT(N20&amp;"!"&amp;$F$9),"")</f>
        <v/>
      </c>
      <c r="P30" s="10" t="str" cm="1">
        <f t="array" aca="1" ref="P30" ca="1">IF(O20&lt;&gt;"",INDIRECT(O20&amp;"!"&amp;$F$9),"")</f>
        <v/>
      </c>
      <c r="Q30" s="10" t="str" cm="1">
        <f t="array" aca="1" ref="Q30" ca="1">IF(P20&lt;&gt;"",INDIRECT(P20&amp;"!"&amp;$F$9),"")</f>
        <v/>
      </c>
      <c r="R30" s="10" t="str" cm="1">
        <f t="array" aca="1" ref="R30" ca="1">IF(Q20&lt;&gt;"",INDIRECT(Q20&amp;"!"&amp;$F$9),"")</f>
        <v/>
      </c>
      <c r="S30" s="10" t="str" cm="1">
        <f t="array" aca="1" ref="S30" ca="1">IF(R20&lt;&gt;"",INDIRECT(R20&amp;"!"&amp;$F$9),"")</f>
        <v/>
      </c>
      <c r="T30" s="10" t="str" cm="1">
        <f t="array" aca="1" ref="T30" ca="1">IF(S20&lt;&gt;"",INDIRECT(S20&amp;"!"&amp;$F$9),"")</f>
        <v/>
      </c>
      <c r="U30" s="92" t="str" cm="1">
        <f t="array" aca="1" ref="U30" ca="1">IF(T20&lt;&gt;"",INDIRECT(T20&amp;"!"&amp;$F$9),"")</f>
        <v/>
      </c>
    </row>
    <row r="31" spans="2:21" x14ac:dyDescent="0.4">
      <c r="B31" s="1179"/>
      <c r="C31" s="1182"/>
      <c r="D31" s="287" t="s">
        <v>392</v>
      </c>
      <c r="E31" s="1176"/>
      <c r="F31" s="126" t="str">
        <f t="shared" ca="1" si="1"/>
        <v/>
      </c>
      <c r="G31" s="288" t="str">
        <f ca="1">IF(F21&lt;&gt;"",VLOOKUP(F21,Analytique!$X$3:$AE$29,6,FALSE),"")</f>
        <v/>
      </c>
      <c r="H31" s="288" t="str">
        <f ca="1">IF(G21&lt;&gt;"",VLOOKUP(G21,Analytique!$X$3:$AE$29,6,FALSE),"")</f>
        <v/>
      </c>
      <c r="I31" s="288" t="str">
        <f ca="1">IF(H21&lt;&gt;"",VLOOKUP(H21,Analytique!$X$3:$AE$29,6,FALSE),"")</f>
        <v/>
      </c>
      <c r="J31" s="288" t="str">
        <f ca="1">IF(I21&lt;&gt;"",VLOOKUP(I21,Analytique!$X$3:$AE$29,6,FALSE),"")</f>
        <v/>
      </c>
      <c r="K31" s="288" t="str">
        <f ca="1">IF(J21&lt;&gt;"",VLOOKUP(J21,Analytique!$X$3:$AE$29,6,FALSE),"")</f>
        <v/>
      </c>
      <c r="L31" s="288" t="str">
        <f ca="1">IF(K21&lt;&gt;"",VLOOKUP(K21,Analytique!$X$3:$AE$29,6,FALSE),"")</f>
        <v/>
      </c>
      <c r="M31" s="288" t="str">
        <f ca="1">IF(L21&lt;&gt;"",VLOOKUP(L21,Analytique!$X$3:$AE$29,6,FALSE),"")</f>
        <v/>
      </c>
      <c r="N31" s="288" t="str">
        <f ca="1">IF(M21&lt;&gt;"",VLOOKUP(M21,Analytique!$X$3:$AE$29,6,FALSE),"")</f>
        <v/>
      </c>
      <c r="O31" s="288" t="str">
        <f ca="1">IF(N21&lt;&gt;"",VLOOKUP(N21,Analytique!$X$3:$AE$29,6,FALSE),"")</f>
        <v/>
      </c>
      <c r="P31" s="288" t="str">
        <f ca="1">IF(O21&lt;&gt;"",VLOOKUP(O21,Analytique!$X$3:$AE$29,6,FALSE),"")</f>
        <v/>
      </c>
      <c r="Q31" s="288" t="str">
        <f ca="1">IF(P21&lt;&gt;"",VLOOKUP(P21,Analytique!$X$3:$AE$29,6,FALSE),"")</f>
        <v/>
      </c>
      <c r="R31" s="288" t="str">
        <f ca="1">IF(Q21&lt;&gt;"",VLOOKUP(Q21,Analytique!$X$3:$AE$29,6,FALSE),"")</f>
        <v/>
      </c>
      <c r="S31" s="288" t="str">
        <f ca="1">IF(R21&lt;&gt;"",VLOOKUP(R21,Analytique!$X$3:$AE$29,6,FALSE),"")</f>
        <v/>
      </c>
      <c r="T31" s="288" t="str">
        <f ca="1">IF(S21&lt;&gt;"",VLOOKUP(S21,Analytique!$X$3:$AE$29,6,FALSE),"")</f>
        <v/>
      </c>
      <c r="U31" s="288" t="str">
        <f ca="1">IF(T21&lt;&gt;"",VLOOKUP(T21,Analytique!$X$3:$AE$29,6,FALSE),"")</f>
        <v/>
      </c>
    </row>
    <row r="32" spans="2:21" ht="13" thickBot="1" x14ac:dyDescent="0.45">
      <c r="B32" s="1180"/>
      <c r="C32" s="1183"/>
      <c r="D32" s="93" t="str">
        <f>$D$10</f>
        <v>Sonde de température</v>
      </c>
      <c r="E32" s="1177"/>
      <c r="F32" s="127" t="str">
        <f t="shared" ca="1" si="1"/>
        <v/>
      </c>
      <c r="G32" s="123" t="str" cm="1">
        <f t="array" aca="1" ref="G32" ca="1">IF(F22&lt;&gt;"",INDIRECT(F22&amp;"!"&amp;$F$10),"")</f>
        <v/>
      </c>
      <c r="H32" s="96" t="str" cm="1">
        <f t="array" aca="1" ref="H32" ca="1">IF(G22&lt;&gt;"",INDIRECT(G22&amp;"!"&amp;$F$10),"")</f>
        <v/>
      </c>
      <c r="I32" s="96" t="str" cm="1">
        <f t="array" aca="1" ref="I32" ca="1">IF(H22&lt;&gt;"",INDIRECT(H22&amp;"!"&amp;$F$10),"")</f>
        <v/>
      </c>
      <c r="J32" s="96" t="str" cm="1">
        <f t="array" aca="1" ref="J32" ca="1">IF(I22&lt;&gt;"",INDIRECT(I22&amp;"!"&amp;$F$10),"")</f>
        <v/>
      </c>
      <c r="K32" s="96" t="str" cm="1">
        <f t="array" aca="1" ref="K32" ca="1">IF(J22&lt;&gt;"",INDIRECT(J22&amp;"!"&amp;$F$10),"")</f>
        <v/>
      </c>
      <c r="L32" s="96" t="str" cm="1">
        <f t="array" aca="1" ref="L32" ca="1">IF(K22&lt;&gt;"",INDIRECT(K22&amp;"!"&amp;$F$10),"")</f>
        <v/>
      </c>
      <c r="M32" s="96" t="str" cm="1">
        <f t="array" aca="1" ref="M32" ca="1">IF(L22&lt;&gt;"",INDIRECT(L22&amp;"!"&amp;$F$10),"")</f>
        <v/>
      </c>
      <c r="N32" s="96" t="str" cm="1">
        <f t="array" aca="1" ref="N32" ca="1">IF(M22&lt;&gt;"",INDIRECT(M22&amp;"!"&amp;$F$10),"")</f>
        <v/>
      </c>
      <c r="O32" s="96" t="str" cm="1">
        <f t="array" aca="1" ref="O32" ca="1">IF(N22&lt;&gt;"",INDIRECT(N22&amp;"!"&amp;$F$10),"")</f>
        <v/>
      </c>
      <c r="P32" s="96" t="str" cm="1">
        <f t="array" aca="1" ref="P32" ca="1">IF(O22&lt;&gt;"",INDIRECT(O22&amp;"!"&amp;$F$10),"")</f>
        <v/>
      </c>
      <c r="Q32" s="96" t="str" cm="1">
        <f t="array" aca="1" ref="Q32" ca="1">IF(P22&lt;&gt;"",INDIRECT(P22&amp;"!"&amp;$F$10),"")</f>
        <v/>
      </c>
      <c r="R32" s="96" t="str" cm="1">
        <f t="array" aca="1" ref="R32" ca="1">IF(Q22&lt;&gt;"",INDIRECT(Q22&amp;"!"&amp;$F$10),"")</f>
        <v/>
      </c>
      <c r="S32" s="96" t="str" cm="1">
        <f t="array" aca="1" ref="S32" ca="1">IF(R22&lt;&gt;"",INDIRECT(R22&amp;"!"&amp;$F$10),"")</f>
        <v/>
      </c>
      <c r="T32" s="96" t="str" cm="1">
        <f t="array" aca="1" ref="T32" ca="1">IF(S22&lt;&gt;"",INDIRECT(S22&amp;"!"&amp;$F$10),"")</f>
        <v/>
      </c>
      <c r="U32" s="97" t="str" cm="1">
        <f t="array" aca="1" ref="U32" ca="1">IF(T22&lt;&gt;"",INDIRECT(T22&amp;"!"&amp;$F$10),"")</f>
        <v/>
      </c>
    </row>
    <row r="35" spans="2:21" s="84" customFormat="1" ht="23.1" customHeight="1" x14ac:dyDescent="0.4">
      <c r="B35" s="85" t="s">
        <v>28</v>
      </c>
    </row>
    <row r="36" spans="2:21" x14ac:dyDescent="0.4">
      <c r="B36" t="s">
        <v>406</v>
      </c>
    </row>
    <row r="37" spans="2:21" s="9" customFormat="1" ht="15.95" customHeight="1" thickBot="1" x14ac:dyDescent="0.45">
      <c r="B37" s="109" t="s">
        <v>307</v>
      </c>
      <c r="C37" s="110" t="s">
        <v>308</v>
      </c>
      <c r="D37" s="115"/>
      <c r="E37" s="124" t="s">
        <v>318</v>
      </c>
      <c r="F37" s="116" t="s">
        <v>317</v>
      </c>
      <c r="G37" s="113" t="s">
        <v>5</v>
      </c>
      <c r="H37" s="113" t="s">
        <v>6</v>
      </c>
      <c r="I37" s="113" t="s">
        <v>7</v>
      </c>
      <c r="J37" s="113" t="s">
        <v>16</v>
      </c>
      <c r="K37" s="113" t="s">
        <v>17</v>
      </c>
      <c r="L37" s="113" t="s">
        <v>18</v>
      </c>
      <c r="M37" s="113" t="s">
        <v>19</v>
      </c>
      <c r="N37" s="113" t="s">
        <v>20</v>
      </c>
      <c r="O37" s="113" t="s">
        <v>21</v>
      </c>
      <c r="P37" s="113" t="s">
        <v>22</v>
      </c>
      <c r="Q37" s="113" t="s">
        <v>23</v>
      </c>
      <c r="R37" s="114" t="s">
        <v>24</v>
      </c>
      <c r="S37" s="114" t="s">
        <v>301</v>
      </c>
      <c r="T37" s="114" t="s">
        <v>302</v>
      </c>
      <c r="U37" s="114" t="s">
        <v>303</v>
      </c>
    </row>
    <row r="38" spans="2:21" ht="13" thickBot="1" x14ac:dyDescent="0.45">
      <c r="B38" s="1167" t="s">
        <v>99</v>
      </c>
      <c r="C38" s="1171" t="s">
        <v>101</v>
      </c>
      <c r="D38" s="118" t="str">
        <f>$D$7</f>
        <v>Débitmètre en charge</v>
      </c>
      <c r="E38" s="1175" t="str" cm="1">
        <f t="array" aca="1" ref="E38" ca="1">IFERROR(LOOKUP(MIN(IF(LEFT(F38:F42,10)="Non validé",1,IF(F38:F42="Validé avec réserve",2,IF(F38:F42="Validé",3)))),{1,2,3},{"Non validé","Validé avec réserve","Validé"}),"")</f>
        <v/>
      </c>
      <c r="F38" s="118" t="str" cm="1">
        <f t="array" aca="1" ref="F38" ca="1">IFERROR(LOOKUP(MIN(IF(LEFT(G38:U38,10)="Non validé",1,IF(G38:U38="Validé avec réserve",2,IF(G38:U38="Validé",3)))),{1,2,3},{"Non validé","Validé avec réserve","Validé"}),"")</f>
        <v/>
      </c>
      <c r="G38" s="90" t="str" cm="1">
        <f t="array" aca="1" ref="G38" ca="1">IF(F18&lt;&gt;"",INDIRECT(F18&amp;"!"&amp;$G$7),"")</f>
        <v/>
      </c>
      <c r="H38" s="90" t="str" cm="1">
        <f t="array" aca="1" ref="H38" ca="1">IF(G18&lt;&gt;"",INDIRECT(G18&amp;"!"&amp;$G$7),"")</f>
        <v/>
      </c>
      <c r="I38" s="90" t="str" cm="1">
        <f t="array" aca="1" ref="I38" ca="1">IF(H18&lt;&gt;"",INDIRECT(H18&amp;"!"&amp;$G$7),"")</f>
        <v/>
      </c>
      <c r="J38" s="90" t="str" cm="1">
        <f t="array" aca="1" ref="J38" ca="1">IF(I18&lt;&gt;"",INDIRECT(I18&amp;"!"&amp;$G$7),"")</f>
        <v/>
      </c>
      <c r="K38" s="90" t="str" cm="1">
        <f t="array" aca="1" ref="K38" ca="1">IF(J18&lt;&gt;"",INDIRECT(J18&amp;"!"&amp;$G$7),"")</f>
        <v/>
      </c>
      <c r="L38" s="90" t="str" cm="1">
        <f t="array" aca="1" ref="L38" ca="1">IF(K18&lt;&gt;"",INDIRECT(K18&amp;"!"&amp;$G$7),"")</f>
        <v/>
      </c>
      <c r="M38" s="90" t="str" cm="1">
        <f t="array" aca="1" ref="M38" ca="1">IF(L18&lt;&gt;"",INDIRECT(L18&amp;"!"&amp;$G$7),"")</f>
        <v/>
      </c>
      <c r="N38" s="90" t="str" cm="1">
        <f t="array" aca="1" ref="N38" ca="1">IF(M18&lt;&gt;"",INDIRECT(M18&amp;"!"&amp;$G$7),"")</f>
        <v/>
      </c>
      <c r="O38" s="90" t="str" cm="1">
        <f t="array" aca="1" ref="O38" ca="1">IF(N18&lt;&gt;"",INDIRECT(N18&amp;"!"&amp;$G$7),"")</f>
        <v/>
      </c>
      <c r="P38" s="90" t="str" cm="1">
        <f t="array" aca="1" ref="P38" ca="1">IF(O18&lt;&gt;"",INDIRECT(O18&amp;"!"&amp;$G$7),"")</f>
        <v/>
      </c>
      <c r="Q38" s="90" t="str" cm="1">
        <f t="array" aca="1" ref="Q38" ca="1">IF(P18&lt;&gt;"",INDIRECT(P18&amp;"!"&amp;$G$7),"")</f>
        <v/>
      </c>
      <c r="R38" s="90" t="str" cm="1">
        <f t="array" aca="1" ref="R38" ca="1">IF(Q18&lt;&gt;"",INDIRECT(Q18&amp;"!"&amp;$G$7),"")</f>
        <v/>
      </c>
      <c r="S38" s="90" t="str" cm="1">
        <f t="array" aca="1" ref="S38" ca="1">IF(R18&lt;&gt;"",INDIRECT(R18&amp;"!"&amp;$G$7),"")</f>
        <v/>
      </c>
      <c r="T38" s="90" t="str" cm="1">
        <f t="array" aca="1" ref="T38" ca="1">IF(S18&lt;&gt;"",INDIRECT(S18&amp;"!"&amp;$G$7),"")</f>
        <v/>
      </c>
      <c r="U38" s="90" t="str" cm="1">
        <f t="array" aca="1" ref="U38" ca="1">IF(T18&lt;&gt;"",INDIRECT(T18&amp;"!"&amp;$G$7),"")</f>
        <v/>
      </c>
    </row>
    <row r="39" spans="2:21" ht="13" thickBot="1" x14ac:dyDescent="0.45">
      <c r="B39" s="1168"/>
      <c r="C39" s="1172"/>
      <c r="D39" s="117" t="str">
        <f>$D$8</f>
        <v>Débitmètre gravitaire</v>
      </c>
      <c r="E39" s="1176"/>
      <c r="F39" s="118" t="str" cm="1">
        <f t="array" aca="1" ref="F39" ca="1">IFERROR(LOOKUP(MIN(IF(LEFT(G39:U39,10)="Non validé",1,IF(G39:U39="Validé avec réserve",2,IF(G39:U39="Validé",3)))),{1,2,3},{"Non validé","Validé avec réserve","Validé"}),"")</f>
        <v/>
      </c>
      <c r="G39" s="10" t="str" cm="1">
        <f t="array" aca="1" ref="G39" ca="1">IF(F19&lt;&gt;"",INDIRECT(F19&amp;"!"&amp;$G$8),"")</f>
        <v/>
      </c>
      <c r="H39" s="10" t="str" cm="1">
        <f t="array" aca="1" ref="H39" ca="1">IF(G19&lt;&gt;"",INDIRECT(G19&amp;"!"&amp;$G$8),"")</f>
        <v/>
      </c>
      <c r="I39" s="10" t="str" cm="1">
        <f t="array" aca="1" ref="I39" ca="1">IF(H19&lt;&gt;"",INDIRECT(H19&amp;"!"&amp;$G$8),"")</f>
        <v/>
      </c>
      <c r="J39" s="10" t="str" cm="1">
        <f t="array" aca="1" ref="J39" ca="1">IF(I19&lt;&gt;"",INDIRECT(I19&amp;"!"&amp;$G$8),"")</f>
        <v/>
      </c>
      <c r="K39" s="10" t="str" cm="1">
        <f t="array" aca="1" ref="K39" ca="1">IF(J19&lt;&gt;"",INDIRECT(J19&amp;"!"&amp;$G$8),"")</f>
        <v/>
      </c>
      <c r="L39" s="10" t="str" cm="1">
        <f t="array" aca="1" ref="L39" ca="1">IF(K19&lt;&gt;"",INDIRECT(K19&amp;"!"&amp;$G$8),"")</f>
        <v/>
      </c>
      <c r="M39" s="10" t="str" cm="1">
        <f t="array" aca="1" ref="M39" ca="1">IF(L19&lt;&gt;"",INDIRECT(L19&amp;"!"&amp;$G$8),"")</f>
        <v/>
      </c>
      <c r="N39" s="10" t="str" cm="1">
        <f t="array" aca="1" ref="N39" ca="1">IF(M19&lt;&gt;"",INDIRECT(M19&amp;"!"&amp;$G$8),"")</f>
        <v/>
      </c>
      <c r="O39" s="10" t="str" cm="1">
        <f t="array" aca="1" ref="O39" ca="1">IF(N19&lt;&gt;"",INDIRECT(N19&amp;"!"&amp;$G$8),"")</f>
        <v/>
      </c>
      <c r="P39" s="10" t="str" cm="1">
        <f t="array" aca="1" ref="P39" ca="1">IF(O19&lt;&gt;"",INDIRECT(O19&amp;"!"&amp;$G$8),"")</f>
        <v/>
      </c>
      <c r="Q39" s="10" t="str" cm="1">
        <f t="array" aca="1" ref="Q39" ca="1">IF(P19&lt;&gt;"",INDIRECT(P19&amp;"!"&amp;$G$8),"")</f>
        <v/>
      </c>
      <c r="R39" s="10" t="str" cm="1">
        <f t="array" aca="1" ref="R39" ca="1">IF(Q19&lt;&gt;"",INDIRECT(Q19&amp;"!"&amp;$G$8),"")</f>
        <v/>
      </c>
      <c r="S39" s="10" t="str" cm="1">
        <f t="array" aca="1" ref="S39" ca="1">IF(R19&lt;&gt;"",INDIRECT(R19&amp;"!"&amp;$G$8),"")</f>
        <v/>
      </c>
      <c r="T39" s="10" t="str" cm="1">
        <f t="array" aca="1" ref="T39" ca="1">IF(S19&lt;&gt;"",INDIRECT(S19&amp;"!"&amp;$G$8),"")</f>
        <v/>
      </c>
      <c r="U39" s="10" t="str" cm="1">
        <f t="array" aca="1" ref="U39" ca="1">IF(T19&lt;&gt;"",INDIRECT(T19&amp;"!"&amp;$G$8),"")</f>
        <v/>
      </c>
    </row>
    <row r="40" spans="2:21" ht="13" thickBot="1" x14ac:dyDescent="0.45">
      <c r="B40" s="1168"/>
      <c r="C40" s="1172"/>
      <c r="D40" s="117" t="s">
        <v>400</v>
      </c>
      <c r="E40" s="1176"/>
      <c r="F40" s="118" t="str" cm="1">
        <f t="array" aca="1" ref="F40" ca="1">IFERROR(LOOKUP(MIN(IF(LEFT(G40:U40,10)="Non validé",1,IF(G40:U40="Validé avec réserve",2,IF(G40:U40="Validé",3)))),{1,2,3},{"Non validé","Validé avec réserve","Validé"}),"")</f>
        <v/>
      </c>
      <c r="G40" s="111" t="str">
        <f ca="1">G38 &amp; G39</f>
        <v/>
      </c>
      <c r="H40" s="111" t="str">
        <f t="shared" ref="H40:U40" ca="1" si="3">H38 &amp; H39</f>
        <v/>
      </c>
      <c r="I40" s="111" t="str">
        <f t="shared" ca="1" si="3"/>
        <v/>
      </c>
      <c r="J40" s="111" t="str">
        <f t="shared" ca="1" si="3"/>
        <v/>
      </c>
      <c r="K40" s="111" t="str">
        <f t="shared" ca="1" si="3"/>
        <v/>
      </c>
      <c r="L40" s="111" t="str">
        <f t="shared" ca="1" si="3"/>
        <v/>
      </c>
      <c r="M40" s="111" t="str">
        <f t="shared" ca="1" si="3"/>
        <v/>
      </c>
      <c r="N40" s="111" t="str">
        <f t="shared" ca="1" si="3"/>
        <v/>
      </c>
      <c r="O40" s="111" t="str">
        <f t="shared" ca="1" si="3"/>
        <v/>
      </c>
      <c r="P40" s="111" t="str">
        <f t="shared" ca="1" si="3"/>
        <v/>
      </c>
      <c r="Q40" s="111" t="str">
        <f t="shared" ca="1" si="3"/>
        <v/>
      </c>
      <c r="R40" s="111" t="str">
        <f t="shared" ca="1" si="3"/>
        <v/>
      </c>
      <c r="S40" s="111" t="str">
        <f t="shared" ca="1" si="3"/>
        <v/>
      </c>
      <c r="T40" s="111" t="str">
        <f t="shared" ca="1" si="3"/>
        <v/>
      </c>
      <c r="U40" s="111" t="str">
        <f t="shared" ca="1" si="3"/>
        <v/>
      </c>
    </row>
    <row r="41" spans="2:21" ht="13" thickBot="1" x14ac:dyDescent="0.45">
      <c r="B41" s="1168"/>
      <c r="C41" s="1172"/>
      <c r="D41" s="117" t="str">
        <f>$D$9</f>
        <v>Préleveur</v>
      </c>
      <c r="E41" s="1176"/>
      <c r="F41" s="118" t="str" cm="1">
        <f t="array" aca="1" ref="F41" ca="1">IFERROR(LOOKUP(MIN(IF(LEFT(G41:U41,10)="Non validé",1,IF(G41:U41="Validé avec réserve",2,IF(G41:U41="Validé",3)))),{1,2,3},{"Non validé","Validé avec réserve","Validé"}),"")</f>
        <v/>
      </c>
      <c r="G41" s="10" t="str" cm="1">
        <f t="array" aca="1" ref="G41" ca="1">IF(F20&lt;&gt;"",INDIRECT(F20&amp;"!"&amp;$G$9),"")</f>
        <v/>
      </c>
      <c r="H41" s="10" t="str" cm="1">
        <f t="array" aca="1" ref="H41" ca="1">IF(G20&lt;&gt;"",INDIRECT(G20&amp;"!"&amp;$G$9),"")</f>
        <v/>
      </c>
      <c r="I41" s="10" t="str" cm="1">
        <f t="array" aca="1" ref="I41" ca="1">IF(H20&lt;&gt;"",INDIRECT(H20&amp;"!"&amp;$G$9),"")</f>
        <v/>
      </c>
      <c r="J41" s="10" t="str" cm="1">
        <f t="array" aca="1" ref="J41" ca="1">IF(I20&lt;&gt;"",INDIRECT(I20&amp;"!"&amp;$G$9),"")</f>
        <v/>
      </c>
      <c r="K41" s="10" t="str" cm="1">
        <f t="array" aca="1" ref="K41" ca="1">IF(J20&lt;&gt;"",INDIRECT(J20&amp;"!"&amp;$G$9),"")</f>
        <v/>
      </c>
      <c r="L41" s="10" t="str" cm="1">
        <f t="array" aca="1" ref="L41" ca="1">IF(K20&lt;&gt;"",INDIRECT(K20&amp;"!"&amp;$G$9),"")</f>
        <v/>
      </c>
      <c r="M41" s="10" t="str" cm="1">
        <f t="array" aca="1" ref="M41" ca="1">IF(L20&lt;&gt;"",INDIRECT(L20&amp;"!"&amp;$G$9),"")</f>
        <v/>
      </c>
      <c r="N41" s="10" t="str" cm="1">
        <f t="array" aca="1" ref="N41" ca="1">IF(M20&lt;&gt;"",INDIRECT(M20&amp;"!"&amp;$G$9),"")</f>
        <v/>
      </c>
      <c r="O41" s="10" t="str" cm="1">
        <f t="array" aca="1" ref="O41" ca="1">IF(N20&lt;&gt;"",INDIRECT(N20&amp;"!"&amp;$G$9),"")</f>
        <v/>
      </c>
      <c r="P41" s="10" t="str" cm="1">
        <f t="array" aca="1" ref="P41" ca="1">IF(O20&lt;&gt;"",INDIRECT(O20&amp;"!"&amp;$G$9),"")</f>
        <v/>
      </c>
      <c r="Q41" s="10" t="str" cm="1">
        <f t="array" aca="1" ref="Q41" ca="1">IF(P20&lt;&gt;"",INDIRECT(P20&amp;"!"&amp;$G$9),"")</f>
        <v/>
      </c>
      <c r="R41" s="10" t="str" cm="1">
        <f t="array" aca="1" ref="R41" ca="1">IF(Q20&lt;&gt;"",INDIRECT(Q20&amp;"!"&amp;$G$9),"")</f>
        <v/>
      </c>
      <c r="S41" s="10" t="str" cm="1">
        <f t="array" aca="1" ref="S41" ca="1">IF(R20&lt;&gt;"",INDIRECT(R20&amp;"!"&amp;$G$9),"")</f>
        <v/>
      </c>
      <c r="T41" s="10" t="str" cm="1">
        <f t="array" aca="1" ref="T41" ca="1">IF(S20&lt;&gt;"",INDIRECT(S20&amp;"!"&amp;$G$9),"")</f>
        <v/>
      </c>
      <c r="U41" s="10" t="str" cm="1">
        <f t="array" aca="1" ref="U41" ca="1">IF(T20&lt;&gt;"",INDIRECT(T20&amp;"!"&amp;$G$9),"")</f>
        <v/>
      </c>
    </row>
    <row r="42" spans="2:21" ht="13" thickBot="1" x14ac:dyDescent="0.45">
      <c r="B42" s="1169"/>
      <c r="C42" s="1173"/>
      <c r="D42" s="290" t="s">
        <v>392</v>
      </c>
      <c r="E42" s="1176"/>
      <c r="F42" s="118" t="str" cm="1">
        <f t="array" aca="1" ref="F42" ca="1">IFERROR(LOOKUP(MIN(IF(LEFT(G42:U42,10)="Non validé",1,IF(G42:U42="Validé avec réserve",2,IF(G42:U42="Validé",3)))),{1,2,3},{"Non validé","Validé avec réserve","Validé"}),"")</f>
        <v/>
      </c>
      <c r="G42" s="288" t="str">
        <f ca="1">IF(F21&lt;&gt;"",VLOOKUP(F21,Analytique!$X$3:$AE$29,7,FALSE),"")</f>
        <v/>
      </c>
      <c r="H42" s="288" t="str">
        <f ca="1">IF(G21&lt;&gt;"",VLOOKUP(G21,Analytique!$X$3:$AE$29,7,FALSE),"")</f>
        <v/>
      </c>
      <c r="I42" s="288" t="str">
        <f ca="1">IF(H21&lt;&gt;"",VLOOKUP(H21,Analytique!$X$3:$AE$29,7,FALSE),"")</f>
        <v/>
      </c>
      <c r="J42" s="288" t="str">
        <f ca="1">IF(I21&lt;&gt;"",VLOOKUP(I21,Analytique!$X$3:$AE$29,7,FALSE),"")</f>
        <v/>
      </c>
      <c r="K42" s="288" t="str">
        <f ca="1">IF(J21&lt;&gt;"",VLOOKUP(J21,Analytique!$X$3:$AE$29,7,FALSE),"")</f>
        <v/>
      </c>
      <c r="L42" s="288" t="str">
        <f ca="1">IF(K21&lt;&gt;"",VLOOKUP(K21,Analytique!$X$3:$AE$29,7,FALSE),"")</f>
        <v/>
      </c>
      <c r="M42" s="288" t="str">
        <f ca="1">IF(L21&lt;&gt;"",VLOOKUP(L21,Analytique!$X$3:$AE$29,7,FALSE),"")</f>
        <v/>
      </c>
      <c r="N42" s="288" t="str">
        <f ca="1">IF(M21&lt;&gt;"",VLOOKUP(M21,Analytique!$X$3:$AE$29,7,FALSE),"")</f>
        <v/>
      </c>
      <c r="O42" s="288" t="str">
        <f ca="1">IF(N21&lt;&gt;"",VLOOKUP(N21,Analytique!$X$3:$AE$29,7,FALSE),"")</f>
        <v/>
      </c>
      <c r="P42" s="288" t="str">
        <f ca="1">IF(O21&lt;&gt;"",VLOOKUP(O21,Analytique!$X$3:$AE$29,7,FALSE),"")</f>
        <v/>
      </c>
      <c r="Q42" s="288" t="str">
        <f ca="1">IF(P21&lt;&gt;"",VLOOKUP(P21,Analytique!$X$3:$AE$29,7,FALSE),"")</f>
        <v/>
      </c>
      <c r="R42" s="288" t="str">
        <f ca="1">IF(Q21&lt;&gt;"",VLOOKUP(Q21,Analytique!$X$3:$AE$29,7,FALSE),"")</f>
        <v/>
      </c>
      <c r="S42" s="288" t="str">
        <f ca="1">IF(R21&lt;&gt;"",VLOOKUP(R21,Analytique!$X$3:$AE$29,7,FALSE),"")</f>
        <v/>
      </c>
      <c r="T42" s="288" t="str">
        <f ca="1">IF(S21&lt;&gt;"",VLOOKUP(S21,Analytique!$X$3:$AE$29,7,FALSE),"")</f>
        <v/>
      </c>
      <c r="U42" s="288" t="str">
        <f ca="1">IF(T21&lt;&gt;"",VLOOKUP(T21,Analytique!$X$3:$AE$29,7,FALSE),"")</f>
        <v/>
      </c>
    </row>
    <row r="43" spans="2:21" ht="13" thickBot="1" x14ac:dyDescent="0.45">
      <c r="B43" s="1170"/>
      <c r="C43" s="1174"/>
      <c r="D43" s="119" t="str">
        <f>$D$10</f>
        <v>Sonde de température</v>
      </c>
      <c r="E43" s="1177"/>
      <c r="F43" s="118" t="str" cm="1">
        <f t="array" aca="1" ref="F43" ca="1">IFERROR(LOOKUP(MIN(IF(LEFT(G43:U43,10)="Non validé",1,IF(G43:U43="Validé avec réserve",2,IF(G43:U43="Validé",3)))),{1,2,3},{"Non validé","Validé avec réserve","Validé"}),"")</f>
        <v/>
      </c>
      <c r="G43" s="96" t="str" cm="1">
        <f t="array" aca="1" ref="G43" ca="1">IF(F22&lt;&gt;"",INDIRECT(F22&amp;"!"&amp;$G$10),"")</f>
        <v/>
      </c>
      <c r="H43" s="96" t="str" cm="1">
        <f t="array" aca="1" ref="H43" ca="1">IF(G22&lt;&gt;"",INDIRECT(G22&amp;"!"&amp;$G$10),"")</f>
        <v/>
      </c>
      <c r="I43" s="96" t="str" cm="1">
        <f t="array" aca="1" ref="I43" ca="1">IF(H22&lt;&gt;"",INDIRECT(H22&amp;"!"&amp;$G$10),"")</f>
        <v/>
      </c>
      <c r="J43" s="96" t="str" cm="1">
        <f t="array" aca="1" ref="J43" ca="1">IF(I22&lt;&gt;"",INDIRECT(I22&amp;"!"&amp;$G$10),"")</f>
        <v/>
      </c>
      <c r="K43" s="96" t="str" cm="1">
        <f t="array" aca="1" ref="K43" ca="1">IF(J22&lt;&gt;"",INDIRECT(J22&amp;"!"&amp;$G$10),"")</f>
        <v/>
      </c>
      <c r="L43" s="96" t="str" cm="1">
        <f t="array" aca="1" ref="L43" ca="1">IF(K22&lt;&gt;"",INDIRECT(K22&amp;"!"&amp;$G$10),"")</f>
        <v/>
      </c>
      <c r="M43" s="96" t="str" cm="1">
        <f t="array" aca="1" ref="M43" ca="1">IF(L22&lt;&gt;"",INDIRECT(L22&amp;"!"&amp;$G$10),"")</f>
        <v/>
      </c>
      <c r="N43" s="96" t="str" cm="1">
        <f t="array" aca="1" ref="N43" ca="1">IF(M22&lt;&gt;"",INDIRECT(M22&amp;"!"&amp;$G$10),"")</f>
        <v/>
      </c>
      <c r="O43" s="96" t="str" cm="1">
        <f t="array" aca="1" ref="O43" ca="1">IF(N22&lt;&gt;"",INDIRECT(N22&amp;"!"&amp;$G$10),"")</f>
        <v/>
      </c>
      <c r="P43" s="96" t="str" cm="1">
        <f t="array" aca="1" ref="P43" ca="1">IF(O22&lt;&gt;"",INDIRECT(O22&amp;"!"&amp;$G$10),"")</f>
        <v/>
      </c>
      <c r="Q43" s="96" t="str" cm="1">
        <f t="array" aca="1" ref="Q43" ca="1">IF(P22&lt;&gt;"",INDIRECT(P22&amp;"!"&amp;$G$10),"")</f>
        <v/>
      </c>
      <c r="R43" s="96" t="str" cm="1">
        <f t="array" aca="1" ref="R43" ca="1">IF(Q22&lt;&gt;"",INDIRECT(Q22&amp;"!"&amp;$G$10),"")</f>
        <v/>
      </c>
      <c r="S43" s="96" t="str" cm="1">
        <f t="array" aca="1" ref="S43" ca="1">IF(R22&lt;&gt;"",INDIRECT(R22&amp;"!"&amp;$G$10),"")</f>
        <v/>
      </c>
      <c r="T43" s="96" t="str" cm="1">
        <f t="array" aca="1" ref="T43" ca="1">IF(S22&lt;&gt;"",INDIRECT(S22&amp;"!"&amp;$G$10),"")</f>
        <v/>
      </c>
      <c r="U43" s="96" t="str" cm="1">
        <f t="array" aca="1" ref="U43" ca="1">IF(T22&lt;&gt;"",INDIRECT(T22&amp;"!"&amp;$G$10),"")</f>
        <v/>
      </c>
    </row>
  </sheetData>
  <sheetProtection algorithmName="SHA-512" hashValue="qOhc7b5NoFkti1MjoEb+dtWx+VjkDOFlI3OWD91RGhJBygb5L4WKICGZRktqPdI+lgRby500nLHwIk9DLNArYA==" saltValue="sKM6ssrCeI2IjaXHl1nVOQ==" spinCount="100000" sheet="1" objects="1" scenarios="1" formatRows="0"/>
  <mergeCells count="11">
    <mergeCell ref="B18:B22"/>
    <mergeCell ref="B4:C4"/>
    <mergeCell ref="E4:I4"/>
    <mergeCell ref="B5:C7"/>
    <mergeCell ref="E12:S12"/>
    <mergeCell ref="B38:B43"/>
    <mergeCell ref="C38:C43"/>
    <mergeCell ref="E38:E43"/>
    <mergeCell ref="B27:B32"/>
    <mergeCell ref="C27:C32"/>
    <mergeCell ref="E27:E32"/>
  </mergeCells>
  <conditionalFormatting sqref="B18:C18">
    <cfRule type="expression" priority="18">
      <formula>IF(#REF!="Industrie",1,0)</formula>
    </cfRule>
  </conditionalFormatting>
  <conditionalFormatting sqref="B27:C27">
    <cfRule type="expression" priority="10">
      <formula>IF(#REF!="Industrie",1,0)</formula>
    </cfRule>
  </conditionalFormatting>
  <conditionalFormatting sqref="B38:C38">
    <cfRule type="expression" priority="2">
      <formula>IF(#REF!="Industrie",1,0)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25"/>
  <dimension ref="B1:V163"/>
  <sheetViews>
    <sheetView topLeftCell="A31" zoomScale="85" zoomScaleNormal="85" workbookViewId="0">
      <selection activeCell="G65" sqref="G65"/>
    </sheetView>
  </sheetViews>
  <sheetFormatPr baseColWidth="10" defaultRowHeight="12.7" x14ac:dyDescent="0.4"/>
  <cols>
    <col min="1" max="1" width="3.29296875" customWidth="1"/>
    <col min="4" max="4" width="18.41015625" customWidth="1"/>
    <col min="5" max="5" width="13.87890625" customWidth="1"/>
    <col min="6" max="6" width="21.29296875" customWidth="1"/>
    <col min="7" max="19" width="13.87890625" customWidth="1"/>
  </cols>
  <sheetData>
    <row r="1" spans="2:19" s="86" customFormat="1" ht="28.35" customHeight="1" x14ac:dyDescent="0.4">
      <c r="B1" s="87" t="s">
        <v>306</v>
      </c>
    </row>
    <row r="2" spans="2:19" s="84" customFormat="1" ht="23.45" customHeight="1" x14ac:dyDescent="0.4">
      <c r="B2" s="85" t="s">
        <v>304</v>
      </c>
    </row>
    <row r="3" spans="2:19" ht="13" thickBot="1" x14ac:dyDescent="0.45"/>
    <row r="4" spans="2:19" s="9" customFormat="1" ht="17.45" customHeight="1" x14ac:dyDescent="0.4">
      <c r="B4" s="1184" t="s">
        <v>405</v>
      </c>
      <c r="C4" s="1185"/>
      <c r="D4" s="285" t="s">
        <v>295</v>
      </c>
      <c r="E4" s="1186" t="s">
        <v>167</v>
      </c>
      <c r="F4" s="1186"/>
      <c r="G4" s="1186"/>
      <c r="H4" s="1186"/>
      <c r="I4" s="1186"/>
    </row>
    <row r="5" spans="2:19" x14ac:dyDescent="0.4">
      <c r="B5" s="1187">
        <f>IF(Qualité!L29="Oui",1,0.9)</f>
        <v>0.9</v>
      </c>
      <c r="C5" s="1188"/>
      <c r="D5" s="286"/>
      <c r="E5" s="82" t="s">
        <v>296</v>
      </c>
      <c r="F5" s="82" t="s">
        <v>294</v>
      </c>
      <c r="G5" s="82" t="s">
        <v>309</v>
      </c>
      <c r="H5" s="82" t="s">
        <v>298</v>
      </c>
      <c r="I5" s="82" t="s">
        <v>299</v>
      </c>
    </row>
    <row r="6" spans="2:19" x14ac:dyDescent="0.4">
      <c r="B6" s="1187"/>
      <c r="C6" s="1188"/>
      <c r="D6" s="286" t="s">
        <v>12</v>
      </c>
      <c r="E6" s="83" t="s">
        <v>521</v>
      </c>
      <c r="F6" s="83" t="s">
        <v>359</v>
      </c>
      <c r="G6" s="83" t="s">
        <v>360</v>
      </c>
      <c r="H6" s="83" t="s">
        <v>300</v>
      </c>
      <c r="I6" s="83" t="s">
        <v>361</v>
      </c>
    </row>
    <row r="7" spans="2:19" ht="13" thickBot="1" x14ac:dyDescent="0.45">
      <c r="B7" s="1189"/>
      <c r="C7" s="1190"/>
      <c r="D7" s="286" t="str">
        <f>PARAM!$C4</f>
        <v>Débitmètre en charge</v>
      </c>
      <c r="E7" s="81" t="s">
        <v>357</v>
      </c>
      <c r="F7" s="81" t="s">
        <v>367</v>
      </c>
      <c r="G7" s="81" t="s">
        <v>368</v>
      </c>
      <c r="H7" s="81" t="s">
        <v>369</v>
      </c>
      <c r="I7" s="81" t="s">
        <v>370</v>
      </c>
    </row>
    <row r="8" spans="2:19" x14ac:dyDescent="0.4">
      <c r="D8" s="82" t="str">
        <f>PARAM!$C5</f>
        <v>Débitmètre gravitaire</v>
      </c>
      <c r="E8" s="81" t="s">
        <v>371</v>
      </c>
      <c r="F8" s="81" t="s">
        <v>490</v>
      </c>
      <c r="G8" s="81" t="s">
        <v>372</v>
      </c>
      <c r="H8" s="81" t="s">
        <v>297</v>
      </c>
      <c r="I8" s="81" t="s">
        <v>373</v>
      </c>
    </row>
    <row r="9" spans="2:19" x14ac:dyDescent="0.4">
      <c r="D9" s="82" t="str">
        <f>PARAM!$C6</f>
        <v>Préleveur</v>
      </c>
      <c r="E9" s="81" t="s">
        <v>362</v>
      </c>
      <c r="F9" s="81" t="s">
        <v>363</v>
      </c>
      <c r="G9" s="81" t="s">
        <v>364</v>
      </c>
      <c r="H9" s="81" t="s">
        <v>365</v>
      </c>
      <c r="I9" s="81" t="s">
        <v>366</v>
      </c>
    </row>
    <row r="10" spans="2:19" x14ac:dyDescent="0.4">
      <c r="D10" s="82" t="str">
        <f>PARAM!$C7</f>
        <v>Sonde de température</v>
      </c>
      <c r="E10" s="81" t="s">
        <v>358</v>
      </c>
      <c r="F10" s="81" t="s">
        <v>359</v>
      </c>
      <c r="G10" s="81" t="s">
        <v>360</v>
      </c>
      <c r="H10" s="81" t="s">
        <v>300</v>
      </c>
      <c r="I10" s="81" t="s">
        <v>361</v>
      </c>
    </row>
    <row r="12" spans="2:19" s="9" customFormat="1" ht="17.45" customHeight="1" x14ac:dyDescent="0.4">
      <c r="D12" s="101" t="s">
        <v>313</v>
      </c>
      <c r="E12" s="1191" t="s">
        <v>312</v>
      </c>
      <c r="F12" s="1186"/>
      <c r="G12" s="1186"/>
      <c r="H12" s="1186"/>
      <c r="I12" s="1186"/>
      <c r="J12" s="1186"/>
      <c r="K12" s="1186"/>
      <c r="L12" s="1186"/>
      <c r="M12" s="1186"/>
      <c r="N12" s="1186"/>
      <c r="O12" s="1186"/>
      <c r="P12" s="1186"/>
      <c r="Q12" s="1186"/>
      <c r="R12" s="1186"/>
      <c r="S12" s="1192"/>
    </row>
    <row r="13" spans="2:19" x14ac:dyDescent="0.4">
      <c r="D13" s="99" t="s">
        <v>310</v>
      </c>
      <c r="E13" s="100">
        <f>Descriptif!$AD$3</f>
        <v>34</v>
      </c>
      <c r="F13" s="100">
        <f>E13+1</f>
        <v>35</v>
      </c>
      <c r="G13" s="100">
        <f t="shared" ref="G13:S14" si="0">F13+1</f>
        <v>36</v>
      </c>
      <c r="H13" s="100">
        <f t="shared" si="0"/>
        <v>37</v>
      </c>
      <c r="I13" s="100">
        <f t="shared" si="0"/>
        <v>38</v>
      </c>
      <c r="J13" s="100">
        <f t="shared" si="0"/>
        <v>39</v>
      </c>
      <c r="K13" s="100">
        <f t="shared" si="0"/>
        <v>40</v>
      </c>
      <c r="L13" s="100">
        <f t="shared" si="0"/>
        <v>41</v>
      </c>
      <c r="M13" s="100">
        <f t="shared" si="0"/>
        <v>42</v>
      </c>
      <c r="N13" s="100">
        <f t="shared" si="0"/>
        <v>43</v>
      </c>
      <c r="O13" s="100">
        <f t="shared" si="0"/>
        <v>44</v>
      </c>
      <c r="P13" s="100">
        <f t="shared" si="0"/>
        <v>45</v>
      </c>
      <c r="Q13" s="100">
        <f t="shared" si="0"/>
        <v>46</v>
      </c>
      <c r="R13" s="100">
        <f t="shared" si="0"/>
        <v>47</v>
      </c>
      <c r="S13" s="100">
        <f t="shared" si="0"/>
        <v>48</v>
      </c>
    </row>
    <row r="14" spans="2:19" x14ac:dyDescent="0.4">
      <c r="D14" s="99" t="s">
        <v>311</v>
      </c>
      <c r="E14" s="100">
        <f>Descriptif!$AD$2</f>
        <v>14</v>
      </c>
      <c r="F14" s="100">
        <f>E14+1</f>
        <v>15</v>
      </c>
      <c r="G14" s="100">
        <f t="shared" si="0"/>
        <v>16</v>
      </c>
      <c r="H14" s="100">
        <f t="shared" si="0"/>
        <v>17</v>
      </c>
      <c r="I14" s="100">
        <f t="shared" si="0"/>
        <v>18</v>
      </c>
      <c r="J14" s="100">
        <f t="shared" si="0"/>
        <v>19</v>
      </c>
      <c r="K14" s="100">
        <f t="shared" si="0"/>
        <v>20</v>
      </c>
      <c r="L14" s="100">
        <f t="shared" si="0"/>
        <v>21</v>
      </c>
      <c r="M14" s="100">
        <f t="shared" si="0"/>
        <v>22</v>
      </c>
      <c r="N14" s="100">
        <f t="shared" si="0"/>
        <v>23</v>
      </c>
      <c r="O14" s="100">
        <f t="shared" si="0"/>
        <v>24</v>
      </c>
      <c r="P14" s="100">
        <f t="shared" si="0"/>
        <v>25</v>
      </c>
      <c r="Q14" s="100">
        <f t="shared" si="0"/>
        <v>26</v>
      </c>
      <c r="R14" s="100">
        <f t="shared" si="0"/>
        <v>27</v>
      </c>
      <c r="S14" s="100">
        <f t="shared" si="0"/>
        <v>28</v>
      </c>
    </row>
    <row r="16" spans="2:19" s="84" customFormat="1" ht="23.1" customHeight="1" x14ac:dyDescent="0.4">
      <c r="B16" s="85" t="s">
        <v>305</v>
      </c>
    </row>
    <row r="17" spans="2:20" s="9" customFormat="1" ht="18" customHeight="1" thickBot="1" x14ac:dyDescent="0.45"/>
    <row r="18" spans="2:20" s="9" customFormat="1" ht="15.95" customHeight="1" thickBot="1" x14ac:dyDescent="0.45">
      <c r="B18" s="103" t="s">
        <v>307</v>
      </c>
      <c r="C18" s="104" t="s">
        <v>308</v>
      </c>
      <c r="D18" s="105"/>
      <c r="E18" s="106"/>
      <c r="F18" s="107" t="s">
        <v>5</v>
      </c>
      <c r="G18" s="107" t="s">
        <v>6</v>
      </c>
      <c r="H18" s="107" t="s">
        <v>7</v>
      </c>
      <c r="I18" s="107" t="s">
        <v>16</v>
      </c>
      <c r="J18" s="107" t="s">
        <v>17</v>
      </c>
      <c r="K18" s="107" t="s">
        <v>18</v>
      </c>
      <c r="L18" s="107" t="s">
        <v>19</v>
      </c>
      <c r="M18" s="107" t="s">
        <v>20</v>
      </c>
      <c r="N18" s="107" t="s">
        <v>21</v>
      </c>
      <c r="O18" s="107" t="s">
        <v>22</v>
      </c>
      <c r="P18" s="107" t="s">
        <v>23</v>
      </c>
      <c r="Q18" s="108" t="s">
        <v>24</v>
      </c>
      <c r="R18" s="108" t="s">
        <v>301</v>
      </c>
      <c r="S18" s="108" t="s">
        <v>302</v>
      </c>
      <c r="T18" s="108" t="s">
        <v>303</v>
      </c>
    </row>
    <row r="19" spans="2:20" x14ac:dyDescent="0.4">
      <c r="B19" s="1178" t="s">
        <v>95</v>
      </c>
      <c r="C19" s="1181" t="s">
        <v>96</v>
      </c>
      <c r="D19" s="89" t="str">
        <f>$D$7</f>
        <v>Débitmètre en charge</v>
      </c>
      <c r="E19" s="89"/>
      <c r="F19" s="90" t="str" cm="1">
        <f t="array" aca="1" ref="F19" ca="1">IF(AND(OR(INDIRECT("Descriptif!I"&amp;E$13)=Recap_equipements!$B19,INDIRECT("Descriptif!I"&amp;E$13)=Recap_equipements!$C19),INDIRECT("Descriptif!M"&amp;E$13)=$D19),INDIRECT("Descriptif!F"&amp;E$13),"")</f>
        <v/>
      </c>
      <c r="G19" s="90" t="str" cm="1">
        <f t="array" aca="1" ref="G19" ca="1">IF(AND(OR(INDIRECT("Descriptif!I"&amp;F$13)=Recap_equipements!$B19,INDIRECT("Descriptif!I"&amp;F$13)=Recap_equipements!$C19),INDIRECT("Descriptif!M"&amp;F$13)=$D19),INDIRECT("Descriptif!F"&amp;F$13),"")</f>
        <v/>
      </c>
      <c r="H19" s="90" t="str" cm="1">
        <f t="array" aca="1" ref="H19" ca="1">IF(AND(OR(INDIRECT("Descriptif!I"&amp;G$13)=Recap_equipements!$B19,INDIRECT("Descriptif!I"&amp;G$13)=Recap_equipements!$C19),INDIRECT("Descriptif!M"&amp;G$13)=$D19),INDIRECT("Descriptif!F"&amp;G$13),"")</f>
        <v/>
      </c>
      <c r="I19" s="90" t="str" cm="1">
        <f t="array" aca="1" ref="I19" ca="1">IF(AND(OR(INDIRECT("Descriptif!I"&amp;H$13)=Recap_equipements!$B19,INDIRECT("Descriptif!I"&amp;H$13)=Recap_equipements!$C19),INDIRECT("Descriptif!M"&amp;H$13)=$D19),INDIRECT("Descriptif!F"&amp;H$13),"")</f>
        <v/>
      </c>
      <c r="J19" s="90" t="str" cm="1">
        <f t="array" aca="1" ref="J19" ca="1">IF(AND(OR(INDIRECT("Descriptif!I"&amp;I$13)=Recap_equipements!$B19,INDIRECT("Descriptif!I"&amp;I$13)=Recap_equipements!$C19),INDIRECT("Descriptif!M"&amp;I$13)=$D19),INDIRECT("Descriptif!F"&amp;I$13),"")</f>
        <v/>
      </c>
      <c r="K19" s="90" t="str" cm="1">
        <f t="array" aca="1" ref="K19" ca="1">IF(AND(OR(INDIRECT("Descriptif!I"&amp;J$13)=Recap_equipements!$B19,INDIRECT("Descriptif!I"&amp;J$13)=Recap_equipements!$C19),INDIRECT("Descriptif!M"&amp;J$13)=$D19),INDIRECT("Descriptif!F"&amp;J$13),"")</f>
        <v/>
      </c>
      <c r="L19" s="90" t="str" cm="1">
        <f t="array" aca="1" ref="L19" ca="1">IF(AND(OR(INDIRECT("Descriptif!I"&amp;K$13)=Recap_equipements!$B19,INDIRECT("Descriptif!I"&amp;K$13)=Recap_equipements!$C19),INDIRECT("Descriptif!M"&amp;K$13)=$D19),INDIRECT("Descriptif!F"&amp;K$13),"")</f>
        <v/>
      </c>
      <c r="M19" s="90" t="str" cm="1">
        <f t="array" aca="1" ref="M19" ca="1">IF(AND(OR(INDIRECT("Descriptif!I"&amp;L$13)=Recap_equipements!$B19,INDIRECT("Descriptif!I"&amp;L$13)=Recap_equipements!$C19),INDIRECT("Descriptif!M"&amp;L$13)=$D19),INDIRECT("Descriptif!F"&amp;L$13),"")</f>
        <v/>
      </c>
      <c r="N19" s="90" t="str" cm="1">
        <f t="array" aca="1" ref="N19" ca="1">IF(AND(OR(INDIRECT("Descriptif!I"&amp;M$13)=Recap_equipements!$B19,INDIRECT("Descriptif!I"&amp;M$13)=Recap_equipements!$C19),INDIRECT("Descriptif!M"&amp;M$13)=$D19),INDIRECT("Descriptif!F"&amp;M$13),"")</f>
        <v/>
      </c>
      <c r="O19" s="90" t="str" cm="1">
        <f t="array" aca="1" ref="O19" ca="1">IF(AND(OR(INDIRECT("Descriptif!I"&amp;N$13)=Recap_equipements!$B19,INDIRECT("Descriptif!I"&amp;N$13)=Recap_equipements!$C19),INDIRECT("Descriptif!M"&amp;N$13)=$D19),INDIRECT("Descriptif!F"&amp;N$13),"")</f>
        <v/>
      </c>
      <c r="P19" s="90" t="str" cm="1">
        <f t="array" aca="1" ref="P19" ca="1">IF(AND(OR(INDIRECT("Descriptif!I"&amp;O$13)=Recap_equipements!$B19,INDIRECT("Descriptif!I"&amp;O$13)=Recap_equipements!$C19),INDIRECT("Descriptif!M"&amp;O$13)=$D19),INDIRECT("Descriptif!F"&amp;O$13),"")</f>
        <v/>
      </c>
      <c r="Q19" s="90" t="str" cm="1">
        <f t="array" aca="1" ref="Q19" ca="1">IF(AND(OR(INDIRECT("Descriptif!I"&amp;P$13)=Recap_equipements!$B19,INDIRECT("Descriptif!I"&amp;P$13)=Recap_equipements!$C19),INDIRECT("Descriptif!M"&amp;P$13)=$D19),INDIRECT("Descriptif!F"&amp;P$13),"")</f>
        <v/>
      </c>
      <c r="R19" s="90" t="str" cm="1">
        <f t="array" aca="1" ref="R19" ca="1">IF(AND(OR(INDIRECT("Descriptif!I"&amp;Q$13)=Recap_equipements!$B19,INDIRECT("Descriptif!I"&amp;Q$13)=Recap_equipements!$C19),INDIRECT("Descriptif!M"&amp;Q$13)=$D19),INDIRECT("Descriptif!F"&amp;Q$13),"")</f>
        <v/>
      </c>
      <c r="S19" s="90" t="str" cm="1">
        <f t="array" aca="1" ref="S19" ca="1">IF(AND(OR(INDIRECT("Descriptif!I"&amp;R$13)=Recap_equipements!$B19,INDIRECT("Descriptif!I"&amp;R$13)=Recap_equipements!$C19),INDIRECT("Descriptif!M"&amp;R$13)=$D19),INDIRECT("Descriptif!F"&amp;R$13),"")</f>
        <v/>
      </c>
      <c r="T19" s="91" t="str" cm="1">
        <f t="array" aca="1" ref="T19" ca="1">IF(AND(OR(INDIRECT("Descriptif!I"&amp;S$13)=Recap_equipements!$B19,INDIRECT("Descriptif!I"&amp;S$13)=Recap_equipements!$C19),INDIRECT("Descriptif!M"&amp;S$13)=$D19),INDIRECT("Descriptif!F"&amp;S$13),"")</f>
        <v/>
      </c>
    </row>
    <row r="20" spans="2:20" x14ac:dyDescent="0.4">
      <c r="B20" s="1179"/>
      <c r="C20" s="1182"/>
      <c r="D20" s="88" t="str">
        <f>$D$8</f>
        <v>Débitmètre gravitaire</v>
      </c>
      <c r="E20" s="88"/>
      <c r="F20" s="10" t="str" cm="1">
        <f t="array" aca="1" ref="F20" ca="1">IF(AND(OR(INDIRECT("Descriptif!I"&amp;E$13)=Recap_equipements!$B19,INDIRECT("Descriptif!I"&amp;E$13)=Recap_equipements!$C19),INDIRECT("Descriptif!M"&amp;E$13)=$D20),INDIRECT("Descriptif!F"&amp;E$13),"")</f>
        <v/>
      </c>
      <c r="G20" s="10" t="str" cm="1">
        <f t="array" aca="1" ref="G20" ca="1">IF(AND(OR(INDIRECT("Descriptif!I"&amp;F$13)=Recap_equipements!$B19,INDIRECT("Descriptif!I"&amp;F$13)=Recap_equipements!$C19),INDIRECT("Descriptif!M"&amp;F$13)=$D20),INDIRECT("Descriptif!F"&amp;F$13),"")</f>
        <v/>
      </c>
      <c r="H20" s="10" t="str" cm="1">
        <f t="array" aca="1" ref="H20" ca="1">IF(AND(OR(INDIRECT("Descriptif!I"&amp;G$13)=Recap_equipements!$B19,INDIRECT("Descriptif!I"&amp;G$13)=Recap_equipements!$C19),INDIRECT("Descriptif!M"&amp;G$13)=$D20),INDIRECT("Descriptif!F"&amp;G$13),"")</f>
        <v/>
      </c>
      <c r="I20" s="10" t="str" cm="1">
        <f t="array" aca="1" ref="I20" ca="1">IF(AND(OR(INDIRECT("Descriptif!I"&amp;H$13)=Recap_equipements!$B19,INDIRECT("Descriptif!I"&amp;H$13)=Recap_equipements!$C19),INDIRECT("Descriptif!M"&amp;H$13)=$D20),INDIRECT("Descriptif!F"&amp;H$13),"")</f>
        <v/>
      </c>
      <c r="J20" s="10" t="str" cm="1">
        <f t="array" aca="1" ref="J20" ca="1">IF(AND(OR(INDIRECT("Descriptif!I"&amp;I$13)=Recap_equipements!$B19,INDIRECT("Descriptif!I"&amp;I$13)=Recap_equipements!$C19),INDIRECT("Descriptif!M"&amp;I$13)=$D20),INDIRECT("Descriptif!F"&amp;I$13),"")</f>
        <v/>
      </c>
      <c r="K20" s="10" t="str" cm="1">
        <f t="array" aca="1" ref="K20" ca="1">IF(AND(OR(INDIRECT("Descriptif!I"&amp;J$13)=Recap_equipements!$B19,INDIRECT("Descriptif!I"&amp;J$13)=Recap_equipements!$C19),INDIRECT("Descriptif!M"&amp;J$13)=$D20),INDIRECT("Descriptif!F"&amp;J$13),"")</f>
        <v/>
      </c>
      <c r="L20" s="10" t="str" cm="1">
        <f t="array" aca="1" ref="L20" ca="1">IF(AND(OR(INDIRECT("Descriptif!I"&amp;K$13)=Recap_equipements!$B19,INDIRECT("Descriptif!I"&amp;K$13)=Recap_equipements!$C19),INDIRECT("Descriptif!M"&amp;K$13)=$D20),INDIRECT("Descriptif!F"&amp;K$13),"")</f>
        <v/>
      </c>
      <c r="M20" s="10" t="str" cm="1">
        <f t="array" aca="1" ref="M20" ca="1">IF(AND(OR(INDIRECT("Descriptif!I"&amp;L$13)=Recap_equipements!$B19,INDIRECT("Descriptif!I"&amp;L$13)=Recap_equipements!$C19),INDIRECT("Descriptif!M"&amp;L$13)=$D20),INDIRECT("Descriptif!F"&amp;L$13),"")</f>
        <v/>
      </c>
      <c r="N20" s="10" t="str" cm="1">
        <f t="array" aca="1" ref="N20" ca="1">IF(AND(OR(INDIRECT("Descriptif!I"&amp;M$13)=Recap_equipements!$B19,INDIRECT("Descriptif!I"&amp;M$13)=Recap_equipements!$C19),INDIRECT("Descriptif!M"&amp;M$13)=$D20),INDIRECT("Descriptif!F"&amp;M$13),"")</f>
        <v/>
      </c>
      <c r="O20" s="10" t="str" cm="1">
        <f t="array" aca="1" ref="O20" ca="1">IF(AND(OR(INDIRECT("Descriptif!I"&amp;N$13)=Recap_equipements!$B19,INDIRECT("Descriptif!I"&amp;N$13)=Recap_equipements!$C19),INDIRECT("Descriptif!M"&amp;N$13)=$D20),INDIRECT("Descriptif!F"&amp;N$13),"")</f>
        <v/>
      </c>
      <c r="P20" s="10" t="str" cm="1">
        <f t="array" aca="1" ref="P20" ca="1">IF(AND(OR(INDIRECT("Descriptif!I"&amp;O$13)=Recap_equipements!$B19,INDIRECT("Descriptif!I"&amp;O$13)=Recap_equipements!$C19),INDIRECT("Descriptif!M"&amp;O$13)=$D20),INDIRECT("Descriptif!F"&amp;O$13),"")</f>
        <v/>
      </c>
      <c r="Q20" s="10" t="str" cm="1">
        <f t="array" aca="1" ref="Q20" ca="1">IF(AND(OR(INDIRECT("Descriptif!I"&amp;P$13)=Recap_equipements!$B19,INDIRECT("Descriptif!I"&amp;P$13)=Recap_equipements!$C19),INDIRECT("Descriptif!M"&amp;P$13)=$D20),INDIRECT("Descriptif!F"&amp;P$13),"")</f>
        <v/>
      </c>
      <c r="R20" s="10" t="str" cm="1">
        <f t="array" aca="1" ref="R20" ca="1">IF(AND(OR(INDIRECT("Descriptif!I"&amp;Q$13)=Recap_equipements!$B19,INDIRECT("Descriptif!I"&amp;Q$13)=Recap_equipements!$C19),INDIRECT("Descriptif!M"&amp;Q$13)=$D20),INDIRECT("Descriptif!F"&amp;Q$13),"")</f>
        <v/>
      </c>
      <c r="S20" s="10" t="str" cm="1">
        <f t="array" aca="1" ref="S20" ca="1">IF(AND(OR(INDIRECT("Descriptif!I"&amp;R$13)=Recap_equipements!$B19,INDIRECT("Descriptif!I"&amp;R$13)=Recap_equipements!$C19),INDIRECT("Descriptif!M"&amp;R$13)=$D20),INDIRECT("Descriptif!F"&amp;R$13),"")</f>
        <v/>
      </c>
      <c r="T20" s="92" t="str" cm="1">
        <f t="array" aca="1" ref="T20" ca="1">IF(AND(OR(INDIRECT("Descriptif!I"&amp;S$13)=Recap_equipements!$B19,INDIRECT("Descriptif!I"&amp;S$13)=Recap_equipements!$C19),INDIRECT("Descriptif!M"&amp;S$13)=$D20),INDIRECT("Descriptif!F"&amp;S$13),"")</f>
        <v/>
      </c>
    </row>
    <row r="21" spans="2:20" x14ac:dyDescent="0.4">
      <c r="B21" s="1179"/>
      <c r="C21" s="1182"/>
      <c r="D21" s="88" t="str">
        <f>$D$9</f>
        <v>Préleveur</v>
      </c>
      <c r="E21" s="88"/>
      <c r="F21" s="10" t="str" cm="1">
        <f t="array" aca="1" ref="F21" ca="1">IF(AND(OR(INDIRECT("Descriptif!I"&amp;E$13)=Recap_equipements!$B19,INDIRECT("Descriptif!I"&amp;E$13)=Recap_equipements!$C19),INDIRECT("Descriptif!M"&amp;E$13)=$D21),INDIRECT("Descriptif!F"&amp;E$13),"")</f>
        <v/>
      </c>
      <c r="G21" s="10" t="str" cm="1">
        <f t="array" aca="1" ref="G21" ca="1">IF(AND(OR(INDIRECT("Descriptif!I"&amp;F$13)=Recap_equipements!$B19,INDIRECT("Descriptif!I"&amp;F$13)=Recap_equipements!$C19),INDIRECT("Descriptif!M"&amp;F$13)=$D21),INDIRECT("Descriptif!F"&amp;F$13),"")</f>
        <v/>
      </c>
      <c r="H21" s="10" t="str" cm="1">
        <f t="array" aca="1" ref="H21" ca="1">IF(AND(OR(INDIRECT("Descriptif!I"&amp;G$13)=Recap_equipements!$B19,INDIRECT("Descriptif!I"&amp;G$13)=Recap_equipements!$C19),INDIRECT("Descriptif!M"&amp;G$13)=$D21),INDIRECT("Descriptif!F"&amp;G$13),"")</f>
        <v/>
      </c>
      <c r="I21" s="10" t="str" cm="1">
        <f t="array" aca="1" ref="I21" ca="1">IF(AND(OR(INDIRECT("Descriptif!I"&amp;H$13)=Recap_equipements!$B19,INDIRECT("Descriptif!I"&amp;H$13)=Recap_equipements!$C19),INDIRECT("Descriptif!M"&amp;H$13)=$D21),INDIRECT("Descriptif!F"&amp;H$13),"")</f>
        <v/>
      </c>
      <c r="J21" s="10" t="str" cm="1">
        <f t="array" aca="1" ref="J21" ca="1">IF(AND(OR(INDIRECT("Descriptif!I"&amp;I$13)=Recap_equipements!$B19,INDIRECT("Descriptif!I"&amp;I$13)=Recap_equipements!$C19),INDIRECT("Descriptif!M"&amp;I$13)=$D21),INDIRECT("Descriptif!F"&amp;I$13),"")</f>
        <v/>
      </c>
      <c r="K21" s="10" t="str" cm="1">
        <f t="array" aca="1" ref="K21" ca="1">IF(AND(OR(INDIRECT("Descriptif!I"&amp;J$13)=Recap_equipements!$B19,INDIRECT("Descriptif!I"&amp;J$13)=Recap_equipements!$C19),INDIRECT("Descriptif!M"&amp;J$13)=$D21),INDIRECT("Descriptif!F"&amp;J$13),"")</f>
        <v/>
      </c>
      <c r="L21" s="10" t="str" cm="1">
        <f t="array" aca="1" ref="L21" ca="1">IF(AND(OR(INDIRECT("Descriptif!I"&amp;K$13)=Recap_equipements!$B19,INDIRECT("Descriptif!I"&amp;K$13)=Recap_equipements!$C19),INDIRECT("Descriptif!M"&amp;K$13)=$D21),INDIRECT("Descriptif!F"&amp;K$13),"")</f>
        <v/>
      </c>
      <c r="M21" s="10" t="str" cm="1">
        <f t="array" aca="1" ref="M21" ca="1">IF(AND(OR(INDIRECT("Descriptif!I"&amp;L$13)=Recap_equipements!$B19,INDIRECT("Descriptif!I"&amp;L$13)=Recap_equipements!$C19),INDIRECT("Descriptif!M"&amp;L$13)=$D21),INDIRECT("Descriptif!F"&amp;L$13),"")</f>
        <v/>
      </c>
      <c r="N21" s="10" t="str" cm="1">
        <f t="array" aca="1" ref="N21" ca="1">IF(AND(OR(INDIRECT("Descriptif!I"&amp;M$13)=Recap_equipements!$B19,INDIRECT("Descriptif!I"&amp;M$13)=Recap_equipements!$C19),INDIRECT("Descriptif!M"&amp;M$13)=$D21),INDIRECT("Descriptif!F"&amp;M$13),"")</f>
        <v/>
      </c>
      <c r="O21" s="10" t="str" cm="1">
        <f t="array" aca="1" ref="O21" ca="1">IF(AND(OR(INDIRECT("Descriptif!I"&amp;N$13)=Recap_equipements!$B19,INDIRECT("Descriptif!I"&amp;N$13)=Recap_equipements!$C19),INDIRECT("Descriptif!M"&amp;N$13)=$D21),INDIRECT("Descriptif!F"&amp;N$13),"")</f>
        <v/>
      </c>
      <c r="P21" s="10" t="str" cm="1">
        <f t="array" aca="1" ref="P21" ca="1">IF(AND(OR(INDIRECT("Descriptif!I"&amp;O$13)=Recap_equipements!$B19,INDIRECT("Descriptif!I"&amp;O$13)=Recap_equipements!$C19),INDIRECT("Descriptif!M"&amp;O$13)=$D21),INDIRECT("Descriptif!F"&amp;O$13),"")</f>
        <v/>
      </c>
      <c r="Q21" s="10" t="str" cm="1">
        <f t="array" aca="1" ref="Q21" ca="1">IF(AND(OR(INDIRECT("Descriptif!I"&amp;P$13)=Recap_equipements!$B19,INDIRECT("Descriptif!I"&amp;P$13)=Recap_equipements!$C19),INDIRECT("Descriptif!M"&amp;P$13)=$D21),INDIRECT("Descriptif!F"&amp;P$13),"")</f>
        <v/>
      </c>
      <c r="R21" s="10" t="str" cm="1">
        <f t="array" aca="1" ref="R21" ca="1">IF(AND(OR(INDIRECT("Descriptif!I"&amp;Q$13)=Recap_equipements!$B19,INDIRECT("Descriptif!I"&amp;Q$13)=Recap_equipements!$C19),INDIRECT("Descriptif!M"&amp;Q$13)=$D21),INDIRECT("Descriptif!F"&amp;Q$13),"")</f>
        <v/>
      </c>
      <c r="S21" s="10" t="str" cm="1">
        <f t="array" aca="1" ref="S21" ca="1">IF(AND(OR(INDIRECT("Descriptif!I"&amp;R$13)=Recap_equipements!$B19,INDIRECT("Descriptif!I"&amp;R$13)=Recap_equipements!$C19),INDIRECT("Descriptif!M"&amp;R$13)=$D21),INDIRECT("Descriptif!F"&amp;R$13),"")</f>
        <v/>
      </c>
      <c r="T21" s="92" t="str" cm="1">
        <f t="array" aca="1" ref="T21" ca="1">IF(AND(OR(INDIRECT("Descriptif!I"&amp;S$13)=Recap_equipements!$B19,INDIRECT("Descriptif!I"&amp;S$13)=Recap_equipements!$C19),INDIRECT("Descriptif!M"&amp;S$13)=$D21),INDIRECT("Descriptif!F"&amp;S$13),"")</f>
        <v/>
      </c>
    </row>
    <row r="22" spans="2:20" x14ac:dyDescent="0.4">
      <c r="B22" s="1179"/>
      <c r="C22" s="1182"/>
      <c r="D22" s="287" t="s">
        <v>392</v>
      </c>
      <c r="E22" s="287"/>
      <c r="F22" s="288" t="str">
        <f ca="1">IF(F21&lt;&gt;"",VLOOKUP(F21,Analytique!$X$3:$AE$29,1,FALSE),"")</f>
        <v/>
      </c>
      <c r="G22" s="288" t="str">
        <f ca="1">IF(G21&lt;&gt;"",VLOOKUP(G21,Analytique!$X$3:$AE$29,1,FALSE),"")</f>
        <v/>
      </c>
      <c r="H22" s="288" t="str">
        <f ca="1">IF(H21&lt;&gt;"",VLOOKUP(H21,Analytique!$X$3:$AE$29,1,FALSE),"")</f>
        <v/>
      </c>
      <c r="I22" s="288" t="str">
        <f ca="1">IF(I21&lt;&gt;"",VLOOKUP(I21,Analytique!$X$3:$AE$29,1,FALSE),"")</f>
        <v/>
      </c>
      <c r="J22" s="288" t="str">
        <f ca="1">IF(J21&lt;&gt;"",VLOOKUP(J21,Analytique!$X$3:$AE$29,1,FALSE),"")</f>
        <v/>
      </c>
      <c r="K22" s="288" t="str">
        <f ca="1">IF(K21&lt;&gt;"",VLOOKUP(K21,Analytique!$X$3:$AE$29,1,FALSE),"")</f>
        <v/>
      </c>
      <c r="L22" s="288" t="str">
        <f ca="1">IF(L21&lt;&gt;"",VLOOKUP(L21,Analytique!$X$3:$AE$29,1,FALSE),"")</f>
        <v/>
      </c>
      <c r="M22" s="288" t="str">
        <f ca="1">IF(M21&lt;&gt;"",VLOOKUP(M21,Analytique!$X$3:$AE$29,1,FALSE),"")</f>
        <v/>
      </c>
      <c r="N22" s="288" t="str">
        <f ca="1">IF(N21&lt;&gt;"",VLOOKUP(N21,Analytique!$X$3:$AE$29,1,FALSE),"")</f>
        <v/>
      </c>
      <c r="O22" s="288" t="str">
        <f ca="1">IF(O21&lt;&gt;"",VLOOKUP(O21,Analytique!$X$3:$AE$29,1,FALSE),"")</f>
        <v/>
      </c>
      <c r="P22" s="288" t="str">
        <f ca="1">IF(P21&lt;&gt;"",VLOOKUP(P21,Analytique!$X$3:$AE$29,1,FALSE),"")</f>
        <v/>
      </c>
      <c r="Q22" s="288" t="str">
        <f ca="1">IF(Q21&lt;&gt;"",VLOOKUP(Q21,Analytique!$X$3:$AE$29,1,FALSE),"")</f>
        <v/>
      </c>
      <c r="R22" s="288" t="str">
        <f ca="1">IF(R21&lt;&gt;"",VLOOKUP(R21,Analytique!$X$3:$AE$29,1,FALSE),"")</f>
        <v/>
      </c>
      <c r="S22" s="288" t="str">
        <f ca="1">IF(S21&lt;&gt;"",VLOOKUP(S21,Analytique!$X$3:$AE$29,1,FALSE),"")</f>
        <v/>
      </c>
      <c r="T22" s="289" t="str">
        <f ca="1">IF(T21&lt;&gt;"",VLOOKUP(T21,Analytique!$X$3:$AE$29,1,FALSE),"")</f>
        <v/>
      </c>
    </row>
    <row r="23" spans="2:20" ht="13" thickBot="1" x14ac:dyDescent="0.45">
      <c r="B23" s="1180"/>
      <c r="C23" s="1183"/>
      <c r="D23" s="93" t="str">
        <f>$D$10</f>
        <v>Sonde de température</v>
      </c>
      <c r="E23" s="93"/>
      <c r="F23" s="94" t="str" cm="1">
        <f t="array" aca="1" ref="F23" ca="1">IF(AND(OR(INDIRECT("Descriptif!I"&amp;E$13)=Recap_equipements!$B19,INDIRECT("Descriptif!I"&amp;E$13)=Recap_equipements!$C19),INDIRECT("Descriptif!M"&amp;E$13)=$D23),INDIRECT("Descriptif!F"&amp;E$13),"")</f>
        <v/>
      </c>
      <c r="G23" s="94" t="str" cm="1">
        <f t="array" aca="1" ref="G23" ca="1">IF(AND(OR(INDIRECT("Descriptif!I"&amp;F$13)=Recap_equipements!$B19,INDIRECT("Descriptif!I"&amp;F$13)=Recap_equipements!$C19),INDIRECT("Descriptif!M"&amp;F$13)=$D23),INDIRECT("Descriptif!F"&amp;F$13),"")</f>
        <v/>
      </c>
      <c r="H23" s="94" t="str" cm="1">
        <f t="array" aca="1" ref="H23" ca="1">IF(AND(OR(INDIRECT("Descriptif!I"&amp;G$13)=Recap_equipements!$B19,INDIRECT("Descriptif!I"&amp;G$13)=Recap_equipements!$C19),INDIRECT("Descriptif!M"&amp;G$13)=$D23),INDIRECT("Descriptif!F"&amp;G$13),"")</f>
        <v/>
      </c>
      <c r="I23" s="94" t="str" cm="1">
        <f t="array" aca="1" ref="I23" ca="1">IF(AND(OR(INDIRECT("Descriptif!I"&amp;H$13)=Recap_equipements!$B19,INDIRECT("Descriptif!I"&amp;H$13)=Recap_equipements!$C19),INDIRECT("Descriptif!M"&amp;H$13)=$D23),INDIRECT("Descriptif!F"&amp;H$13),"")</f>
        <v/>
      </c>
      <c r="J23" s="94" t="str" cm="1">
        <f t="array" aca="1" ref="J23" ca="1">IF(AND(OR(INDIRECT("Descriptif!I"&amp;I$13)=Recap_equipements!$B19,INDIRECT("Descriptif!I"&amp;I$13)=Recap_equipements!$C19),INDIRECT("Descriptif!M"&amp;I$13)=$D23),INDIRECT("Descriptif!F"&amp;I$13),"")</f>
        <v/>
      </c>
      <c r="K23" s="94" t="str" cm="1">
        <f t="array" aca="1" ref="K23" ca="1">IF(AND(OR(INDIRECT("Descriptif!I"&amp;J$13)=Recap_equipements!$B19,INDIRECT("Descriptif!I"&amp;J$13)=Recap_equipements!$C19),INDIRECT("Descriptif!M"&amp;J$13)=$D23),INDIRECT("Descriptif!F"&amp;J$13),"")</f>
        <v/>
      </c>
      <c r="L23" s="94" t="str" cm="1">
        <f t="array" aca="1" ref="L23" ca="1">IF(AND(OR(INDIRECT("Descriptif!I"&amp;K$13)=Recap_equipements!$B19,INDIRECT("Descriptif!I"&amp;K$13)=Recap_equipements!$C19),INDIRECT("Descriptif!M"&amp;K$13)=$D23),INDIRECT("Descriptif!F"&amp;K$13),"")</f>
        <v/>
      </c>
      <c r="M23" s="94" t="str" cm="1">
        <f t="array" aca="1" ref="M23" ca="1">IF(AND(OR(INDIRECT("Descriptif!I"&amp;L$13)=Recap_equipements!$B19,INDIRECT("Descriptif!I"&amp;L$13)=Recap_equipements!$C19),INDIRECT("Descriptif!M"&amp;L$13)=$D23),INDIRECT("Descriptif!F"&amp;L$13),"")</f>
        <v/>
      </c>
      <c r="N23" s="94" t="str" cm="1">
        <f t="array" aca="1" ref="N23" ca="1">IF(AND(OR(INDIRECT("Descriptif!I"&amp;M$13)=Recap_equipements!$B19,INDIRECT("Descriptif!I"&amp;M$13)=Recap_equipements!$C19),INDIRECT("Descriptif!M"&amp;M$13)=$D23),INDIRECT("Descriptif!F"&amp;M$13),"")</f>
        <v/>
      </c>
      <c r="O23" s="94" t="str" cm="1">
        <f t="array" aca="1" ref="O23" ca="1">IF(AND(OR(INDIRECT("Descriptif!I"&amp;N$13)=Recap_equipements!$B19,INDIRECT("Descriptif!I"&amp;N$13)=Recap_equipements!$C19),INDIRECT("Descriptif!M"&amp;N$13)=$D23),INDIRECT("Descriptif!F"&amp;N$13),"")</f>
        <v/>
      </c>
      <c r="P23" s="94" t="str" cm="1">
        <f t="array" aca="1" ref="P23" ca="1">IF(AND(OR(INDIRECT("Descriptif!I"&amp;O$13)=Recap_equipements!$B19,INDIRECT("Descriptif!I"&amp;O$13)=Recap_equipements!$C19),INDIRECT("Descriptif!M"&amp;O$13)=$D23),INDIRECT("Descriptif!F"&amp;O$13),"")</f>
        <v/>
      </c>
      <c r="Q23" s="94" t="str" cm="1">
        <f t="array" aca="1" ref="Q23" ca="1">IF(AND(OR(INDIRECT("Descriptif!I"&amp;P$13)=Recap_equipements!$B19,INDIRECT("Descriptif!I"&amp;P$13)=Recap_equipements!$C19),INDIRECT("Descriptif!M"&amp;P$13)=$D23),INDIRECT("Descriptif!F"&amp;P$13),"")</f>
        <v/>
      </c>
      <c r="R23" s="94" t="str" cm="1">
        <f t="array" aca="1" ref="R23" ca="1">IF(AND(OR(INDIRECT("Descriptif!I"&amp;Q$13)=Recap_equipements!$B19,INDIRECT("Descriptif!I"&amp;Q$13)=Recap_equipements!$C19),INDIRECT("Descriptif!M"&amp;Q$13)=$D23),INDIRECT("Descriptif!F"&amp;Q$13),"")</f>
        <v/>
      </c>
      <c r="S23" s="94" t="str" cm="1">
        <f t="array" aca="1" ref="S23" ca="1">IF(AND(OR(INDIRECT("Descriptif!I"&amp;R$13)=Recap_equipements!$B19,INDIRECT("Descriptif!I"&amp;R$13)=Recap_equipements!$C19),INDIRECT("Descriptif!M"&amp;R$13)=$D23),INDIRECT("Descriptif!F"&amp;R$13),"")</f>
        <v/>
      </c>
      <c r="T23" s="95" t="str" cm="1">
        <f t="array" aca="1" ref="T23" ca="1">IF(AND(OR(INDIRECT("Descriptif!I"&amp;S$13)=Recap_equipements!$B19,INDIRECT("Descriptif!I"&amp;S$13)=Recap_equipements!$C19),INDIRECT("Descriptif!M"&amp;S$13)=$D23),INDIRECT("Descriptif!F"&amp;S$13),"")</f>
        <v/>
      </c>
    </row>
    <row r="24" spans="2:20" x14ac:dyDescent="0.4">
      <c r="B24" s="1178" t="s">
        <v>58</v>
      </c>
      <c r="C24" s="1181" t="s">
        <v>105</v>
      </c>
      <c r="D24" s="89" t="str">
        <f>$D$7</f>
        <v>Débitmètre en charge</v>
      </c>
      <c r="E24" s="89"/>
      <c r="F24" s="90" t="str" cm="1">
        <f t="array" aca="1" ref="F24" ca="1">IF(AND(OR(INDIRECT("Descriptif!I"&amp;E$13)=Recap_equipements!$B24,INDIRECT("Descriptif!I"&amp;E$13)=Recap_equipements!$C24),INDIRECT("Descriptif!M"&amp;E$13)=$D24),INDIRECT("Descriptif!F"&amp;E$13),"")</f>
        <v/>
      </c>
      <c r="G24" s="90" t="str" cm="1">
        <f t="array" aca="1" ref="G24" ca="1">IF(AND(OR(INDIRECT("Descriptif!I"&amp;F$13)=Recap_equipements!$B24,INDIRECT("Descriptif!I"&amp;F$13)=Recap_equipements!$C24),INDIRECT("Descriptif!M"&amp;F$13)=$D24),INDIRECT("Descriptif!F"&amp;F$13),"")</f>
        <v/>
      </c>
      <c r="H24" s="90" t="str" cm="1">
        <f t="array" aca="1" ref="H24" ca="1">IF(AND(OR(INDIRECT("Descriptif!I"&amp;G$13)=Recap_equipements!$B24,INDIRECT("Descriptif!I"&amp;G$13)=Recap_equipements!$C24),INDIRECT("Descriptif!M"&amp;G$13)=$D24),INDIRECT("Descriptif!F"&amp;G$13),"")</f>
        <v/>
      </c>
      <c r="I24" s="90" t="str" cm="1">
        <f t="array" aca="1" ref="I24" ca="1">IF(AND(OR(INDIRECT("Descriptif!I"&amp;H$13)=Recap_equipements!$B24,INDIRECT("Descriptif!I"&amp;H$13)=Recap_equipements!$C24),INDIRECT("Descriptif!M"&amp;H$13)=$D24),INDIRECT("Descriptif!F"&amp;H$13),"")</f>
        <v/>
      </c>
      <c r="J24" s="90" t="str" cm="1">
        <f t="array" aca="1" ref="J24" ca="1">IF(AND(OR(INDIRECT("Descriptif!I"&amp;I$13)=Recap_equipements!$B24,INDIRECT("Descriptif!I"&amp;I$13)=Recap_equipements!$C24),INDIRECT("Descriptif!M"&amp;I$13)=$D24),INDIRECT("Descriptif!F"&amp;I$13),"")</f>
        <v/>
      </c>
      <c r="K24" s="90" t="str" cm="1">
        <f t="array" aca="1" ref="K24" ca="1">IF(AND(OR(INDIRECT("Descriptif!I"&amp;J$13)=Recap_equipements!$B24,INDIRECT("Descriptif!I"&amp;J$13)=Recap_equipements!$C24),INDIRECT("Descriptif!M"&amp;J$13)=$D24),INDIRECT("Descriptif!F"&amp;J$13),"")</f>
        <v/>
      </c>
      <c r="L24" s="90" t="str" cm="1">
        <f t="array" aca="1" ref="L24" ca="1">IF(AND(OR(INDIRECT("Descriptif!I"&amp;K$13)=Recap_equipements!$B24,INDIRECT("Descriptif!I"&amp;K$13)=Recap_equipements!$C24),INDIRECT("Descriptif!M"&amp;K$13)=$D24),INDIRECT("Descriptif!F"&amp;K$13),"")</f>
        <v/>
      </c>
      <c r="M24" s="90" t="str" cm="1">
        <f t="array" aca="1" ref="M24" ca="1">IF(AND(OR(INDIRECT("Descriptif!I"&amp;L$13)=Recap_equipements!$B24,INDIRECT("Descriptif!I"&amp;L$13)=Recap_equipements!$C24),INDIRECT("Descriptif!M"&amp;L$13)=$D24),INDIRECT("Descriptif!F"&amp;L$13),"")</f>
        <v/>
      </c>
      <c r="N24" s="90" t="str" cm="1">
        <f t="array" aca="1" ref="N24" ca="1">IF(AND(OR(INDIRECT("Descriptif!I"&amp;M$13)=Recap_equipements!$B24,INDIRECT("Descriptif!I"&amp;M$13)=Recap_equipements!$C24),INDIRECT("Descriptif!M"&amp;M$13)=$D24),INDIRECT("Descriptif!F"&amp;M$13),"")</f>
        <v/>
      </c>
      <c r="O24" s="90" t="str" cm="1">
        <f t="array" aca="1" ref="O24" ca="1">IF(AND(OR(INDIRECT("Descriptif!I"&amp;N$13)=Recap_equipements!$B24,INDIRECT("Descriptif!I"&amp;N$13)=Recap_equipements!$C24),INDIRECT("Descriptif!M"&amp;N$13)=$D24),INDIRECT("Descriptif!F"&amp;N$13),"")</f>
        <v/>
      </c>
      <c r="P24" s="90" t="str" cm="1">
        <f t="array" aca="1" ref="P24" ca="1">IF(AND(OR(INDIRECT("Descriptif!I"&amp;O$13)=Recap_equipements!$B24,INDIRECT("Descriptif!I"&amp;O$13)=Recap_equipements!$C24),INDIRECT("Descriptif!M"&amp;O$13)=$D24),INDIRECT("Descriptif!F"&amp;O$13),"")</f>
        <v/>
      </c>
      <c r="Q24" s="90" t="str" cm="1">
        <f t="array" aca="1" ref="Q24" ca="1">IF(AND(OR(INDIRECT("Descriptif!I"&amp;P$13)=Recap_equipements!$B24,INDIRECT("Descriptif!I"&amp;P$13)=Recap_equipements!$C24),INDIRECT("Descriptif!M"&amp;P$13)=$D24),INDIRECT("Descriptif!F"&amp;P$13),"")</f>
        <v/>
      </c>
      <c r="R24" s="90" t="str" cm="1">
        <f t="array" aca="1" ref="R24" ca="1">IF(AND(OR(INDIRECT("Descriptif!I"&amp;Q$13)=Recap_equipements!$B24,INDIRECT("Descriptif!I"&amp;Q$13)=Recap_equipements!$C24),INDIRECT("Descriptif!M"&amp;Q$13)=$D24),INDIRECT("Descriptif!F"&amp;Q$13),"")</f>
        <v/>
      </c>
      <c r="S24" s="90" t="str" cm="1">
        <f t="array" aca="1" ref="S24" ca="1">IF(AND(OR(INDIRECT("Descriptif!I"&amp;R$13)=Recap_equipements!$B24,INDIRECT("Descriptif!I"&amp;R$13)=Recap_equipements!$C24),INDIRECT("Descriptif!M"&amp;R$13)=$D24),INDIRECT("Descriptif!F"&amp;R$13),"")</f>
        <v/>
      </c>
      <c r="T24" s="91" t="str" cm="1">
        <f t="array" aca="1" ref="T24" ca="1">IF(AND(OR(INDIRECT("Descriptif!I"&amp;S$13)=Recap_equipements!$B24,INDIRECT("Descriptif!I"&amp;S$13)=Recap_equipements!$C24),INDIRECT("Descriptif!M"&amp;S$13)=$D24),INDIRECT("Descriptif!F"&amp;S$13),"")</f>
        <v/>
      </c>
    </row>
    <row r="25" spans="2:20" x14ac:dyDescent="0.4">
      <c r="B25" s="1179"/>
      <c r="C25" s="1182"/>
      <c r="D25" s="88" t="str">
        <f>$D$8</f>
        <v>Débitmètre gravitaire</v>
      </c>
      <c r="E25" s="88"/>
      <c r="F25" s="10" t="str" cm="1">
        <f t="array" aca="1" ref="F25" ca="1">IF(AND(OR(INDIRECT("Descriptif!I"&amp;E$13)=Recap_equipements!$B24,INDIRECT("Descriptif!I"&amp;E$13)=Recap_equipements!$C24),INDIRECT("Descriptif!M"&amp;E$13)=$D25),INDIRECT("Descriptif!F"&amp;E$13),"")</f>
        <v/>
      </c>
      <c r="G25" s="10" t="str" cm="1">
        <f t="array" aca="1" ref="G25" ca="1">IF(AND(OR(INDIRECT("Descriptif!I"&amp;F$13)=Recap_equipements!$B24,INDIRECT("Descriptif!I"&amp;F$13)=Recap_equipements!$C24),INDIRECT("Descriptif!M"&amp;F$13)=$D25),INDIRECT("Descriptif!F"&amp;F$13),"")</f>
        <v/>
      </c>
      <c r="H25" s="10" t="str" cm="1">
        <f t="array" aca="1" ref="H25" ca="1">IF(AND(OR(INDIRECT("Descriptif!I"&amp;G$13)=Recap_equipements!$B24,INDIRECT("Descriptif!I"&amp;G$13)=Recap_equipements!$C24),INDIRECT("Descriptif!M"&amp;G$13)=$D25),INDIRECT("Descriptif!F"&amp;G$13),"")</f>
        <v/>
      </c>
      <c r="I25" s="10" t="str" cm="1">
        <f t="array" aca="1" ref="I25" ca="1">IF(AND(OR(INDIRECT("Descriptif!I"&amp;H$13)=Recap_equipements!$B24,INDIRECT("Descriptif!I"&amp;H$13)=Recap_equipements!$C24),INDIRECT("Descriptif!M"&amp;H$13)=$D25),INDIRECT("Descriptif!F"&amp;H$13),"")</f>
        <v/>
      </c>
      <c r="J25" s="10" t="str" cm="1">
        <f t="array" aca="1" ref="J25" ca="1">IF(AND(OR(INDIRECT("Descriptif!I"&amp;I$13)=Recap_equipements!$B24,INDIRECT("Descriptif!I"&amp;I$13)=Recap_equipements!$C24),INDIRECT("Descriptif!M"&amp;I$13)=$D25),INDIRECT("Descriptif!F"&amp;I$13),"")</f>
        <v/>
      </c>
      <c r="K25" s="10" t="str" cm="1">
        <f t="array" aca="1" ref="K25" ca="1">IF(AND(OR(INDIRECT("Descriptif!I"&amp;J$13)=Recap_equipements!$B24,INDIRECT("Descriptif!I"&amp;J$13)=Recap_equipements!$C24),INDIRECT("Descriptif!M"&amp;J$13)=$D25),INDIRECT("Descriptif!F"&amp;J$13),"")</f>
        <v/>
      </c>
      <c r="L25" s="10" t="str" cm="1">
        <f t="array" aca="1" ref="L25" ca="1">IF(AND(OR(INDIRECT("Descriptif!I"&amp;K$13)=Recap_equipements!$B24,INDIRECT("Descriptif!I"&amp;K$13)=Recap_equipements!$C24),INDIRECT("Descriptif!M"&amp;K$13)=$D25),INDIRECT("Descriptif!F"&amp;K$13),"")</f>
        <v/>
      </c>
      <c r="M25" s="10" t="str" cm="1">
        <f t="array" aca="1" ref="M25" ca="1">IF(AND(OR(INDIRECT("Descriptif!I"&amp;L$13)=Recap_equipements!$B24,INDIRECT("Descriptif!I"&amp;L$13)=Recap_equipements!$C24),INDIRECT("Descriptif!M"&amp;L$13)=$D25),INDIRECT("Descriptif!F"&amp;L$13),"")</f>
        <v/>
      </c>
      <c r="N25" s="10" t="str" cm="1">
        <f t="array" aca="1" ref="N25" ca="1">IF(AND(OR(INDIRECT("Descriptif!I"&amp;M$13)=Recap_equipements!$B24,INDIRECT("Descriptif!I"&amp;M$13)=Recap_equipements!$C24),INDIRECT("Descriptif!M"&amp;M$13)=$D25),INDIRECT("Descriptif!F"&amp;M$13),"")</f>
        <v/>
      </c>
      <c r="O25" s="10" t="str" cm="1">
        <f t="array" aca="1" ref="O25" ca="1">IF(AND(OR(INDIRECT("Descriptif!I"&amp;N$13)=Recap_equipements!$B24,INDIRECT("Descriptif!I"&amp;N$13)=Recap_equipements!$C24),INDIRECT("Descriptif!M"&amp;N$13)=$D25),INDIRECT("Descriptif!F"&amp;N$13),"")</f>
        <v/>
      </c>
      <c r="P25" s="10" t="str" cm="1">
        <f t="array" aca="1" ref="P25" ca="1">IF(AND(OR(INDIRECT("Descriptif!I"&amp;O$13)=Recap_equipements!$B24,INDIRECT("Descriptif!I"&amp;O$13)=Recap_equipements!$C24),INDIRECT("Descriptif!M"&amp;O$13)=$D25),INDIRECT("Descriptif!F"&amp;O$13),"")</f>
        <v/>
      </c>
      <c r="Q25" s="10" t="str" cm="1">
        <f t="array" aca="1" ref="Q25" ca="1">IF(AND(OR(INDIRECT("Descriptif!I"&amp;P$13)=Recap_equipements!$B24,INDIRECT("Descriptif!I"&amp;P$13)=Recap_equipements!$C24),INDIRECT("Descriptif!M"&amp;P$13)=$D25),INDIRECT("Descriptif!F"&amp;P$13),"")</f>
        <v/>
      </c>
      <c r="R25" s="10" t="str" cm="1">
        <f t="array" aca="1" ref="R25" ca="1">IF(AND(OR(INDIRECT("Descriptif!I"&amp;Q$13)=Recap_equipements!$B24,INDIRECT("Descriptif!I"&amp;Q$13)=Recap_equipements!$C24),INDIRECT("Descriptif!M"&amp;Q$13)=$D25),INDIRECT("Descriptif!F"&amp;Q$13),"")</f>
        <v/>
      </c>
      <c r="S25" s="10" t="str" cm="1">
        <f t="array" aca="1" ref="S25" ca="1">IF(AND(OR(INDIRECT("Descriptif!I"&amp;R$13)=Recap_equipements!$B24,INDIRECT("Descriptif!I"&amp;R$13)=Recap_equipements!$C24),INDIRECT("Descriptif!M"&amp;R$13)=$D25),INDIRECT("Descriptif!F"&amp;R$13),"")</f>
        <v/>
      </c>
      <c r="T25" s="92" t="str" cm="1">
        <f t="array" aca="1" ref="T25" ca="1">IF(AND(OR(INDIRECT("Descriptif!I"&amp;S$13)=Recap_equipements!$B24,INDIRECT("Descriptif!I"&amp;S$13)=Recap_equipements!$C24),INDIRECT("Descriptif!M"&amp;S$13)=$D25),INDIRECT("Descriptif!F"&amp;S$13),"")</f>
        <v/>
      </c>
    </row>
    <row r="26" spans="2:20" x14ac:dyDescent="0.4">
      <c r="B26" s="1179"/>
      <c r="C26" s="1182"/>
      <c r="D26" s="88" t="str">
        <f>$D$9</f>
        <v>Préleveur</v>
      </c>
      <c r="E26" s="88"/>
      <c r="F26" s="10" t="str" cm="1">
        <f t="array" aca="1" ref="F26" ca="1">IF(AND(OR(INDIRECT("Descriptif!I"&amp;E$13)=Recap_equipements!$B24,INDIRECT("Descriptif!I"&amp;E$13)=Recap_equipements!$C24),INDIRECT("Descriptif!M"&amp;E$13)=$D26),INDIRECT("Descriptif!F"&amp;E$13),"")</f>
        <v/>
      </c>
      <c r="G26" s="10" t="str" cm="1">
        <f t="array" aca="1" ref="G26" ca="1">IF(AND(OR(INDIRECT("Descriptif!I"&amp;F$13)=Recap_equipements!$B24,INDIRECT("Descriptif!I"&amp;F$13)=Recap_equipements!$C24),INDIRECT("Descriptif!M"&amp;F$13)=$D26),INDIRECT("Descriptif!F"&amp;F$13),"")</f>
        <v/>
      </c>
      <c r="H26" s="10" t="str" cm="1">
        <f t="array" aca="1" ref="H26" ca="1">IF(AND(OR(INDIRECT("Descriptif!I"&amp;G$13)=Recap_equipements!$B24,INDIRECT("Descriptif!I"&amp;G$13)=Recap_equipements!$C24),INDIRECT("Descriptif!M"&amp;G$13)=$D26),INDIRECT("Descriptif!F"&amp;G$13),"")</f>
        <v/>
      </c>
      <c r="I26" s="10" t="str" cm="1">
        <f t="array" aca="1" ref="I26" ca="1">IF(AND(OR(INDIRECT("Descriptif!I"&amp;H$13)=Recap_equipements!$B24,INDIRECT("Descriptif!I"&amp;H$13)=Recap_equipements!$C24),INDIRECT("Descriptif!M"&amp;H$13)=$D26),INDIRECT("Descriptif!F"&amp;H$13),"")</f>
        <v/>
      </c>
      <c r="J26" s="10" t="str" cm="1">
        <f t="array" aca="1" ref="J26" ca="1">IF(AND(OR(INDIRECT("Descriptif!I"&amp;I$13)=Recap_equipements!$B24,INDIRECT("Descriptif!I"&amp;I$13)=Recap_equipements!$C24),INDIRECT("Descriptif!M"&amp;I$13)=$D26),INDIRECT("Descriptif!F"&amp;I$13),"")</f>
        <v/>
      </c>
      <c r="K26" s="10" t="str" cm="1">
        <f t="array" aca="1" ref="K26" ca="1">IF(AND(OR(INDIRECT("Descriptif!I"&amp;J$13)=Recap_equipements!$B24,INDIRECT("Descriptif!I"&amp;J$13)=Recap_equipements!$C24),INDIRECT("Descriptif!M"&amp;J$13)=$D26),INDIRECT("Descriptif!F"&amp;J$13),"")</f>
        <v/>
      </c>
      <c r="L26" s="10" t="str" cm="1">
        <f t="array" aca="1" ref="L26" ca="1">IF(AND(OR(INDIRECT("Descriptif!I"&amp;K$13)=Recap_equipements!$B24,INDIRECT("Descriptif!I"&amp;K$13)=Recap_equipements!$C24),INDIRECT("Descriptif!M"&amp;K$13)=$D26),INDIRECT("Descriptif!F"&amp;K$13),"")</f>
        <v/>
      </c>
      <c r="M26" s="10" t="str" cm="1">
        <f t="array" aca="1" ref="M26" ca="1">IF(AND(OR(INDIRECT("Descriptif!I"&amp;L$13)=Recap_equipements!$B24,INDIRECT("Descriptif!I"&amp;L$13)=Recap_equipements!$C24),INDIRECT("Descriptif!M"&amp;L$13)=$D26),INDIRECT("Descriptif!F"&amp;L$13),"")</f>
        <v/>
      </c>
      <c r="N26" s="10" t="str" cm="1">
        <f t="array" aca="1" ref="N26" ca="1">IF(AND(OR(INDIRECT("Descriptif!I"&amp;M$13)=Recap_equipements!$B24,INDIRECT("Descriptif!I"&amp;M$13)=Recap_equipements!$C24),INDIRECT("Descriptif!M"&amp;M$13)=$D26),INDIRECT("Descriptif!F"&amp;M$13),"")</f>
        <v/>
      </c>
      <c r="O26" s="10" t="str" cm="1">
        <f t="array" aca="1" ref="O26" ca="1">IF(AND(OR(INDIRECT("Descriptif!I"&amp;N$13)=Recap_equipements!$B24,INDIRECT("Descriptif!I"&amp;N$13)=Recap_equipements!$C24),INDIRECT("Descriptif!M"&amp;N$13)=$D26),INDIRECT("Descriptif!F"&amp;N$13),"")</f>
        <v/>
      </c>
      <c r="P26" s="10" t="str" cm="1">
        <f t="array" aca="1" ref="P26" ca="1">IF(AND(OR(INDIRECT("Descriptif!I"&amp;O$13)=Recap_equipements!$B24,INDIRECT("Descriptif!I"&amp;O$13)=Recap_equipements!$C24),INDIRECT("Descriptif!M"&amp;O$13)=$D26),INDIRECT("Descriptif!F"&amp;O$13),"")</f>
        <v/>
      </c>
      <c r="Q26" s="10" t="str" cm="1">
        <f t="array" aca="1" ref="Q26" ca="1">IF(AND(OR(INDIRECT("Descriptif!I"&amp;P$13)=Recap_equipements!$B24,INDIRECT("Descriptif!I"&amp;P$13)=Recap_equipements!$C24),INDIRECT("Descriptif!M"&amp;P$13)=$D26),INDIRECT("Descriptif!F"&amp;P$13),"")</f>
        <v/>
      </c>
      <c r="R26" s="10" t="str" cm="1">
        <f t="array" aca="1" ref="R26" ca="1">IF(AND(OR(INDIRECT("Descriptif!I"&amp;Q$13)=Recap_equipements!$B24,INDIRECT("Descriptif!I"&amp;Q$13)=Recap_equipements!$C24),INDIRECT("Descriptif!M"&amp;Q$13)=$D26),INDIRECT("Descriptif!F"&amp;Q$13),"")</f>
        <v/>
      </c>
      <c r="S26" s="10" t="str" cm="1">
        <f t="array" aca="1" ref="S26" ca="1">IF(AND(OR(INDIRECT("Descriptif!I"&amp;R$13)=Recap_equipements!$B24,INDIRECT("Descriptif!I"&amp;R$13)=Recap_equipements!$C24),INDIRECT("Descriptif!M"&amp;R$13)=$D26),INDIRECT("Descriptif!F"&amp;R$13),"")</f>
        <v/>
      </c>
      <c r="T26" s="92" t="str" cm="1">
        <f t="array" aca="1" ref="T26" ca="1">IF(AND(OR(INDIRECT("Descriptif!I"&amp;S$13)=Recap_equipements!$B24,INDIRECT("Descriptif!I"&amp;S$13)=Recap_equipements!$C24),INDIRECT("Descriptif!M"&amp;S$13)=$D26),INDIRECT("Descriptif!F"&amp;S$13),"")</f>
        <v/>
      </c>
    </row>
    <row r="27" spans="2:20" x14ac:dyDescent="0.4">
      <c r="B27" s="1179"/>
      <c r="C27" s="1182"/>
      <c r="D27" s="287" t="s">
        <v>392</v>
      </c>
      <c r="E27" s="287"/>
      <c r="F27" s="288" t="str">
        <f ca="1">IF(F26&lt;&gt;"",VLOOKUP(F26,Analytique!$X$3:$AE$29,1,FALSE),"")</f>
        <v/>
      </c>
      <c r="G27" s="288" t="str">
        <f ca="1">IF(G26&lt;&gt;"",VLOOKUP(G26,Analytique!$X$3:$AE$29,1,FALSE),"")</f>
        <v/>
      </c>
      <c r="H27" s="288" t="str">
        <f ca="1">IF(H26&lt;&gt;"",VLOOKUP(H26,Analytique!$X$3:$AE$29,1,FALSE),"")</f>
        <v/>
      </c>
      <c r="I27" s="288" t="str">
        <f ca="1">IF(I26&lt;&gt;"",VLOOKUP(I26,Analytique!$X$3:$AE$29,1,FALSE),"")</f>
        <v/>
      </c>
      <c r="J27" s="288" t="str">
        <f ca="1">IF(J26&lt;&gt;"",VLOOKUP(J26,Analytique!$X$3:$AE$29,1,FALSE),"")</f>
        <v/>
      </c>
      <c r="K27" s="288" t="str">
        <f ca="1">IF(K26&lt;&gt;"",VLOOKUP(K26,Analytique!$X$3:$AE$29,1,FALSE),"")</f>
        <v/>
      </c>
      <c r="L27" s="288" t="str">
        <f ca="1">IF(L26&lt;&gt;"",VLOOKUP(L26,Analytique!$X$3:$AE$29,1,FALSE),"")</f>
        <v/>
      </c>
      <c r="M27" s="288" t="str">
        <f ca="1">IF(M26&lt;&gt;"",VLOOKUP(M26,Analytique!$X$3:$AE$29,1,FALSE),"")</f>
        <v/>
      </c>
      <c r="N27" s="288" t="str">
        <f ca="1">IF(N26&lt;&gt;"",VLOOKUP(N26,Analytique!$X$3:$AE$29,1,FALSE),"")</f>
        <v/>
      </c>
      <c r="O27" s="288" t="str">
        <f ca="1">IF(O26&lt;&gt;"",VLOOKUP(O26,Analytique!$X$3:$AE$29,1,FALSE),"")</f>
        <v/>
      </c>
      <c r="P27" s="288" t="str">
        <f ca="1">IF(P26&lt;&gt;"",VLOOKUP(P26,Analytique!$X$3:$AE$29,1,FALSE),"")</f>
        <v/>
      </c>
      <c r="Q27" s="288" t="str">
        <f ca="1">IF(Q26&lt;&gt;"",VLOOKUP(Q26,Analytique!$X$3:$AE$29,1,FALSE),"")</f>
        <v/>
      </c>
      <c r="R27" s="288" t="str">
        <f ca="1">IF(R26&lt;&gt;"",VLOOKUP(R26,Analytique!$X$3:$AE$29,1,FALSE),"")</f>
        <v/>
      </c>
      <c r="S27" s="288" t="str">
        <f ca="1">IF(S26&lt;&gt;"",VLOOKUP(S26,Analytique!$X$3:$AE$29,1,FALSE),"")</f>
        <v/>
      </c>
      <c r="T27" s="289" t="str">
        <f ca="1">IF(T26&lt;&gt;"",VLOOKUP(T26,Analytique!$X$3:$AE$29,1,FALSE),"")</f>
        <v/>
      </c>
    </row>
    <row r="28" spans="2:20" ht="13" thickBot="1" x14ac:dyDescent="0.45">
      <c r="B28" s="1180"/>
      <c r="C28" s="1183"/>
      <c r="D28" s="93" t="str">
        <f>$D$10</f>
        <v>Sonde de température</v>
      </c>
      <c r="E28" s="93"/>
      <c r="F28" s="94" t="str" cm="1">
        <f t="array" aca="1" ref="F28" ca="1">IF(AND(OR(INDIRECT("Descriptif!I"&amp;E$13)=Recap_equipements!$B24,INDIRECT("Descriptif!I"&amp;E$13)=Recap_equipements!$C24),INDIRECT("Descriptif!M"&amp;E$13)=$D28),INDIRECT("Descriptif!F"&amp;E$13),"")</f>
        <v/>
      </c>
      <c r="G28" s="94" t="str" cm="1">
        <f t="array" aca="1" ref="G28" ca="1">IF(AND(OR(INDIRECT("Descriptif!I"&amp;F$13)=Recap_equipements!$B24,INDIRECT("Descriptif!I"&amp;F$13)=Recap_equipements!$C24),INDIRECT("Descriptif!M"&amp;F$13)=$D28),INDIRECT("Descriptif!F"&amp;F$13),"")</f>
        <v/>
      </c>
      <c r="H28" s="94" t="str" cm="1">
        <f t="array" aca="1" ref="H28" ca="1">IF(AND(OR(INDIRECT("Descriptif!I"&amp;G$13)=Recap_equipements!$B24,INDIRECT("Descriptif!I"&amp;G$13)=Recap_equipements!$C24),INDIRECT("Descriptif!M"&amp;G$13)=$D28),INDIRECT("Descriptif!F"&amp;G$13),"")</f>
        <v/>
      </c>
      <c r="I28" s="94" t="str" cm="1">
        <f t="array" aca="1" ref="I28" ca="1">IF(AND(OR(INDIRECT("Descriptif!I"&amp;H$13)=Recap_equipements!$B24,INDIRECT("Descriptif!I"&amp;H$13)=Recap_equipements!$C24),INDIRECT("Descriptif!M"&amp;H$13)=$D28),INDIRECT("Descriptif!F"&amp;H$13),"")</f>
        <v/>
      </c>
      <c r="J28" s="94" t="str" cm="1">
        <f t="array" aca="1" ref="J28" ca="1">IF(AND(OR(INDIRECT("Descriptif!I"&amp;I$13)=Recap_equipements!$B24,INDIRECT("Descriptif!I"&amp;I$13)=Recap_equipements!$C24),INDIRECT("Descriptif!M"&amp;I$13)=$D28),INDIRECT("Descriptif!F"&amp;I$13),"")</f>
        <v/>
      </c>
      <c r="K28" s="94" t="str" cm="1">
        <f t="array" aca="1" ref="K28" ca="1">IF(AND(OR(INDIRECT("Descriptif!I"&amp;J$13)=Recap_equipements!$B24,INDIRECT("Descriptif!I"&amp;J$13)=Recap_equipements!$C24),INDIRECT("Descriptif!M"&amp;J$13)=$D28),INDIRECT("Descriptif!F"&amp;J$13),"")</f>
        <v/>
      </c>
      <c r="L28" s="94" t="str" cm="1">
        <f t="array" aca="1" ref="L28" ca="1">IF(AND(OR(INDIRECT("Descriptif!I"&amp;K$13)=Recap_equipements!$B24,INDIRECT("Descriptif!I"&amp;K$13)=Recap_equipements!$C24),INDIRECT("Descriptif!M"&amp;K$13)=$D28),INDIRECT("Descriptif!F"&amp;K$13),"")</f>
        <v/>
      </c>
      <c r="M28" s="94" t="str" cm="1">
        <f t="array" aca="1" ref="M28" ca="1">IF(AND(OR(INDIRECT("Descriptif!I"&amp;L$13)=Recap_equipements!$B24,INDIRECT("Descriptif!I"&amp;L$13)=Recap_equipements!$C24),INDIRECT("Descriptif!M"&amp;L$13)=$D28),INDIRECT("Descriptif!F"&amp;L$13),"")</f>
        <v/>
      </c>
      <c r="N28" s="94" t="str" cm="1">
        <f t="array" aca="1" ref="N28" ca="1">IF(AND(OR(INDIRECT("Descriptif!I"&amp;M$13)=Recap_equipements!$B24,INDIRECT("Descriptif!I"&amp;M$13)=Recap_equipements!$C24),INDIRECT("Descriptif!M"&amp;M$13)=$D28),INDIRECT("Descriptif!F"&amp;M$13),"")</f>
        <v/>
      </c>
      <c r="O28" s="94" t="str" cm="1">
        <f t="array" aca="1" ref="O28" ca="1">IF(AND(OR(INDIRECT("Descriptif!I"&amp;N$13)=Recap_equipements!$B24,INDIRECT("Descriptif!I"&amp;N$13)=Recap_equipements!$C24),INDIRECT("Descriptif!M"&amp;N$13)=$D28),INDIRECT("Descriptif!F"&amp;N$13),"")</f>
        <v/>
      </c>
      <c r="P28" s="94" t="str" cm="1">
        <f t="array" aca="1" ref="P28" ca="1">IF(AND(OR(INDIRECT("Descriptif!I"&amp;O$13)=Recap_equipements!$B24,INDIRECT("Descriptif!I"&amp;O$13)=Recap_equipements!$C24),INDIRECT("Descriptif!M"&amp;O$13)=$D28),INDIRECT("Descriptif!F"&amp;O$13),"")</f>
        <v/>
      </c>
      <c r="Q28" s="94" t="str" cm="1">
        <f t="array" aca="1" ref="Q28" ca="1">IF(AND(OR(INDIRECT("Descriptif!I"&amp;P$13)=Recap_equipements!$B24,INDIRECT("Descriptif!I"&amp;P$13)=Recap_equipements!$C24),INDIRECT("Descriptif!M"&amp;P$13)=$D28),INDIRECT("Descriptif!F"&amp;P$13),"")</f>
        <v/>
      </c>
      <c r="R28" s="94" t="str" cm="1">
        <f t="array" aca="1" ref="R28" ca="1">IF(AND(OR(INDIRECT("Descriptif!I"&amp;Q$13)=Recap_equipements!$B24,INDIRECT("Descriptif!I"&amp;Q$13)=Recap_equipements!$C24),INDIRECT("Descriptif!M"&amp;Q$13)=$D28),INDIRECT("Descriptif!F"&amp;Q$13),"")</f>
        <v/>
      </c>
      <c r="S28" s="94" t="str" cm="1">
        <f t="array" aca="1" ref="S28" ca="1">IF(AND(OR(INDIRECT("Descriptif!I"&amp;R$13)=Recap_equipements!$B24,INDIRECT("Descriptif!I"&amp;R$13)=Recap_equipements!$C24),INDIRECT("Descriptif!M"&amp;R$13)=$D28),INDIRECT("Descriptif!F"&amp;R$13),"")</f>
        <v/>
      </c>
      <c r="T28" s="95" t="str" cm="1">
        <f t="array" aca="1" ref="T28" ca="1">IF(AND(OR(INDIRECT("Descriptif!I"&amp;S$13)=Recap_equipements!$B24,INDIRECT("Descriptif!I"&amp;S$13)=Recap_equipements!$C24),INDIRECT("Descriptif!M"&amp;S$13)=$D28),INDIRECT("Descriptif!F"&amp;S$13),"")</f>
        <v/>
      </c>
    </row>
    <row r="29" spans="2:20" x14ac:dyDescent="0.4">
      <c r="B29" s="1178" t="s">
        <v>98</v>
      </c>
      <c r="C29" s="1181" t="s">
        <v>112</v>
      </c>
      <c r="D29" s="89" t="str">
        <f>$D$7</f>
        <v>Débitmètre en charge</v>
      </c>
      <c r="E29" s="89"/>
      <c r="F29" s="90" t="str" cm="1">
        <f t="array" aca="1" ref="F29" ca="1">IF(AND(OR(INDIRECT("Descriptif!I"&amp;E$13)=Recap_equipements!$B29,INDIRECT("Descriptif!I"&amp;E$13)=Recap_equipements!$C29),INDIRECT("Descriptif!M"&amp;E$13)=$D29),INDIRECT("Descriptif!F"&amp;E$13),"")</f>
        <v/>
      </c>
      <c r="G29" s="90" t="str" cm="1">
        <f t="array" aca="1" ref="G29" ca="1">IF(AND(OR(INDIRECT("Descriptif!I"&amp;F$13)=Recap_equipements!$B29,INDIRECT("Descriptif!I"&amp;F$13)=Recap_equipements!$C29),INDIRECT("Descriptif!M"&amp;F$13)=$D29),INDIRECT("Descriptif!F"&amp;F$13),"")</f>
        <v/>
      </c>
      <c r="H29" s="90" t="str" cm="1">
        <f t="array" aca="1" ref="H29" ca="1">IF(AND(OR(INDIRECT("Descriptif!I"&amp;G$13)=Recap_equipements!$B29,INDIRECT("Descriptif!I"&amp;G$13)=Recap_equipements!$C29),INDIRECT("Descriptif!M"&amp;G$13)=$D29),INDIRECT("Descriptif!F"&amp;G$13),"")</f>
        <v/>
      </c>
      <c r="I29" s="90" t="str" cm="1">
        <f t="array" aca="1" ref="I29" ca="1">IF(AND(OR(INDIRECT("Descriptif!I"&amp;H$13)=Recap_equipements!$B29,INDIRECT("Descriptif!I"&amp;H$13)=Recap_equipements!$C29),INDIRECT("Descriptif!M"&amp;H$13)=$D29),INDIRECT("Descriptif!F"&amp;H$13),"")</f>
        <v/>
      </c>
      <c r="J29" s="90" t="str" cm="1">
        <f t="array" aca="1" ref="J29" ca="1">IF(AND(OR(INDIRECT("Descriptif!I"&amp;I$13)=Recap_equipements!$B29,INDIRECT("Descriptif!I"&amp;I$13)=Recap_equipements!$C29),INDIRECT("Descriptif!M"&amp;I$13)=$D29),INDIRECT("Descriptif!F"&amp;I$13),"")</f>
        <v/>
      </c>
      <c r="K29" s="90" t="str" cm="1">
        <f t="array" aca="1" ref="K29" ca="1">IF(AND(OR(INDIRECT("Descriptif!I"&amp;J$13)=Recap_equipements!$B29,INDIRECT("Descriptif!I"&amp;J$13)=Recap_equipements!$C29),INDIRECT("Descriptif!M"&amp;J$13)=$D29),INDIRECT("Descriptif!F"&amp;J$13),"")</f>
        <v/>
      </c>
      <c r="L29" s="90" t="str" cm="1">
        <f t="array" aca="1" ref="L29" ca="1">IF(AND(OR(INDIRECT("Descriptif!I"&amp;K$13)=Recap_equipements!$B29,INDIRECT("Descriptif!I"&amp;K$13)=Recap_equipements!$C29),INDIRECT("Descriptif!M"&amp;K$13)=$D29),INDIRECT("Descriptif!F"&amp;K$13),"")</f>
        <v/>
      </c>
      <c r="M29" s="90" t="str" cm="1">
        <f t="array" aca="1" ref="M29" ca="1">IF(AND(OR(INDIRECT("Descriptif!I"&amp;L$13)=Recap_equipements!$B29,INDIRECT("Descriptif!I"&amp;L$13)=Recap_equipements!$C29),INDIRECT("Descriptif!M"&amp;L$13)=$D29),INDIRECT("Descriptif!F"&amp;L$13),"")</f>
        <v/>
      </c>
      <c r="N29" s="90" t="str" cm="1">
        <f t="array" aca="1" ref="N29" ca="1">IF(AND(OR(INDIRECT("Descriptif!I"&amp;M$13)=Recap_equipements!$B29,INDIRECT("Descriptif!I"&amp;M$13)=Recap_equipements!$C29),INDIRECT("Descriptif!M"&amp;M$13)=$D29),INDIRECT("Descriptif!F"&amp;M$13),"")</f>
        <v/>
      </c>
      <c r="O29" s="90" t="str" cm="1">
        <f t="array" aca="1" ref="O29" ca="1">IF(AND(OR(INDIRECT("Descriptif!I"&amp;N$13)=Recap_equipements!$B29,INDIRECT("Descriptif!I"&amp;N$13)=Recap_equipements!$C29),INDIRECT("Descriptif!M"&amp;N$13)=$D29),INDIRECT("Descriptif!F"&amp;N$13),"")</f>
        <v/>
      </c>
      <c r="P29" s="90" t="str" cm="1">
        <f t="array" aca="1" ref="P29" ca="1">IF(AND(OR(INDIRECT("Descriptif!I"&amp;O$13)=Recap_equipements!$B29,INDIRECT("Descriptif!I"&amp;O$13)=Recap_equipements!$C29),INDIRECT("Descriptif!M"&amp;O$13)=$D29),INDIRECT("Descriptif!F"&amp;O$13),"")</f>
        <v/>
      </c>
      <c r="Q29" s="90" t="str" cm="1">
        <f t="array" aca="1" ref="Q29" ca="1">IF(AND(OR(INDIRECT("Descriptif!I"&amp;P$13)=Recap_equipements!$B29,INDIRECT("Descriptif!I"&amp;P$13)=Recap_equipements!$C29),INDIRECT("Descriptif!M"&amp;P$13)=$D29),INDIRECT("Descriptif!F"&amp;P$13),"")</f>
        <v/>
      </c>
      <c r="R29" s="90" t="str" cm="1">
        <f t="array" aca="1" ref="R29" ca="1">IF(AND(OR(INDIRECT("Descriptif!I"&amp;Q$13)=Recap_equipements!$B29,INDIRECT("Descriptif!I"&amp;Q$13)=Recap_equipements!$C29),INDIRECT("Descriptif!M"&amp;Q$13)=$D29),INDIRECT("Descriptif!F"&amp;Q$13),"")</f>
        <v/>
      </c>
      <c r="S29" s="90" t="str" cm="1">
        <f t="array" aca="1" ref="S29" ca="1">IF(AND(OR(INDIRECT("Descriptif!I"&amp;R$13)=Recap_equipements!$B29,INDIRECT("Descriptif!I"&amp;R$13)=Recap_equipements!$C29),INDIRECT("Descriptif!M"&amp;R$13)=$D29),INDIRECT("Descriptif!F"&amp;R$13),"")</f>
        <v/>
      </c>
      <c r="T29" s="91" t="str" cm="1">
        <f t="array" aca="1" ref="T29" ca="1">IF(AND(OR(INDIRECT("Descriptif!I"&amp;S$13)=Recap_equipements!$B29,INDIRECT("Descriptif!I"&amp;S$13)=Recap_equipements!$C29),INDIRECT("Descriptif!M"&amp;S$13)=$D29),INDIRECT("Descriptif!F"&amp;S$13),"")</f>
        <v/>
      </c>
    </row>
    <row r="30" spans="2:20" x14ac:dyDescent="0.4">
      <c r="B30" s="1179"/>
      <c r="C30" s="1182"/>
      <c r="D30" s="88" t="str">
        <f>$D$8</f>
        <v>Débitmètre gravitaire</v>
      </c>
      <c r="E30" s="88"/>
      <c r="F30" s="10" t="str" cm="1">
        <f t="array" aca="1" ref="F30" ca="1">IF(AND(OR(INDIRECT("Descriptif!I"&amp;E$13)=Recap_equipements!$B29,INDIRECT("Descriptif!I"&amp;E$13)=Recap_equipements!$C29),INDIRECT("Descriptif!M"&amp;E$13)=$D30),INDIRECT("Descriptif!F"&amp;E$13),"")</f>
        <v/>
      </c>
      <c r="G30" s="10" t="str" cm="1">
        <f t="array" aca="1" ref="G30" ca="1">IF(AND(OR(INDIRECT("Descriptif!I"&amp;F$13)=Recap_equipements!$B29,INDIRECT("Descriptif!I"&amp;F$13)=Recap_equipements!$C29),INDIRECT("Descriptif!M"&amp;F$13)=$D30),INDIRECT("Descriptif!F"&amp;F$13),"")</f>
        <v/>
      </c>
      <c r="H30" s="10" t="str" cm="1">
        <f t="array" aca="1" ref="H30" ca="1">IF(AND(OR(INDIRECT("Descriptif!I"&amp;G$13)=Recap_equipements!$B29,INDIRECT("Descriptif!I"&amp;G$13)=Recap_equipements!$C29),INDIRECT("Descriptif!M"&amp;G$13)=$D30),INDIRECT("Descriptif!F"&amp;G$13),"")</f>
        <v/>
      </c>
      <c r="I30" s="10" t="str" cm="1">
        <f t="array" aca="1" ref="I30" ca="1">IF(AND(OR(INDIRECT("Descriptif!I"&amp;H$13)=Recap_equipements!$B29,INDIRECT("Descriptif!I"&amp;H$13)=Recap_equipements!$C29),INDIRECT("Descriptif!M"&amp;H$13)=$D30),INDIRECT("Descriptif!F"&amp;H$13),"")</f>
        <v/>
      </c>
      <c r="J30" s="10" t="str" cm="1">
        <f t="array" aca="1" ref="J30" ca="1">IF(AND(OR(INDIRECT("Descriptif!I"&amp;I$13)=Recap_equipements!$B29,INDIRECT("Descriptif!I"&amp;I$13)=Recap_equipements!$C29),INDIRECT("Descriptif!M"&amp;I$13)=$D30),INDIRECT("Descriptif!F"&amp;I$13),"")</f>
        <v/>
      </c>
      <c r="K30" s="10" t="str" cm="1">
        <f t="array" aca="1" ref="K30" ca="1">IF(AND(OR(INDIRECT("Descriptif!I"&amp;J$13)=Recap_equipements!$B29,INDIRECT("Descriptif!I"&amp;J$13)=Recap_equipements!$C29),INDIRECT("Descriptif!M"&amp;J$13)=$D30),INDIRECT("Descriptif!F"&amp;J$13),"")</f>
        <v/>
      </c>
      <c r="L30" s="10" t="str" cm="1">
        <f t="array" aca="1" ref="L30" ca="1">IF(AND(OR(INDIRECT("Descriptif!I"&amp;K$13)=Recap_equipements!$B29,INDIRECT("Descriptif!I"&amp;K$13)=Recap_equipements!$C29),INDIRECT("Descriptif!M"&amp;K$13)=$D30),INDIRECT("Descriptif!F"&amp;K$13),"")</f>
        <v/>
      </c>
      <c r="M30" s="10" t="str" cm="1">
        <f t="array" aca="1" ref="M30" ca="1">IF(AND(OR(INDIRECT("Descriptif!I"&amp;L$13)=Recap_equipements!$B29,INDIRECT("Descriptif!I"&amp;L$13)=Recap_equipements!$C29),INDIRECT("Descriptif!M"&amp;L$13)=$D30),INDIRECT("Descriptif!F"&amp;L$13),"")</f>
        <v/>
      </c>
      <c r="N30" s="10" t="str" cm="1">
        <f t="array" aca="1" ref="N30" ca="1">IF(AND(OR(INDIRECT("Descriptif!I"&amp;M$13)=Recap_equipements!$B29,INDIRECT("Descriptif!I"&amp;M$13)=Recap_equipements!$C29),INDIRECT("Descriptif!M"&amp;M$13)=$D30),INDIRECT("Descriptif!F"&amp;M$13),"")</f>
        <v/>
      </c>
      <c r="O30" s="10" t="str" cm="1">
        <f t="array" aca="1" ref="O30" ca="1">IF(AND(OR(INDIRECT("Descriptif!I"&amp;N$13)=Recap_equipements!$B29,INDIRECT("Descriptif!I"&amp;N$13)=Recap_equipements!$C29),INDIRECT("Descriptif!M"&amp;N$13)=$D30),INDIRECT("Descriptif!F"&amp;N$13),"")</f>
        <v/>
      </c>
      <c r="P30" s="10" t="str" cm="1">
        <f t="array" aca="1" ref="P30" ca="1">IF(AND(OR(INDIRECT("Descriptif!I"&amp;O$13)=Recap_equipements!$B29,INDIRECT("Descriptif!I"&amp;O$13)=Recap_equipements!$C29),INDIRECT("Descriptif!M"&amp;O$13)=$D30),INDIRECT("Descriptif!F"&amp;O$13),"")</f>
        <v/>
      </c>
      <c r="Q30" s="10" t="str" cm="1">
        <f t="array" aca="1" ref="Q30" ca="1">IF(AND(OR(INDIRECT("Descriptif!I"&amp;P$13)=Recap_equipements!$B29,INDIRECT("Descriptif!I"&amp;P$13)=Recap_equipements!$C29),INDIRECT("Descriptif!M"&amp;P$13)=$D30),INDIRECT("Descriptif!F"&amp;P$13),"")</f>
        <v/>
      </c>
      <c r="R30" s="10" t="str" cm="1">
        <f t="array" aca="1" ref="R30" ca="1">IF(AND(OR(INDIRECT("Descriptif!I"&amp;Q$13)=Recap_equipements!$B29,INDIRECT("Descriptif!I"&amp;Q$13)=Recap_equipements!$C29),INDIRECT("Descriptif!M"&amp;Q$13)=$D30),INDIRECT("Descriptif!F"&amp;Q$13),"")</f>
        <v/>
      </c>
      <c r="S30" s="10" t="str" cm="1">
        <f t="array" aca="1" ref="S30" ca="1">IF(AND(OR(INDIRECT("Descriptif!I"&amp;R$13)=Recap_equipements!$B29,INDIRECT("Descriptif!I"&amp;R$13)=Recap_equipements!$C29),INDIRECT("Descriptif!M"&amp;R$13)=$D30),INDIRECT("Descriptif!F"&amp;R$13),"")</f>
        <v/>
      </c>
      <c r="T30" s="92" t="str" cm="1">
        <f t="array" aca="1" ref="T30" ca="1">IF(AND(OR(INDIRECT("Descriptif!I"&amp;S$13)=Recap_equipements!$B29,INDIRECT("Descriptif!I"&amp;S$13)=Recap_equipements!$C29),INDIRECT("Descriptif!M"&amp;S$13)=$D30),INDIRECT("Descriptif!F"&amp;S$13),"")</f>
        <v/>
      </c>
    </row>
    <row r="31" spans="2:20" x14ac:dyDescent="0.4">
      <c r="B31" s="1179"/>
      <c r="C31" s="1182"/>
      <c r="D31" s="88" t="str">
        <f>$D$9</f>
        <v>Préleveur</v>
      </c>
      <c r="E31" s="88"/>
      <c r="F31" s="10" t="str" cm="1">
        <f t="array" aca="1" ref="F31" ca="1">IF(AND(OR(INDIRECT("Descriptif!I"&amp;E$13)=Recap_equipements!$B29,INDIRECT("Descriptif!I"&amp;E$13)=Recap_equipements!$C29),INDIRECT("Descriptif!M"&amp;E$13)=$D31),INDIRECT("Descriptif!F"&amp;E$13),"")</f>
        <v/>
      </c>
      <c r="G31" s="10" t="str" cm="1">
        <f t="array" aca="1" ref="G31" ca="1">IF(AND(OR(INDIRECT("Descriptif!I"&amp;F$13)=Recap_equipements!$B29,INDIRECT("Descriptif!I"&amp;F$13)=Recap_equipements!$C29),INDIRECT("Descriptif!M"&amp;F$13)=$D31),INDIRECT("Descriptif!F"&amp;F$13),"")</f>
        <v/>
      </c>
      <c r="H31" s="10" t="str" cm="1">
        <f t="array" aca="1" ref="H31" ca="1">IF(AND(OR(INDIRECT("Descriptif!I"&amp;G$13)=Recap_equipements!$B29,INDIRECT("Descriptif!I"&amp;G$13)=Recap_equipements!$C29),INDIRECT("Descriptif!M"&amp;G$13)=$D31),INDIRECT("Descriptif!F"&amp;G$13),"")</f>
        <v/>
      </c>
      <c r="I31" s="10" t="str" cm="1">
        <f t="array" aca="1" ref="I31" ca="1">IF(AND(OR(INDIRECT("Descriptif!I"&amp;H$13)=Recap_equipements!$B29,INDIRECT("Descriptif!I"&amp;H$13)=Recap_equipements!$C29),INDIRECT("Descriptif!M"&amp;H$13)=$D31),INDIRECT("Descriptif!F"&amp;H$13),"")</f>
        <v/>
      </c>
      <c r="J31" s="10" t="str" cm="1">
        <f t="array" aca="1" ref="J31" ca="1">IF(AND(OR(INDIRECT("Descriptif!I"&amp;I$13)=Recap_equipements!$B29,INDIRECT("Descriptif!I"&amp;I$13)=Recap_equipements!$C29),INDIRECT("Descriptif!M"&amp;I$13)=$D31),INDIRECT("Descriptif!F"&amp;I$13),"")</f>
        <v/>
      </c>
      <c r="K31" s="10" t="str" cm="1">
        <f t="array" aca="1" ref="K31" ca="1">IF(AND(OR(INDIRECT("Descriptif!I"&amp;J$13)=Recap_equipements!$B29,INDIRECT("Descriptif!I"&amp;J$13)=Recap_equipements!$C29),INDIRECT("Descriptif!M"&amp;J$13)=$D31),INDIRECT("Descriptif!F"&amp;J$13),"")</f>
        <v/>
      </c>
      <c r="L31" s="10" t="str" cm="1">
        <f t="array" aca="1" ref="L31" ca="1">IF(AND(OR(INDIRECT("Descriptif!I"&amp;K$13)=Recap_equipements!$B29,INDIRECT("Descriptif!I"&amp;K$13)=Recap_equipements!$C29),INDIRECT("Descriptif!M"&amp;K$13)=$D31),INDIRECT("Descriptif!F"&amp;K$13),"")</f>
        <v/>
      </c>
      <c r="M31" s="10" t="str" cm="1">
        <f t="array" aca="1" ref="M31" ca="1">IF(AND(OR(INDIRECT("Descriptif!I"&amp;L$13)=Recap_equipements!$B29,INDIRECT("Descriptif!I"&amp;L$13)=Recap_equipements!$C29),INDIRECT("Descriptif!M"&amp;L$13)=$D31),INDIRECT("Descriptif!F"&amp;L$13),"")</f>
        <v/>
      </c>
      <c r="N31" s="10" t="str" cm="1">
        <f t="array" aca="1" ref="N31" ca="1">IF(AND(OR(INDIRECT("Descriptif!I"&amp;M$13)=Recap_equipements!$B29,INDIRECT("Descriptif!I"&amp;M$13)=Recap_equipements!$C29),INDIRECT("Descriptif!M"&amp;M$13)=$D31),INDIRECT("Descriptif!F"&amp;M$13),"")</f>
        <v/>
      </c>
      <c r="O31" s="10" t="str" cm="1">
        <f t="array" aca="1" ref="O31" ca="1">IF(AND(OR(INDIRECT("Descriptif!I"&amp;N$13)=Recap_equipements!$B29,INDIRECT("Descriptif!I"&amp;N$13)=Recap_equipements!$C29),INDIRECT("Descriptif!M"&amp;N$13)=$D31),INDIRECT("Descriptif!F"&amp;N$13),"")</f>
        <v/>
      </c>
      <c r="P31" s="10" t="str" cm="1">
        <f t="array" aca="1" ref="P31" ca="1">IF(AND(OR(INDIRECT("Descriptif!I"&amp;O$13)=Recap_equipements!$B29,INDIRECT("Descriptif!I"&amp;O$13)=Recap_equipements!$C29),INDIRECT("Descriptif!M"&amp;O$13)=$D31),INDIRECT("Descriptif!F"&amp;O$13),"")</f>
        <v/>
      </c>
      <c r="Q31" s="10" t="str" cm="1">
        <f t="array" aca="1" ref="Q31" ca="1">IF(AND(OR(INDIRECT("Descriptif!I"&amp;P$13)=Recap_equipements!$B29,INDIRECT("Descriptif!I"&amp;P$13)=Recap_equipements!$C29),INDIRECT("Descriptif!M"&amp;P$13)=$D31),INDIRECT("Descriptif!F"&amp;P$13),"")</f>
        <v/>
      </c>
      <c r="R31" s="10" t="str" cm="1">
        <f t="array" aca="1" ref="R31" ca="1">IF(AND(OR(INDIRECT("Descriptif!I"&amp;Q$13)=Recap_equipements!$B29,INDIRECT("Descriptif!I"&amp;Q$13)=Recap_equipements!$C29),INDIRECT("Descriptif!M"&amp;Q$13)=$D31),INDIRECT("Descriptif!F"&amp;Q$13),"")</f>
        <v/>
      </c>
      <c r="S31" s="10" t="str" cm="1">
        <f t="array" aca="1" ref="S31" ca="1">IF(AND(OR(INDIRECT("Descriptif!I"&amp;R$13)=Recap_equipements!$B29,INDIRECT("Descriptif!I"&amp;R$13)=Recap_equipements!$C29),INDIRECT("Descriptif!M"&amp;R$13)=$D31),INDIRECT("Descriptif!F"&amp;R$13),"")</f>
        <v/>
      </c>
      <c r="T31" s="92" t="str" cm="1">
        <f t="array" aca="1" ref="T31" ca="1">IF(AND(OR(INDIRECT("Descriptif!I"&amp;S$13)=Recap_equipements!$B29,INDIRECT("Descriptif!I"&amp;S$13)=Recap_equipements!$C29),INDIRECT("Descriptif!M"&amp;S$13)=$D31),INDIRECT("Descriptif!F"&amp;S$13),"")</f>
        <v/>
      </c>
    </row>
    <row r="32" spans="2:20" x14ac:dyDescent="0.4">
      <c r="B32" s="1179"/>
      <c r="C32" s="1182"/>
      <c r="D32" s="287" t="s">
        <v>392</v>
      </c>
      <c r="E32" s="287"/>
      <c r="F32" s="288" t="str">
        <f ca="1">IF(F31&lt;&gt;"",VLOOKUP(F31,Analytique!$X$3:$AE$29,1,FALSE),"")</f>
        <v/>
      </c>
      <c r="G32" s="288" t="str">
        <f ca="1">IF(G31&lt;&gt;"",VLOOKUP(G31,Analytique!$X$3:$AE$29,1,FALSE),"")</f>
        <v/>
      </c>
      <c r="H32" s="288" t="str">
        <f ca="1">IF(H31&lt;&gt;"",VLOOKUP(H31,Analytique!$X$3:$AE$29,1,FALSE),"")</f>
        <v/>
      </c>
      <c r="I32" s="288" t="str">
        <f ca="1">IF(I31&lt;&gt;"",VLOOKUP(I31,Analytique!$X$3:$AE$29,1,FALSE),"")</f>
        <v/>
      </c>
      <c r="J32" s="288" t="str">
        <f ca="1">IF(J31&lt;&gt;"",VLOOKUP(J31,Analytique!$X$3:$AE$29,1,FALSE),"")</f>
        <v/>
      </c>
      <c r="K32" s="288" t="str">
        <f ca="1">IF(K31&lt;&gt;"",VLOOKUP(K31,Analytique!$X$3:$AE$29,1,FALSE),"")</f>
        <v/>
      </c>
      <c r="L32" s="288" t="str">
        <f ca="1">IF(L31&lt;&gt;"",VLOOKUP(L31,Analytique!$X$3:$AE$29,1,FALSE),"")</f>
        <v/>
      </c>
      <c r="M32" s="288" t="str">
        <f ca="1">IF(M31&lt;&gt;"",VLOOKUP(M31,Analytique!$X$3:$AE$29,1,FALSE),"")</f>
        <v/>
      </c>
      <c r="N32" s="288" t="str">
        <f ca="1">IF(N31&lt;&gt;"",VLOOKUP(N31,Analytique!$X$3:$AE$29,1,FALSE),"")</f>
        <v/>
      </c>
      <c r="O32" s="288" t="str">
        <f ca="1">IF(O31&lt;&gt;"",VLOOKUP(O31,Analytique!$X$3:$AE$29,1,FALSE),"")</f>
        <v/>
      </c>
      <c r="P32" s="288" t="str">
        <f ca="1">IF(P31&lt;&gt;"",VLOOKUP(P31,Analytique!$X$3:$AE$29,1,FALSE),"")</f>
        <v/>
      </c>
      <c r="Q32" s="288" t="str">
        <f ca="1">IF(Q31&lt;&gt;"",VLOOKUP(Q31,Analytique!$X$3:$AE$29,1,FALSE),"")</f>
        <v/>
      </c>
      <c r="R32" s="288" t="str">
        <f ca="1">IF(R31&lt;&gt;"",VLOOKUP(R31,Analytique!$X$3:$AE$29,1,FALSE),"")</f>
        <v/>
      </c>
      <c r="S32" s="288" t="str">
        <f ca="1">IF(S31&lt;&gt;"",VLOOKUP(S31,Analytique!$X$3:$AE$29,1,FALSE),"")</f>
        <v/>
      </c>
      <c r="T32" s="289" t="str">
        <f ca="1">IF(T31&lt;&gt;"",VLOOKUP(T31,Analytique!$X$3:$AE$29,1,FALSE),"")</f>
        <v/>
      </c>
    </row>
    <row r="33" spans="2:20" ht="13" thickBot="1" x14ac:dyDescent="0.45">
      <c r="B33" s="1180"/>
      <c r="C33" s="1183"/>
      <c r="D33" s="93" t="str">
        <f>$D$10</f>
        <v>Sonde de température</v>
      </c>
      <c r="E33" s="93"/>
      <c r="F33" s="94" t="str" cm="1">
        <f t="array" aca="1" ref="F33" ca="1">IF(AND(OR(INDIRECT("Descriptif!I"&amp;E$13)=Recap_equipements!$B29,INDIRECT("Descriptif!I"&amp;E$13)=Recap_equipements!$C29),INDIRECT("Descriptif!M"&amp;E$13)=$D33),INDIRECT("Descriptif!F"&amp;E$13),"")</f>
        <v/>
      </c>
      <c r="G33" s="94" t="str" cm="1">
        <f t="array" aca="1" ref="G33" ca="1">IF(AND(OR(INDIRECT("Descriptif!I"&amp;F$13)=Recap_equipements!$B29,INDIRECT("Descriptif!I"&amp;F$13)=Recap_equipements!$C29),INDIRECT("Descriptif!M"&amp;F$13)=$D33),INDIRECT("Descriptif!F"&amp;F$13),"")</f>
        <v/>
      </c>
      <c r="H33" s="94" t="str" cm="1">
        <f t="array" aca="1" ref="H33" ca="1">IF(AND(OR(INDIRECT("Descriptif!I"&amp;G$13)=Recap_equipements!$B29,INDIRECT("Descriptif!I"&amp;G$13)=Recap_equipements!$C29),INDIRECT("Descriptif!M"&amp;G$13)=$D33),INDIRECT("Descriptif!F"&amp;G$13),"")</f>
        <v/>
      </c>
      <c r="I33" s="94" t="str" cm="1">
        <f t="array" aca="1" ref="I33" ca="1">IF(AND(OR(INDIRECT("Descriptif!I"&amp;H$13)=Recap_equipements!$B29,INDIRECT("Descriptif!I"&amp;H$13)=Recap_equipements!$C29),INDIRECT("Descriptif!M"&amp;H$13)=$D33),INDIRECT("Descriptif!F"&amp;H$13),"")</f>
        <v/>
      </c>
      <c r="J33" s="94" t="str" cm="1">
        <f t="array" aca="1" ref="J33" ca="1">IF(AND(OR(INDIRECT("Descriptif!I"&amp;I$13)=Recap_equipements!$B29,INDIRECT("Descriptif!I"&amp;I$13)=Recap_equipements!$C29),INDIRECT("Descriptif!M"&amp;I$13)=$D33),INDIRECT("Descriptif!F"&amp;I$13),"")</f>
        <v/>
      </c>
      <c r="K33" s="94" t="str" cm="1">
        <f t="array" aca="1" ref="K33" ca="1">IF(AND(OR(INDIRECT("Descriptif!I"&amp;J$13)=Recap_equipements!$B29,INDIRECT("Descriptif!I"&amp;J$13)=Recap_equipements!$C29),INDIRECT("Descriptif!M"&amp;J$13)=$D33),INDIRECT("Descriptif!F"&amp;J$13),"")</f>
        <v/>
      </c>
      <c r="L33" s="94" t="str" cm="1">
        <f t="array" aca="1" ref="L33" ca="1">IF(AND(OR(INDIRECT("Descriptif!I"&amp;K$13)=Recap_equipements!$B29,INDIRECT("Descriptif!I"&amp;K$13)=Recap_equipements!$C29),INDIRECT("Descriptif!M"&amp;K$13)=$D33),INDIRECT("Descriptif!F"&amp;K$13),"")</f>
        <v/>
      </c>
      <c r="M33" s="94" t="str" cm="1">
        <f t="array" aca="1" ref="M33" ca="1">IF(AND(OR(INDIRECT("Descriptif!I"&amp;L$13)=Recap_equipements!$B29,INDIRECT("Descriptif!I"&amp;L$13)=Recap_equipements!$C29),INDIRECT("Descriptif!M"&amp;L$13)=$D33),INDIRECT("Descriptif!F"&amp;L$13),"")</f>
        <v/>
      </c>
      <c r="N33" s="94" t="str" cm="1">
        <f t="array" aca="1" ref="N33" ca="1">IF(AND(OR(INDIRECT("Descriptif!I"&amp;M$13)=Recap_equipements!$B29,INDIRECT("Descriptif!I"&amp;M$13)=Recap_equipements!$C29),INDIRECT("Descriptif!M"&amp;M$13)=$D33),INDIRECT("Descriptif!F"&amp;M$13),"")</f>
        <v/>
      </c>
      <c r="O33" s="94" t="str" cm="1">
        <f t="array" aca="1" ref="O33" ca="1">IF(AND(OR(INDIRECT("Descriptif!I"&amp;N$13)=Recap_equipements!$B29,INDIRECT("Descriptif!I"&amp;N$13)=Recap_equipements!$C29),INDIRECT("Descriptif!M"&amp;N$13)=$D33),INDIRECT("Descriptif!F"&amp;N$13),"")</f>
        <v/>
      </c>
      <c r="P33" s="94" t="str" cm="1">
        <f t="array" aca="1" ref="P33" ca="1">IF(AND(OR(INDIRECT("Descriptif!I"&amp;O$13)=Recap_equipements!$B29,INDIRECT("Descriptif!I"&amp;O$13)=Recap_equipements!$C29),INDIRECT("Descriptif!M"&amp;O$13)=$D33),INDIRECT("Descriptif!F"&amp;O$13),"")</f>
        <v/>
      </c>
      <c r="Q33" s="94" t="str" cm="1">
        <f t="array" aca="1" ref="Q33" ca="1">IF(AND(OR(INDIRECT("Descriptif!I"&amp;P$13)=Recap_equipements!$B29,INDIRECT("Descriptif!I"&amp;P$13)=Recap_equipements!$C29),INDIRECT("Descriptif!M"&amp;P$13)=$D33),INDIRECT("Descriptif!F"&amp;P$13),"")</f>
        <v/>
      </c>
      <c r="R33" s="94" t="str" cm="1">
        <f t="array" aca="1" ref="R33" ca="1">IF(AND(OR(INDIRECT("Descriptif!I"&amp;Q$13)=Recap_equipements!$B29,INDIRECT("Descriptif!I"&amp;Q$13)=Recap_equipements!$C29),INDIRECT("Descriptif!M"&amp;Q$13)=$D33),INDIRECT("Descriptif!F"&amp;Q$13),"")</f>
        <v/>
      </c>
      <c r="S33" s="94" t="str" cm="1">
        <f t="array" aca="1" ref="S33" ca="1">IF(AND(OR(INDIRECT("Descriptif!I"&amp;R$13)=Recap_equipements!$B29,INDIRECT("Descriptif!I"&amp;R$13)=Recap_equipements!$C29),INDIRECT("Descriptif!M"&amp;R$13)=$D33),INDIRECT("Descriptif!F"&amp;R$13),"")</f>
        <v/>
      </c>
      <c r="T33" s="95" t="str" cm="1">
        <f t="array" aca="1" ref="T33" ca="1">IF(AND(OR(INDIRECT("Descriptif!I"&amp;S$13)=Recap_equipements!$B29,INDIRECT("Descriptif!I"&amp;S$13)=Recap_equipements!$C29),INDIRECT("Descriptif!M"&amp;S$13)=$D33),INDIRECT("Descriptif!F"&amp;S$13),"")</f>
        <v/>
      </c>
    </row>
    <row r="34" spans="2:20" x14ac:dyDescent="0.4">
      <c r="B34" s="1178" t="s">
        <v>106</v>
      </c>
      <c r="C34" s="1181" t="s">
        <v>114</v>
      </c>
      <c r="D34" s="89" t="str">
        <f>$D$7</f>
        <v>Débitmètre en charge</v>
      </c>
      <c r="E34" s="89"/>
      <c r="F34" s="90" t="str" cm="1">
        <f t="array" aca="1" ref="F34" ca="1">IF(AND(OR(INDIRECT("Descriptif!I"&amp;E$13)=Recap_equipements!$B34,INDIRECT("Descriptif!I"&amp;E$13)=Recap_equipements!$C34),INDIRECT("Descriptif!M"&amp;E$13)=$D34),INDIRECT("Descriptif!F"&amp;E$13),"")</f>
        <v/>
      </c>
      <c r="G34" s="90" t="str" cm="1">
        <f t="array" aca="1" ref="G34" ca="1">IF(AND(OR(INDIRECT("Descriptif!I"&amp;F$13)=Recap_equipements!$B34,INDIRECT("Descriptif!I"&amp;F$13)=Recap_equipements!$C34),INDIRECT("Descriptif!M"&amp;F$13)=$D34),INDIRECT("Descriptif!F"&amp;F$13),"")</f>
        <v/>
      </c>
      <c r="H34" s="90" t="str" cm="1">
        <f t="array" aca="1" ref="H34" ca="1">IF(AND(OR(INDIRECT("Descriptif!I"&amp;G$13)=Recap_equipements!$B34,INDIRECT("Descriptif!I"&amp;G$13)=Recap_equipements!$C34),INDIRECT("Descriptif!M"&amp;G$13)=$D34),INDIRECT("Descriptif!F"&amp;G$13),"")</f>
        <v/>
      </c>
      <c r="I34" s="90" t="str" cm="1">
        <f t="array" aca="1" ref="I34" ca="1">IF(AND(OR(INDIRECT("Descriptif!I"&amp;H$13)=Recap_equipements!$B34,INDIRECT("Descriptif!I"&amp;H$13)=Recap_equipements!$C34),INDIRECT("Descriptif!M"&amp;H$13)=$D34),INDIRECT("Descriptif!F"&amp;H$13),"")</f>
        <v/>
      </c>
      <c r="J34" s="90" t="str" cm="1">
        <f t="array" aca="1" ref="J34" ca="1">IF(AND(OR(INDIRECT("Descriptif!I"&amp;I$13)=Recap_equipements!$B34,INDIRECT("Descriptif!I"&amp;I$13)=Recap_equipements!$C34),INDIRECT("Descriptif!M"&amp;I$13)=$D34),INDIRECT("Descriptif!F"&amp;I$13),"")</f>
        <v/>
      </c>
      <c r="K34" s="90" t="str" cm="1">
        <f t="array" aca="1" ref="K34" ca="1">IF(AND(OR(INDIRECT("Descriptif!I"&amp;J$13)=Recap_equipements!$B34,INDIRECT("Descriptif!I"&amp;J$13)=Recap_equipements!$C34),INDIRECT("Descriptif!M"&amp;J$13)=$D34),INDIRECT("Descriptif!F"&amp;J$13),"")</f>
        <v/>
      </c>
      <c r="L34" s="90" t="str" cm="1">
        <f t="array" aca="1" ref="L34" ca="1">IF(AND(OR(INDIRECT("Descriptif!I"&amp;K$13)=Recap_equipements!$B34,INDIRECT("Descriptif!I"&amp;K$13)=Recap_equipements!$C34),INDIRECT("Descriptif!M"&amp;K$13)=$D34),INDIRECT("Descriptif!F"&amp;K$13),"")</f>
        <v/>
      </c>
      <c r="M34" s="90" t="str" cm="1">
        <f t="array" aca="1" ref="M34" ca="1">IF(AND(OR(INDIRECT("Descriptif!I"&amp;L$13)=Recap_equipements!$B34,INDIRECT("Descriptif!I"&amp;L$13)=Recap_equipements!$C34),INDIRECT("Descriptif!M"&amp;L$13)=$D34),INDIRECT("Descriptif!F"&amp;L$13),"")</f>
        <v/>
      </c>
      <c r="N34" s="90" t="str" cm="1">
        <f t="array" aca="1" ref="N34" ca="1">IF(AND(OR(INDIRECT("Descriptif!I"&amp;M$13)=Recap_equipements!$B34,INDIRECT("Descriptif!I"&amp;M$13)=Recap_equipements!$C34),INDIRECT("Descriptif!M"&amp;M$13)=$D34),INDIRECT("Descriptif!F"&amp;M$13),"")</f>
        <v/>
      </c>
      <c r="O34" s="90" t="str" cm="1">
        <f t="array" aca="1" ref="O34" ca="1">IF(AND(OR(INDIRECT("Descriptif!I"&amp;N$13)=Recap_equipements!$B34,INDIRECT("Descriptif!I"&amp;N$13)=Recap_equipements!$C34),INDIRECT("Descriptif!M"&amp;N$13)=$D34),INDIRECT("Descriptif!F"&amp;N$13),"")</f>
        <v/>
      </c>
      <c r="P34" s="90" t="str" cm="1">
        <f t="array" aca="1" ref="P34" ca="1">IF(AND(OR(INDIRECT("Descriptif!I"&amp;O$13)=Recap_equipements!$B34,INDIRECT("Descriptif!I"&amp;O$13)=Recap_equipements!$C34),INDIRECT("Descriptif!M"&amp;O$13)=$D34),INDIRECT("Descriptif!F"&amp;O$13),"")</f>
        <v/>
      </c>
      <c r="Q34" s="90" t="str" cm="1">
        <f t="array" aca="1" ref="Q34" ca="1">IF(AND(OR(INDIRECT("Descriptif!I"&amp;P$13)=Recap_equipements!$B34,INDIRECT("Descriptif!I"&amp;P$13)=Recap_equipements!$C34),INDIRECT("Descriptif!M"&amp;P$13)=$D34),INDIRECT("Descriptif!F"&amp;P$13),"")</f>
        <v/>
      </c>
      <c r="R34" s="90" t="str" cm="1">
        <f t="array" aca="1" ref="R34" ca="1">IF(AND(OR(INDIRECT("Descriptif!I"&amp;Q$13)=Recap_equipements!$B34,INDIRECT("Descriptif!I"&amp;Q$13)=Recap_equipements!$C34),INDIRECT("Descriptif!M"&amp;Q$13)=$D34),INDIRECT("Descriptif!F"&amp;Q$13),"")</f>
        <v/>
      </c>
      <c r="S34" s="90" t="str" cm="1">
        <f t="array" aca="1" ref="S34" ca="1">IF(AND(OR(INDIRECT("Descriptif!I"&amp;R$13)=Recap_equipements!$B34,INDIRECT("Descriptif!I"&amp;R$13)=Recap_equipements!$C34),INDIRECT("Descriptif!M"&amp;R$13)=$D34),INDIRECT("Descriptif!F"&amp;R$13),"")</f>
        <v/>
      </c>
      <c r="T34" s="91" t="str" cm="1">
        <f t="array" aca="1" ref="T34" ca="1">IF(AND(OR(INDIRECT("Descriptif!I"&amp;S$13)=Recap_equipements!$B34,INDIRECT("Descriptif!I"&amp;S$13)=Recap_equipements!$C34),INDIRECT("Descriptif!M"&amp;S$13)=$D34),INDIRECT("Descriptif!F"&amp;S$13),"")</f>
        <v/>
      </c>
    </row>
    <row r="35" spans="2:20" x14ac:dyDescent="0.4">
      <c r="B35" s="1179"/>
      <c r="C35" s="1182"/>
      <c r="D35" s="88" t="str">
        <f>$D$8</f>
        <v>Débitmètre gravitaire</v>
      </c>
      <c r="E35" s="88"/>
      <c r="F35" s="10" t="str" cm="1">
        <f t="array" aca="1" ref="F35" ca="1">IF(AND(OR(INDIRECT("Descriptif!I"&amp;E$13)=Recap_equipements!$B34,INDIRECT("Descriptif!I"&amp;E$13)=Recap_equipements!$C34),INDIRECT("Descriptif!M"&amp;E$13)=$D35),INDIRECT("Descriptif!F"&amp;E$13),"")</f>
        <v/>
      </c>
      <c r="G35" s="10" t="str" cm="1">
        <f t="array" aca="1" ref="G35" ca="1">IF(AND(OR(INDIRECT("Descriptif!I"&amp;F$13)=Recap_equipements!$B34,INDIRECT("Descriptif!I"&amp;F$13)=Recap_equipements!$C34),INDIRECT("Descriptif!M"&amp;F$13)=$D35),INDIRECT("Descriptif!F"&amp;F$13),"")</f>
        <v/>
      </c>
      <c r="H35" s="10" t="str" cm="1">
        <f t="array" aca="1" ref="H35" ca="1">IF(AND(OR(INDIRECT("Descriptif!I"&amp;G$13)=Recap_equipements!$B34,INDIRECT("Descriptif!I"&amp;G$13)=Recap_equipements!$C34),INDIRECT("Descriptif!M"&amp;G$13)=$D35),INDIRECT("Descriptif!F"&amp;G$13),"")</f>
        <v/>
      </c>
      <c r="I35" s="10" t="str" cm="1">
        <f t="array" aca="1" ref="I35" ca="1">IF(AND(OR(INDIRECT("Descriptif!I"&amp;H$13)=Recap_equipements!$B34,INDIRECT("Descriptif!I"&amp;H$13)=Recap_equipements!$C34),INDIRECT("Descriptif!M"&amp;H$13)=$D35),INDIRECT("Descriptif!F"&amp;H$13),"")</f>
        <v/>
      </c>
      <c r="J35" s="10" t="str" cm="1">
        <f t="array" aca="1" ref="J35" ca="1">IF(AND(OR(INDIRECT("Descriptif!I"&amp;I$13)=Recap_equipements!$B34,INDIRECT("Descriptif!I"&amp;I$13)=Recap_equipements!$C34),INDIRECT("Descriptif!M"&amp;I$13)=$D35),INDIRECT("Descriptif!F"&amp;I$13),"")</f>
        <v/>
      </c>
      <c r="K35" s="10" t="str" cm="1">
        <f t="array" aca="1" ref="K35" ca="1">IF(AND(OR(INDIRECT("Descriptif!I"&amp;J$13)=Recap_equipements!$B34,INDIRECT("Descriptif!I"&amp;J$13)=Recap_equipements!$C34),INDIRECT("Descriptif!M"&amp;J$13)=$D35),INDIRECT("Descriptif!F"&amp;J$13),"")</f>
        <v/>
      </c>
      <c r="L35" s="10" t="str" cm="1">
        <f t="array" aca="1" ref="L35" ca="1">IF(AND(OR(INDIRECT("Descriptif!I"&amp;K$13)=Recap_equipements!$B34,INDIRECT("Descriptif!I"&amp;K$13)=Recap_equipements!$C34),INDIRECT("Descriptif!M"&amp;K$13)=$D35),INDIRECT("Descriptif!F"&amp;K$13),"")</f>
        <v/>
      </c>
      <c r="M35" s="10" t="str" cm="1">
        <f t="array" aca="1" ref="M35" ca="1">IF(AND(OR(INDIRECT("Descriptif!I"&amp;L$13)=Recap_equipements!$B34,INDIRECT("Descriptif!I"&amp;L$13)=Recap_equipements!$C34),INDIRECT("Descriptif!M"&amp;L$13)=$D35),INDIRECT("Descriptif!F"&amp;L$13),"")</f>
        <v/>
      </c>
      <c r="N35" s="10" t="str" cm="1">
        <f t="array" aca="1" ref="N35" ca="1">IF(AND(OR(INDIRECT("Descriptif!I"&amp;M$13)=Recap_equipements!$B34,INDIRECT("Descriptif!I"&amp;M$13)=Recap_equipements!$C34),INDIRECT("Descriptif!M"&amp;M$13)=$D35),INDIRECT("Descriptif!F"&amp;M$13),"")</f>
        <v/>
      </c>
      <c r="O35" s="10" t="str" cm="1">
        <f t="array" aca="1" ref="O35" ca="1">IF(AND(OR(INDIRECT("Descriptif!I"&amp;N$13)=Recap_equipements!$B34,INDIRECT("Descriptif!I"&amp;N$13)=Recap_equipements!$C34),INDIRECT("Descriptif!M"&amp;N$13)=$D35),INDIRECT("Descriptif!F"&amp;N$13),"")</f>
        <v/>
      </c>
      <c r="P35" s="10" t="str" cm="1">
        <f t="array" aca="1" ref="P35" ca="1">IF(AND(OR(INDIRECT("Descriptif!I"&amp;O$13)=Recap_equipements!$B34,INDIRECT("Descriptif!I"&amp;O$13)=Recap_equipements!$C34),INDIRECT("Descriptif!M"&amp;O$13)=$D35),INDIRECT("Descriptif!F"&amp;O$13),"")</f>
        <v/>
      </c>
      <c r="Q35" s="10" t="str" cm="1">
        <f t="array" aca="1" ref="Q35" ca="1">IF(AND(OR(INDIRECT("Descriptif!I"&amp;P$13)=Recap_equipements!$B34,INDIRECT("Descriptif!I"&amp;P$13)=Recap_equipements!$C34),INDIRECT("Descriptif!M"&amp;P$13)=$D35),INDIRECT("Descriptif!F"&amp;P$13),"")</f>
        <v/>
      </c>
      <c r="R35" s="10" t="str" cm="1">
        <f t="array" aca="1" ref="R35" ca="1">IF(AND(OR(INDIRECT("Descriptif!I"&amp;Q$13)=Recap_equipements!$B34,INDIRECT("Descriptif!I"&amp;Q$13)=Recap_equipements!$C34),INDIRECT("Descriptif!M"&amp;Q$13)=$D35),INDIRECT("Descriptif!F"&amp;Q$13),"")</f>
        <v/>
      </c>
      <c r="S35" s="10" t="str" cm="1">
        <f t="array" aca="1" ref="S35" ca="1">IF(AND(OR(INDIRECT("Descriptif!I"&amp;R$13)=Recap_equipements!$B34,INDIRECT("Descriptif!I"&amp;R$13)=Recap_equipements!$C34),INDIRECT("Descriptif!M"&amp;R$13)=$D35),INDIRECT("Descriptif!F"&amp;R$13),"")</f>
        <v/>
      </c>
      <c r="T35" s="92" t="str" cm="1">
        <f t="array" aca="1" ref="T35" ca="1">IF(AND(OR(INDIRECT("Descriptif!I"&amp;S$13)=Recap_equipements!$B34,INDIRECT("Descriptif!I"&amp;S$13)=Recap_equipements!$C34),INDIRECT("Descriptif!M"&amp;S$13)=$D35),INDIRECT("Descriptif!F"&amp;S$13),"")</f>
        <v/>
      </c>
    </row>
    <row r="36" spans="2:20" x14ac:dyDescent="0.4">
      <c r="B36" s="1179"/>
      <c r="C36" s="1182"/>
      <c r="D36" s="88" t="str">
        <f>$D$9</f>
        <v>Préleveur</v>
      </c>
      <c r="E36" s="88"/>
      <c r="F36" s="10" t="str" cm="1">
        <f t="array" aca="1" ref="F36" ca="1">IF(AND(OR(INDIRECT("Descriptif!I"&amp;E$13)=Recap_equipements!$B34,INDIRECT("Descriptif!I"&amp;E$13)=Recap_equipements!$C34),INDIRECT("Descriptif!M"&amp;E$13)=$D36),INDIRECT("Descriptif!F"&amp;E$13),"")</f>
        <v/>
      </c>
      <c r="G36" s="10" t="str" cm="1">
        <f t="array" aca="1" ref="G36" ca="1">IF(AND(OR(INDIRECT("Descriptif!I"&amp;F$13)=Recap_equipements!$B34,INDIRECT("Descriptif!I"&amp;F$13)=Recap_equipements!$C34),INDIRECT("Descriptif!M"&amp;F$13)=$D36),INDIRECT("Descriptif!F"&amp;F$13),"")</f>
        <v/>
      </c>
      <c r="H36" s="10" t="str" cm="1">
        <f t="array" aca="1" ref="H36" ca="1">IF(AND(OR(INDIRECT("Descriptif!I"&amp;G$13)=Recap_equipements!$B34,INDIRECT("Descriptif!I"&amp;G$13)=Recap_equipements!$C34),INDIRECT("Descriptif!M"&amp;G$13)=$D36),INDIRECT("Descriptif!F"&amp;G$13),"")</f>
        <v/>
      </c>
      <c r="I36" s="10" t="str" cm="1">
        <f t="array" aca="1" ref="I36" ca="1">IF(AND(OR(INDIRECT("Descriptif!I"&amp;H$13)=Recap_equipements!$B34,INDIRECT("Descriptif!I"&amp;H$13)=Recap_equipements!$C34),INDIRECT("Descriptif!M"&amp;H$13)=$D36),INDIRECT("Descriptif!F"&amp;H$13),"")</f>
        <v/>
      </c>
      <c r="J36" s="10" t="str" cm="1">
        <f t="array" aca="1" ref="J36" ca="1">IF(AND(OR(INDIRECT("Descriptif!I"&amp;I$13)=Recap_equipements!$B34,INDIRECT("Descriptif!I"&amp;I$13)=Recap_equipements!$C34),INDIRECT("Descriptif!M"&amp;I$13)=$D36),INDIRECT("Descriptif!F"&amp;I$13),"")</f>
        <v/>
      </c>
      <c r="K36" s="10" t="str" cm="1">
        <f t="array" aca="1" ref="K36" ca="1">IF(AND(OR(INDIRECT("Descriptif!I"&amp;J$13)=Recap_equipements!$B34,INDIRECT("Descriptif!I"&amp;J$13)=Recap_equipements!$C34),INDIRECT("Descriptif!M"&amp;J$13)=$D36),INDIRECT("Descriptif!F"&amp;J$13),"")</f>
        <v/>
      </c>
      <c r="L36" s="10" t="str" cm="1">
        <f t="array" aca="1" ref="L36" ca="1">IF(AND(OR(INDIRECT("Descriptif!I"&amp;K$13)=Recap_equipements!$B34,INDIRECT("Descriptif!I"&amp;K$13)=Recap_equipements!$C34),INDIRECT("Descriptif!M"&amp;K$13)=$D36),INDIRECT("Descriptif!F"&amp;K$13),"")</f>
        <v/>
      </c>
      <c r="M36" s="10" t="str" cm="1">
        <f t="array" aca="1" ref="M36" ca="1">IF(AND(OR(INDIRECT("Descriptif!I"&amp;L$13)=Recap_equipements!$B34,INDIRECT("Descriptif!I"&amp;L$13)=Recap_equipements!$C34),INDIRECT("Descriptif!M"&amp;L$13)=$D36),INDIRECT("Descriptif!F"&amp;L$13),"")</f>
        <v/>
      </c>
      <c r="N36" s="10" t="str" cm="1">
        <f t="array" aca="1" ref="N36" ca="1">IF(AND(OR(INDIRECT("Descriptif!I"&amp;M$13)=Recap_equipements!$B34,INDIRECT("Descriptif!I"&amp;M$13)=Recap_equipements!$C34),INDIRECT("Descriptif!M"&amp;M$13)=$D36),INDIRECT("Descriptif!F"&amp;M$13),"")</f>
        <v/>
      </c>
      <c r="O36" s="10" t="str" cm="1">
        <f t="array" aca="1" ref="O36" ca="1">IF(AND(OR(INDIRECT("Descriptif!I"&amp;N$13)=Recap_equipements!$B34,INDIRECT("Descriptif!I"&amp;N$13)=Recap_equipements!$C34),INDIRECT("Descriptif!M"&amp;N$13)=$D36),INDIRECT("Descriptif!F"&amp;N$13),"")</f>
        <v/>
      </c>
      <c r="P36" s="10" t="str" cm="1">
        <f t="array" aca="1" ref="P36" ca="1">IF(AND(OR(INDIRECT("Descriptif!I"&amp;O$13)=Recap_equipements!$B34,INDIRECT("Descriptif!I"&amp;O$13)=Recap_equipements!$C34),INDIRECT("Descriptif!M"&amp;O$13)=$D36),INDIRECT("Descriptif!F"&amp;O$13),"")</f>
        <v/>
      </c>
      <c r="Q36" s="10" t="str" cm="1">
        <f t="array" aca="1" ref="Q36" ca="1">IF(AND(OR(INDIRECT("Descriptif!I"&amp;P$13)=Recap_equipements!$B34,INDIRECT("Descriptif!I"&amp;P$13)=Recap_equipements!$C34),INDIRECT("Descriptif!M"&amp;P$13)=$D36),INDIRECT("Descriptif!F"&amp;P$13),"")</f>
        <v/>
      </c>
      <c r="R36" s="10" t="str" cm="1">
        <f t="array" aca="1" ref="R36" ca="1">IF(AND(OR(INDIRECT("Descriptif!I"&amp;Q$13)=Recap_equipements!$B34,INDIRECT("Descriptif!I"&amp;Q$13)=Recap_equipements!$C34),INDIRECT("Descriptif!M"&amp;Q$13)=$D36),INDIRECT("Descriptif!F"&amp;Q$13),"")</f>
        <v/>
      </c>
      <c r="S36" s="10" t="str" cm="1">
        <f t="array" aca="1" ref="S36" ca="1">IF(AND(OR(INDIRECT("Descriptif!I"&amp;R$13)=Recap_equipements!$B34,INDIRECT("Descriptif!I"&amp;R$13)=Recap_equipements!$C34),INDIRECT("Descriptif!M"&amp;R$13)=$D36),INDIRECT("Descriptif!F"&amp;R$13),"")</f>
        <v/>
      </c>
      <c r="T36" s="92" t="str" cm="1">
        <f t="array" aca="1" ref="T36" ca="1">IF(AND(OR(INDIRECT("Descriptif!I"&amp;S$13)=Recap_equipements!$B34,INDIRECT("Descriptif!I"&amp;S$13)=Recap_equipements!$C34),INDIRECT("Descriptif!M"&amp;S$13)=$D36),INDIRECT("Descriptif!F"&amp;S$13),"")</f>
        <v/>
      </c>
    </row>
    <row r="37" spans="2:20" x14ac:dyDescent="0.4">
      <c r="B37" s="1179"/>
      <c r="C37" s="1182"/>
      <c r="D37" s="88" t="s">
        <v>392</v>
      </c>
      <c r="E37" s="88"/>
      <c r="F37" s="288" t="str">
        <f ca="1">IF(F36&lt;&gt;"",VLOOKUP(F36,Analytique!$X$3:$AE$29,1,FALSE),"")</f>
        <v/>
      </c>
      <c r="G37" s="288" t="str">
        <f ca="1">IF(G36&lt;&gt;"",VLOOKUP(G36,Analytique!$X$3:$AE$29,1,FALSE),"")</f>
        <v/>
      </c>
      <c r="H37" s="288" t="str">
        <f ca="1">IF(H36&lt;&gt;"",VLOOKUP(H36,Analytique!$X$3:$AE$29,1,FALSE),"")</f>
        <v/>
      </c>
      <c r="I37" s="288" t="str">
        <f ca="1">IF(I36&lt;&gt;"",VLOOKUP(I36,Analytique!$X$3:$AE$29,1,FALSE),"")</f>
        <v/>
      </c>
      <c r="J37" s="288" t="str">
        <f ca="1">IF(J36&lt;&gt;"",VLOOKUP(J36,Analytique!$X$3:$AE$29,1,FALSE),"")</f>
        <v/>
      </c>
      <c r="K37" s="288" t="str">
        <f ca="1">IF(K36&lt;&gt;"",VLOOKUP(K36,Analytique!$X$3:$AE$29,1,FALSE),"")</f>
        <v/>
      </c>
      <c r="L37" s="288" t="str">
        <f ca="1">IF(L36&lt;&gt;"",VLOOKUP(L36,Analytique!$X$3:$AE$29,1,FALSE),"")</f>
        <v/>
      </c>
      <c r="M37" s="288" t="str">
        <f ca="1">IF(M36&lt;&gt;"",VLOOKUP(M36,Analytique!$X$3:$AE$29,1,FALSE),"")</f>
        <v/>
      </c>
      <c r="N37" s="288" t="str">
        <f ca="1">IF(N36&lt;&gt;"",VLOOKUP(N36,Analytique!$X$3:$AE$29,1,FALSE),"")</f>
        <v/>
      </c>
      <c r="O37" s="288" t="str">
        <f ca="1">IF(O36&lt;&gt;"",VLOOKUP(O36,Analytique!$X$3:$AE$29,1,FALSE),"")</f>
        <v/>
      </c>
      <c r="P37" s="288" t="str">
        <f ca="1">IF(P36&lt;&gt;"",VLOOKUP(P36,Analytique!$X$3:$AE$29,1,FALSE),"")</f>
        <v/>
      </c>
      <c r="Q37" s="288" t="str">
        <f ca="1">IF(Q36&lt;&gt;"",VLOOKUP(Q36,Analytique!$X$3:$AE$29,1,FALSE),"")</f>
        <v/>
      </c>
      <c r="R37" s="288" t="str">
        <f ca="1">IF(R36&lt;&gt;"",VLOOKUP(R36,Analytique!$X$3:$AE$29,1,FALSE),"")</f>
        <v/>
      </c>
      <c r="S37" s="288" t="str">
        <f ca="1">IF(S36&lt;&gt;"",VLOOKUP(S36,Analytique!$X$3:$AE$29,1,FALSE),"")</f>
        <v/>
      </c>
      <c r="T37" s="289" t="str">
        <f ca="1">IF(T36&lt;&gt;"",VLOOKUP(T36,Analytique!$X$3:$AE$29,1,FALSE),"")</f>
        <v/>
      </c>
    </row>
    <row r="38" spans="2:20" ht="13" thickBot="1" x14ac:dyDescent="0.45">
      <c r="B38" s="1180"/>
      <c r="C38" s="1183"/>
      <c r="D38" s="93" t="str">
        <f>$D$10</f>
        <v>Sonde de température</v>
      </c>
      <c r="E38" s="93"/>
      <c r="F38" s="94" t="str" cm="1">
        <f t="array" aca="1" ref="F38" ca="1">IF(AND(OR(INDIRECT("Descriptif!I"&amp;E$13)=Recap_equipements!$B34,INDIRECT("Descriptif!I"&amp;E$13)=Recap_equipements!$C34),INDIRECT("Descriptif!M"&amp;E$13)=$D38),INDIRECT("Descriptif!F"&amp;E$13),"")</f>
        <v/>
      </c>
      <c r="G38" s="94" t="str" cm="1">
        <f t="array" aca="1" ref="G38" ca="1">IF(AND(OR(INDIRECT("Descriptif!I"&amp;F$13)=Recap_equipements!$B34,INDIRECT("Descriptif!I"&amp;F$13)=Recap_equipements!$C34),INDIRECT("Descriptif!M"&amp;F$13)=$D38),INDIRECT("Descriptif!F"&amp;F$13),"")</f>
        <v/>
      </c>
      <c r="H38" s="94" t="str" cm="1">
        <f t="array" aca="1" ref="H38" ca="1">IF(AND(OR(INDIRECT("Descriptif!I"&amp;G$13)=Recap_equipements!$B34,INDIRECT("Descriptif!I"&amp;G$13)=Recap_equipements!$C34),INDIRECT("Descriptif!M"&amp;G$13)=$D38),INDIRECT("Descriptif!F"&amp;G$13),"")</f>
        <v/>
      </c>
      <c r="I38" s="94" t="str" cm="1">
        <f t="array" aca="1" ref="I38" ca="1">IF(AND(OR(INDIRECT("Descriptif!I"&amp;H$13)=Recap_equipements!$B34,INDIRECT("Descriptif!I"&amp;H$13)=Recap_equipements!$C34),INDIRECT("Descriptif!M"&amp;H$13)=$D38),INDIRECT("Descriptif!F"&amp;H$13),"")</f>
        <v/>
      </c>
      <c r="J38" s="94" t="str" cm="1">
        <f t="array" aca="1" ref="J38" ca="1">IF(AND(OR(INDIRECT("Descriptif!I"&amp;I$13)=Recap_equipements!$B34,INDIRECT("Descriptif!I"&amp;I$13)=Recap_equipements!$C34),INDIRECT("Descriptif!M"&amp;I$13)=$D38),INDIRECT("Descriptif!F"&amp;I$13),"")</f>
        <v/>
      </c>
      <c r="K38" s="94" t="str" cm="1">
        <f t="array" aca="1" ref="K38" ca="1">IF(AND(OR(INDIRECT("Descriptif!I"&amp;J$13)=Recap_equipements!$B34,INDIRECT("Descriptif!I"&amp;J$13)=Recap_equipements!$C34),INDIRECT("Descriptif!M"&amp;J$13)=$D38),INDIRECT("Descriptif!F"&amp;J$13),"")</f>
        <v/>
      </c>
      <c r="L38" s="94" t="str" cm="1">
        <f t="array" aca="1" ref="L38" ca="1">IF(AND(OR(INDIRECT("Descriptif!I"&amp;K$13)=Recap_equipements!$B34,INDIRECT("Descriptif!I"&amp;K$13)=Recap_equipements!$C34),INDIRECT("Descriptif!M"&amp;K$13)=$D38),INDIRECT("Descriptif!F"&amp;K$13),"")</f>
        <v/>
      </c>
      <c r="M38" s="94" t="str" cm="1">
        <f t="array" aca="1" ref="M38" ca="1">IF(AND(OR(INDIRECT("Descriptif!I"&amp;L$13)=Recap_equipements!$B34,INDIRECT("Descriptif!I"&amp;L$13)=Recap_equipements!$C34),INDIRECT("Descriptif!M"&amp;L$13)=$D38),INDIRECT("Descriptif!F"&amp;L$13),"")</f>
        <v/>
      </c>
      <c r="N38" s="94" t="str" cm="1">
        <f t="array" aca="1" ref="N38" ca="1">IF(AND(OR(INDIRECT("Descriptif!I"&amp;M$13)=Recap_equipements!$B34,INDIRECT("Descriptif!I"&amp;M$13)=Recap_equipements!$C34),INDIRECT("Descriptif!M"&amp;M$13)=$D38),INDIRECT("Descriptif!F"&amp;M$13),"")</f>
        <v/>
      </c>
      <c r="O38" s="94" t="str" cm="1">
        <f t="array" aca="1" ref="O38" ca="1">IF(AND(OR(INDIRECT("Descriptif!I"&amp;N$13)=Recap_equipements!$B34,INDIRECT("Descriptif!I"&amp;N$13)=Recap_equipements!$C34),INDIRECT("Descriptif!M"&amp;N$13)=$D38),INDIRECT("Descriptif!F"&amp;N$13),"")</f>
        <v/>
      </c>
      <c r="P38" s="94" t="str" cm="1">
        <f t="array" aca="1" ref="P38" ca="1">IF(AND(OR(INDIRECT("Descriptif!I"&amp;O$13)=Recap_equipements!$B34,INDIRECT("Descriptif!I"&amp;O$13)=Recap_equipements!$C34),INDIRECT("Descriptif!M"&amp;O$13)=$D38),INDIRECT("Descriptif!F"&amp;O$13),"")</f>
        <v/>
      </c>
      <c r="Q38" s="94" t="str" cm="1">
        <f t="array" aca="1" ref="Q38" ca="1">IF(AND(OR(INDIRECT("Descriptif!I"&amp;P$13)=Recap_equipements!$B34,INDIRECT("Descriptif!I"&amp;P$13)=Recap_equipements!$C34),INDIRECT("Descriptif!M"&amp;P$13)=$D38),INDIRECT("Descriptif!F"&amp;P$13),"")</f>
        <v/>
      </c>
      <c r="R38" s="94" t="str" cm="1">
        <f t="array" aca="1" ref="R38" ca="1">IF(AND(OR(INDIRECT("Descriptif!I"&amp;Q$13)=Recap_equipements!$B34,INDIRECT("Descriptif!I"&amp;Q$13)=Recap_equipements!$C34),INDIRECT("Descriptif!M"&amp;Q$13)=$D38),INDIRECT("Descriptif!F"&amp;Q$13),"")</f>
        <v/>
      </c>
      <c r="S38" s="94" t="str" cm="1">
        <f t="array" aca="1" ref="S38" ca="1">IF(AND(OR(INDIRECT("Descriptif!I"&amp;R$13)=Recap_equipements!$B34,INDIRECT("Descriptif!I"&amp;R$13)=Recap_equipements!$C34),INDIRECT("Descriptif!M"&amp;R$13)=$D38),INDIRECT("Descriptif!F"&amp;R$13),"")</f>
        <v/>
      </c>
      <c r="T38" s="95" t="str" cm="1">
        <f t="array" aca="1" ref="T38" ca="1">IF(AND(OR(INDIRECT("Descriptif!I"&amp;S$13)=Recap_equipements!$B34,INDIRECT("Descriptif!I"&amp;S$13)=Recap_equipements!$C34),INDIRECT("Descriptif!M"&amp;S$13)=$D38),INDIRECT("Descriptif!F"&amp;S$13),"")</f>
        <v/>
      </c>
    </row>
    <row r="39" spans="2:20" x14ac:dyDescent="0.4">
      <c r="B39" s="1178" t="s">
        <v>109</v>
      </c>
      <c r="C39" s="1181" t="s">
        <v>117</v>
      </c>
      <c r="D39" s="89" t="str">
        <f>$D$7</f>
        <v>Débitmètre en charge</v>
      </c>
      <c r="E39" s="89"/>
      <c r="F39" s="90" t="str" cm="1">
        <f t="array" aca="1" ref="F39" ca="1">IF(AND(OR(INDIRECT("Descriptif!I"&amp;E$13)=Recap_equipements!$B39,INDIRECT("Descriptif!I"&amp;E$13)=Recap_equipements!$C39),INDIRECT("Descriptif!M"&amp;E$13)=$D39),INDIRECT("Descriptif!F"&amp;E$13),"")</f>
        <v/>
      </c>
      <c r="G39" s="90" t="str" cm="1">
        <f t="array" aca="1" ref="G39" ca="1">IF(AND(OR(INDIRECT("Descriptif!I"&amp;F$13)=Recap_equipements!$B39,INDIRECT("Descriptif!I"&amp;F$13)=Recap_equipements!$C39),INDIRECT("Descriptif!M"&amp;F$13)=$D39),INDIRECT("Descriptif!F"&amp;F$13),"")</f>
        <v/>
      </c>
      <c r="H39" s="90" t="str" cm="1">
        <f t="array" aca="1" ref="H39" ca="1">IF(AND(OR(INDIRECT("Descriptif!I"&amp;G$13)=Recap_equipements!$B39,INDIRECT("Descriptif!I"&amp;G$13)=Recap_equipements!$C39),INDIRECT("Descriptif!M"&amp;G$13)=$D39),INDIRECT("Descriptif!F"&amp;G$13),"")</f>
        <v/>
      </c>
      <c r="I39" s="90" t="str" cm="1">
        <f t="array" aca="1" ref="I39" ca="1">IF(AND(OR(INDIRECT("Descriptif!I"&amp;H$13)=Recap_equipements!$B39,INDIRECT("Descriptif!I"&amp;H$13)=Recap_equipements!$C39),INDIRECT("Descriptif!M"&amp;H$13)=$D39),INDIRECT("Descriptif!F"&amp;H$13),"")</f>
        <v/>
      </c>
      <c r="J39" s="90" t="str" cm="1">
        <f t="array" aca="1" ref="J39" ca="1">IF(AND(OR(INDIRECT("Descriptif!I"&amp;I$13)=Recap_equipements!$B39,INDIRECT("Descriptif!I"&amp;I$13)=Recap_equipements!$C39),INDIRECT("Descriptif!M"&amp;I$13)=$D39),INDIRECT("Descriptif!F"&amp;I$13),"")</f>
        <v/>
      </c>
      <c r="K39" s="90" t="str" cm="1">
        <f t="array" aca="1" ref="K39" ca="1">IF(AND(OR(INDIRECT("Descriptif!I"&amp;J$13)=Recap_equipements!$B39,INDIRECT("Descriptif!I"&amp;J$13)=Recap_equipements!$C39),INDIRECT("Descriptif!M"&amp;J$13)=$D39),INDIRECT("Descriptif!F"&amp;J$13),"")</f>
        <v/>
      </c>
      <c r="L39" s="90" t="str" cm="1">
        <f t="array" aca="1" ref="L39" ca="1">IF(AND(OR(INDIRECT("Descriptif!I"&amp;K$13)=Recap_equipements!$B39,INDIRECT("Descriptif!I"&amp;K$13)=Recap_equipements!$C39),INDIRECT("Descriptif!M"&amp;K$13)=$D39),INDIRECT("Descriptif!F"&amp;K$13),"")</f>
        <v/>
      </c>
      <c r="M39" s="90" t="str" cm="1">
        <f t="array" aca="1" ref="M39" ca="1">IF(AND(OR(INDIRECT("Descriptif!I"&amp;L$13)=Recap_equipements!$B39,INDIRECT("Descriptif!I"&amp;L$13)=Recap_equipements!$C39),INDIRECT("Descriptif!M"&amp;L$13)=$D39),INDIRECT("Descriptif!F"&amp;L$13),"")</f>
        <v/>
      </c>
      <c r="N39" s="90" t="str" cm="1">
        <f t="array" aca="1" ref="N39" ca="1">IF(AND(OR(INDIRECT("Descriptif!I"&amp;M$13)=Recap_equipements!$B39,INDIRECT("Descriptif!I"&amp;M$13)=Recap_equipements!$C39),INDIRECT("Descriptif!M"&amp;M$13)=$D39),INDIRECT("Descriptif!F"&amp;M$13),"")</f>
        <v/>
      </c>
      <c r="O39" s="90" t="str" cm="1">
        <f t="array" aca="1" ref="O39" ca="1">IF(AND(OR(INDIRECT("Descriptif!I"&amp;N$13)=Recap_equipements!$B39,INDIRECT("Descriptif!I"&amp;N$13)=Recap_equipements!$C39),INDIRECT("Descriptif!M"&amp;N$13)=$D39),INDIRECT("Descriptif!F"&amp;N$13),"")</f>
        <v/>
      </c>
      <c r="P39" s="90" t="str" cm="1">
        <f t="array" aca="1" ref="P39" ca="1">IF(AND(OR(INDIRECT("Descriptif!I"&amp;O$13)=Recap_equipements!$B39,INDIRECT("Descriptif!I"&amp;O$13)=Recap_equipements!$C39),INDIRECT("Descriptif!M"&amp;O$13)=$D39),INDIRECT("Descriptif!F"&amp;O$13),"")</f>
        <v/>
      </c>
      <c r="Q39" s="90" t="str" cm="1">
        <f t="array" aca="1" ref="Q39" ca="1">IF(AND(OR(INDIRECT("Descriptif!I"&amp;P$13)=Recap_equipements!$B39,INDIRECT("Descriptif!I"&amp;P$13)=Recap_equipements!$C39),INDIRECT("Descriptif!M"&amp;P$13)=$D39),INDIRECT("Descriptif!F"&amp;P$13),"")</f>
        <v/>
      </c>
      <c r="R39" s="90" t="str" cm="1">
        <f t="array" aca="1" ref="R39" ca="1">IF(AND(OR(INDIRECT("Descriptif!I"&amp;Q$13)=Recap_equipements!$B39,INDIRECT("Descriptif!I"&amp;Q$13)=Recap_equipements!$C39),INDIRECT("Descriptif!M"&amp;Q$13)=$D39),INDIRECT("Descriptif!F"&amp;Q$13),"")</f>
        <v/>
      </c>
      <c r="S39" s="90" t="str" cm="1">
        <f t="array" aca="1" ref="S39" ca="1">IF(AND(OR(INDIRECT("Descriptif!I"&amp;R$13)=Recap_equipements!$B39,INDIRECT("Descriptif!I"&amp;R$13)=Recap_equipements!$C39),INDIRECT("Descriptif!M"&amp;R$13)=$D39),INDIRECT("Descriptif!F"&amp;R$13),"")</f>
        <v/>
      </c>
      <c r="T39" s="91" t="str" cm="1">
        <f t="array" aca="1" ref="T39" ca="1">IF(AND(OR(INDIRECT("Descriptif!I"&amp;S$13)=Recap_equipements!$B39,INDIRECT("Descriptif!I"&amp;S$13)=Recap_equipements!$C39),INDIRECT("Descriptif!M"&amp;S$13)=$D39),INDIRECT("Descriptif!F"&amp;S$13),"")</f>
        <v/>
      </c>
    </row>
    <row r="40" spans="2:20" x14ac:dyDescent="0.4">
      <c r="B40" s="1179"/>
      <c r="C40" s="1182"/>
      <c r="D40" s="88" t="str">
        <f>$D$8</f>
        <v>Débitmètre gravitaire</v>
      </c>
      <c r="E40" s="88"/>
      <c r="F40" s="10" t="str" cm="1">
        <f t="array" aca="1" ref="F40" ca="1">IF(AND(OR(INDIRECT("Descriptif!I"&amp;E$13)=Recap_equipements!$B39,INDIRECT("Descriptif!I"&amp;E$13)=Recap_equipements!$C39),INDIRECT("Descriptif!M"&amp;E$13)=$D40),INDIRECT("Descriptif!F"&amp;E$13),"")</f>
        <v/>
      </c>
      <c r="G40" s="10" t="str" cm="1">
        <f t="array" aca="1" ref="G40" ca="1">IF(AND(OR(INDIRECT("Descriptif!I"&amp;F$13)=Recap_equipements!$B39,INDIRECT("Descriptif!I"&amp;F$13)=Recap_equipements!$C39),INDIRECT("Descriptif!M"&amp;F$13)=$D40),INDIRECT("Descriptif!F"&amp;F$13),"")</f>
        <v/>
      </c>
      <c r="H40" s="10" t="str" cm="1">
        <f t="array" aca="1" ref="H40" ca="1">IF(AND(OR(INDIRECT("Descriptif!I"&amp;G$13)=Recap_equipements!$B39,INDIRECT("Descriptif!I"&amp;G$13)=Recap_equipements!$C39),INDIRECT("Descriptif!M"&amp;G$13)=$D40),INDIRECT("Descriptif!F"&amp;G$13),"")</f>
        <v/>
      </c>
      <c r="I40" s="10" t="str" cm="1">
        <f t="array" aca="1" ref="I40" ca="1">IF(AND(OR(INDIRECT("Descriptif!I"&amp;H$13)=Recap_equipements!$B39,INDIRECT("Descriptif!I"&amp;H$13)=Recap_equipements!$C39),INDIRECT("Descriptif!M"&amp;H$13)=$D40),INDIRECT("Descriptif!F"&amp;H$13),"")</f>
        <v/>
      </c>
      <c r="J40" s="10" t="str" cm="1">
        <f t="array" aca="1" ref="J40" ca="1">IF(AND(OR(INDIRECT("Descriptif!I"&amp;I$13)=Recap_equipements!$B39,INDIRECT("Descriptif!I"&amp;I$13)=Recap_equipements!$C39),INDIRECT("Descriptif!M"&amp;I$13)=$D40),INDIRECT("Descriptif!F"&amp;I$13),"")</f>
        <v/>
      </c>
      <c r="K40" s="10" t="str" cm="1">
        <f t="array" aca="1" ref="K40" ca="1">IF(AND(OR(INDIRECT("Descriptif!I"&amp;J$13)=Recap_equipements!$B39,INDIRECT("Descriptif!I"&amp;J$13)=Recap_equipements!$C39),INDIRECT("Descriptif!M"&amp;J$13)=$D40),INDIRECT("Descriptif!F"&amp;J$13),"")</f>
        <v/>
      </c>
      <c r="L40" s="10" t="str" cm="1">
        <f t="array" aca="1" ref="L40" ca="1">IF(AND(OR(INDIRECT("Descriptif!I"&amp;K$13)=Recap_equipements!$B39,INDIRECT("Descriptif!I"&amp;K$13)=Recap_equipements!$C39),INDIRECT("Descriptif!M"&amp;K$13)=$D40),INDIRECT("Descriptif!F"&amp;K$13),"")</f>
        <v/>
      </c>
      <c r="M40" s="10" t="str" cm="1">
        <f t="array" aca="1" ref="M40" ca="1">IF(AND(OR(INDIRECT("Descriptif!I"&amp;L$13)=Recap_equipements!$B39,INDIRECT("Descriptif!I"&amp;L$13)=Recap_equipements!$C39),INDIRECT("Descriptif!M"&amp;L$13)=$D40),INDIRECT("Descriptif!F"&amp;L$13),"")</f>
        <v/>
      </c>
      <c r="N40" s="10" t="str" cm="1">
        <f t="array" aca="1" ref="N40" ca="1">IF(AND(OR(INDIRECT("Descriptif!I"&amp;M$13)=Recap_equipements!$B39,INDIRECT("Descriptif!I"&amp;M$13)=Recap_equipements!$C39),INDIRECT("Descriptif!M"&amp;M$13)=$D40),INDIRECT("Descriptif!F"&amp;M$13),"")</f>
        <v/>
      </c>
      <c r="O40" s="10" t="str" cm="1">
        <f t="array" aca="1" ref="O40" ca="1">IF(AND(OR(INDIRECT("Descriptif!I"&amp;N$13)=Recap_equipements!$B39,INDIRECT("Descriptif!I"&amp;N$13)=Recap_equipements!$C39),INDIRECT("Descriptif!M"&amp;N$13)=$D40),INDIRECT("Descriptif!F"&amp;N$13),"")</f>
        <v/>
      </c>
      <c r="P40" s="10" t="str" cm="1">
        <f t="array" aca="1" ref="P40" ca="1">IF(AND(OR(INDIRECT("Descriptif!I"&amp;O$13)=Recap_equipements!$B39,INDIRECT("Descriptif!I"&amp;O$13)=Recap_equipements!$C39),INDIRECT("Descriptif!M"&amp;O$13)=$D40),INDIRECT("Descriptif!F"&amp;O$13),"")</f>
        <v/>
      </c>
      <c r="Q40" s="10" t="str" cm="1">
        <f t="array" aca="1" ref="Q40" ca="1">IF(AND(OR(INDIRECT("Descriptif!I"&amp;P$13)=Recap_equipements!$B39,INDIRECT("Descriptif!I"&amp;P$13)=Recap_equipements!$C39),INDIRECT("Descriptif!M"&amp;P$13)=$D40),INDIRECT("Descriptif!F"&amp;P$13),"")</f>
        <v/>
      </c>
      <c r="R40" s="10" t="str" cm="1">
        <f t="array" aca="1" ref="R40" ca="1">IF(AND(OR(INDIRECT("Descriptif!I"&amp;Q$13)=Recap_equipements!$B39,INDIRECT("Descriptif!I"&amp;Q$13)=Recap_equipements!$C39),INDIRECT("Descriptif!M"&amp;Q$13)=$D40),INDIRECT("Descriptif!F"&amp;Q$13),"")</f>
        <v/>
      </c>
      <c r="S40" s="10" t="str" cm="1">
        <f t="array" aca="1" ref="S40" ca="1">IF(AND(OR(INDIRECT("Descriptif!I"&amp;R$13)=Recap_equipements!$B39,INDIRECT("Descriptif!I"&amp;R$13)=Recap_equipements!$C39),INDIRECT("Descriptif!M"&amp;R$13)=$D40),INDIRECT("Descriptif!F"&amp;R$13),"")</f>
        <v/>
      </c>
      <c r="T40" s="92" t="str" cm="1">
        <f t="array" aca="1" ref="T40" ca="1">IF(AND(OR(INDIRECT("Descriptif!I"&amp;S$13)=Recap_equipements!$B39,INDIRECT("Descriptif!I"&amp;S$13)=Recap_equipements!$C39),INDIRECT("Descriptif!M"&amp;S$13)=$D40),INDIRECT("Descriptif!F"&amp;S$13),"")</f>
        <v/>
      </c>
    </row>
    <row r="41" spans="2:20" x14ac:dyDescent="0.4">
      <c r="B41" s="1179"/>
      <c r="C41" s="1182"/>
      <c r="D41" s="88" t="str">
        <f>$D$9</f>
        <v>Préleveur</v>
      </c>
      <c r="E41" s="88"/>
      <c r="F41" s="10" t="str" cm="1">
        <f t="array" aca="1" ref="F41" ca="1">IF(AND(OR(INDIRECT("Descriptif!I"&amp;E$13)=Recap_equipements!$B39,INDIRECT("Descriptif!I"&amp;E$13)=Recap_equipements!$C39),INDIRECT("Descriptif!M"&amp;E$13)=$D41),INDIRECT("Descriptif!F"&amp;E$13),"")</f>
        <v/>
      </c>
      <c r="G41" s="10" t="str" cm="1">
        <f t="array" aca="1" ref="G41" ca="1">IF(AND(OR(INDIRECT("Descriptif!I"&amp;F$13)=Recap_equipements!$B39,INDIRECT("Descriptif!I"&amp;F$13)=Recap_equipements!$C39),INDIRECT("Descriptif!M"&amp;F$13)=$D41),INDIRECT("Descriptif!F"&amp;F$13),"")</f>
        <v/>
      </c>
      <c r="H41" s="10" t="str" cm="1">
        <f t="array" aca="1" ref="H41" ca="1">IF(AND(OR(INDIRECT("Descriptif!I"&amp;G$13)=Recap_equipements!$B39,INDIRECT("Descriptif!I"&amp;G$13)=Recap_equipements!$C39),INDIRECT("Descriptif!M"&amp;G$13)=$D41),INDIRECT("Descriptif!F"&amp;G$13),"")</f>
        <v/>
      </c>
      <c r="I41" s="10" t="str" cm="1">
        <f t="array" aca="1" ref="I41" ca="1">IF(AND(OR(INDIRECT("Descriptif!I"&amp;H$13)=Recap_equipements!$B39,INDIRECT("Descriptif!I"&amp;H$13)=Recap_equipements!$C39),INDIRECT("Descriptif!M"&amp;H$13)=$D41),INDIRECT("Descriptif!F"&amp;H$13),"")</f>
        <v/>
      </c>
      <c r="J41" s="10" t="str" cm="1">
        <f t="array" aca="1" ref="J41" ca="1">IF(AND(OR(INDIRECT("Descriptif!I"&amp;I$13)=Recap_equipements!$B39,INDIRECT("Descriptif!I"&amp;I$13)=Recap_equipements!$C39),INDIRECT("Descriptif!M"&amp;I$13)=$D41),INDIRECT("Descriptif!F"&amp;I$13),"")</f>
        <v/>
      </c>
      <c r="K41" s="10" t="str" cm="1">
        <f t="array" aca="1" ref="K41" ca="1">IF(AND(OR(INDIRECT("Descriptif!I"&amp;J$13)=Recap_equipements!$B39,INDIRECT("Descriptif!I"&amp;J$13)=Recap_equipements!$C39),INDIRECT("Descriptif!M"&amp;J$13)=$D41),INDIRECT("Descriptif!F"&amp;J$13),"")</f>
        <v/>
      </c>
      <c r="L41" s="10" t="str" cm="1">
        <f t="array" aca="1" ref="L41" ca="1">IF(AND(OR(INDIRECT("Descriptif!I"&amp;K$13)=Recap_equipements!$B39,INDIRECT("Descriptif!I"&amp;K$13)=Recap_equipements!$C39),INDIRECT("Descriptif!M"&amp;K$13)=$D41),INDIRECT("Descriptif!F"&amp;K$13),"")</f>
        <v/>
      </c>
      <c r="M41" s="10" t="str" cm="1">
        <f t="array" aca="1" ref="M41" ca="1">IF(AND(OR(INDIRECT("Descriptif!I"&amp;L$13)=Recap_equipements!$B39,INDIRECT("Descriptif!I"&amp;L$13)=Recap_equipements!$C39),INDIRECT("Descriptif!M"&amp;L$13)=$D41),INDIRECT("Descriptif!F"&amp;L$13),"")</f>
        <v/>
      </c>
      <c r="N41" s="10" t="str" cm="1">
        <f t="array" aca="1" ref="N41" ca="1">IF(AND(OR(INDIRECT("Descriptif!I"&amp;M$13)=Recap_equipements!$B39,INDIRECT("Descriptif!I"&amp;M$13)=Recap_equipements!$C39),INDIRECT("Descriptif!M"&amp;M$13)=$D41),INDIRECT("Descriptif!F"&amp;M$13),"")</f>
        <v/>
      </c>
      <c r="O41" s="10" t="str" cm="1">
        <f t="array" aca="1" ref="O41" ca="1">IF(AND(OR(INDIRECT("Descriptif!I"&amp;N$13)=Recap_equipements!$B39,INDIRECT("Descriptif!I"&amp;N$13)=Recap_equipements!$C39),INDIRECT("Descriptif!M"&amp;N$13)=$D41),INDIRECT("Descriptif!F"&amp;N$13),"")</f>
        <v/>
      </c>
      <c r="P41" s="10" t="str" cm="1">
        <f t="array" aca="1" ref="P41" ca="1">IF(AND(OR(INDIRECT("Descriptif!I"&amp;O$13)=Recap_equipements!$B39,INDIRECT("Descriptif!I"&amp;O$13)=Recap_equipements!$C39),INDIRECT("Descriptif!M"&amp;O$13)=$D41),INDIRECT("Descriptif!F"&amp;O$13),"")</f>
        <v/>
      </c>
      <c r="Q41" s="10" t="str" cm="1">
        <f t="array" aca="1" ref="Q41" ca="1">IF(AND(OR(INDIRECT("Descriptif!I"&amp;P$13)=Recap_equipements!$B39,INDIRECT("Descriptif!I"&amp;P$13)=Recap_equipements!$C39),INDIRECT("Descriptif!M"&amp;P$13)=$D41),INDIRECT("Descriptif!F"&amp;P$13),"")</f>
        <v/>
      </c>
      <c r="R41" s="10" t="str" cm="1">
        <f t="array" aca="1" ref="R41" ca="1">IF(AND(OR(INDIRECT("Descriptif!I"&amp;Q$13)=Recap_equipements!$B39,INDIRECT("Descriptif!I"&amp;Q$13)=Recap_equipements!$C39),INDIRECT("Descriptif!M"&amp;Q$13)=$D41),INDIRECT("Descriptif!F"&amp;Q$13),"")</f>
        <v/>
      </c>
      <c r="S41" s="10" t="str" cm="1">
        <f t="array" aca="1" ref="S41" ca="1">IF(AND(OR(INDIRECT("Descriptif!I"&amp;R$13)=Recap_equipements!$B39,INDIRECT("Descriptif!I"&amp;R$13)=Recap_equipements!$C39),INDIRECT("Descriptif!M"&amp;R$13)=$D41),INDIRECT("Descriptif!F"&amp;R$13),"")</f>
        <v/>
      </c>
      <c r="T41" s="92" t="str" cm="1">
        <f t="array" aca="1" ref="T41" ca="1">IF(AND(OR(INDIRECT("Descriptif!I"&amp;S$13)=Recap_equipements!$B39,INDIRECT("Descriptif!I"&amp;S$13)=Recap_equipements!$C39),INDIRECT("Descriptif!M"&amp;S$13)=$D41),INDIRECT("Descriptif!F"&amp;S$13),"")</f>
        <v/>
      </c>
    </row>
    <row r="42" spans="2:20" x14ac:dyDescent="0.4">
      <c r="B42" s="1179"/>
      <c r="C42" s="1182"/>
      <c r="D42" s="287" t="s">
        <v>392</v>
      </c>
      <c r="E42" s="287"/>
      <c r="F42" s="288" t="str">
        <f ca="1">IF(F41&lt;&gt;"",VLOOKUP(F41,Analytique!$X$3:$AE$29,1,FALSE),"")</f>
        <v/>
      </c>
      <c r="G42" s="288" t="str">
        <f ca="1">IF(G41&lt;&gt;"",VLOOKUP(G41,Analytique!$X$3:$AE$29,1,FALSE),"")</f>
        <v/>
      </c>
      <c r="H42" s="288" t="str">
        <f ca="1">IF(H41&lt;&gt;"",VLOOKUP(H41,Analytique!$X$3:$AE$29,1,FALSE),"")</f>
        <v/>
      </c>
      <c r="I42" s="288" t="str">
        <f ca="1">IF(I41&lt;&gt;"",VLOOKUP(I41,Analytique!$X$3:$AE$29,1,FALSE),"")</f>
        <v/>
      </c>
      <c r="J42" s="288" t="str">
        <f ca="1">IF(J41&lt;&gt;"",VLOOKUP(J41,Analytique!$X$3:$AE$29,1,FALSE),"")</f>
        <v/>
      </c>
      <c r="K42" s="288" t="str">
        <f ca="1">IF(K41&lt;&gt;"",VLOOKUP(K41,Analytique!$X$3:$AE$29,1,FALSE),"")</f>
        <v/>
      </c>
      <c r="L42" s="288" t="str">
        <f ca="1">IF(L41&lt;&gt;"",VLOOKUP(L41,Analytique!$X$3:$AE$29,1,FALSE),"")</f>
        <v/>
      </c>
      <c r="M42" s="288" t="str">
        <f ca="1">IF(M41&lt;&gt;"",VLOOKUP(M41,Analytique!$X$3:$AE$29,1,FALSE),"")</f>
        <v/>
      </c>
      <c r="N42" s="288" t="str">
        <f ca="1">IF(N41&lt;&gt;"",VLOOKUP(N41,Analytique!$X$3:$AE$29,1,FALSE),"")</f>
        <v/>
      </c>
      <c r="O42" s="288" t="str">
        <f ca="1">IF(O41&lt;&gt;"",VLOOKUP(O41,Analytique!$X$3:$AE$29,1,FALSE),"")</f>
        <v/>
      </c>
      <c r="P42" s="288" t="str">
        <f ca="1">IF(P41&lt;&gt;"",VLOOKUP(P41,Analytique!$X$3:$AE$29,1,FALSE),"")</f>
        <v/>
      </c>
      <c r="Q42" s="288" t="str">
        <f ca="1">IF(Q41&lt;&gt;"",VLOOKUP(Q41,Analytique!$X$3:$AE$29,1,FALSE),"")</f>
        <v/>
      </c>
      <c r="R42" s="288" t="str">
        <f ca="1">IF(R41&lt;&gt;"",VLOOKUP(R41,Analytique!$X$3:$AE$29,1,FALSE),"")</f>
        <v/>
      </c>
      <c r="S42" s="288" t="str">
        <f ca="1">IF(S41&lt;&gt;"",VLOOKUP(S41,Analytique!$X$3:$AE$29,1,FALSE),"")</f>
        <v/>
      </c>
      <c r="T42" s="289" t="str">
        <f ca="1">IF(T41&lt;&gt;"",VLOOKUP(T41,Analytique!$X$3:$AE$29,1,FALSE),"")</f>
        <v/>
      </c>
    </row>
    <row r="43" spans="2:20" ht="13" thickBot="1" x14ac:dyDescent="0.45">
      <c r="B43" s="1180"/>
      <c r="C43" s="1183"/>
      <c r="D43" s="93" t="str">
        <f>$D$10</f>
        <v>Sonde de température</v>
      </c>
      <c r="E43" s="93"/>
      <c r="F43" s="94" t="str" cm="1">
        <f t="array" aca="1" ref="F43" ca="1">IF(AND(OR(INDIRECT("Descriptif!I"&amp;E$13)=Recap_equipements!$B39,INDIRECT("Descriptif!I"&amp;E$13)=Recap_equipements!$C39),INDIRECT("Descriptif!M"&amp;E$13)=$D43),INDIRECT("Descriptif!F"&amp;E$13),"")</f>
        <v/>
      </c>
      <c r="G43" s="94" t="str" cm="1">
        <f t="array" aca="1" ref="G43" ca="1">IF(AND(OR(INDIRECT("Descriptif!I"&amp;F$13)=Recap_equipements!$B39,INDIRECT("Descriptif!I"&amp;F$13)=Recap_equipements!$C39),INDIRECT("Descriptif!M"&amp;F$13)=$D43),INDIRECT("Descriptif!F"&amp;F$13),"")</f>
        <v/>
      </c>
      <c r="H43" s="94" t="str" cm="1">
        <f t="array" aca="1" ref="H43" ca="1">IF(AND(OR(INDIRECT("Descriptif!I"&amp;G$13)=Recap_equipements!$B39,INDIRECT("Descriptif!I"&amp;G$13)=Recap_equipements!$C39),INDIRECT("Descriptif!M"&amp;G$13)=$D43),INDIRECT("Descriptif!F"&amp;G$13),"")</f>
        <v/>
      </c>
      <c r="I43" s="94" t="str" cm="1">
        <f t="array" aca="1" ref="I43" ca="1">IF(AND(OR(INDIRECT("Descriptif!I"&amp;H$13)=Recap_equipements!$B39,INDIRECT("Descriptif!I"&amp;H$13)=Recap_equipements!$C39),INDIRECT("Descriptif!M"&amp;H$13)=$D43),INDIRECT("Descriptif!F"&amp;H$13),"")</f>
        <v/>
      </c>
      <c r="J43" s="94" t="str" cm="1">
        <f t="array" aca="1" ref="J43" ca="1">IF(AND(OR(INDIRECT("Descriptif!I"&amp;I$13)=Recap_equipements!$B39,INDIRECT("Descriptif!I"&amp;I$13)=Recap_equipements!$C39),INDIRECT("Descriptif!M"&amp;I$13)=$D43),INDIRECT("Descriptif!F"&amp;I$13),"")</f>
        <v/>
      </c>
      <c r="K43" s="94" t="str" cm="1">
        <f t="array" aca="1" ref="K43" ca="1">IF(AND(OR(INDIRECT("Descriptif!I"&amp;J$13)=Recap_equipements!$B39,INDIRECT("Descriptif!I"&amp;J$13)=Recap_equipements!$C39),INDIRECT("Descriptif!M"&amp;J$13)=$D43),INDIRECT("Descriptif!F"&amp;J$13),"")</f>
        <v/>
      </c>
      <c r="L43" s="94" t="str" cm="1">
        <f t="array" aca="1" ref="L43" ca="1">IF(AND(OR(INDIRECT("Descriptif!I"&amp;K$13)=Recap_equipements!$B39,INDIRECT("Descriptif!I"&amp;K$13)=Recap_equipements!$C39),INDIRECT("Descriptif!M"&amp;K$13)=$D43),INDIRECT("Descriptif!F"&amp;K$13),"")</f>
        <v/>
      </c>
      <c r="M43" s="94" t="str" cm="1">
        <f t="array" aca="1" ref="M43" ca="1">IF(AND(OR(INDIRECT("Descriptif!I"&amp;L$13)=Recap_equipements!$B39,INDIRECT("Descriptif!I"&amp;L$13)=Recap_equipements!$C39),INDIRECT("Descriptif!M"&amp;L$13)=$D43),INDIRECT("Descriptif!F"&amp;L$13),"")</f>
        <v/>
      </c>
      <c r="N43" s="94" t="str" cm="1">
        <f t="array" aca="1" ref="N43" ca="1">IF(AND(OR(INDIRECT("Descriptif!I"&amp;M$13)=Recap_equipements!$B39,INDIRECT("Descriptif!I"&amp;M$13)=Recap_equipements!$C39),INDIRECT("Descriptif!M"&amp;M$13)=$D43),INDIRECT("Descriptif!F"&amp;M$13),"")</f>
        <v/>
      </c>
      <c r="O43" s="94" t="str" cm="1">
        <f t="array" aca="1" ref="O43" ca="1">IF(AND(OR(INDIRECT("Descriptif!I"&amp;N$13)=Recap_equipements!$B39,INDIRECT("Descriptif!I"&amp;N$13)=Recap_equipements!$C39),INDIRECT("Descriptif!M"&amp;N$13)=$D43),INDIRECT("Descriptif!F"&amp;N$13),"")</f>
        <v/>
      </c>
      <c r="P43" s="94" t="str" cm="1">
        <f t="array" aca="1" ref="P43" ca="1">IF(AND(OR(INDIRECT("Descriptif!I"&amp;O$13)=Recap_equipements!$B39,INDIRECT("Descriptif!I"&amp;O$13)=Recap_equipements!$C39),INDIRECT("Descriptif!M"&amp;O$13)=$D43),INDIRECT("Descriptif!F"&amp;O$13),"")</f>
        <v/>
      </c>
      <c r="Q43" s="94" t="str" cm="1">
        <f t="array" aca="1" ref="Q43" ca="1">IF(AND(OR(INDIRECT("Descriptif!I"&amp;P$13)=Recap_equipements!$B39,INDIRECT("Descriptif!I"&amp;P$13)=Recap_equipements!$C39),INDIRECT("Descriptif!M"&amp;P$13)=$D43),INDIRECT("Descriptif!F"&amp;P$13),"")</f>
        <v/>
      </c>
      <c r="R43" s="94" t="str" cm="1">
        <f t="array" aca="1" ref="R43" ca="1">IF(AND(OR(INDIRECT("Descriptif!I"&amp;Q$13)=Recap_equipements!$B39,INDIRECT("Descriptif!I"&amp;Q$13)=Recap_equipements!$C39),INDIRECT("Descriptif!M"&amp;Q$13)=$D43),INDIRECT("Descriptif!F"&amp;Q$13),"")</f>
        <v/>
      </c>
      <c r="S43" s="94" t="str" cm="1">
        <f t="array" aca="1" ref="S43" ca="1">IF(AND(OR(INDIRECT("Descriptif!I"&amp;R$13)=Recap_equipements!$B39,INDIRECT("Descriptif!I"&amp;R$13)=Recap_equipements!$C39),INDIRECT("Descriptif!M"&amp;R$13)=$D43),INDIRECT("Descriptif!F"&amp;R$13),"")</f>
        <v/>
      </c>
      <c r="T43" s="95" t="str" cm="1">
        <f t="array" aca="1" ref="T43" ca="1">IF(AND(OR(INDIRECT("Descriptif!I"&amp;S$13)=Recap_equipements!$B39,INDIRECT("Descriptif!I"&amp;S$13)=Recap_equipements!$C39),INDIRECT("Descriptif!M"&amp;S$13)=$D43),INDIRECT("Descriptif!F"&amp;S$13),"")</f>
        <v/>
      </c>
    </row>
    <row r="44" spans="2:20" x14ac:dyDescent="0.4">
      <c r="B44" s="1178" t="s">
        <v>111</v>
      </c>
      <c r="C44" s="1181" t="s">
        <v>116</v>
      </c>
      <c r="D44" s="89" t="str">
        <f>$D$7</f>
        <v>Débitmètre en charge</v>
      </c>
      <c r="E44" s="89"/>
      <c r="F44" s="90" t="str" cm="1">
        <f t="array" aca="1" ref="F44" ca="1">IF(AND(OR(INDIRECT("Descriptif!I"&amp;E$13)=Recap_equipements!$B44,INDIRECT("Descriptif!I"&amp;E$13)=Recap_equipements!$C44),INDIRECT("Descriptif!M"&amp;E$13)=$D44),INDIRECT("Descriptif!F"&amp;E$13),"")</f>
        <v/>
      </c>
      <c r="G44" s="90" t="str" cm="1">
        <f t="array" aca="1" ref="G44" ca="1">IF(AND(OR(INDIRECT("Descriptif!I"&amp;F$13)=Recap_equipements!$B44,INDIRECT("Descriptif!I"&amp;F$13)=Recap_equipements!$C44),INDIRECT("Descriptif!M"&amp;F$13)=$D44),INDIRECT("Descriptif!F"&amp;F$13),"")</f>
        <v/>
      </c>
      <c r="H44" s="90" t="str" cm="1">
        <f t="array" aca="1" ref="H44" ca="1">IF(AND(OR(INDIRECT("Descriptif!I"&amp;G$13)=Recap_equipements!$B44,INDIRECT("Descriptif!I"&amp;G$13)=Recap_equipements!$C44),INDIRECT("Descriptif!M"&amp;G$13)=$D44),INDIRECT("Descriptif!F"&amp;G$13),"")</f>
        <v/>
      </c>
      <c r="I44" s="90" t="str" cm="1">
        <f t="array" aca="1" ref="I44" ca="1">IF(AND(OR(INDIRECT("Descriptif!I"&amp;H$13)=Recap_equipements!$B44,INDIRECT("Descriptif!I"&amp;H$13)=Recap_equipements!$C44),INDIRECT("Descriptif!M"&amp;H$13)=$D44),INDIRECT("Descriptif!F"&amp;H$13),"")</f>
        <v/>
      </c>
      <c r="J44" s="90" t="str" cm="1">
        <f t="array" aca="1" ref="J44" ca="1">IF(AND(OR(INDIRECT("Descriptif!I"&amp;I$13)=Recap_equipements!$B44,INDIRECT("Descriptif!I"&amp;I$13)=Recap_equipements!$C44),INDIRECT("Descriptif!M"&amp;I$13)=$D44),INDIRECT("Descriptif!F"&amp;I$13),"")</f>
        <v/>
      </c>
      <c r="K44" s="90" t="str" cm="1">
        <f t="array" aca="1" ref="K44" ca="1">IF(AND(OR(INDIRECT("Descriptif!I"&amp;J$13)=Recap_equipements!$B44,INDIRECT("Descriptif!I"&amp;J$13)=Recap_equipements!$C44),INDIRECT("Descriptif!M"&amp;J$13)=$D44),INDIRECT("Descriptif!F"&amp;J$13),"")</f>
        <v/>
      </c>
      <c r="L44" s="90" t="str" cm="1">
        <f t="array" aca="1" ref="L44" ca="1">IF(AND(OR(INDIRECT("Descriptif!I"&amp;K$13)=Recap_equipements!$B44,INDIRECT("Descriptif!I"&amp;K$13)=Recap_equipements!$C44),INDIRECT("Descriptif!M"&amp;K$13)=$D44),INDIRECT("Descriptif!F"&amp;K$13),"")</f>
        <v/>
      </c>
      <c r="M44" s="90" t="str" cm="1">
        <f t="array" aca="1" ref="M44" ca="1">IF(AND(OR(INDIRECT("Descriptif!I"&amp;L$13)=Recap_equipements!$B44,INDIRECT("Descriptif!I"&amp;L$13)=Recap_equipements!$C44),INDIRECT("Descriptif!M"&amp;L$13)=$D44),INDIRECT("Descriptif!F"&amp;L$13),"")</f>
        <v/>
      </c>
      <c r="N44" s="90" t="str" cm="1">
        <f t="array" aca="1" ref="N44" ca="1">IF(AND(OR(INDIRECT("Descriptif!I"&amp;M$13)=Recap_equipements!$B44,INDIRECT("Descriptif!I"&amp;M$13)=Recap_equipements!$C44),INDIRECT("Descriptif!M"&amp;M$13)=$D44),INDIRECT("Descriptif!F"&amp;M$13),"")</f>
        <v/>
      </c>
      <c r="O44" s="90" t="str" cm="1">
        <f t="array" aca="1" ref="O44" ca="1">IF(AND(OR(INDIRECT("Descriptif!I"&amp;N$13)=Recap_equipements!$B44,INDIRECT("Descriptif!I"&amp;N$13)=Recap_equipements!$C44),INDIRECT("Descriptif!M"&amp;N$13)=$D44),INDIRECT("Descriptif!F"&amp;N$13),"")</f>
        <v/>
      </c>
      <c r="P44" s="90" t="str" cm="1">
        <f t="array" aca="1" ref="P44" ca="1">IF(AND(OR(INDIRECT("Descriptif!I"&amp;O$13)=Recap_equipements!$B44,INDIRECT("Descriptif!I"&amp;O$13)=Recap_equipements!$C44),INDIRECT("Descriptif!M"&amp;O$13)=$D44),INDIRECT("Descriptif!F"&amp;O$13),"")</f>
        <v/>
      </c>
      <c r="Q44" s="90" t="str" cm="1">
        <f t="array" aca="1" ref="Q44" ca="1">IF(AND(OR(INDIRECT("Descriptif!I"&amp;P$13)=Recap_equipements!$B44,INDIRECT("Descriptif!I"&amp;P$13)=Recap_equipements!$C44),INDIRECT("Descriptif!M"&amp;P$13)=$D44),INDIRECT("Descriptif!F"&amp;P$13),"")</f>
        <v/>
      </c>
      <c r="R44" s="90" t="str" cm="1">
        <f t="array" aca="1" ref="R44" ca="1">IF(AND(OR(INDIRECT("Descriptif!I"&amp;Q$13)=Recap_equipements!$B44,INDIRECT("Descriptif!I"&amp;Q$13)=Recap_equipements!$C44),INDIRECT("Descriptif!M"&amp;Q$13)=$D44),INDIRECT("Descriptif!F"&amp;Q$13),"")</f>
        <v/>
      </c>
      <c r="S44" s="90" t="str" cm="1">
        <f t="array" aca="1" ref="S44" ca="1">IF(AND(OR(INDIRECT("Descriptif!I"&amp;R$13)=Recap_equipements!$B44,INDIRECT("Descriptif!I"&amp;R$13)=Recap_equipements!$C44),INDIRECT("Descriptif!M"&amp;R$13)=$D44),INDIRECT("Descriptif!F"&amp;R$13),"")</f>
        <v/>
      </c>
      <c r="T44" s="91" t="str" cm="1">
        <f t="array" aca="1" ref="T44" ca="1">IF(AND(OR(INDIRECT("Descriptif!I"&amp;S$13)=Recap_equipements!$B44,INDIRECT("Descriptif!I"&amp;S$13)=Recap_equipements!$C44),INDIRECT("Descriptif!M"&amp;S$13)=$D44),INDIRECT("Descriptif!F"&amp;S$13),"")</f>
        <v/>
      </c>
    </row>
    <row r="45" spans="2:20" x14ac:dyDescent="0.4">
      <c r="B45" s="1179"/>
      <c r="C45" s="1182"/>
      <c r="D45" s="88" t="str">
        <f>$D$8</f>
        <v>Débitmètre gravitaire</v>
      </c>
      <c r="E45" s="88"/>
      <c r="F45" s="10" t="str" cm="1">
        <f t="array" aca="1" ref="F45" ca="1">IF(AND(OR(INDIRECT("Descriptif!I"&amp;E$13)=Recap_equipements!$B44,INDIRECT("Descriptif!I"&amp;E$13)=Recap_equipements!$C44),INDIRECT("Descriptif!M"&amp;E$13)=$D45),INDIRECT("Descriptif!F"&amp;E$13),"")</f>
        <v/>
      </c>
      <c r="G45" s="10" t="str" cm="1">
        <f t="array" aca="1" ref="G45" ca="1">IF(AND(OR(INDIRECT("Descriptif!I"&amp;F$13)=Recap_equipements!$B44,INDIRECT("Descriptif!I"&amp;F$13)=Recap_equipements!$C44),INDIRECT("Descriptif!M"&amp;F$13)=$D45),INDIRECT("Descriptif!F"&amp;F$13),"")</f>
        <v/>
      </c>
      <c r="H45" s="10" t="str" cm="1">
        <f t="array" aca="1" ref="H45" ca="1">IF(AND(OR(INDIRECT("Descriptif!I"&amp;G$13)=Recap_equipements!$B44,INDIRECT("Descriptif!I"&amp;G$13)=Recap_equipements!$C44),INDIRECT("Descriptif!M"&amp;G$13)=$D45),INDIRECT("Descriptif!F"&amp;G$13),"")</f>
        <v/>
      </c>
      <c r="I45" s="10" t="str" cm="1">
        <f t="array" aca="1" ref="I45" ca="1">IF(AND(OR(INDIRECT("Descriptif!I"&amp;H$13)=Recap_equipements!$B44,INDIRECT("Descriptif!I"&amp;H$13)=Recap_equipements!$C44),INDIRECT("Descriptif!M"&amp;H$13)=$D45),INDIRECT("Descriptif!F"&amp;H$13),"")</f>
        <v/>
      </c>
      <c r="J45" s="10" t="str" cm="1">
        <f t="array" aca="1" ref="J45" ca="1">IF(AND(OR(INDIRECT("Descriptif!I"&amp;I$13)=Recap_equipements!$B44,INDIRECT("Descriptif!I"&amp;I$13)=Recap_equipements!$C44),INDIRECT("Descriptif!M"&amp;I$13)=$D45),INDIRECT("Descriptif!F"&amp;I$13),"")</f>
        <v/>
      </c>
      <c r="K45" s="10" t="str" cm="1">
        <f t="array" aca="1" ref="K45" ca="1">IF(AND(OR(INDIRECT("Descriptif!I"&amp;J$13)=Recap_equipements!$B44,INDIRECT("Descriptif!I"&amp;J$13)=Recap_equipements!$C44),INDIRECT("Descriptif!M"&amp;J$13)=$D45),INDIRECT("Descriptif!F"&amp;J$13),"")</f>
        <v/>
      </c>
      <c r="L45" s="10" t="str" cm="1">
        <f t="array" aca="1" ref="L45" ca="1">IF(AND(OR(INDIRECT("Descriptif!I"&amp;K$13)=Recap_equipements!$B44,INDIRECT("Descriptif!I"&amp;K$13)=Recap_equipements!$C44),INDIRECT("Descriptif!M"&amp;K$13)=$D45),INDIRECT("Descriptif!F"&amp;K$13),"")</f>
        <v/>
      </c>
      <c r="M45" s="10" t="str" cm="1">
        <f t="array" aca="1" ref="M45" ca="1">IF(AND(OR(INDIRECT("Descriptif!I"&amp;L$13)=Recap_equipements!$B44,INDIRECT("Descriptif!I"&amp;L$13)=Recap_equipements!$C44),INDIRECT("Descriptif!M"&amp;L$13)=$D45),INDIRECT("Descriptif!F"&amp;L$13),"")</f>
        <v/>
      </c>
      <c r="N45" s="10" t="str" cm="1">
        <f t="array" aca="1" ref="N45" ca="1">IF(AND(OR(INDIRECT("Descriptif!I"&amp;M$13)=Recap_equipements!$B44,INDIRECT("Descriptif!I"&amp;M$13)=Recap_equipements!$C44),INDIRECT("Descriptif!M"&amp;M$13)=$D45),INDIRECT("Descriptif!F"&amp;M$13),"")</f>
        <v/>
      </c>
      <c r="O45" s="10" t="str" cm="1">
        <f t="array" aca="1" ref="O45" ca="1">IF(AND(OR(INDIRECT("Descriptif!I"&amp;N$13)=Recap_equipements!$B44,INDIRECT("Descriptif!I"&amp;N$13)=Recap_equipements!$C44),INDIRECT("Descriptif!M"&amp;N$13)=$D45),INDIRECT("Descriptif!F"&amp;N$13),"")</f>
        <v/>
      </c>
      <c r="P45" s="10" t="str" cm="1">
        <f t="array" aca="1" ref="P45" ca="1">IF(AND(OR(INDIRECT("Descriptif!I"&amp;O$13)=Recap_equipements!$B44,INDIRECT("Descriptif!I"&amp;O$13)=Recap_equipements!$C44),INDIRECT("Descriptif!M"&amp;O$13)=$D45),INDIRECT("Descriptif!F"&amp;O$13),"")</f>
        <v/>
      </c>
      <c r="Q45" s="10" t="str" cm="1">
        <f t="array" aca="1" ref="Q45" ca="1">IF(AND(OR(INDIRECT("Descriptif!I"&amp;P$13)=Recap_equipements!$B44,INDIRECT("Descriptif!I"&amp;P$13)=Recap_equipements!$C44),INDIRECT("Descriptif!M"&amp;P$13)=$D45),INDIRECT("Descriptif!F"&amp;P$13),"")</f>
        <v/>
      </c>
      <c r="R45" s="10" t="str" cm="1">
        <f t="array" aca="1" ref="R45" ca="1">IF(AND(OR(INDIRECT("Descriptif!I"&amp;Q$13)=Recap_equipements!$B44,INDIRECT("Descriptif!I"&amp;Q$13)=Recap_equipements!$C44),INDIRECT("Descriptif!M"&amp;Q$13)=$D45),INDIRECT("Descriptif!F"&amp;Q$13),"")</f>
        <v/>
      </c>
      <c r="S45" s="10" t="str" cm="1">
        <f t="array" aca="1" ref="S45" ca="1">IF(AND(OR(INDIRECT("Descriptif!I"&amp;R$13)=Recap_equipements!$B44,INDIRECT("Descriptif!I"&amp;R$13)=Recap_equipements!$C44),INDIRECT("Descriptif!M"&amp;R$13)=$D45),INDIRECT("Descriptif!F"&amp;R$13),"")</f>
        <v/>
      </c>
      <c r="T45" s="92" t="str" cm="1">
        <f t="array" aca="1" ref="T45" ca="1">IF(AND(OR(INDIRECT("Descriptif!I"&amp;S$13)=Recap_equipements!$B44,INDIRECT("Descriptif!I"&amp;S$13)=Recap_equipements!$C44),INDIRECT("Descriptif!M"&amp;S$13)=$D45),INDIRECT("Descriptif!F"&amp;S$13),"")</f>
        <v/>
      </c>
    </row>
    <row r="46" spans="2:20" x14ac:dyDescent="0.4">
      <c r="B46" s="1179"/>
      <c r="C46" s="1182"/>
      <c r="D46" s="88" t="str">
        <f>$D$9</f>
        <v>Préleveur</v>
      </c>
      <c r="E46" s="88"/>
      <c r="F46" s="10" t="str" cm="1">
        <f t="array" aca="1" ref="F46" ca="1">IF(AND(OR(INDIRECT("Descriptif!I"&amp;E$13)=Recap_equipements!$B44,INDIRECT("Descriptif!I"&amp;E$13)=Recap_equipements!$C44),INDIRECT("Descriptif!M"&amp;E$13)=$D46),INDIRECT("Descriptif!F"&amp;E$13),"")</f>
        <v/>
      </c>
      <c r="G46" s="10" t="str" cm="1">
        <f t="array" aca="1" ref="G46" ca="1">IF(AND(OR(INDIRECT("Descriptif!I"&amp;F$13)=Recap_equipements!$B44,INDIRECT("Descriptif!I"&amp;F$13)=Recap_equipements!$C44),INDIRECT("Descriptif!M"&amp;F$13)=$D46),INDIRECT("Descriptif!F"&amp;F$13),"")</f>
        <v/>
      </c>
      <c r="H46" s="10" t="str" cm="1">
        <f t="array" aca="1" ref="H46" ca="1">IF(AND(OR(INDIRECT("Descriptif!I"&amp;G$13)=Recap_equipements!$B44,INDIRECT("Descriptif!I"&amp;G$13)=Recap_equipements!$C44),INDIRECT("Descriptif!M"&amp;G$13)=$D46),INDIRECT("Descriptif!F"&amp;G$13),"")</f>
        <v/>
      </c>
      <c r="I46" s="10" t="str" cm="1">
        <f t="array" aca="1" ref="I46" ca="1">IF(AND(OR(INDIRECT("Descriptif!I"&amp;H$13)=Recap_equipements!$B44,INDIRECT("Descriptif!I"&amp;H$13)=Recap_equipements!$C44),INDIRECT("Descriptif!M"&amp;H$13)=$D46),INDIRECT("Descriptif!F"&amp;H$13),"")</f>
        <v/>
      </c>
      <c r="J46" s="10" t="str" cm="1">
        <f t="array" aca="1" ref="J46" ca="1">IF(AND(OR(INDIRECT("Descriptif!I"&amp;I$13)=Recap_equipements!$B44,INDIRECT("Descriptif!I"&amp;I$13)=Recap_equipements!$C44),INDIRECT("Descriptif!M"&amp;I$13)=$D46),INDIRECT("Descriptif!F"&amp;I$13),"")</f>
        <v/>
      </c>
      <c r="K46" s="10" t="str" cm="1">
        <f t="array" aca="1" ref="K46" ca="1">IF(AND(OR(INDIRECT("Descriptif!I"&amp;J$13)=Recap_equipements!$B44,INDIRECT("Descriptif!I"&amp;J$13)=Recap_equipements!$C44),INDIRECT("Descriptif!M"&amp;J$13)=$D46),INDIRECT("Descriptif!F"&amp;J$13),"")</f>
        <v/>
      </c>
      <c r="L46" s="10" t="str" cm="1">
        <f t="array" aca="1" ref="L46" ca="1">IF(AND(OR(INDIRECT("Descriptif!I"&amp;K$13)=Recap_equipements!$B44,INDIRECT("Descriptif!I"&amp;K$13)=Recap_equipements!$C44),INDIRECT("Descriptif!M"&amp;K$13)=$D46),INDIRECT("Descriptif!F"&amp;K$13),"")</f>
        <v/>
      </c>
      <c r="M46" s="10" t="str" cm="1">
        <f t="array" aca="1" ref="M46" ca="1">IF(AND(OR(INDIRECT("Descriptif!I"&amp;L$13)=Recap_equipements!$B44,INDIRECT("Descriptif!I"&amp;L$13)=Recap_equipements!$C44),INDIRECT("Descriptif!M"&amp;L$13)=$D46),INDIRECT("Descriptif!F"&amp;L$13),"")</f>
        <v/>
      </c>
      <c r="N46" s="10" t="str" cm="1">
        <f t="array" aca="1" ref="N46" ca="1">IF(AND(OR(INDIRECT("Descriptif!I"&amp;M$13)=Recap_equipements!$B44,INDIRECT("Descriptif!I"&amp;M$13)=Recap_equipements!$C44),INDIRECT("Descriptif!M"&amp;M$13)=$D46),INDIRECT("Descriptif!F"&amp;M$13),"")</f>
        <v/>
      </c>
      <c r="O46" s="10" t="str" cm="1">
        <f t="array" aca="1" ref="O46" ca="1">IF(AND(OR(INDIRECT("Descriptif!I"&amp;N$13)=Recap_equipements!$B44,INDIRECT("Descriptif!I"&amp;N$13)=Recap_equipements!$C44),INDIRECT("Descriptif!M"&amp;N$13)=$D46),INDIRECT("Descriptif!F"&amp;N$13),"")</f>
        <v/>
      </c>
      <c r="P46" s="10" t="str" cm="1">
        <f t="array" aca="1" ref="P46" ca="1">IF(AND(OR(INDIRECT("Descriptif!I"&amp;O$13)=Recap_equipements!$B44,INDIRECT("Descriptif!I"&amp;O$13)=Recap_equipements!$C44),INDIRECT("Descriptif!M"&amp;O$13)=$D46),INDIRECT("Descriptif!F"&amp;O$13),"")</f>
        <v/>
      </c>
      <c r="Q46" s="10" t="str" cm="1">
        <f t="array" aca="1" ref="Q46" ca="1">IF(AND(OR(INDIRECT("Descriptif!I"&amp;P$13)=Recap_equipements!$B44,INDIRECT("Descriptif!I"&amp;P$13)=Recap_equipements!$C44),INDIRECT("Descriptif!M"&amp;P$13)=$D46),INDIRECT("Descriptif!F"&amp;P$13),"")</f>
        <v/>
      </c>
      <c r="R46" s="10" t="str" cm="1">
        <f t="array" aca="1" ref="R46" ca="1">IF(AND(OR(INDIRECT("Descriptif!I"&amp;Q$13)=Recap_equipements!$B44,INDIRECT("Descriptif!I"&amp;Q$13)=Recap_equipements!$C44),INDIRECT("Descriptif!M"&amp;Q$13)=$D46),INDIRECT("Descriptif!F"&amp;Q$13),"")</f>
        <v/>
      </c>
      <c r="S46" s="10" t="str" cm="1">
        <f t="array" aca="1" ref="S46" ca="1">IF(AND(OR(INDIRECT("Descriptif!I"&amp;R$13)=Recap_equipements!$B44,INDIRECT("Descriptif!I"&amp;R$13)=Recap_equipements!$C44),INDIRECT("Descriptif!M"&amp;R$13)=$D46),INDIRECT("Descriptif!F"&amp;R$13),"")</f>
        <v/>
      </c>
      <c r="T46" s="92" t="str" cm="1">
        <f t="array" aca="1" ref="T46" ca="1">IF(AND(OR(INDIRECT("Descriptif!I"&amp;S$13)=Recap_equipements!$B44,INDIRECT("Descriptif!I"&amp;S$13)=Recap_equipements!$C44),INDIRECT("Descriptif!M"&amp;S$13)=$D46),INDIRECT("Descriptif!F"&amp;S$13),"")</f>
        <v/>
      </c>
    </row>
    <row r="47" spans="2:20" x14ac:dyDescent="0.4">
      <c r="B47" s="1179"/>
      <c r="C47" s="1182"/>
      <c r="D47" s="287" t="s">
        <v>392</v>
      </c>
      <c r="E47" s="287"/>
      <c r="F47" s="288" t="str">
        <f ca="1">IF(F46&lt;&gt;"",VLOOKUP(F46,Analytique!$X$3:$AE$29,1,FALSE),"")</f>
        <v/>
      </c>
      <c r="G47" s="288" t="str">
        <f ca="1">IF(G46&lt;&gt;"",VLOOKUP(G46,Analytique!$X$3:$AE$29,1,FALSE),"")</f>
        <v/>
      </c>
      <c r="H47" s="288" t="str">
        <f ca="1">IF(H46&lt;&gt;"",VLOOKUP(H46,Analytique!$X$3:$AE$29,1,FALSE),"")</f>
        <v/>
      </c>
      <c r="I47" s="288" t="str">
        <f ca="1">IF(I46&lt;&gt;"",VLOOKUP(I46,Analytique!$X$3:$AE$29,1,FALSE),"")</f>
        <v/>
      </c>
      <c r="J47" s="288" t="str">
        <f ca="1">IF(J46&lt;&gt;"",VLOOKUP(J46,Analytique!$X$3:$AE$29,1,FALSE),"")</f>
        <v/>
      </c>
      <c r="K47" s="288" t="str">
        <f ca="1">IF(K46&lt;&gt;"",VLOOKUP(K46,Analytique!$X$3:$AE$29,1,FALSE),"")</f>
        <v/>
      </c>
      <c r="L47" s="288" t="str">
        <f ca="1">IF(L46&lt;&gt;"",VLOOKUP(L46,Analytique!$X$3:$AE$29,1,FALSE),"")</f>
        <v/>
      </c>
      <c r="M47" s="288" t="str">
        <f ca="1">IF(M46&lt;&gt;"",VLOOKUP(M46,Analytique!$X$3:$AE$29,1,FALSE),"")</f>
        <v/>
      </c>
      <c r="N47" s="288" t="str">
        <f ca="1">IF(N46&lt;&gt;"",VLOOKUP(N46,Analytique!$X$3:$AE$29,1,FALSE),"")</f>
        <v/>
      </c>
      <c r="O47" s="288" t="str">
        <f ca="1">IF(O46&lt;&gt;"",VLOOKUP(O46,Analytique!$X$3:$AE$29,1,FALSE),"")</f>
        <v/>
      </c>
      <c r="P47" s="288" t="str">
        <f ca="1">IF(P46&lt;&gt;"",VLOOKUP(P46,Analytique!$X$3:$AE$29,1,FALSE),"")</f>
        <v/>
      </c>
      <c r="Q47" s="288" t="str">
        <f ca="1">IF(Q46&lt;&gt;"",VLOOKUP(Q46,Analytique!$X$3:$AE$29,1,FALSE),"")</f>
        <v/>
      </c>
      <c r="R47" s="288" t="str">
        <f ca="1">IF(R46&lt;&gt;"",VLOOKUP(R46,Analytique!$X$3:$AE$29,1,FALSE),"")</f>
        <v/>
      </c>
      <c r="S47" s="288" t="str">
        <f ca="1">IF(S46&lt;&gt;"",VLOOKUP(S46,Analytique!$X$3:$AE$29,1,FALSE),"")</f>
        <v/>
      </c>
      <c r="T47" s="289" t="str">
        <f ca="1">IF(T46&lt;&gt;"",VLOOKUP(T46,Analytique!$X$3:$AE$29,1,FALSE),"")</f>
        <v/>
      </c>
    </row>
    <row r="48" spans="2:20" ht="13" thickBot="1" x14ac:dyDescent="0.45">
      <c r="B48" s="1180"/>
      <c r="C48" s="1183"/>
      <c r="D48" s="93" t="str">
        <f>$D$10</f>
        <v>Sonde de température</v>
      </c>
      <c r="E48" s="93"/>
      <c r="F48" s="94" t="str" cm="1">
        <f t="array" aca="1" ref="F48" ca="1">IF(AND(OR(INDIRECT("Descriptif!I"&amp;E$13)=Recap_equipements!$B44,INDIRECT("Descriptif!I"&amp;E$13)=Recap_equipements!$C44),INDIRECT("Descriptif!M"&amp;E$13)=$D48),INDIRECT("Descriptif!F"&amp;E$13),"")</f>
        <v/>
      </c>
      <c r="G48" s="94" t="str" cm="1">
        <f t="array" aca="1" ref="G48" ca="1">IF(AND(OR(INDIRECT("Descriptif!I"&amp;F$13)=Recap_equipements!$B44,INDIRECT("Descriptif!I"&amp;F$13)=Recap_equipements!$C44),INDIRECT("Descriptif!M"&amp;F$13)=$D48),INDIRECT("Descriptif!F"&amp;F$13),"")</f>
        <v/>
      </c>
      <c r="H48" s="94" t="str" cm="1">
        <f t="array" aca="1" ref="H48" ca="1">IF(AND(OR(INDIRECT("Descriptif!I"&amp;G$13)=Recap_equipements!$B44,INDIRECT("Descriptif!I"&amp;G$13)=Recap_equipements!$C44),INDIRECT("Descriptif!M"&amp;G$13)=$D48),INDIRECT("Descriptif!F"&amp;G$13),"")</f>
        <v/>
      </c>
      <c r="I48" s="94" t="str" cm="1">
        <f t="array" aca="1" ref="I48" ca="1">IF(AND(OR(INDIRECT("Descriptif!I"&amp;H$13)=Recap_equipements!$B44,INDIRECT("Descriptif!I"&amp;H$13)=Recap_equipements!$C44),INDIRECT("Descriptif!M"&amp;H$13)=$D48),INDIRECT("Descriptif!F"&amp;H$13),"")</f>
        <v/>
      </c>
      <c r="J48" s="94" t="str" cm="1">
        <f t="array" aca="1" ref="J48" ca="1">IF(AND(OR(INDIRECT("Descriptif!I"&amp;I$13)=Recap_equipements!$B44,INDIRECT("Descriptif!I"&amp;I$13)=Recap_equipements!$C44),INDIRECT("Descriptif!M"&amp;I$13)=$D48),INDIRECT("Descriptif!F"&amp;I$13),"")</f>
        <v/>
      </c>
      <c r="K48" s="94" t="str" cm="1">
        <f t="array" aca="1" ref="K48" ca="1">IF(AND(OR(INDIRECT("Descriptif!I"&amp;J$13)=Recap_equipements!$B44,INDIRECT("Descriptif!I"&amp;J$13)=Recap_equipements!$C44),INDIRECT("Descriptif!M"&amp;J$13)=$D48),INDIRECT("Descriptif!F"&amp;J$13),"")</f>
        <v/>
      </c>
      <c r="L48" s="94" t="str" cm="1">
        <f t="array" aca="1" ref="L48" ca="1">IF(AND(OR(INDIRECT("Descriptif!I"&amp;K$13)=Recap_equipements!$B44,INDIRECT("Descriptif!I"&amp;K$13)=Recap_equipements!$C44),INDIRECT("Descriptif!M"&amp;K$13)=$D48),INDIRECT("Descriptif!F"&amp;K$13),"")</f>
        <v/>
      </c>
      <c r="M48" s="94" t="str" cm="1">
        <f t="array" aca="1" ref="M48" ca="1">IF(AND(OR(INDIRECT("Descriptif!I"&amp;L$13)=Recap_equipements!$B44,INDIRECT("Descriptif!I"&amp;L$13)=Recap_equipements!$C44),INDIRECT("Descriptif!M"&amp;L$13)=$D48),INDIRECT("Descriptif!F"&amp;L$13),"")</f>
        <v/>
      </c>
      <c r="N48" s="94" t="str" cm="1">
        <f t="array" aca="1" ref="N48" ca="1">IF(AND(OR(INDIRECT("Descriptif!I"&amp;M$13)=Recap_equipements!$B44,INDIRECT("Descriptif!I"&amp;M$13)=Recap_equipements!$C44),INDIRECT("Descriptif!M"&amp;M$13)=$D48),INDIRECT("Descriptif!F"&amp;M$13),"")</f>
        <v/>
      </c>
      <c r="O48" s="94" t="str" cm="1">
        <f t="array" aca="1" ref="O48" ca="1">IF(AND(OR(INDIRECT("Descriptif!I"&amp;N$13)=Recap_equipements!$B44,INDIRECT("Descriptif!I"&amp;N$13)=Recap_equipements!$C44),INDIRECT("Descriptif!M"&amp;N$13)=$D48),INDIRECT("Descriptif!F"&amp;N$13),"")</f>
        <v/>
      </c>
      <c r="P48" s="94" t="str" cm="1">
        <f t="array" aca="1" ref="P48" ca="1">IF(AND(OR(INDIRECT("Descriptif!I"&amp;O$13)=Recap_equipements!$B44,INDIRECT("Descriptif!I"&amp;O$13)=Recap_equipements!$C44),INDIRECT("Descriptif!M"&amp;O$13)=$D48),INDIRECT("Descriptif!F"&amp;O$13),"")</f>
        <v/>
      </c>
      <c r="Q48" s="94" t="str" cm="1">
        <f t="array" aca="1" ref="Q48" ca="1">IF(AND(OR(INDIRECT("Descriptif!I"&amp;P$13)=Recap_equipements!$B44,INDIRECT("Descriptif!I"&amp;P$13)=Recap_equipements!$C44),INDIRECT("Descriptif!M"&amp;P$13)=$D48),INDIRECT("Descriptif!F"&amp;P$13),"")</f>
        <v/>
      </c>
      <c r="R48" s="94" t="str" cm="1">
        <f t="array" aca="1" ref="R48" ca="1">IF(AND(OR(INDIRECT("Descriptif!I"&amp;Q$13)=Recap_equipements!$B44,INDIRECT("Descriptif!I"&amp;Q$13)=Recap_equipements!$C44),INDIRECT("Descriptif!M"&amp;Q$13)=$D48),INDIRECT("Descriptif!F"&amp;Q$13),"")</f>
        <v/>
      </c>
      <c r="S48" s="94" t="str" cm="1">
        <f t="array" aca="1" ref="S48" ca="1">IF(AND(OR(INDIRECT("Descriptif!I"&amp;R$13)=Recap_equipements!$B44,INDIRECT("Descriptif!I"&amp;R$13)=Recap_equipements!$C44),INDIRECT("Descriptif!M"&amp;R$13)=$D48),INDIRECT("Descriptif!F"&amp;R$13),"")</f>
        <v/>
      </c>
      <c r="T48" s="95" t="str" cm="1">
        <f t="array" aca="1" ref="T48" ca="1">IF(AND(OR(INDIRECT("Descriptif!I"&amp;S$13)=Recap_equipements!$B44,INDIRECT("Descriptif!I"&amp;S$13)=Recap_equipements!$C44),INDIRECT("Descriptif!M"&amp;S$13)=$D48),INDIRECT("Descriptif!F"&amp;S$13),"")</f>
        <v/>
      </c>
    </row>
    <row r="49" spans="2:21" x14ac:dyDescent="0.4">
      <c r="B49" s="1178" t="s">
        <v>99</v>
      </c>
      <c r="C49" s="1181" t="s">
        <v>101</v>
      </c>
      <c r="D49" s="89" t="str">
        <f>$D$7</f>
        <v>Débitmètre en charge</v>
      </c>
      <c r="E49" s="89"/>
      <c r="F49" s="90" t="str" cm="1">
        <f t="array" aca="1" ref="F49" ca="1">IF(AND(OR(INDIRECT("Descriptif!I"&amp;E$14)=Recap_equipements!$B49,INDIRECT("Descriptif!I"&amp;E$14)=Recap_equipements!$C49),INDIRECT("Descriptif!M"&amp;E$14)=$D49),INDIRECT("Descriptif!F"&amp;E$14),"")</f>
        <v/>
      </c>
      <c r="G49" s="90" t="str" cm="1">
        <f t="array" aca="1" ref="G49" ca="1">IF(AND(OR(INDIRECT("Descriptif!I"&amp;F$14)=Recap_equipements!$B49,INDIRECT("Descriptif!I"&amp;F$14)=Recap_equipements!$C49),INDIRECT("Descriptif!M"&amp;F$14)=$D49),INDIRECT("Descriptif!F"&amp;F$14),"")</f>
        <v/>
      </c>
      <c r="H49" s="90" t="str" cm="1">
        <f t="array" aca="1" ref="H49" ca="1">IF(AND(OR(INDIRECT("Descriptif!I"&amp;G$14)=Recap_equipements!$B49,INDIRECT("Descriptif!I"&amp;G$14)=Recap_equipements!$C49),INDIRECT("Descriptif!M"&amp;G$14)=$D49),INDIRECT("Descriptif!F"&amp;G$14),"")</f>
        <v/>
      </c>
      <c r="I49" s="90" t="str" cm="1">
        <f t="array" aca="1" ref="I49" ca="1">IF(AND(OR(INDIRECT("Descriptif!I"&amp;H$14)=Recap_equipements!$B49,INDIRECT("Descriptif!I"&amp;H$14)=Recap_equipements!$C49),INDIRECT("Descriptif!M"&amp;H$14)=$D49),INDIRECT("Descriptif!F"&amp;H$14),"")</f>
        <v/>
      </c>
      <c r="J49" s="90" t="str" cm="1">
        <f t="array" aca="1" ref="J49" ca="1">IF(AND(OR(INDIRECT("Descriptif!I"&amp;I$14)=Recap_equipements!$B49,INDIRECT("Descriptif!I"&amp;I$14)=Recap_equipements!$C49),INDIRECT("Descriptif!M"&amp;I$14)=$D49),INDIRECT("Descriptif!F"&amp;I$14),"")</f>
        <v/>
      </c>
      <c r="K49" s="90" t="str" cm="1">
        <f t="array" aca="1" ref="K49" ca="1">IF(AND(OR(INDIRECT("Descriptif!I"&amp;J$14)=Recap_equipements!$B49,INDIRECT("Descriptif!I"&amp;J$14)=Recap_equipements!$C49),INDIRECT("Descriptif!M"&amp;J$14)=$D49),INDIRECT("Descriptif!F"&amp;J$14),"")</f>
        <v/>
      </c>
      <c r="L49" s="90" t="str" cm="1">
        <f t="array" aca="1" ref="L49" ca="1">IF(AND(OR(INDIRECT("Descriptif!I"&amp;K$14)=Recap_equipements!$B49,INDIRECT("Descriptif!I"&amp;K$14)=Recap_equipements!$C49),INDIRECT("Descriptif!M"&amp;K$14)=$D49),INDIRECT("Descriptif!F"&amp;K$14),"")</f>
        <v/>
      </c>
      <c r="M49" s="90" t="str" cm="1">
        <f t="array" aca="1" ref="M49" ca="1">IF(AND(OR(INDIRECT("Descriptif!I"&amp;L$14)=Recap_equipements!$B49,INDIRECT("Descriptif!I"&amp;L$14)=Recap_equipements!$C49),INDIRECT("Descriptif!M"&amp;L$14)=$D49),INDIRECT("Descriptif!F"&amp;L$14),"")</f>
        <v/>
      </c>
      <c r="N49" s="90" t="str" cm="1">
        <f t="array" aca="1" ref="N49" ca="1">IF(AND(OR(INDIRECT("Descriptif!I"&amp;M$14)=Recap_equipements!$B49,INDIRECT("Descriptif!I"&amp;M$14)=Recap_equipements!$C49),INDIRECT("Descriptif!M"&amp;M$14)=$D49),INDIRECT("Descriptif!F"&amp;M$14),"")</f>
        <v/>
      </c>
      <c r="O49" s="90" t="str" cm="1">
        <f t="array" aca="1" ref="O49" ca="1">IF(AND(OR(INDIRECT("Descriptif!I"&amp;N$14)=Recap_equipements!$B49,INDIRECT("Descriptif!I"&amp;N$14)=Recap_equipements!$C49),INDIRECT("Descriptif!M"&amp;N$14)=$D49),INDIRECT("Descriptif!F"&amp;N$14),"")</f>
        <v/>
      </c>
      <c r="P49" s="90" t="str" cm="1">
        <f t="array" aca="1" ref="P49" ca="1">IF(AND(OR(INDIRECT("Descriptif!I"&amp;O$14)=Recap_equipements!$B49,INDIRECT("Descriptif!I"&amp;O$14)=Recap_equipements!$C49),INDIRECT("Descriptif!M"&amp;O$14)=$D49),INDIRECT("Descriptif!F"&amp;O$14),"")</f>
        <v/>
      </c>
      <c r="Q49" s="90" t="str" cm="1">
        <f t="array" aca="1" ref="Q49" ca="1">IF(AND(OR(INDIRECT("Descriptif!I"&amp;P$14)=Recap_equipements!$B49,INDIRECT("Descriptif!I"&amp;P$14)=Recap_equipements!$C49),INDIRECT("Descriptif!M"&amp;P$14)=$D49),INDIRECT("Descriptif!F"&amp;P$14),"")</f>
        <v/>
      </c>
      <c r="R49" s="90" t="str" cm="1">
        <f t="array" aca="1" ref="R49" ca="1">IF(AND(OR(INDIRECT("Descriptif!I"&amp;Q$14)=Recap_equipements!$B49,INDIRECT("Descriptif!I"&amp;Q$14)=Recap_equipements!$C49),INDIRECT("Descriptif!M"&amp;Q$14)=$D49),INDIRECT("Descriptif!F"&amp;Q$14),"")</f>
        <v/>
      </c>
      <c r="S49" s="90" t="str" cm="1">
        <f t="array" aca="1" ref="S49" ca="1">IF(AND(OR(INDIRECT("Descriptif!I"&amp;R$14)=Recap_equipements!$B49,INDIRECT("Descriptif!I"&amp;R$14)=Recap_equipements!$C49),INDIRECT("Descriptif!M"&amp;R$14)=$D49),INDIRECT("Descriptif!F"&amp;R$14),"")</f>
        <v/>
      </c>
      <c r="T49" s="91" t="str" cm="1">
        <f t="array" aca="1" ref="T49" ca="1">IF(AND(OR(INDIRECT("Descriptif!I"&amp;S$14)=Recap_equipements!$B49,INDIRECT("Descriptif!I"&amp;S$14)=Recap_equipements!$C49),INDIRECT("Descriptif!M"&amp;S$14)=$D49),INDIRECT("Descriptif!F"&amp;S$14),"")</f>
        <v/>
      </c>
    </row>
    <row r="50" spans="2:21" x14ac:dyDescent="0.4">
      <c r="B50" s="1179"/>
      <c r="C50" s="1182"/>
      <c r="D50" s="88" t="str">
        <f>$D$8</f>
        <v>Débitmètre gravitaire</v>
      </c>
      <c r="E50" s="88"/>
      <c r="F50" s="10" t="str" cm="1">
        <f t="array" aca="1" ref="F50" ca="1">IF(AND(OR(INDIRECT("Descriptif!I"&amp;E$14)=Recap_equipements!$B49,INDIRECT("Descriptif!I"&amp;E$14)=Recap_equipements!$C49),INDIRECT("Descriptif!M"&amp;E$14)=$D50),INDIRECT("Descriptif!F"&amp;E$14),"")</f>
        <v/>
      </c>
      <c r="G50" s="10" t="str" cm="1">
        <f t="array" aca="1" ref="G50" ca="1">IF(AND(OR(INDIRECT("Descriptif!I"&amp;F$14)=Recap_equipements!$B49,INDIRECT("Descriptif!I"&amp;F$14)=Recap_equipements!$C49),INDIRECT("Descriptif!M"&amp;F$14)=$D50),INDIRECT("Descriptif!F"&amp;F$14),"")</f>
        <v/>
      </c>
      <c r="H50" s="10" t="str" cm="1">
        <f t="array" aca="1" ref="H50" ca="1">IF(AND(OR(INDIRECT("Descriptif!I"&amp;G$14)=Recap_equipements!$B49,INDIRECT("Descriptif!I"&amp;G$14)=Recap_equipements!$C49),INDIRECT("Descriptif!M"&amp;G$14)=$D50),INDIRECT("Descriptif!F"&amp;G$14),"")</f>
        <v/>
      </c>
      <c r="I50" s="10" t="str" cm="1">
        <f t="array" aca="1" ref="I50" ca="1">IF(AND(OR(INDIRECT("Descriptif!I"&amp;H$14)=Recap_equipements!$B49,INDIRECT("Descriptif!I"&amp;H$14)=Recap_equipements!$C49),INDIRECT("Descriptif!M"&amp;H$14)=$D50),INDIRECT("Descriptif!F"&amp;H$14),"")</f>
        <v/>
      </c>
      <c r="J50" s="10" t="str" cm="1">
        <f t="array" aca="1" ref="J50" ca="1">IF(AND(OR(INDIRECT("Descriptif!I"&amp;I$14)=Recap_equipements!$B49,INDIRECT("Descriptif!I"&amp;I$14)=Recap_equipements!$C49),INDIRECT("Descriptif!M"&amp;I$14)=$D50),INDIRECT("Descriptif!F"&amp;I$14),"")</f>
        <v/>
      </c>
      <c r="K50" s="10" t="str" cm="1">
        <f t="array" aca="1" ref="K50" ca="1">IF(AND(OR(INDIRECT("Descriptif!I"&amp;J$14)=Recap_equipements!$B49,INDIRECT("Descriptif!I"&amp;J$14)=Recap_equipements!$C49),INDIRECT("Descriptif!M"&amp;J$14)=$D50),INDIRECT("Descriptif!F"&amp;J$14),"")</f>
        <v/>
      </c>
      <c r="L50" s="10" t="str" cm="1">
        <f t="array" aca="1" ref="L50" ca="1">IF(AND(OR(INDIRECT("Descriptif!I"&amp;K$14)=Recap_equipements!$B49,INDIRECT("Descriptif!I"&amp;K$14)=Recap_equipements!$C49),INDIRECT("Descriptif!M"&amp;K$14)=$D50),INDIRECT("Descriptif!F"&amp;K$14),"")</f>
        <v/>
      </c>
      <c r="M50" s="10" t="str" cm="1">
        <f t="array" aca="1" ref="M50" ca="1">IF(AND(OR(INDIRECT("Descriptif!I"&amp;L$14)=Recap_equipements!$B49,INDIRECT("Descriptif!I"&amp;L$14)=Recap_equipements!$C49),INDIRECT("Descriptif!M"&amp;L$14)=$D50),INDIRECT("Descriptif!F"&amp;L$14),"")</f>
        <v/>
      </c>
      <c r="N50" s="10" t="str" cm="1">
        <f t="array" aca="1" ref="N50" ca="1">IF(AND(OR(INDIRECT("Descriptif!I"&amp;M$14)=Recap_equipements!$B49,INDIRECT("Descriptif!I"&amp;M$14)=Recap_equipements!$C49),INDIRECT("Descriptif!M"&amp;M$14)=$D50),INDIRECT("Descriptif!F"&amp;M$14),"")</f>
        <v/>
      </c>
      <c r="O50" s="10" t="str" cm="1">
        <f t="array" aca="1" ref="O50" ca="1">IF(AND(OR(INDIRECT("Descriptif!I"&amp;N$14)=Recap_equipements!$B49,INDIRECT("Descriptif!I"&amp;N$14)=Recap_equipements!$C49),INDIRECT("Descriptif!M"&amp;N$14)=$D50),INDIRECT("Descriptif!F"&amp;N$14),"")</f>
        <v/>
      </c>
      <c r="P50" s="10" t="str" cm="1">
        <f t="array" aca="1" ref="P50" ca="1">IF(AND(OR(INDIRECT("Descriptif!I"&amp;O$14)=Recap_equipements!$B49,INDIRECT("Descriptif!I"&amp;O$14)=Recap_equipements!$C49),INDIRECT("Descriptif!M"&amp;O$14)=$D50),INDIRECT("Descriptif!F"&amp;O$14),"")</f>
        <v/>
      </c>
      <c r="Q50" s="10" t="str" cm="1">
        <f t="array" aca="1" ref="Q50" ca="1">IF(AND(OR(INDIRECT("Descriptif!I"&amp;P$14)=Recap_equipements!$B49,INDIRECT("Descriptif!I"&amp;P$14)=Recap_equipements!$C49),INDIRECT("Descriptif!M"&amp;P$14)=$D50),INDIRECT("Descriptif!F"&amp;P$14),"")</f>
        <v/>
      </c>
      <c r="R50" s="10" t="str" cm="1">
        <f t="array" aca="1" ref="R50" ca="1">IF(AND(OR(INDIRECT("Descriptif!I"&amp;Q$14)=Recap_equipements!$B49,INDIRECT("Descriptif!I"&amp;Q$14)=Recap_equipements!$C49),INDIRECT("Descriptif!M"&amp;Q$14)=$D50),INDIRECT("Descriptif!F"&amp;Q$14),"")</f>
        <v/>
      </c>
      <c r="S50" s="10" t="str" cm="1">
        <f t="array" aca="1" ref="S50" ca="1">IF(AND(OR(INDIRECT("Descriptif!I"&amp;R$14)=Recap_equipements!$B49,INDIRECT("Descriptif!I"&amp;R$14)=Recap_equipements!$C49),INDIRECT("Descriptif!M"&amp;R$14)=$D50),INDIRECT("Descriptif!F"&amp;R$14),"")</f>
        <v/>
      </c>
      <c r="T50" s="92" t="str" cm="1">
        <f t="array" aca="1" ref="T50" ca="1">IF(AND(OR(INDIRECT("Descriptif!I"&amp;S$14)=Recap_equipements!$B49,INDIRECT("Descriptif!I"&amp;S$14)=Recap_equipements!$C49),INDIRECT("Descriptif!M"&amp;S$14)=$D50),INDIRECT("Descriptif!F"&amp;S$14),"")</f>
        <v/>
      </c>
    </row>
    <row r="51" spans="2:21" x14ac:dyDescent="0.4">
      <c r="B51" s="1179"/>
      <c r="C51" s="1182"/>
      <c r="D51" s="88" t="str">
        <f>$D$9</f>
        <v>Préleveur</v>
      </c>
      <c r="E51" s="88"/>
      <c r="F51" s="10" t="str" cm="1">
        <f t="array" aca="1" ref="F51" ca="1">IF(AND(OR(INDIRECT("Descriptif!I"&amp;E$14)=Recap_equipements!$B49,INDIRECT("Descriptif!I"&amp;E$14)=Recap_equipements!$C49),INDIRECT("Descriptif!M"&amp;E$14)=$D51),INDIRECT("Descriptif!F"&amp;E$14),"")</f>
        <v/>
      </c>
      <c r="G51" s="10" t="str" cm="1">
        <f t="array" aca="1" ref="G51" ca="1">IF(AND(OR(INDIRECT("Descriptif!I"&amp;F$14)=Recap_equipements!$B49,INDIRECT("Descriptif!I"&amp;F$14)=Recap_equipements!$C49),INDIRECT("Descriptif!M"&amp;F$14)=$D51),INDIRECT("Descriptif!F"&amp;F$14),"")</f>
        <v/>
      </c>
      <c r="H51" s="10" t="str" cm="1">
        <f t="array" aca="1" ref="H51" ca="1">IF(AND(OR(INDIRECT("Descriptif!I"&amp;G$14)=Recap_equipements!$B49,INDIRECT("Descriptif!I"&amp;G$14)=Recap_equipements!$C49),INDIRECT("Descriptif!M"&amp;G$14)=$D51),INDIRECT("Descriptif!F"&amp;G$14),"")</f>
        <v/>
      </c>
      <c r="I51" s="10" t="str" cm="1">
        <f t="array" aca="1" ref="I51" ca="1">IF(AND(OR(INDIRECT("Descriptif!I"&amp;H$14)=Recap_equipements!$B49,INDIRECT("Descriptif!I"&amp;H$14)=Recap_equipements!$C49),INDIRECT("Descriptif!M"&amp;H$14)=$D51),INDIRECT("Descriptif!F"&amp;H$14),"")</f>
        <v/>
      </c>
      <c r="J51" s="10" t="str" cm="1">
        <f t="array" aca="1" ref="J51" ca="1">IF(AND(OR(INDIRECT("Descriptif!I"&amp;I$14)=Recap_equipements!$B49,INDIRECT("Descriptif!I"&amp;I$14)=Recap_equipements!$C49),INDIRECT("Descriptif!M"&amp;I$14)=$D51),INDIRECT("Descriptif!F"&amp;I$14),"")</f>
        <v/>
      </c>
      <c r="K51" s="10" t="str" cm="1">
        <f t="array" aca="1" ref="K51" ca="1">IF(AND(OR(INDIRECT("Descriptif!I"&amp;J$14)=Recap_equipements!$B49,INDIRECT("Descriptif!I"&amp;J$14)=Recap_equipements!$C49),INDIRECT("Descriptif!M"&amp;J$14)=$D51),INDIRECT("Descriptif!F"&amp;J$14),"")</f>
        <v/>
      </c>
      <c r="L51" s="10" t="str" cm="1">
        <f t="array" aca="1" ref="L51" ca="1">IF(AND(OR(INDIRECT("Descriptif!I"&amp;K$14)=Recap_equipements!$B49,INDIRECT("Descriptif!I"&amp;K$14)=Recap_equipements!$C49),INDIRECT("Descriptif!M"&amp;K$14)=$D51),INDIRECT("Descriptif!F"&amp;K$14),"")</f>
        <v/>
      </c>
      <c r="M51" s="10" t="str" cm="1">
        <f t="array" aca="1" ref="M51" ca="1">IF(AND(OR(INDIRECT("Descriptif!I"&amp;L$14)=Recap_equipements!$B49,INDIRECT("Descriptif!I"&amp;L$14)=Recap_equipements!$C49),INDIRECT("Descriptif!M"&amp;L$14)=$D51),INDIRECT("Descriptif!F"&amp;L$14),"")</f>
        <v/>
      </c>
      <c r="N51" s="10" t="str" cm="1">
        <f t="array" aca="1" ref="N51" ca="1">IF(AND(OR(INDIRECT("Descriptif!I"&amp;M$14)=Recap_equipements!$B49,INDIRECT("Descriptif!I"&amp;M$14)=Recap_equipements!$C49),INDIRECT("Descriptif!M"&amp;M$14)=$D51),INDIRECT("Descriptif!F"&amp;M$14),"")</f>
        <v/>
      </c>
      <c r="O51" s="10" t="str" cm="1">
        <f t="array" aca="1" ref="O51" ca="1">IF(AND(OR(INDIRECT("Descriptif!I"&amp;N$14)=Recap_equipements!$B49,INDIRECT("Descriptif!I"&amp;N$14)=Recap_equipements!$C49),INDIRECT("Descriptif!M"&amp;N$14)=$D51),INDIRECT("Descriptif!F"&amp;N$14),"")</f>
        <v/>
      </c>
      <c r="P51" s="10" t="str" cm="1">
        <f t="array" aca="1" ref="P51" ca="1">IF(AND(OR(INDIRECT("Descriptif!I"&amp;O$14)=Recap_equipements!$B49,INDIRECT("Descriptif!I"&amp;O$14)=Recap_equipements!$C49),INDIRECT("Descriptif!M"&amp;O$14)=$D51),INDIRECT("Descriptif!F"&amp;O$14),"")</f>
        <v/>
      </c>
      <c r="Q51" s="10" t="str" cm="1">
        <f t="array" aca="1" ref="Q51" ca="1">IF(AND(OR(INDIRECT("Descriptif!I"&amp;P$14)=Recap_equipements!$B49,INDIRECT("Descriptif!I"&amp;P$14)=Recap_equipements!$C49),INDIRECT("Descriptif!M"&amp;P$14)=$D51),INDIRECT("Descriptif!F"&amp;P$14),"")</f>
        <v/>
      </c>
      <c r="R51" s="10" t="str" cm="1">
        <f t="array" aca="1" ref="R51" ca="1">IF(AND(OR(INDIRECT("Descriptif!I"&amp;Q$14)=Recap_equipements!$B49,INDIRECT("Descriptif!I"&amp;Q$14)=Recap_equipements!$C49),INDIRECT("Descriptif!M"&amp;Q$14)=$D51),INDIRECT("Descriptif!F"&amp;Q$14),"")</f>
        <v/>
      </c>
      <c r="S51" s="10" t="str" cm="1">
        <f t="array" aca="1" ref="S51" ca="1">IF(AND(OR(INDIRECT("Descriptif!I"&amp;R$14)=Recap_equipements!$B49,INDIRECT("Descriptif!I"&amp;R$14)=Recap_equipements!$C49),INDIRECT("Descriptif!M"&amp;R$14)=$D51),INDIRECT("Descriptif!F"&amp;R$14),"")</f>
        <v/>
      </c>
      <c r="T51" s="92" t="str" cm="1">
        <f t="array" aca="1" ref="T51" ca="1">IF(AND(OR(INDIRECT("Descriptif!I"&amp;S$14)=Recap_equipements!$B49,INDIRECT("Descriptif!I"&amp;S$14)=Recap_equipements!$C49),INDIRECT("Descriptif!M"&amp;S$14)=$D51),INDIRECT("Descriptif!F"&amp;S$14),"")</f>
        <v/>
      </c>
    </row>
    <row r="52" spans="2:21" x14ac:dyDescent="0.4">
      <c r="B52" s="1179"/>
      <c r="C52" s="1182"/>
      <c r="D52" s="287" t="s">
        <v>392</v>
      </c>
      <c r="E52" s="287"/>
      <c r="F52" s="288" t="str">
        <f ca="1">IF(F51&lt;&gt;"",VLOOKUP(F51,Analytique!$X$3:$AE$29,1,FALSE),"")</f>
        <v/>
      </c>
      <c r="G52" s="288" t="str">
        <f ca="1">IF(G51&lt;&gt;"",VLOOKUP(G51,Analytique!$X$3:$AE$29,1,FALSE),"")</f>
        <v/>
      </c>
      <c r="H52" s="288" t="str">
        <f ca="1">IF(H51&lt;&gt;"",VLOOKUP(H51,Analytique!$X$3:$AE$29,1,FALSE),"")</f>
        <v/>
      </c>
      <c r="I52" s="288" t="str">
        <f ca="1">IF(I51&lt;&gt;"",VLOOKUP(I51,Analytique!$X$3:$AE$29,1,FALSE),"")</f>
        <v/>
      </c>
      <c r="J52" s="288" t="str">
        <f ca="1">IF(J51&lt;&gt;"",VLOOKUP(J51,Analytique!$X$3:$AE$29,1,FALSE),"")</f>
        <v/>
      </c>
      <c r="K52" s="288" t="str">
        <f ca="1">IF(K51&lt;&gt;"",VLOOKUP(K51,Analytique!$X$3:$AE$29,1,FALSE),"")</f>
        <v/>
      </c>
      <c r="L52" s="288" t="str">
        <f ca="1">IF(L51&lt;&gt;"",VLOOKUP(L51,Analytique!$X$3:$AE$29,1,FALSE),"")</f>
        <v/>
      </c>
      <c r="M52" s="288" t="str">
        <f ca="1">IF(M51&lt;&gt;"",VLOOKUP(M51,Analytique!$X$3:$AE$29,1,FALSE),"")</f>
        <v/>
      </c>
      <c r="N52" s="288" t="str">
        <f ca="1">IF(N51&lt;&gt;"",VLOOKUP(N51,Analytique!$X$3:$AE$29,1,FALSE),"")</f>
        <v/>
      </c>
      <c r="O52" s="288" t="str">
        <f ca="1">IF(O51&lt;&gt;"",VLOOKUP(O51,Analytique!$X$3:$AE$29,1,FALSE),"")</f>
        <v/>
      </c>
      <c r="P52" s="288" t="str">
        <f ca="1">IF(P51&lt;&gt;"",VLOOKUP(P51,Analytique!$X$3:$AE$29,1,FALSE),"")</f>
        <v/>
      </c>
      <c r="Q52" s="288" t="str">
        <f ca="1">IF(Q51&lt;&gt;"",VLOOKUP(Q51,Analytique!$X$3:$AE$29,1,FALSE),"")</f>
        <v/>
      </c>
      <c r="R52" s="288" t="str">
        <f ca="1">IF(R51&lt;&gt;"",VLOOKUP(R51,Analytique!$X$3:$AE$29,1,FALSE),"")</f>
        <v/>
      </c>
      <c r="S52" s="288" t="str">
        <f ca="1">IF(S51&lt;&gt;"",VLOOKUP(S51,Analytique!$X$3:$AE$29,1,FALSE),"")</f>
        <v/>
      </c>
      <c r="T52" s="289" t="str">
        <f ca="1">IF(T51&lt;&gt;"",VLOOKUP(T51,Analytique!$X$3:$AE$29,1,FALSE),"")</f>
        <v/>
      </c>
    </row>
    <row r="53" spans="2:21" ht="13" thickBot="1" x14ac:dyDescent="0.45">
      <c r="B53" s="1180"/>
      <c r="C53" s="1183"/>
      <c r="D53" s="93" t="str">
        <f>$D$10</f>
        <v>Sonde de température</v>
      </c>
      <c r="E53" s="93"/>
      <c r="F53" s="94" t="str" cm="1">
        <f t="array" aca="1" ref="F53" ca="1">IF(AND(OR(INDIRECT("Descriptif!I"&amp;E$14)=Recap_equipements!$B49,INDIRECT("Descriptif!I"&amp;E$14)=Recap_equipements!$C49),INDIRECT("Descriptif!M"&amp;E$14)=$D53),INDIRECT("Descriptif!F"&amp;E$14),"")</f>
        <v/>
      </c>
      <c r="G53" s="94" t="str" cm="1">
        <f t="array" aca="1" ref="G53" ca="1">IF(AND(OR(INDIRECT("Descriptif!I"&amp;F$14)=Recap_equipements!$B49,INDIRECT("Descriptif!I"&amp;F$14)=Recap_equipements!$C49),INDIRECT("Descriptif!M"&amp;F$14)=$D53),INDIRECT("Descriptif!F"&amp;F$14),"")</f>
        <v/>
      </c>
      <c r="H53" s="94" t="str" cm="1">
        <f t="array" aca="1" ref="H53" ca="1">IF(AND(OR(INDIRECT("Descriptif!I"&amp;G$14)=Recap_equipements!$B49,INDIRECT("Descriptif!I"&amp;G$14)=Recap_equipements!$C49),INDIRECT("Descriptif!M"&amp;G$14)=$D53),INDIRECT("Descriptif!F"&amp;G$14),"")</f>
        <v/>
      </c>
      <c r="I53" s="94" t="str" cm="1">
        <f t="array" aca="1" ref="I53" ca="1">IF(AND(OR(INDIRECT("Descriptif!I"&amp;H$14)=Recap_equipements!$B49,INDIRECT("Descriptif!I"&amp;H$14)=Recap_equipements!$C49),INDIRECT("Descriptif!M"&amp;H$14)=$D53),INDIRECT("Descriptif!F"&amp;H$14),"")</f>
        <v/>
      </c>
      <c r="J53" s="94" t="str" cm="1">
        <f t="array" aca="1" ref="J53" ca="1">IF(AND(OR(INDIRECT("Descriptif!I"&amp;I$14)=Recap_equipements!$B49,INDIRECT("Descriptif!I"&amp;I$14)=Recap_equipements!$C49),INDIRECT("Descriptif!M"&amp;I$14)=$D53),INDIRECT("Descriptif!F"&amp;I$14),"")</f>
        <v/>
      </c>
      <c r="K53" s="94" t="str" cm="1">
        <f t="array" aca="1" ref="K53" ca="1">IF(AND(OR(INDIRECT("Descriptif!I"&amp;J$14)=Recap_equipements!$B49,INDIRECT("Descriptif!I"&amp;J$14)=Recap_equipements!$C49),INDIRECT("Descriptif!M"&amp;J$14)=$D53),INDIRECT("Descriptif!F"&amp;J$14),"")</f>
        <v/>
      </c>
      <c r="L53" s="94" t="str" cm="1">
        <f t="array" aca="1" ref="L53" ca="1">IF(AND(OR(INDIRECT("Descriptif!I"&amp;K$14)=Recap_equipements!$B49,INDIRECT("Descriptif!I"&amp;K$14)=Recap_equipements!$C49),INDIRECT("Descriptif!M"&amp;K$14)=$D53),INDIRECT("Descriptif!F"&amp;K$14),"")</f>
        <v/>
      </c>
      <c r="M53" s="94" t="str" cm="1">
        <f t="array" aca="1" ref="M53" ca="1">IF(AND(OR(INDIRECT("Descriptif!I"&amp;L$14)=Recap_equipements!$B49,INDIRECT("Descriptif!I"&amp;L$14)=Recap_equipements!$C49),INDIRECT("Descriptif!M"&amp;L$14)=$D53),INDIRECT("Descriptif!F"&amp;L$14),"")</f>
        <v/>
      </c>
      <c r="N53" s="94" t="str" cm="1">
        <f t="array" aca="1" ref="N53" ca="1">IF(AND(OR(INDIRECT("Descriptif!I"&amp;M$14)=Recap_equipements!$B49,INDIRECT("Descriptif!I"&amp;M$14)=Recap_equipements!$C49),INDIRECT("Descriptif!M"&amp;M$14)=$D53),INDIRECT("Descriptif!F"&amp;M$14),"")</f>
        <v/>
      </c>
      <c r="O53" s="94" t="str" cm="1">
        <f t="array" aca="1" ref="O53" ca="1">IF(AND(OR(INDIRECT("Descriptif!I"&amp;N$14)=Recap_equipements!$B49,INDIRECT("Descriptif!I"&amp;N$14)=Recap_equipements!$C49),INDIRECT("Descriptif!M"&amp;N$14)=$D53),INDIRECT("Descriptif!F"&amp;N$14),"")</f>
        <v/>
      </c>
      <c r="P53" s="94" t="str" cm="1">
        <f t="array" aca="1" ref="P53" ca="1">IF(AND(OR(INDIRECT("Descriptif!I"&amp;O$14)=Recap_equipements!$B49,INDIRECT("Descriptif!I"&amp;O$14)=Recap_equipements!$C49),INDIRECT("Descriptif!M"&amp;O$14)=$D53),INDIRECT("Descriptif!F"&amp;O$14),"")</f>
        <v/>
      </c>
      <c r="Q53" s="94" t="str" cm="1">
        <f t="array" aca="1" ref="Q53" ca="1">IF(AND(OR(INDIRECT("Descriptif!I"&amp;P$14)=Recap_equipements!$B49,INDIRECT("Descriptif!I"&amp;P$14)=Recap_equipements!$C49),INDIRECT("Descriptif!M"&amp;P$14)=$D53),INDIRECT("Descriptif!F"&amp;P$14),"")</f>
        <v/>
      </c>
      <c r="R53" s="94" t="str" cm="1">
        <f t="array" aca="1" ref="R53" ca="1">IF(AND(OR(INDIRECT("Descriptif!I"&amp;Q$14)=Recap_equipements!$B49,INDIRECT("Descriptif!I"&amp;Q$14)=Recap_equipements!$C49),INDIRECT("Descriptif!M"&amp;Q$14)=$D53),INDIRECT("Descriptif!F"&amp;Q$14),"")</f>
        <v/>
      </c>
      <c r="S53" s="94" t="str" cm="1">
        <f t="array" aca="1" ref="S53" ca="1">IF(AND(OR(INDIRECT("Descriptif!I"&amp;R$14)=Recap_equipements!$B49,INDIRECT("Descriptif!I"&amp;R$14)=Recap_equipements!$C49),INDIRECT("Descriptif!M"&amp;R$14)=$D53),INDIRECT("Descriptif!F"&amp;R$14),"")</f>
        <v/>
      </c>
      <c r="T53" s="95" t="str" cm="1">
        <f t="array" aca="1" ref="T53" ca="1">IF(AND(OR(INDIRECT("Descriptif!I"&amp;S$14)=Recap_equipements!$B49,INDIRECT("Descriptif!I"&amp;S$14)=Recap_equipements!$C49),INDIRECT("Descriptif!M"&amp;S$14)=$D53),INDIRECT("Descriptif!F"&amp;S$14),"")</f>
        <v/>
      </c>
    </row>
    <row r="54" spans="2:21" x14ac:dyDescent="0.4">
      <c r="B54" s="1178" t="s">
        <v>113</v>
      </c>
      <c r="C54" s="1181" t="s">
        <v>120</v>
      </c>
      <c r="D54" s="89" t="str">
        <f>$D$7</f>
        <v>Débitmètre en charge</v>
      </c>
      <c r="E54" s="89"/>
      <c r="F54" s="90" t="str" cm="1">
        <f t="array" aca="1" ref="F54" ca="1">IF(AND(OR(INDIRECT("Descriptif!I"&amp;E$13)=Recap_equipements!$B54,INDIRECT("Descriptif!I"&amp;E$13)=Recap_equipements!$C54),INDIRECT("Descriptif!M"&amp;E$13)=$D54),INDIRECT("Descriptif!F"&amp;E$13),"")</f>
        <v/>
      </c>
      <c r="G54" s="90" t="str" cm="1">
        <f t="array" aca="1" ref="G54" ca="1">IF(AND(OR(INDIRECT("Descriptif!I"&amp;F$13)=Recap_equipements!$B54,INDIRECT("Descriptif!I"&amp;F$13)=Recap_equipements!$C54),INDIRECT("Descriptif!M"&amp;F$13)=$D54),INDIRECT("Descriptif!F"&amp;F$13),"")</f>
        <v/>
      </c>
      <c r="H54" s="90" t="str" cm="1">
        <f t="array" aca="1" ref="H54" ca="1">IF(AND(OR(INDIRECT("Descriptif!I"&amp;G$13)=Recap_equipements!$B54,INDIRECT("Descriptif!I"&amp;G$13)=Recap_equipements!$C54),INDIRECT("Descriptif!M"&amp;G$13)=$D54),INDIRECT("Descriptif!F"&amp;G$13),"")</f>
        <v/>
      </c>
      <c r="I54" s="90" t="str" cm="1">
        <f t="array" aca="1" ref="I54" ca="1">IF(AND(OR(INDIRECT("Descriptif!I"&amp;H$13)=Recap_equipements!$B54,INDIRECT("Descriptif!I"&amp;H$13)=Recap_equipements!$C54),INDIRECT("Descriptif!M"&amp;H$13)=$D54),INDIRECT("Descriptif!F"&amp;H$13),"")</f>
        <v/>
      </c>
      <c r="J54" s="90" t="str" cm="1">
        <f t="array" aca="1" ref="J54" ca="1">IF(AND(OR(INDIRECT("Descriptif!I"&amp;I$13)=Recap_equipements!$B54,INDIRECT("Descriptif!I"&amp;I$13)=Recap_equipements!$C54),INDIRECT("Descriptif!M"&amp;I$13)=$D54),INDIRECT("Descriptif!F"&amp;I$13),"")</f>
        <v/>
      </c>
      <c r="K54" s="90" t="str" cm="1">
        <f t="array" aca="1" ref="K54" ca="1">IF(AND(OR(INDIRECT("Descriptif!I"&amp;J$13)=Recap_equipements!$B54,INDIRECT("Descriptif!I"&amp;J$13)=Recap_equipements!$C54),INDIRECT("Descriptif!M"&amp;J$13)=$D54),INDIRECT("Descriptif!F"&amp;J$13),"")</f>
        <v/>
      </c>
      <c r="L54" s="90" t="str" cm="1">
        <f t="array" aca="1" ref="L54" ca="1">IF(AND(OR(INDIRECT("Descriptif!I"&amp;K$13)=Recap_equipements!$B54,INDIRECT("Descriptif!I"&amp;K$13)=Recap_equipements!$C54),INDIRECT("Descriptif!M"&amp;K$13)=$D54),INDIRECT("Descriptif!F"&amp;K$13),"")</f>
        <v/>
      </c>
      <c r="M54" s="90" t="str" cm="1">
        <f t="array" aca="1" ref="M54" ca="1">IF(AND(OR(INDIRECT("Descriptif!I"&amp;L$13)=Recap_equipements!$B54,INDIRECT("Descriptif!I"&amp;L$13)=Recap_equipements!$C54),INDIRECT("Descriptif!M"&amp;L$13)=$D54),INDIRECT("Descriptif!F"&amp;L$13),"")</f>
        <v/>
      </c>
      <c r="N54" s="90" t="str" cm="1">
        <f t="array" aca="1" ref="N54" ca="1">IF(AND(OR(INDIRECT("Descriptif!I"&amp;M$13)=Recap_equipements!$B54,INDIRECT("Descriptif!I"&amp;M$13)=Recap_equipements!$C54),INDIRECT("Descriptif!M"&amp;M$13)=$D54),INDIRECT("Descriptif!F"&amp;M$13),"")</f>
        <v/>
      </c>
      <c r="O54" s="90" t="str" cm="1">
        <f t="array" aca="1" ref="O54" ca="1">IF(AND(OR(INDIRECT("Descriptif!I"&amp;N$13)=Recap_equipements!$B54,INDIRECT("Descriptif!I"&amp;N$13)=Recap_equipements!$C54),INDIRECT("Descriptif!M"&amp;N$13)=$D54),INDIRECT("Descriptif!F"&amp;N$13),"")</f>
        <v/>
      </c>
      <c r="P54" s="90" t="str" cm="1">
        <f t="array" aca="1" ref="P54" ca="1">IF(AND(OR(INDIRECT("Descriptif!I"&amp;O$13)=Recap_equipements!$B54,INDIRECT("Descriptif!I"&amp;O$13)=Recap_equipements!$C54),INDIRECT("Descriptif!M"&amp;O$13)=$D54),INDIRECT("Descriptif!F"&amp;O$13),"")</f>
        <v/>
      </c>
      <c r="Q54" s="90" t="str" cm="1">
        <f t="array" aca="1" ref="Q54" ca="1">IF(AND(OR(INDIRECT("Descriptif!I"&amp;P$13)=Recap_equipements!$B54,INDIRECT("Descriptif!I"&amp;P$13)=Recap_equipements!$C54),INDIRECT("Descriptif!M"&amp;P$13)=$D54),INDIRECT("Descriptif!F"&amp;P$13),"")</f>
        <v/>
      </c>
      <c r="R54" s="90" t="str" cm="1">
        <f t="array" aca="1" ref="R54" ca="1">IF(AND(OR(INDIRECT("Descriptif!I"&amp;Q$13)=Recap_equipements!$B54,INDIRECT("Descriptif!I"&amp;Q$13)=Recap_equipements!$C54),INDIRECT("Descriptif!M"&amp;Q$13)=$D54),INDIRECT("Descriptif!F"&amp;Q$13),"")</f>
        <v/>
      </c>
      <c r="S54" s="90" t="str" cm="1">
        <f t="array" aca="1" ref="S54" ca="1">IF(AND(OR(INDIRECT("Descriptif!I"&amp;R$13)=Recap_equipements!$B54,INDIRECT("Descriptif!I"&amp;R$13)=Recap_equipements!$C54),INDIRECT("Descriptif!M"&amp;R$13)=$D54),INDIRECT("Descriptif!F"&amp;R$13),"")</f>
        <v/>
      </c>
      <c r="T54" s="91" t="str" cm="1">
        <f t="array" aca="1" ref="T54" ca="1">IF(AND(OR(INDIRECT("Descriptif!I"&amp;S$13)=Recap_equipements!$B54,INDIRECT("Descriptif!I"&amp;S$13)=Recap_equipements!$C54),INDIRECT("Descriptif!M"&amp;S$13)=$D54),INDIRECT("Descriptif!F"&amp;S$13),"")</f>
        <v/>
      </c>
    </row>
    <row r="55" spans="2:21" x14ac:dyDescent="0.4">
      <c r="B55" s="1179"/>
      <c r="C55" s="1182"/>
      <c r="D55" s="88" t="str">
        <f>$D$8</f>
        <v>Débitmètre gravitaire</v>
      </c>
      <c r="E55" s="88"/>
      <c r="F55" s="10" t="str" cm="1">
        <f t="array" aca="1" ref="F55" ca="1">IF(AND(OR(INDIRECT("Descriptif!I"&amp;E$13)=Recap_equipements!$B54,INDIRECT("Descriptif!I"&amp;E$13)=Recap_equipements!$C54),INDIRECT("Descriptif!M"&amp;E$13)=$D55),INDIRECT("Descriptif!F"&amp;E$13),"")</f>
        <v/>
      </c>
      <c r="G55" s="10" t="str" cm="1">
        <f t="array" aca="1" ref="G55" ca="1">IF(AND(OR(INDIRECT("Descriptif!I"&amp;F$13)=Recap_equipements!$B54,INDIRECT("Descriptif!I"&amp;F$13)=Recap_equipements!$C54),INDIRECT("Descriptif!M"&amp;F$13)=$D55),INDIRECT("Descriptif!F"&amp;F$13),"")</f>
        <v/>
      </c>
      <c r="H55" s="10" t="str" cm="1">
        <f t="array" aca="1" ref="H55" ca="1">IF(AND(OR(INDIRECT("Descriptif!I"&amp;G$13)=Recap_equipements!$B54,INDIRECT("Descriptif!I"&amp;G$13)=Recap_equipements!$C54),INDIRECT("Descriptif!M"&amp;G$13)=$D55),INDIRECT("Descriptif!F"&amp;G$13),"")</f>
        <v/>
      </c>
      <c r="I55" s="10" t="str" cm="1">
        <f t="array" aca="1" ref="I55" ca="1">IF(AND(OR(INDIRECT("Descriptif!I"&amp;H$13)=Recap_equipements!$B54,INDIRECT("Descriptif!I"&amp;H$13)=Recap_equipements!$C54),INDIRECT("Descriptif!M"&amp;H$13)=$D55),INDIRECT("Descriptif!F"&amp;H$13),"")</f>
        <v/>
      </c>
      <c r="J55" s="10" t="str" cm="1">
        <f t="array" aca="1" ref="J55" ca="1">IF(AND(OR(INDIRECT("Descriptif!I"&amp;I$13)=Recap_equipements!$B54,INDIRECT("Descriptif!I"&amp;I$13)=Recap_equipements!$C54),INDIRECT("Descriptif!M"&amp;I$13)=$D55),INDIRECT("Descriptif!F"&amp;I$13),"")</f>
        <v/>
      </c>
      <c r="K55" s="10" t="str" cm="1">
        <f t="array" aca="1" ref="K55" ca="1">IF(AND(OR(INDIRECT("Descriptif!I"&amp;J$13)=Recap_equipements!$B54,INDIRECT("Descriptif!I"&amp;J$13)=Recap_equipements!$C54),INDIRECT("Descriptif!M"&amp;J$13)=$D55),INDIRECT("Descriptif!F"&amp;J$13),"")</f>
        <v/>
      </c>
      <c r="L55" s="10" t="str" cm="1">
        <f t="array" aca="1" ref="L55" ca="1">IF(AND(OR(INDIRECT("Descriptif!I"&amp;K$13)=Recap_equipements!$B54,INDIRECT("Descriptif!I"&amp;K$13)=Recap_equipements!$C54),INDIRECT("Descriptif!M"&amp;K$13)=$D55),INDIRECT("Descriptif!F"&amp;K$13),"")</f>
        <v/>
      </c>
      <c r="M55" s="10" t="str" cm="1">
        <f t="array" aca="1" ref="M55" ca="1">IF(AND(OR(INDIRECT("Descriptif!I"&amp;L$13)=Recap_equipements!$B54,INDIRECT("Descriptif!I"&amp;L$13)=Recap_equipements!$C54),INDIRECT("Descriptif!M"&amp;L$13)=$D55),INDIRECT("Descriptif!F"&amp;L$13),"")</f>
        <v/>
      </c>
      <c r="N55" s="10" t="str" cm="1">
        <f t="array" aca="1" ref="N55" ca="1">IF(AND(OR(INDIRECT("Descriptif!I"&amp;M$13)=Recap_equipements!$B54,INDIRECT("Descriptif!I"&amp;M$13)=Recap_equipements!$C54),INDIRECT("Descriptif!M"&amp;M$13)=$D55),INDIRECT("Descriptif!F"&amp;M$13),"")</f>
        <v/>
      </c>
      <c r="O55" s="10" t="str" cm="1">
        <f t="array" aca="1" ref="O55" ca="1">IF(AND(OR(INDIRECT("Descriptif!I"&amp;N$13)=Recap_equipements!$B54,INDIRECT("Descriptif!I"&amp;N$13)=Recap_equipements!$C54),INDIRECT("Descriptif!M"&amp;N$13)=$D55),INDIRECT("Descriptif!F"&amp;N$13),"")</f>
        <v/>
      </c>
      <c r="P55" s="10" t="str" cm="1">
        <f t="array" aca="1" ref="P55" ca="1">IF(AND(OR(INDIRECT("Descriptif!I"&amp;O$13)=Recap_equipements!$B54,INDIRECT("Descriptif!I"&amp;O$13)=Recap_equipements!$C54),INDIRECT("Descriptif!M"&amp;O$13)=$D55),INDIRECT("Descriptif!F"&amp;O$13),"")</f>
        <v/>
      </c>
      <c r="Q55" s="10" t="str" cm="1">
        <f t="array" aca="1" ref="Q55" ca="1">IF(AND(OR(INDIRECT("Descriptif!I"&amp;P$13)=Recap_equipements!$B54,INDIRECT("Descriptif!I"&amp;P$13)=Recap_equipements!$C54),INDIRECT("Descriptif!M"&amp;P$13)=$D55),INDIRECT("Descriptif!F"&amp;P$13),"")</f>
        <v/>
      </c>
      <c r="R55" s="10" t="str" cm="1">
        <f t="array" aca="1" ref="R55" ca="1">IF(AND(OR(INDIRECT("Descriptif!I"&amp;Q$13)=Recap_equipements!$B54,INDIRECT("Descriptif!I"&amp;Q$13)=Recap_equipements!$C54),INDIRECT("Descriptif!M"&amp;Q$13)=$D55),INDIRECT("Descriptif!F"&amp;Q$13),"")</f>
        <v/>
      </c>
      <c r="S55" s="10" t="str" cm="1">
        <f t="array" aca="1" ref="S55" ca="1">IF(AND(OR(INDIRECT("Descriptif!I"&amp;R$13)=Recap_equipements!$B54,INDIRECT("Descriptif!I"&amp;R$13)=Recap_equipements!$C54),INDIRECT("Descriptif!M"&amp;R$13)=$D55),INDIRECT("Descriptif!F"&amp;R$13),"")</f>
        <v/>
      </c>
      <c r="T55" s="92" t="str" cm="1">
        <f t="array" aca="1" ref="T55" ca="1">IF(AND(OR(INDIRECT("Descriptif!I"&amp;S$13)=Recap_equipements!$B54,INDIRECT("Descriptif!I"&amp;S$13)=Recap_equipements!$C54),INDIRECT("Descriptif!M"&amp;S$13)=$D55),INDIRECT("Descriptif!F"&amp;S$13),"")</f>
        <v/>
      </c>
    </row>
    <row r="56" spans="2:21" x14ac:dyDescent="0.4">
      <c r="B56" s="1179"/>
      <c r="C56" s="1182"/>
      <c r="D56" s="88" t="str">
        <f>$D$9</f>
        <v>Préleveur</v>
      </c>
      <c r="E56" s="88"/>
      <c r="F56" s="10" t="str" cm="1">
        <f t="array" aca="1" ref="F56" ca="1">IF(AND(OR(INDIRECT("Descriptif!I"&amp;E$13)=Recap_equipements!$B54,INDIRECT("Descriptif!I"&amp;E$13)=Recap_equipements!$C54),INDIRECT("Descriptif!M"&amp;E$13)=$D56),INDIRECT("Descriptif!F"&amp;E$13),"")</f>
        <v/>
      </c>
      <c r="G56" s="10" t="str" cm="1">
        <f t="array" aca="1" ref="G56" ca="1">IF(AND(OR(INDIRECT("Descriptif!I"&amp;F$13)=Recap_equipements!$B54,INDIRECT("Descriptif!I"&amp;F$13)=Recap_equipements!$C54),INDIRECT("Descriptif!M"&amp;F$13)=$D56),INDIRECT("Descriptif!F"&amp;F$13),"")</f>
        <v/>
      </c>
      <c r="H56" s="10" t="str" cm="1">
        <f t="array" aca="1" ref="H56" ca="1">IF(AND(OR(INDIRECT("Descriptif!I"&amp;G$13)=Recap_equipements!$B54,INDIRECT("Descriptif!I"&amp;G$13)=Recap_equipements!$C54),INDIRECT("Descriptif!M"&amp;G$13)=$D56),INDIRECT("Descriptif!F"&amp;G$13),"")</f>
        <v/>
      </c>
      <c r="I56" s="10" t="str" cm="1">
        <f t="array" aca="1" ref="I56" ca="1">IF(AND(OR(INDIRECT("Descriptif!I"&amp;H$13)=Recap_equipements!$B54,INDIRECT("Descriptif!I"&amp;H$13)=Recap_equipements!$C54),INDIRECT("Descriptif!M"&amp;H$13)=$D56),INDIRECT("Descriptif!F"&amp;H$13),"")</f>
        <v/>
      </c>
      <c r="J56" s="10" t="str" cm="1">
        <f t="array" aca="1" ref="J56" ca="1">IF(AND(OR(INDIRECT("Descriptif!I"&amp;I$13)=Recap_equipements!$B54,INDIRECT("Descriptif!I"&amp;I$13)=Recap_equipements!$C54),INDIRECT("Descriptif!M"&amp;I$13)=$D56),INDIRECT("Descriptif!F"&amp;I$13),"")</f>
        <v/>
      </c>
      <c r="K56" s="10" t="str" cm="1">
        <f t="array" aca="1" ref="K56" ca="1">IF(AND(OR(INDIRECT("Descriptif!I"&amp;J$13)=Recap_equipements!$B54,INDIRECT("Descriptif!I"&amp;J$13)=Recap_equipements!$C54),INDIRECT("Descriptif!M"&amp;J$13)=$D56),INDIRECT("Descriptif!F"&amp;J$13),"")</f>
        <v/>
      </c>
      <c r="L56" s="10" t="str" cm="1">
        <f t="array" aca="1" ref="L56" ca="1">IF(AND(OR(INDIRECT("Descriptif!I"&amp;K$13)=Recap_equipements!$B54,INDIRECT("Descriptif!I"&amp;K$13)=Recap_equipements!$C54),INDIRECT("Descriptif!M"&amp;K$13)=$D56),INDIRECT("Descriptif!F"&amp;K$13),"")</f>
        <v/>
      </c>
      <c r="M56" s="10" t="str" cm="1">
        <f t="array" aca="1" ref="M56" ca="1">IF(AND(OR(INDIRECT("Descriptif!I"&amp;L$13)=Recap_equipements!$B54,INDIRECT("Descriptif!I"&amp;L$13)=Recap_equipements!$C54),INDIRECT("Descriptif!M"&amp;L$13)=$D56),INDIRECT("Descriptif!F"&amp;L$13),"")</f>
        <v/>
      </c>
      <c r="N56" s="10" t="str" cm="1">
        <f t="array" aca="1" ref="N56" ca="1">IF(AND(OR(INDIRECT("Descriptif!I"&amp;M$13)=Recap_equipements!$B54,INDIRECT("Descriptif!I"&amp;M$13)=Recap_equipements!$C54),INDIRECT("Descriptif!M"&amp;M$13)=$D56),INDIRECT("Descriptif!F"&amp;M$13),"")</f>
        <v/>
      </c>
      <c r="O56" s="10" t="str" cm="1">
        <f t="array" aca="1" ref="O56" ca="1">IF(AND(OR(INDIRECT("Descriptif!I"&amp;N$13)=Recap_equipements!$B54,INDIRECT("Descriptif!I"&amp;N$13)=Recap_equipements!$C54),INDIRECT("Descriptif!M"&amp;N$13)=$D56),INDIRECT("Descriptif!F"&amp;N$13),"")</f>
        <v/>
      </c>
      <c r="P56" s="10" t="str" cm="1">
        <f t="array" aca="1" ref="P56" ca="1">IF(AND(OR(INDIRECT("Descriptif!I"&amp;O$13)=Recap_equipements!$B54,INDIRECT("Descriptif!I"&amp;O$13)=Recap_equipements!$C54),INDIRECT("Descriptif!M"&amp;O$13)=$D56),INDIRECT("Descriptif!F"&amp;O$13),"")</f>
        <v/>
      </c>
      <c r="Q56" s="10" t="str" cm="1">
        <f t="array" aca="1" ref="Q56" ca="1">IF(AND(OR(INDIRECT("Descriptif!I"&amp;P$13)=Recap_equipements!$B54,INDIRECT("Descriptif!I"&amp;P$13)=Recap_equipements!$C54),INDIRECT("Descriptif!M"&amp;P$13)=$D56),INDIRECT("Descriptif!F"&amp;P$13),"")</f>
        <v/>
      </c>
      <c r="R56" s="10" t="str" cm="1">
        <f t="array" aca="1" ref="R56" ca="1">IF(AND(OR(INDIRECT("Descriptif!I"&amp;Q$13)=Recap_equipements!$B54,INDIRECT("Descriptif!I"&amp;Q$13)=Recap_equipements!$C54),INDIRECT("Descriptif!M"&amp;Q$13)=$D56),INDIRECT("Descriptif!F"&amp;Q$13),"")</f>
        <v/>
      </c>
      <c r="S56" s="10" t="str" cm="1">
        <f t="array" aca="1" ref="S56" ca="1">IF(AND(OR(INDIRECT("Descriptif!I"&amp;R$13)=Recap_equipements!$B54,INDIRECT("Descriptif!I"&amp;R$13)=Recap_equipements!$C54),INDIRECT("Descriptif!M"&amp;R$13)=$D56),INDIRECT("Descriptif!F"&amp;R$13),"")</f>
        <v/>
      </c>
      <c r="T56" s="92" t="str" cm="1">
        <f t="array" aca="1" ref="T56" ca="1">IF(AND(OR(INDIRECT("Descriptif!I"&amp;S$13)=Recap_equipements!$B54,INDIRECT("Descriptif!I"&amp;S$13)=Recap_equipements!$C54),INDIRECT("Descriptif!M"&amp;S$13)=$D56),INDIRECT("Descriptif!F"&amp;S$13),"")</f>
        <v/>
      </c>
    </row>
    <row r="57" spans="2:21" x14ac:dyDescent="0.4">
      <c r="B57" s="1179"/>
      <c r="C57" s="1182"/>
      <c r="D57" s="287" t="s">
        <v>392</v>
      </c>
      <c r="E57" s="287"/>
      <c r="F57" s="288" t="str">
        <f ca="1">IF(F56&lt;&gt;"",VLOOKUP(F56,Analytique!$X$3:$AE$29,1,FALSE),"")</f>
        <v/>
      </c>
      <c r="G57" s="288" t="str">
        <f ca="1">IF(G56&lt;&gt;"",VLOOKUP(G56,Analytique!$X$3:$AE$29,1,FALSE),"")</f>
        <v/>
      </c>
      <c r="H57" s="288" t="str">
        <f ca="1">IF(H56&lt;&gt;"",VLOOKUP(H56,Analytique!$X$3:$AE$29,1,FALSE),"")</f>
        <v/>
      </c>
      <c r="I57" s="288" t="str">
        <f ca="1">IF(I56&lt;&gt;"",VLOOKUP(I56,Analytique!$X$3:$AE$29,1,FALSE),"")</f>
        <v/>
      </c>
      <c r="J57" s="288" t="str">
        <f ca="1">IF(J56&lt;&gt;"",VLOOKUP(J56,Analytique!$X$3:$AE$29,1,FALSE),"")</f>
        <v/>
      </c>
      <c r="K57" s="288" t="str">
        <f ca="1">IF(K56&lt;&gt;"",VLOOKUP(K56,Analytique!$X$3:$AE$29,1,FALSE),"")</f>
        <v/>
      </c>
      <c r="L57" s="288" t="str">
        <f ca="1">IF(L56&lt;&gt;"",VLOOKUP(L56,Analytique!$X$3:$AE$29,1,FALSE),"")</f>
        <v/>
      </c>
      <c r="M57" s="288" t="str">
        <f ca="1">IF(M56&lt;&gt;"",VLOOKUP(M56,Analytique!$X$3:$AE$29,1,FALSE),"")</f>
        <v/>
      </c>
      <c r="N57" s="288" t="str">
        <f ca="1">IF(N56&lt;&gt;"",VLOOKUP(N56,Analytique!$X$3:$AE$29,1,FALSE),"")</f>
        <v/>
      </c>
      <c r="O57" s="288" t="str">
        <f ca="1">IF(O56&lt;&gt;"",VLOOKUP(O56,Analytique!$X$3:$AE$29,1,FALSE),"")</f>
        <v/>
      </c>
      <c r="P57" s="288" t="str">
        <f ca="1">IF(P56&lt;&gt;"",VLOOKUP(P56,Analytique!$X$3:$AE$29,1,FALSE),"")</f>
        <v/>
      </c>
      <c r="Q57" s="288" t="str">
        <f ca="1">IF(Q56&lt;&gt;"",VLOOKUP(Q56,Analytique!$X$3:$AE$29,1,FALSE),"")</f>
        <v/>
      </c>
      <c r="R57" s="288" t="str">
        <f ca="1">IF(R56&lt;&gt;"",VLOOKUP(R56,Analytique!$X$3:$AE$29,1,FALSE),"")</f>
        <v/>
      </c>
      <c r="S57" s="288" t="str">
        <f ca="1">IF(S56&lt;&gt;"",VLOOKUP(S56,Analytique!$X$3:$AE$29,1,FALSE),"")</f>
        <v/>
      </c>
      <c r="T57" s="289" t="str">
        <f ca="1">IF(T56&lt;&gt;"",VLOOKUP(T56,Analytique!$X$3:$AE$29,1,FALSE),"")</f>
        <v/>
      </c>
    </row>
    <row r="58" spans="2:21" ht="13" thickBot="1" x14ac:dyDescent="0.45">
      <c r="B58" s="1180"/>
      <c r="C58" s="1183"/>
      <c r="D58" s="93" t="str">
        <f>$D$10</f>
        <v>Sonde de température</v>
      </c>
      <c r="E58" s="93"/>
      <c r="F58" s="94" t="str" cm="1">
        <f t="array" aca="1" ref="F58" ca="1">IF(AND(OR(INDIRECT("Descriptif!I"&amp;E$13)=Recap_equipements!$B54,INDIRECT("Descriptif!I"&amp;E$13)=Recap_equipements!$C54),INDIRECT("Descriptif!M"&amp;E$13)=$D58),INDIRECT("Descriptif!F"&amp;E$13),"")</f>
        <v/>
      </c>
      <c r="G58" s="94" t="str" cm="1">
        <f t="array" aca="1" ref="G58" ca="1">IF(AND(OR(INDIRECT("Descriptif!I"&amp;F$13)=Recap_equipements!$B54,INDIRECT("Descriptif!I"&amp;F$13)=Recap_equipements!$C54),INDIRECT("Descriptif!M"&amp;F$13)=$D58),INDIRECT("Descriptif!F"&amp;F$13),"")</f>
        <v/>
      </c>
      <c r="H58" s="94" t="str" cm="1">
        <f t="array" aca="1" ref="H58" ca="1">IF(AND(OR(INDIRECT("Descriptif!I"&amp;G$13)=Recap_equipements!$B54,INDIRECT("Descriptif!I"&amp;G$13)=Recap_equipements!$C54),INDIRECT("Descriptif!M"&amp;G$13)=$D58),INDIRECT("Descriptif!F"&amp;G$13),"")</f>
        <v/>
      </c>
      <c r="I58" s="94" t="str" cm="1">
        <f t="array" aca="1" ref="I58" ca="1">IF(AND(OR(INDIRECT("Descriptif!I"&amp;H$13)=Recap_equipements!$B54,INDIRECT("Descriptif!I"&amp;H$13)=Recap_equipements!$C54),INDIRECT("Descriptif!M"&amp;H$13)=$D58),INDIRECT("Descriptif!F"&amp;H$13),"")</f>
        <v/>
      </c>
      <c r="J58" s="94" t="str" cm="1">
        <f t="array" aca="1" ref="J58" ca="1">IF(AND(OR(INDIRECT("Descriptif!I"&amp;I$13)=Recap_equipements!$B54,INDIRECT("Descriptif!I"&amp;I$13)=Recap_equipements!$C54),INDIRECT("Descriptif!M"&amp;I$13)=$D58),INDIRECT("Descriptif!F"&amp;I$13),"")</f>
        <v/>
      </c>
      <c r="K58" s="94" t="str" cm="1">
        <f t="array" aca="1" ref="K58" ca="1">IF(AND(OR(INDIRECT("Descriptif!I"&amp;J$13)=Recap_equipements!$B54,INDIRECT("Descriptif!I"&amp;J$13)=Recap_equipements!$C54),INDIRECT("Descriptif!M"&amp;J$13)=$D58),INDIRECT("Descriptif!F"&amp;J$13),"")</f>
        <v/>
      </c>
      <c r="L58" s="94" t="str" cm="1">
        <f t="array" aca="1" ref="L58" ca="1">IF(AND(OR(INDIRECT("Descriptif!I"&amp;K$13)=Recap_equipements!$B54,INDIRECT("Descriptif!I"&amp;K$13)=Recap_equipements!$C54),INDIRECT("Descriptif!M"&amp;K$13)=$D58),INDIRECT("Descriptif!F"&amp;K$13),"")</f>
        <v/>
      </c>
      <c r="M58" s="94" t="str" cm="1">
        <f t="array" aca="1" ref="M58" ca="1">IF(AND(OR(INDIRECT("Descriptif!I"&amp;L$13)=Recap_equipements!$B54,INDIRECT("Descriptif!I"&amp;L$13)=Recap_equipements!$C54),INDIRECT("Descriptif!M"&amp;L$13)=$D58),INDIRECT("Descriptif!F"&amp;L$13),"")</f>
        <v/>
      </c>
      <c r="N58" s="94" t="str" cm="1">
        <f t="array" aca="1" ref="N58" ca="1">IF(AND(OR(INDIRECT("Descriptif!I"&amp;M$13)=Recap_equipements!$B54,INDIRECT("Descriptif!I"&amp;M$13)=Recap_equipements!$C54),INDIRECT("Descriptif!M"&amp;M$13)=$D58),INDIRECT("Descriptif!F"&amp;M$13),"")</f>
        <v/>
      </c>
      <c r="O58" s="94" t="str" cm="1">
        <f t="array" aca="1" ref="O58" ca="1">IF(AND(OR(INDIRECT("Descriptif!I"&amp;N$13)=Recap_equipements!$B54,INDIRECT("Descriptif!I"&amp;N$13)=Recap_equipements!$C54),INDIRECT("Descriptif!M"&amp;N$13)=$D58),INDIRECT("Descriptif!F"&amp;N$13),"")</f>
        <v/>
      </c>
      <c r="P58" s="94" t="str" cm="1">
        <f t="array" aca="1" ref="P58" ca="1">IF(AND(OR(INDIRECT("Descriptif!I"&amp;O$13)=Recap_equipements!$B54,INDIRECT("Descriptif!I"&amp;O$13)=Recap_equipements!$C54),INDIRECT("Descriptif!M"&amp;O$13)=$D58),INDIRECT("Descriptif!F"&amp;O$13),"")</f>
        <v/>
      </c>
      <c r="Q58" s="94" t="str" cm="1">
        <f t="array" aca="1" ref="Q58" ca="1">IF(AND(OR(INDIRECT("Descriptif!I"&amp;P$13)=Recap_equipements!$B54,INDIRECT("Descriptif!I"&amp;P$13)=Recap_equipements!$C54),INDIRECT("Descriptif!M"&amp;P$13)=$D58),INDIRECT("Descriptif!F"&amp;P$13),"")</f>
        <v/>
      </c>
      <c r="R58" s="94" t="str" cm="1">
        <f t="array" aca="1" ref="R58" ca="1">IF(AND(OR(INDIRECT("Descriptif!I"&amp;Q$13)=Recap_equipements!$B54,INDIRECT("Descriptif!I"&amp;Q$13)=Recap_equipements!$C54),INDIRECT("Descriptif!M"&amp;Q$13)=$D58),INDIRECT("Descriptif!F"&amp;Q$13),"")</f>
        <v/>
      </c>
      <c r="S58" s="94" t="str" cm="1">
        <f t="array" aca="1" ref="S58" ca="1">IF(AND(OR(INDIRECT("Descriptif!I"&amp;R$13)=Recap_equipements!$B54,INDIRECT("Descriptif!I"&amp;R$13)=Recap_equipements!$C54),INDIRECT("Descriptif!M"&amp;R$13)=$D58),INDIRECT("Descriptif!F"&amp;R$13),"")</f>
        <v/>
      </c>
      <c r="T58" s="95" t="str" cm="1">
        <f t="array" aca="1" ref="T58" ca="1">IF(AND(OR(INDIRECT("Descriptif!I"&amp;S$13)=Recap_equipements!$B54,INDIRECT("Descriptif!I"&amp;S$13)=Recap_equipements!$C54),INDIRECT("Descriptif!M"&amp;S$13)=$D58),INDIRECT("Descriptif!F"&amp;S$13),"")</f>
        <v/>
      </c>
    </row>
    <row r="60" spans="2:21" s="84" customFormat="1" ht="23.1" customHeight="1" x14ac:dyDescent="0.4">
      <c r="B60" s="85" t="s">
        <v>314</v>
      </c>
    </row>
    <row r="61" spans="2:21" ht="13" thickBot="1" x14ac:dyDescent="0.45">
      <c r="B61" t="s">
        <v>406</v>
      </c>
    </row>
    <row r="62" spans="2:21" s="9" customFormat="1" ht="27.95" customHeight="1" thickBot="1" x14ac:dyDescent="0.45">
      <c r="B62" s="109" t="s">
        <v>307</v>
      </c>
      <c r="C62" s="110" t="s">
        <v>308</v>
      </c>
      <c r="D62" s="115"/>
      <c r="E62" s="128" t="s">
        <v>316</v>
      </c>
      <c r="F62" s="116" t="s">
        <v>315</v>
      </c>
      <c r="G62" s="107" t="s">
        <v>5</v>
      </c>
      <c r="H62" s="107" t="s">
        <v>6</v>
      </c>
      <c r="I62" s="107" t="s">
        <v>7</v>
      </c>
      <c r="J62" s="107" t="s">
        <v>16</v>
      </c>
      <c r="K62" s="107" t="s">
        <v>17</v>
      </c>
      <c r="L62" s="107" t="s">
        <v>18</v>
      </c>
      <c r="M62" s="107" t="s">
        <v>19</v>
      </c>
      <c r="N62" s="107" t="s">
        <v>20</v>
      </c>
      <c r="O62" s="107" t="s">
        <v>21</v>
      </c>
      <c r="P62" s="107" t="s">
        <v>22</v>
      </c>
      <c r="Q62" s="107" t="s">
        <v>23</v>
      </c>
      <c r="R62" s="108" t="s">
        <v>24</v>
      </c>
      <c r="S62" s="108" t="s">
        <v>301</v>
      </c>
      <c r="T62" s="108" t="s">
        <v>302</v>
      </c>
      <c r="U62" s="108" t="s">
        <v>303</v>
      </c>
    </row>
    <row r="63" spans="2:21" x14ac:dyDescent="0.4">
      <c r="B63" s="1178" t="s">
        <v>95</v>
      </c>
      <c r="C63" s="1181" t="s">
        <v>96</v>
      </c>
      <c r="D63" s="89" t="str">
        <f>$D$7</f>
        <v>Débitmètre en charge</v>
      </c>
      <c r="E63" s="1175" t="str">
        <f ca="1">IFERROR(AVERAGE(F65:F67)*$B$5,"")</f>
        <v/>
      </c>
      <c r="F63" s="125" t="str">
        <f ca="1">IFERROR(AVERAGE(G63:U63),"")</f>
        <v/>
      </c>
      <c r="G63" s="120" t="str" cm="1">
        <f t="array" aca="1" ref="G63" ca="1">IF(F19&lt;&gt;"",INDIRECT(F19&amp;"!"&amp;$F$7),"")</f>
        <v/>
      </c>
      <c r="H63" s="90" t="str" cm="1">
        <f t="array" aca="1" ref="H63" ca="1">IF(G19&lt;&gt;"",INDIRECT(G19&amp;"!"&amp;$F$7),"")</f>
        <v/>
      </c>
      <c r="I63" s="90" t="str" cm="1">
        <f t="array" aca="1" ref="I63" ca="1">IF(H19&lt;&gt;"",INDIRECT(H19&amp;"!"&amp;$F$7),"")</f>
        <v/>
      </c>
      <c r="J63" s="90" t="str" cm="1">
        <f t="array" aca="1" ref="J63" ca="1">IF(I19&lt;&gt;"",INDIRECT(I19&amp;"!"&amp;$F$7),"")</f>
        <v/>
      </c>
      <c r="K63" s="90" t="str" cm="1">
        <f t="array" aca="1" ref="K63" ca="1">IF(J19&lt;&gt;"",INDIRECT(J19&amp;"!"&amp;$F$7),"")</f>
        <v/>
      </c>
      <c r="L63" s="90" t="str" cm="1">
        <f t="array" aca="1" ref="L63" ca="1">IF(K19&lt;&gt;"",INDIRECT(K19&amp;"!"&amp;$F$7),"")</f>
        <v/>
      </c>
      <c r="M63" s="90" t="str" cm="1">
        <f t="array" aca="1" ref="M63" ca="1">IF(L19&lt;&gt;"",INDIRECT(L19&amp;"!"&amp;$F$7),"")</f>
        <v/>
      </c>
      <c r="N63" s="90" t="str" cm="1">
        <f t="array" aca="1" ref="N63" ca="1">IF(M19&lt;&gt;"",INDIRECT(M19&amp;"!"&amp;$F$7),"")</f>
        <v/>
      </c>
      <c r="O63" s="90" t="str" cm="1">
        <f t="array" aca="1" ref="O63" ca="1">IF(N19&lt;&gt;"",INDIRECT(N19&amp;"!"&amp;$F$7),"")</f>
        <v/>
      </c>
      <c r="P63" s="90" t="str" cm="1">
        <f t="array" aca="1" ref="P63" ca="1">IF(O19&lt;&gt;"",INDIRECT(O19&amp;"!"&amp;$F$7),"")</f>
        <v/>
      </c>
      <c r="Q63" s="90" t="str" cm="1">
        <f t="array" aca="1" ref="Q63" ca="1">IF(P19&lt;&gt;"",INDIRECT(P19&amp;"!"&amp;$F$7),"")</f>
        <v/>
      </c>
      <c r="R63" s="90" t="str" cm="1">
        <f t="array" aca="1" ref="R63" ca="1">IF(Q19&lt;&gt;"",INDIRECT(Q19&amp;"!"&amp;$F$7),"")</f>
        <v/>
      </c>
      <c r="S63" s="90" t="str" cm="1">
        <f t="array" aca="1" ref="S63" ca="1">IF(R19&lt;&gt;"",INDIRECT(R19&amp;"!"&amp;$F$7),"")</f>
        <v/>
      </c>
      <c r="T63" s="90" t="str" cm="1">
        <f t="array" aca="1" ref="T63" ca="1">IF(S19&lt;&gt;"",INDIRECT(S19&amp;"!"&amp;$F$7),"")</f>
        <v/>
      </c>
      <c r="U63" s="91" t="str" cm="1">
        <f t="array" aca="1" ref="U63" ca="1">IF(T19&lt;&gt;"",INDIRECT(T19&amp;"!"&amp;$F$7),"")</f>
        <v/>
      </c>
    </row>
    <row r="64" spans="2:21" x14ac:dyDescent="0.4">
      <c r="B64" s="1179"/>
      <c r="C64" s="1182"/>
      <c r="D64" s="88" t="str">
        <f>$D$8</f>
        <v>Débitmètre gravitaire</v>
      </c>
      <c r="E64" s="1176"/>
      <c r="F64" s="126" t="str">
        <f t="shared" ref="F64:F110" ca="1" si="1">IFERROR(AVERAGE(G64:U64),"")</f>
        <v/>
      </c>
      <c r="G64" s="121" t="str" cm="1">
        <f t="array" aca="1" ref="G64" ca="1">IF(F20&lt;&gt;"",INDIRECT(F20&amp;"!"&amp;$F$8),"")</f>
        <v/>
      </c>
      <c r="H64" s="10" t="str" cm="1">
        <f t="array" aca="1" ref="H64" ca="1">IF(G20&lt;&gt;"",INDIRECT(G20&amp;"!"&amp;$F$8),"")</f>
        <v/>
      </c>
      <c r="I64" s="10" t="str" cm="1">
        <f t="array" aca="1" ref="I64" ca="1">IF(H20&lt;&gt;"",INDIRECT(H20&amp;"!"&amp;$F$8),"")</f>
        <v/>
      </c>
      <c r="J64" s="10" t="str" cm="1">
        <f t="array" aca="1" ref="J64" ca="1">IF(I20&lt;&gt;"",INDIRECT(I20&amp;"!"&amp;$F$8),"")</f>
        <v/>
      </c>
      <c r="K64" s="10" t="str" cm="1">
        <f t="array" aca="1" ref="K64" ca="1">IF(J20&lt;&gt;"",INDIRECT(J20&amp;"!"&amp;$F$8),"")</f>
        <v/>
      </c>
      <c r="L64" s="10" t="str" cm="1">
        <f t="array" aca="1" ref="L64" ca="1">IF(K20&lt;&gt;"",INDIRECT(K20&amp;"!"&amp;$F$8),"")</f>
        <v/>
      </c>
      <c r="M64" s="10" t="str" cm="1">
        <f t="array" aca="1" ref="M64" ca="1">IF(L20&lt;&gt;"",INDIRECT(L20&amp;"!"&amp;$F$8),"")</f>
        <v/>
      </c>
      <c r="N64" s="10" t="str" cm="1">
        <f t="array" aca="1" ref="N64" ca="1">IF(M20&lt;&gt;"",INDIRECT(M20&amp;"!"&amp;$F$8),"")</f>
        <v/>
      </c>
      <c r="O64" s="10" t="str" cm="1">
        <f t="array" aca="1" ref="O64" ca="1">IF(N20&lt;&gt;"",INDIRECT(N20&amp;"!"&amp;$F$8),"")</f>
        <v/>
      </c>
      <c r="P64" s="10" t="str" cm="1">
        <f t="array" aca="1" ref="P64" ca="1">IF(O20&lt;&gt;"",INDIRECT(O20&amp;"!"&amp;$F$8),"")</f>
        <v/>
      </c>
      <c r="Q64" s="10" t="str" cm="1">
        <f t="array" aca="1" ref="Q64" ca="1">IF(P20&lt;&gt;"",INDIRECT(P20&amp;"!"&amp;$F$8),"")</f>
        <v/>
      </c>
      <c r="R64" s="10" t="str" cm="1">
        <f t="array" aca="1" ref="R64" ca="1">IF(Q20&lt;&gt;"",INDIRECT(Q20&amp;"!"&amp;$F$8),"")</f>
        <v/>
      </c>
      <c r="S64" s="10" t="str" cm="1">
        <f t="array" aca="1" ref="S64" ca="1">IF(R20&lt;&gt;"",INDIRECT(R20&amp;"!"&amp;$F$8),"")</f>
        <v/>
      </c>
      <c r="T64" s="10" t="str" cm="1">
        <f t="array" aca="1" ref="T64" ca="1">IF(S20&lt;&gt;"",INDIRECT(S20&amp;"!"&amp;$F$8),"")</f>
        <v/>
      </c>
      <c r="U64" s="92" t="str" cm="1">
        <f t="array" aca="1" ref="U64" ca="1">IF(T20&lt;&gt;"",INDIRECT(T20&amp;"!"&amp;$F$8),"")</f>
        <v/>
      </c>
    </row>
    <row r="65" spans="2:22" x14ac:dyDescent="0.4">
      <c r="B65" s="1179"/>
      <c r="C65" s="1182"/>
      <c r="D65" s="88" t="s">
        <v>400</v>
      </c>
      <c r="E65" s="1176"/>
      <c r="F65" s="126" t="str">
        <f t="shared" ca="1" si="1"/>
        <v/>
      </c>
      <c r="G65" s="122" t="str">
        <f ca="1">IF(COUNT(G63:G64)&gt;0,SUM(G63:G64),"")</f>
        <v/>
      </c>
      <c r="H65" s="111" t="str">
        <f t="shared" ref="H65:U65" ca="1" si="2">IF(COUNT(H63:H64)&gt;0,SUM(H63:H64),"")</f>
        <v/>
      </c>
      <c r="I65" s="111" t="str">
        <f t="shared" ca="1" si="2"/>
        <v/>
      </c>
      <c r="J65" s="111" t="str">
        <f t="shared" ca="1" si="2"/>
        <v/>
      </c>
      <c r="K65" s="111" t="str">
        <f t="shared" ca="1" si="2"/>
        <v/>
      </c>
      <c r="L65" s="111" t="str">
        <f t="shared" ca="1" si="2"/>
        <v/>
      </c>
      <c r="M65" s="111" t="str">
        <f t="shared" ca="1" si="2"/>
        <v/>
      </c>
      <c r="N65" s="111" t="str">
        <f t="shared" ca="1" si="2"/>
        <v/>
      </c>
      <c r="O65" s="111" t="str">
        <f t="shared" ca="1" si="2"/>
        <v/>
      </c>
      <c r="P65" s="111" t="str">
        <f t="shared" ca="1" si="2"/>
        <v/>
      </c>
      <c r="Q65" s="111" t="str">
        <f t="shared" ca="1" si="2"/>
        <v/>
      </c>
      <c r="R65" s="111" t="str">
        <f t="shared" ca="1" si="2"/>
        <v/>
      </c>
      <c r="S65" s="111" t="str">
        <f t="shared" ca="1" si="2"/>
        <v/>
      </c>
      <c r="T65" s="111" t="str">
        <f t="shared" ca="1" si="2"/>
        <v/>
      </c>
      <c r="U65" s="112" t="str">
        <f t="shared" ca="1" si="2"/>
        <v/>
      </c>
    </row>
    <row r="66" spans="2:22" x14ac:dyDescent="0.4">
      <c r="B66" s="1179"/>
      <c r="C66" s="1182"/>
      <c r="D66" s="88" t="str">
        <f>$D$9</f>
        <v>Préleveur</v>
      </c>
      <c r="E66" s="1176"/>
      <c r="F66" s="126" t="str">
        <f t="shared" ca="1" si="1"/>
        <v/>
      </c>
      <c r="G66" s="121" t="str" cm="1">
        <f t="array" aca="1" ref="G66" ca="1">IF(F21&lt;&gt;"",INDIRECT(F21&amp;"!"&amp;$F$9),"")</f>
        <v/>
      </c>
      <c r="H66" s="10" t="str" cm="1">
        <f t="array" aca="1" ref="H66" ca="1">IF(G21&lt;&gt;"",INDIRECT(G21&amp;"!"&amp;$F$9),"")</f>
        <v/>
      </c>
      <c r="I66" s="10" t="str" cm="1">
        <f t="array" aca="1" ref="I66" ca="1">IF(H21&lt;&gt;"",INDIRECT(H21&amp;"!"&amp;$F$9),"")</f>
        <v/>
      </c>
      <c r="J66" s="10" t="str" cm="1">
        <f t="array" aca="1" ref="J66" ca="1">IF(I21&lt;&gt;"",INDIRECT(I21&amp;"!"&amp;$F$9),"")</f>
        <v/>
      </c>
      <c r="K66" s="10" t="str" cm="1">
        <f t="array" aca="1" ref="K66" ca="1">IF(J21&lt;&gt;"",INDIRECT(J21&amp;"!"&amp;$F$9),"")</f>
        <v/>
      </c>
      <c r="L66" s="10" t="str" cm="1">
        <f t="array" aca="1" ref="L66" ca="1">IF(K21&lt;&gt;"",INDIRECT(K21&amp;"!"&amp;$F$9),"")</f>
        <v/>
      </c>
      <c r="M66" s="10" t="str" cm="1">
        <f t="array" aca="1" ref="M66" ca="1">IF(L21&lt;&gt;"",INDIRECT(L21&amp;"!"&amp;$F$9),"")</f>
        <v/>
      </c>
      <c r="N66" s="10" t="str" cm="1">
        <f t="array" aca="1" ref="N66" ca="1">IF(M21&lt;&gt;"",INDIRECT(M21&amp;"!"&amp;$F$9),"")</f>
        <v/>
      </c>
      <c r="O66" s="10" t="str" cm="1">
        <f t="array" aca="1" ref="O66" ca="1">IF(N21&lt;&gt;"",INDIRECT(N21&amp;"!"&amp;$F$9),"")</f>
        <v/>
      </c>
      <c r="P66" s="10" t="str" cm="1">
        <f t="array" aca="1" ref="P66" ca="1">IF(O21&lt;&gt;"",INDIRECT(O21&amp;"!"&amp;$F$9),"")</f>
        <v/>
      </c>
      <c r="Q66" s="10" t="str" cm="1">
        <f t="array" aca="1" ref="Q66" ca="1">IF(P21&lt;&gt;"",INDIRECT(P21&amp;"!"&amp;$F$9),"")</f>
        <v/>
      </c>
      <c r="R66" s="10" t="str" cm="1">
        <f t="array" aca="1" ref="R66" ca="1">IF(Q21&lt;&gt;"",INDIRECT(Q21&amp;"!"&amp;$F$9),"")</f>
        <v/>
      </c>
      <c r="S66" s="10" t="str" cm="1">
        <f t="array" aca="1" ref="S66" ca="1">IF(R21&lt;&gt;"",INDIRECT(R21&amp;"!"&amp;$F$9),"")</f>
        <v/>
      </c>
      <c r="T66" s="10" t="str" cm="1">
        <f t="array" aca="1" ref="T66" ca="1">IF(S21&lt;&gt;"",INDIRECT(S21&amp;"!"&amp;$F$9),"")</f>
        <v/>
      </c>
      <c r="U66" s="92" t="str" cm="1">
        <f t="array" aca="1" ref="U66" ca="1">IF(T21&lt;&gt;"",INDIRECT(T21&amp;"!"&amp;$F$9),"")</f>
        <v/>
      </c>
    </row>
    <row r="67" spans="2:22" x14ac:dyDescent="0.4">
      <c r="B67" s="1179"/>
      <c r="C67" s="1182"/>
      <c r="D67" s="287" t="s">
        <v>392</v>
      </c>
      <c r="E67" s="1176"/>
      <c r="F67" s="126" t="str">
        <f t="shared" ca="1" si="1"/>
        <v/>
      </c>
      <c r="G67" s="288" t="str">
        <f ca="1">IF(F22&lt;&gt;"",VLOOKUP(F22,Analytique!$X$3:$AE$29,6,FALSE),"")</f>
        <v/>
      </c>
      <c r="H67" s="288" t="str">
        <f ca="1">IF(G22&lt;&gt;"",VLOOKUP(G22,Analytique!$X$3:$AE$29,6,FALSE),"")</f>
        <v/>
      </c>
      <c r="I67" s="288" t="str">
        <f ca="1">IF(H22&lt;&gt;"",VLOOKUP(H22,Analytique!$X$3:$AE$29,6,FALSE),"")</f>
        <v/>
      </c>
      <c r="J67" s="288" t="str">
        <f ca="1">IF(I22&lt;&gt;"",VLOOKUP(I22,Analytique!$X$3:$AE$29,6,FALSE),"")</f>
        <v/>
      </c>
      <c r="K67" s="288" t="str">
        <f ca="1">IF(J22&lt;&gt;"",VLOOKUP(J22,Analytique!$X$3:$AE$29,6,FALSE),"")</f>
        <v/>
      </c>
      <c r="L67" s="288" t="str">
        <f ca="1">IF(K22&lt;&gt;"",VLOOKUP(K22,Analytique!$X$3:$AE$29,6,FALSE),"")</f>
        <v/>
      </c>
      <c r="M67" s="288" t="str">
        <f ca="1">IF(L22&lt;&gt;"",VLOOKUP(L22,Analytique!$X$3:$AE$29,6,FALSE),"")</f>
        <v/>
      </c>
      <c r="N67" s="288" t="str">
        <f ca="1">IF(M22&lt;&gt;"",VLOOKUP(M22,Analytique!$X$3:$AE$29,6,FALSE),"")</f>
        <v/>
      </c>
      <c r="O67" s="288" t="str">
        <f ca="1">IF(N22&lt;&gt;"",VLOOKUP(N22,Analytique!$X$3:$AE$29,6,FALSE),"")</f>
        <v/>
      </c>
      <c r="P67" s="288" t="str">
        <f ca="1">IF(O22&lt;&gt;"",VLOOKUP(O22,Analytique!$X$3:$AE$29,6,FALSE),"")</f>
        <v/>
      </c>
      <c r="Q67" s="288" t="str">
        <f ca="1">IF(P22&lt;&gt;"",VLOOKUP(P22,Analytique!$X$3:$AE$29,6,FALSE),"")</f>
        <v/>
      </c>
      <c r="R67" s="288" t="str">
        <f ca="1">IF(Q22&lt;&gt;"",VLOOKUP(Q22,Analytique!$X$3:$AE$29,6,FALSE),"")</f>
        <v/>
      </c>
      <c r="S67" s="288" t="str">
        <f ca="1">IF(R22&lt;&gt;"",VLOOKUP(R22,Analytique!$X$3:$AE$29,6,FALSE),"")</f>
        <v/>
      </c>
      <c r="T67" s="288" t="str">
        <f ca="1">IF(S22&lt;&gt;"",VLOOKUP(S22,Analytique!$X$3:$AE$29,6,FALSE),"")</f>
        <v/>
      </c>
      <c r="U67" s="288" t="str">
        <f ca="1">IF(T22&lt;&gt;"",VLOOKUP(T22,Analytique!$X$3:$AE$29,6,FALSE),"")</f>
        <v/>
      </c>
    </row>
    <row r="68" spans="2:22" ht="13" thickBot="1" x14ac:dyDescent="0.45">
      <c r="B68" s="1180"/>
      <c r="C68" s="1183"/>
      <c r="D68" s="93" t="str">
        <f>$D$10</f>
        <v>Sonde de température</v>
      </c>
      <c r="E68" s="1177"/>
      <c r="F68" s="127" t="str">
        <f t="shared" ca="1" si="1"/>
        <v/>
      </c>
      <c r="G68" s="123" t="str" cm="1">
        <f t="array" aca="1" ref="G68" ca="1">IF(F23&lt;&gt;"",INDIRECT(F23&amp;"!"&amp;$F$10),"")</f>
        <v/>
      </c>
      <c r="H68" s="96" t="str" cm="1">
        <f t="array" aca="1" ref="H68" ca="1">IF(G23&lt;&gt;"",INDIRECT(G23&amp;"!"&amp;$F$10),"")</f>
        <v/>
      </c>
      <c r="I68" s="96" t="str" cm="1">
        <f t="array" aca="1" ref="I68" ca="1">IF(H23&lt;&gt;"",INDIRECT(H23&amp;"!"&amp;$F$10),"")</f>
        <v/>
      </c>
      <c r="J68" s="96" t="str" cm="1">
        <f t="array" aca="1" ref="J68" ca="1">IF(I23&lt;&gt;"",INDIRECT(I23&amp;"!"&amp;$F$10),"")</f>
        <v/>
      </c>
      <c r="K68" s="96" t="str" cm="1">
        <f t="array" aca="1" ref="K68" ca="1">IF(J23&lt;&gt;"",INDIRECT(J23&amp;"!"&amp;$F$10),"")</f>
        <v/>
      </c>
      <c r="L68" s="96" t="str" cm="1">
        <f t="array" aca="1" ref="L68" ca="1">IF(K23&lt;&gt;"",INDIRECT(K23&amp;"!"&amp;$F$10),"")</f>
        <v/>
      </c>
      <c r="M68" s="96" t="str" cm="1">
        <f t="array" aca="1" ref="M68" ca="1">IF(L23&lt;&gt;"",INDIRECT(L23&amp;"!"&amp;$F$10),"")</f>
        <v/>
      </c>
      <c r="N68" s="96" t="str" cm="1">
        <f t="array" aca="1" ref="N68" ca="1">IF(M23&lt;&gt;"",INDIRECT(M23&amp;"!"&amp;$F$10),"")</f>
        <v/>
      </c>
      <c r="O68" s="96" t="str" cm="1">
        <f t="array" aca="1" ref="O68" ca="1">IF(N23&lt;&gt;"",INDIRECT(N23&amp;"!"&amp;$F$10),"")</f>
        <v/>
      </c>
      <c r="P68" s="96" t="str" cm="1">
        <f t="array" aca="1" ref="P68" ca="1">IF(O23&lt;&gt;"",INDIRECT(O23&amp;"!"&amp;$F$10),"")</f>
        <v/>
      </c>
      <c r="Q68" s="96" t="str" cm="1">
        <f t="array" aca="1" ref="Q68" ca="1">IF(P23&lt;&gt;"",INDIRECT(P23&amp;"!"&amp;$F$10),"")</f>
        <v/>
      </c>
      <c r="R68" s="96" t="str" cm="1">
        <f t="array" aca="1" ref="R68" ca="1">IF(Q23&lt;&gt;"",INDIRECT(Q23&amp;"!"&amp;$F$10),"")</f>
        <v/>
      </c>
      <c r="S68" s="96" t="str" cm="1">
        <f t="array" aca="1" ref="S68" ca="1">IF(R23&lt;&gt;"",INDIRECT(R23&amp;"!"&amp;$F$10),"")</f>
        <v/>
      </c>
      <c r="T68" s="96" t="str" cm="1">
        <f t="array" aca="1" ref="T68" ca="1">IF(S23&lt;&gt;"",INDIRECT(S23&amp;"!"&amp;$F$10),"")</f>
        <v/>
      </c>
      <c r="U68" s="97" t="str" cm="1">
        <f t="array" aca="1" ref="U68" ca="1">IF(T23&lt;&gt;"",INDIRECT(T23&amp;"!"&amp;$F$10),"")</f>
        <v/>
      </c>
    </row>
    <row r="69" spans="2:22" x14ac:dyDescent="0.4">
      <c r="B69" s="1178" t="s">
        <v>58</v>
      </c>
      <c r="C69" s="1181" t="s">
        <v>105</v>
      </c>
      <c r="D69" s="89" t="str">
        <f>$D$7</f>
        <v>Débitmètre en charge</v>
      </c>
      <c r="E69" s="1193" t="str">
        <f ca="1">IFERROR(AVERAGE(F71:F73)*$B$5,"")</f>
        <v/>
      </c>
      <c r="F69" s="125" t="str">
        <f t="shared" ca="1" si="1"/>
        <v/>
      </c>
      <c r="G69" s="120" t="str" cm="1">
        <f t="array" aca="1" ref="G69" ca="1">IF(F24&lt;&gt;"",INDIRECT(F24&amp;"!"&amp;$F$7),"")</f>
        <v/>
      </c>
      <c r="H69" s="90" t="str" cm="1">
        <f t="array" aca="1" ref="H69" ca="1">IF(G24&lt;&gt;"",INDIRECT(G24&amp;"!"&amp;$F$7),"")</f>
        <v/>
      </c>
      <c r="I69" s="90" t="str" cm="1">
        <f t="array" aca="1" ref="I69" ca="1">IF(H24&lt;&gt;"",INDIRECT(H24&amp;"!"&amp;$F$7),"")</f>
        <v/>
      </c>
      <c r="J69" s="90" t="str" cm="1">
        <f t="array" aca="1" ref="J69" ca="1">IF(I24&lt;&gt;"",INDIRECT(I24&amp;"!"&amp;$F$7),"")</f>
        <v/>
      </c>
      <c r="K69" s="90" t="str" cm="1">
        <f t="array" aca="1" ref="K69" ca="1">IF(J24&lt;&gt;"",INDIRECT(J24&amp;"!"&amp;$F$7),"")</f>
        <v/>
      </c>
      <c r="L69" s="90" t="str" cm="1">
        <f t="array" aca="1" ref="L69" ca="1">IF(K24&lt;&gt;"",INDIRECT(K24&amp;"!"&amp;$F$7),"")</f>
        <v/>
      </c>
      <c r="M69" s="90" t="str" cm="1">
        <f t="array" aca="1" ref="M69" ca="1">IF(L24&lt;&gt;"",INDIRECT(L24&amp;"!"&amp;$F$7),"")</f>
        <v/>
      </c>
      <c r="N69" s="90" t="str" cm="1">
        <f t="array" aca="1" ref="N69" ca="1">IF(M24&lt;&gt;"",INDIRECT(M24&amp;"!"&amp;$F$7),"")</f>
        <v/>
      </c>
      <c r="O69" s="90" t="str" cm="1">
        <f t="array" aca="1" ref="O69" ca="1">IF(N24&lt;&gt;"",INDIRECT(N24&amp;"!"&amp;$F$7),"")</f>
        <v/>
      </c>
      <c r="P69" s="90" t="str" cm="1">
        <f t="array" aca="1" ref="P69" ca="1">IF(O24&lt;&gt;"",INDIRECT(O24&amp;"!"&amp;$F$7),"")</f>
        <v/>
      </c>
      <c r="Q69" s="90" t="str" cm="1">
        <f t="array" aca="1" ref="Q69" ca="1">IF(P24&lt;&gt;"",INDIRECT(P24&amp;"!"&amp;$F$7),"")</f>
        <v/>
      </c>
      <c r="R69" s="90" t="str" cm="1">
        <f t="array" aca="1" ref="R69" ca="1">IF(Q24&lt;&gt;"",INDIRECT(Q24&amp;"!"&amp;$F$7),"")</f>
        <v/>
      </c>
      <c r="S69" s="90" t="str" cm="1">
        <f t="array" aca="1" ref="S69" ca="1">IF(R24&lt;&gt;"",INDIRECT(R24&amp;"!"&amp;$F$7),"")</f>
        <v/>
      </c>
      <c r="T69" s="90" t="str" cm="1">
        <f t="array" aca="1" ref="T69" ca="1">IF(S24&lt;&gt;"",INDIRECT(S24&amp;"!"&amp;$F$7),"")</f>
        <v/>
      </c>
      <c r="U69" s="91" t="str" cm="1">
        <f t="array" aca="1" ref="U69" ca="1">IF(T24&lt;&gt;"",INDIRECT(T24&amp;"!"&amp;$F$7),"")</f>
        <v/>
      </c>
    </row>
    <row r="70" spans="2:22" x14ac:dyDescent="0.4">
      <c r="B70" s="1179"/>
      <c r="C70" s="1182"/>
      <c r="D70" s="88" t="str">
        <f>$D$8</f>
        <v>Débitmètre gravitaire</v>
      </c>
      <c r="E70" s="1194"/>
      <c r="F70" s="126" t="str">
        <f t="shared" ca="1" si="1"/>
        <v/>
      </c>
      <c r="G70" s="121" t="str" cm="1">
        <f t="array" aca="1" ref="G70" ca="1">IF(F25&lt;&gt;"",INDIRECT(F25&amp;"!"&amp;$F$8),"")</f>
        <v/>
      </c>
      <c r="H70" s="10" t="str" cm="1">
        <f t="array" aca="1" ref="H70" ca="1">IF(G25&lt;&gt;"",INDIRECT(G25&amp;"!"&amp;$F$8),"")</f>
        <v/>
      </c>
      <c r="I70" s="10" t="str" cm="1">
        <f t="array" aca="1" ref="I70" ca="1">IF(H25&lt;&gt;"",INDIRECT(H25&amp;"!"&amp;$F$8),"")</f>
        <v/>
      </c>
      <c r="J70" s="10" t="str" cm="1">
        <f t="array" aca="1" ref="J70" ca="1">IF(I25&lt;&gt;"",INDIRECT(I25&amp;"!"&amp;$F$8),"")</f>
        <v/>
      </c>
      <c r="K70" s="10" t="str" cm="1">
        <f t="array" aca="1" ref="K70" ca="1">IF(J25&lt;&gt;"",INDIRECT(J25&amp;"!"&amp;$F$8),"")</f>
        <v/>
      </c>
      <c r="L70" s="10" t="str" cm="1">
        <f t="array" aca="1" ref="L70" ca="1">IF(K25&lt;&gt;"",INDIRECT(K25&amp;"!"&amp;$F$8),"")</f>
        <v/>
      </c>
      <c r="M70" s="10" t="str" cm="1">
        <f t="array" aca="1" ref="M70" ca="1">IF(L25&lt;&gt;"",INDIRECT(L25&amp;"!"&amp;$F$8),"")</f>
        <v/>
      </c>
      <c r="N70" s="10" t="str" cm="1">
        <f t="array" aca="1" ref="N70" ca="1">IF(M25&lt;&gt;"",INDIRECT(M25&amp;"!"&amp;$F$8),"")</f>
        <v/>
      </c>
      <c r="O70" s="10" t="str" cm="1">
        <f t="array" aca="1" ref="O70" ca="1">IF(N25&lt;&gt;"",INDIRECT(N25&amp;"!"&amp;$F$8),"")</f>
        <v/>
      </c>
      <c r="P70" s="10" t="str" cm="1">
        <f t="array" aca="1" ref="P70" ca="1">IF(O25&lt;&gt;"",INDIRECT(O25&amp;"!"&amp;$F$8),"")</f>
        <v/>
      </c>
      <c r="Q70" s="10" t="str" cm="1">
        <f t="array" aca="1" ref="Q70" ca="1">IF(P25&lt;&gt;"",INDIRECT(P25&amp;"!"&amp;$F$8),"")</f>
        <v/>
      </c>
      <c r="R70" s="10" t="str" cm="1">
        <f t="array" aca="1" ref="R70" ca="1">IF(Q25&lt;&gt;"",INDIRECT(Q25&amp;"!"&amp;$F$8),"")</f>
        <v/>
      </c>
      <c r="S70" s="10" t="str" cm="1">
        <f t="array" aca="1" ref="S70" ca="1">IF(R25&lt;&gt;"",INDIRECT(R25&amp;"!"&amp;$F$8),"")</f>
        <v/>
      </c>
      <c r="T70" s="10" t="str" cm="1">
        <f t="array" aca="1" ref="T70" ca="1">IF(S25&lt;&gt;"",INDIRECT(S25&amp;"!"&amp;$F$8),"")</f>
        <v/>
      </c>
      <c r="U70" s="92" t="str" cm="1">
        <f t="array" aca="1" ref="U70" ca="1">IF(T25&lt;&gt;"",INDIRECT(T25&amp;"!"&amp;$F$8),"")</f>
        <v/>
      </c>
    </row>
    <row r="71" spans="2:22" x14ac:dyDescent="0.4">
      <c r="B71" s="1179"/>
      <c r="C71" s="1182"/>
      <c r="D71" s="88" t="s">
        <v>400</v>
      </c>
      <c r="E71" s="1194"/>
      <c r="F71" s="126" t="str">
        <f t="shared" ca="1" si="1"/>
        <v/>
      </c>
      <c r="G71" s="122" t="str">
        <f ca="1">IF(COUNT(G69:G70)&gt;0,SUM(G69:G70),"")</f>
        <v/>
      </c>
      <c r="H71" s="111" t="str">
        <f t="shared" ref="H71:U71" ca="1" si="3">IF(COUNT(H69:H70)&gt;0,SUM(H69:H70),"")</f>
        <v/>
      </c>
      <c r="I71" s="111" t="str">
        <f t="shared" ca="1" si="3"/>
        <v/>
      </c>
      <c r="J71" s="111" t="str">
        <f t="shared" ca="1" si="3"/>
        <v/>
      </c>
      <c r="K71" s="111" t="str">
        <f t="shared" ca="1" si="3"/>
        <v/>
      </c>
      <c r="L71" s="111" t="str">
        <f t="shared" ca="1" si="3"/>
        <v/>
      </c>
      <c r="M71" s="111" t="str">
        <f t="shared" ca="1" si="3"/>
        <v/>
      </c>
      <c r="N71" s="111" t="str">
        <f t="shared" ca="1" si="3"/>
        <v/>
      </c>
      <c r="O71" s="111" t="str">
        <f t="shared" ca="1" si="3"/>
        <v/>
      </c>
      <c r="P71" s="111" t="str">
        <f t="shared" ca="1" si="3"/>
        <v/>
      </c>
      <c r="Q71" s="111" t="str">
        <f t="shared" ca="1" si="3"/>
        <v/>
      </c>
      <c r="R71" s="111" t="str">
        <f t="shared" ca="1" si="3"/>
        <v/>
      </c>
      <c r="S71" s="111" t="str">
        <f t="shared" ca="1" si="3"/>
        <v/>
      </c>
      <c r="T71" s="111" t="str">
        <f t="shared" ca="1" si="3"/>
        <v/>
      </c>
      <c r="U71" s="112" t="str">
        <f t="shared" ca="1" si="3"/>
        <v/>
      </c>
    </row>
    <row r="72" spans="2:22" x14ac:dyDescent="0.4">
      <c r="B72" s="1179"/>
      <c r="C72" s="1182"/>
      <c r="D72" s="88" t="str">
        <f>$D$9</f>
        <v>Préleveur</v>
      </c>
      <c r="E72" s="1194"/>
      <c r="F72" s="126" t="str">
        <f t="shared" ca="1" si="1"/>
        <v/>
      </c>
      <c r="G72" s="121" t="str" cm="1">
        <f t="array" aca="1" ref="G72" ca="1">IF(F26&lt;&gt;"",INDIRECT(F26&amp;"!"&amp;$F$9),"")</f>
        <v/>
      </c>
      <c r="H72" s="10" t="str" cm="1">
        <f t="array" aca="1" ref="H72" ca="1">IF(G26&lt;&gt;"",INDIRECT(G26&amp;"!"&amp;$F$9),"")</f>
        <v/>
      </c>
      <c r="I72" s="10" t="str" cm="1">
        <f t="array" aca="1" ref="I72" ca="1">IF(H26&lt;&gt;"",INDIRECT(H26&amp;"!"&amp;$F$9),"")</f>
        <v/>
      </c>
      <c r="J72" s="10" t="str" cm="1">
        <f t="array" aca="1" ref="J72" ca="1">IF(I26&lt;&gt;"",INDIRECT(I26&amp;"!"&amp;$F$9),"")</f>
        <v/>
      </c>
      <c r="K72" s="10" t="str" cm="1">
        <f t="array" aca="1" ref="K72" ca="1">IF(J26&lt;&gt;"",INDIRECT(J26&amp;"!"&amp;$F$9),"")</f>
        <v/>
      </c>
      <c r="L72" s="10" t="str" cm="1">
        <f t="array" aca="1" ref="L72" ca="1">IF(K26&lt;&gt;"",INDIRECT(K26&amp;"!"&amp;$F$9),"")</f>
        <v/>
      </c>
      <c r="M72" s="10" t="str" cm="1">
        <f t="array" aca="1" ref="M72" ca="1">IF(L26&lt;&gt;"",INDIRECT(L26&amp;"!"&amp;$F$9),"")</f>
        <v/>
      </c>
      <c r="N72" s="10" t="str" cm="1">
        <f t="array" aca="1" ref="N72" ca="1">IF(M26&lt;&gt;"",INDIRECT(M26&amp;"!"&amp;$F$9),"")</f>
        <v/>
      </c>
      <c r="O72" s="10" t="str" cm="1">
        <f t="array" aca="1" ref="O72" ca="1">IF(N26&lt;&gt;"",INDIRECT(N26&amp;"!"&amp;$F$9),"")</f>
        <v/>
      </c>
      <c r="P72" s="10" t="str" cm="1">
        <f t="array" aca="1" ref="P72" ca="1">IF(O26&lt;&gt;"",INDIRECT(O26&amp;"!"&amp;$F$9),"")</f>
        <v/>
      </c>
      <c r="Q72" s="10" t="str" cm="1">
        <f t="array" aca="1" ref="Q72" ca="1">IF(P26&lt;&gt;"",INDIRECT(P26&amp;"!"&amp;$F$9),"")</f>
        <v/>
      </c>
      <c r="R72" s="10" t="str" cm="1">
        <f t="array" aca="1" ref="R72" ca="1">IF(Q26&lt;&gt;"",INDIRECT(Q26&amp;"!"&amp;$F$9),"")</f>
        <v/>
      </c>
      <c r="S72" s="10" t="str" cm="1">
        <f t="array" aca="1" ref="S72" ca="1">IF(R26&lt;&gt;"",INDIRECT(R26&amp;"!"&amp;$F$9),"")</f>
        <v/>
      </c>
      <c r="T72" s="10" t="str" cm="1">
        <f t="array" aca="1" ref="T72" ca="1">IF(S26&lt;&gt;"",INDIRECT(S26&amp;"!"&amp;$F$9),"")</f>
        <v/>
      </c>
      <c r="U72" s="92" t="str" cm="1">
        <f t="array" aca="1" ref="U72" ca="1">IF(T26&lt;&gt;"",INDIRECT(T26&amp;"!"&amp;$F$9),"")</f>
        <v/>
      </c>
    </row>
    <row r="73" spans="2:22" x14ac:dyDescent="0.4">
      <c r="B73" s="1179"/>
      <c r="C73" s="1182"/>
      <c r="D73" s="287" t="s">
        <v>392</v>
      </c>
      <c r="E73" s="1194"/>
      <c r="F73" s="126" t="str">
        <f t="shared" ca="1" si="1"/>
        <v/>
      </c>
      <c r="G73" s="288" t="str">
        <f ca="1">IF(F27&lt;&gt;"",VLOOKUP(F27,Analytique!$X$3:$AE$29,6,FALSE),"")</f>
        <v/>
      </c>
      <c r="H73" s="288" t="str">
        <f ca="1">IF(G27&lt;&gt;"",VLOOKUP(G27,Analytique!$X$3:$AE$29,6,FALSE),"")</f>
        <v/>
      </c>
      <c r="I73" s="288" t="str">
        <f ca="1">IF(H27&lt;&gt;"",VLOOKUP(H27,Analytique!$X$3:$AE$29,6,FALSE),"")</f>
        <v/>
      </c>
      <c r="J73" s="288" t="str">
        <f ca="1">IF(I27&lt;&gt;"",VLOOKUP(I27,Analytique!$X$3:$AE$29,6,FALSE),"")</f>
        <v/>
      </c>
      <c r="K73" s="288" t="str">
        <f ca="1">IF(J27&lt;&gt;"",VLOOKUP(J27,Analytique!$X$3:$AE$29,6,FALSE),"")</f>
        <v/>
      </c>
      <c r="L73" s="288" t="str">
        <f ca="1">IF(K27&lt;&gt;"",VLOOKUP(K27,Analytique!$X$3:$AE$29,6,FALSE),"")</f>
        <v/>
      </c>
      <c r="M73" s="288" t="str">
        <f ca="1">IF(L27&lt;&gt;"",VLOOKUP(L27,Analytique!$X$3:$AE$29,6,FALSE),"")</f>
        <v/>
      </c>
      <c r="N73" s="288" t="str">
        <f ca="1">IF(M27&lt;&gt;"",VLOOKUP(M27,Analytique!$X$3:$AE$29,6,FALSE),"")</f>
        <v/>
      </c>
      <c r="O73" s="288" t="str">
        <f ca="1">IF(N27&lt;&gt;"",VLOOKUP(N27,Analytique!$X$3:$AE$29,6,FALSE),"")</f>
        <v/>
      </c>
      <c r="P73" s="288" t="str">
        <f ca="1">IF(O27&lt;&gt;"",VLOOKUP(O27,Analytique!$X$3:$AE$29,6,FALSE),"")</f>
        <v/>
      </c>
      <c r="Q73" s="288" t="str">
        <f ca="1">IF(P27&lt;&gt;"",VLOOKUP(P27,Analytique!$X$3:$AE$29,6,FALSE),"")</f>
        <v/>
      </c>
      <c r="R73" s="288" t="str">
        <f ca="1">IF(Q27&lt;&gt;"",VLOOKUP(Q27,Analytique!$X$3:$AE$29,6,FALSE),"")</f>
        <v/>
      </c>
      <c r="S73" s="288" t="str">
        <f ca="1">IF(R27&lt;&gt;"",VLOOKUP(R27,Analytique!$X$3:$AE$29,6,FALSE),"")</f>
        <v/>
      </c>
      <c r="T73" s="288" t="str">
        <f ca="1">IF(S27&lt;&gt;"",VLOOKUP(S27,Analytique!$X$3:$AE$29,6,FALSE),"")</f>
        <v/>
      </c>
      <c r="U73" s="289" t="str">
        <f ca="1">IF(T27&lt;&gt;"",VLOOKUP(T27,Analytique!$X$3:$AE$29,6,FALSE),"")</f>
        <v/>
      </c>
      <c r="V73" t="str">
        <f ca="1">G27</f>
        <v/>
      </c>
    </row>
    <row r="74" spans="2:22" ht="13" thickBot="1" x14ac:dyDescent="0.45">
      <c r="B74" s="1180"/>
      <c r="C74" s="1183"/>
      <c r="D74" s="93" t="str">
        <f>$D$10</f>
        <v>Sonde de température</v>
      </c>
      <c r="E74" s="1195"/>
      <c r="F74" s="127" t="str">
        <f t="shared" ca="1" si="1"/>
        <v/>
      </c>
      <c r="G74" s="123" t="str" cm="1">
        <f t="array" aca="1" ref="G74" ca="1">IF(F28&lt;&gt;"",INDIRECT(F28&amp;"!"&amp;$F$10),"")</f>
        <v/>
      </c>
      <c r="H74" s="96" t="str" cm="1">
        <f t="array" aca="1" ref="H74" ca="1">IF(G28&lt;&gt;"",INDIRECT(G28&amp;"!"&amp;$F$10),"")</f>
        <v/>
      </c>
      <c r="I74" s="96" t="str" cm="1">
        <f t="array" aca="1" ref="I74" ca="1">IF(H28&lt;&gt;"",INDIRECT(H28&amp;"!"&amp;$F$10),"")</f>
        <v/>
      </c>
      <c r="J74" s="96" t="str" cm="1">
        <f t="array" aca="1" ref="J74" ca="1">IF(I28&lt;&gt;"",INDIRECT(I28&amp;"!"&amp;$F$10),"")</f>
        <v/>
      </c>
      <c r="K74" s="96" t="str" cm="1">
        <f t="array" aca="1" ref="K74" ca="1">IF(J28&lt;&gt;"",INDIRECT(J28&amp;"!"&amp;$F$10),"")</f>
        <v/>
      </c>
      <c r="L74" s="96" t="str" cm="1">
        <f t="array" aca="1" ref="L74" ca="1">IF(K28&lt;&gt;"",INDIRECT(K28&amp;"!"&amp;$F$10),"")</f>
        <v/>
      </c>
      <c r="M74" s="96" t="str" cm="1">
        <f t="array" aca="1" ref="M74" ca="1">IF(L28&lt;&gt;"",INDIRECT(L28&amp;"!"&amp;$F$10),"")</f>
        <v/>
      </c>
      <c r="N74" s="96" t="str" cm="1">
        <f t="array" aca="1" ref="N74" ca="1">IF(M28&lt;&gt;"",INDIRECT(M28&amp;"!"&amp;$F$10),"")</f>
        <v/>
      </c>
      <c r="O74" s="96" t="str" cm="1">
        <f t="array" aca="1" ref="O74" ca="1">IF(N28&lt;&gt;"",INDIRECT(N28&amp;"!"&amp;$F$10),"")</f>
        <v/>
      </c>
      <c r="P74" s="96" t="str" cm="1">
        <f t="array" aca="1" ref="P74" ca="1">IF(O28&lt;&gt;"",INDIRECT(O28&amp;"!"&amp;$F$10),"")</f>
        <v/>
      </c>
      <c r="Q74" s="96" t="str" cm="1">
        <f t="array" aca="1" ref="Q74" ca="1">IF(P28&lt;&gt;"",INDIRECT(P28&amp;"!"&amp;$F$10),"")</f>
        <v/>
      </c>
      <c r="R74" s="96" t="str" cm="1">
        <f t="array" aca="1" ref="R74" ca="1">IF(Q28&lt;&gt;"",INDIRECT(Q28&amp;"!"&amp;$F$10),"")</f>
        <v/>
      </c>
      <c r="S74" s="96" t="str" cm="1">
        <f t="array" aca="1" ref="S74" ca="1">IF(R28&lt;&gt;"",INDIRECT(R28&amp;"!"&amp;$F$10),"")</f>
        <v/>
      </c>
      <c r="T74" s="96" t="str" cm="1">
        <f t="array" aca="1" ref="T74" ca="1">IF(S28&lt;&gt;"",INDIRECT(S28&amp;"!"&amp;$F$10),"")</f>
        <v/>
      </c>
      <c r="U74" s="97" t="str" cm="1">
        <f t="array" aca="1" ref="U74" ca="1">IF(T28&lt;&gt;"",INDIRECT(T28&amp;"!"&amp;$F$10),"")</f>
        <v/>
      </c>
    </row>
    <row r="75" spans="2:22" x14ac:dyDescent="0.4">
      <c r="B75" s="1178" t="s">
        <v>98</v>
      </c>
      <c r="C75" s="1181" t="s">
        <v>112</v>
      </c>
      <c r="D75" s="89" t="str">
        <f>$D$7</f>
        <v>Débitmètre en charge</v>
      </c>
      <c r="E75" s="1175" t="str">
        <f ca="1">IFERROR(AVERAGE(F77:F79)*$B$5,"")</f>
        <v/>
      </c>
      <c r="F75" s="125" t="str">
        <f t="shared" ca="1" si="1"/>
        <v/>
      </c>
      <c r="G75" s="120" t="str" cm="1">
        <f t="array" aca="1" ref="G75" ca="1">IF(F29&lt;&gt;"",INDIRECT(F29&amp;"!"&amp;$F$7),"")</f>
        <v/>
      </c>
      <c r="H75" s="90" t="str" cm="1">
        <f t="array" aca="1" ref="H75" ca="1">IF(G29&lt;&gt;"",INDIRECT(G29&amp;"!"&amp;$F$7),"")</f>
        <v/>
      </c>
      <c r="I75" s="90" t="str" cm="1">
        <f t="array" aca="1" ref="I75" ca="1">IF(H29&lt;&gt;"",INDIRECT(H29&amp;"!"&amp;$F$7),"")</f>
        <v/>
      </c>
      <c r="J75" s="90" t="str" cm="1">
        <f t="array" aca="1" ref="J75" ca="1">IF(I29&lt;&gt;"",INDIRECT(I29&amp;"!"&amp;$F$7),"")</f>
        <v/>
      </c>
      <c r="K75" s="90" t="str" cm="1">
        <f t="array" aca="1" ref="K75" ca="1">IF(J29&lt;&gt;"",INDIRECT(J29&amp;"!"&amp;$F$7),"")</f>
        <v/>
      </c>
      <c r="L75" s="90" t="str" cm="1">
        <f t="array" aca="1" ref="L75" ca="1">IF(K29&lt;&gt;"",INDIRECT(K29&amp;"!"&amp;$F$7),"")</f>
        <v/>
      </c>
      <c r="M75" s="90" t="str" cm="1">
        <f t="array" aca="1" ref="M75" ca="1">IF(L29&lt;&gt;"",INDIRECT(L29&amp;"!"&amp;$F$7),"")</f>
        <v/>
      </c>
      <c r="N75" s="90" t="str" cm="1">
        <f t="array" aca="1" ref="N75" ca="1">IF(M29&lt;&gt;"",INDIRECT(M29&amp;"!"&amp;$F$7),"")</f>
        <v/>
      </c>
      <c r="O75" s="90" t="str" cm="1">
        <f t="array" aca="1" ref="O75" ca="1">IF(N29&lt;&gt;"",INDIRECT(N29&amp;"!"&amp;$F$7),"")</f>
        <v/>
      </c>
      <c r="P75" s="90" t="str" cm="1">
        <f t="array" aca="1" ref="P75" ca="1">IF(O29&lt;&gt;"",INDIRECT(O29&amp;"!"&amp;$F$7),"")</f>
        <v/>
      </c>
      <c r="Q75" s="90" t="str" cm="1">
        <f t="array" aca="1" ref="Q75" ca="1">IF(P29&lt;&gt;"",INDIRECT(P29&amp;"!"&amp;$F$7),"")</f>
        <v/>
      </c>
      <c r="R75" s="90" t="str" cm="1">
        <f t="array" aca="1" ref="R75" ca="1">IF(Q29&lt;&gt;"",INDIRECT(Q29&amp;"!"&amp;$F$7),"")</f>
        <v/>
      </c>
      <c r="S75" s="90" t="str" cm="1">
        <f t="array" aca="1" ref="S75" ca="1">IF(R29&lt;&gt;"",INDIRECT(R29&amp;"!"&amp;$F$7),"")</f>
        <v/>
      </c>
      <c r="T75" s="90" t="str" cm="1">
        <f t="array" aca="1" ref="T75" ca="1">IF(S29&lt;&gt;"",INDIRECT(S29&amp;"!"&amp;$F$7),"")</f>
        <v/>
      </c>
      <c r="U75" s="91" t="str" cm="1">
        <f t="array" aca="1" ref="U75" ca="1">IF(T29&lt;&gt;"",INDIRECT(T29&amp;"!"&amp;$F$7),"")</f>
        <v/>
      </c>
    </row>
    <row r="76" spans="2:22" x14ac:dyDescent="0.4">
      <c r="B76" s="1179"/>
      <c r="C76" s="1182"/>
      <c r="D76" s="88" t="str">
        <f>$D$8</f>
        <v>Débitmètre gravitaire</v>
      </c>
      <c r="E76" s="1176"/>
      <c r="F76" s="126" t="str">
        <f t="shared" ca="1" si="1"/>
        <v/>
      </c>
      <c r="G76" s="121" t="str" cm="1">
        <f t="array" aca="1" ref="G76" ca="1">IF(F30&lt;&gt;"",INDIRECT(F30&amp;"!"&amp;$F$8),"")</f>
        <v/>
      </c>
      <c r="H76" s="10" t="str" cm="1">
        <f t="array" aca="1" ref="H76" ca="1">IF(G30&lt;&gt;"",INDIRECT(G30&amp;"!"&amp;$F$8),"")</f>
        <v/>
      </c>
      <c r="I76" s="10" t="str" cm="1">
        <f t="array" aca="1" ref="I76" ca="1">IF(H30&lt;&gt;"",INDIRECT(H30&amp;"!"&amp;$F$8),"")</f>
        <v/>
      </c>
      <c r="J76" s="10" t="str" cm="1">
        <f t="array" aca="1" ref="J76" ca="1">IF(I30&lt;&gt;"",INDIRECT(I30&amp;"!"&amp;$F$8),"")</f>
        <v/>
      </c>
      <c r="K76" s="10" t="str" cm="1">
        <f t="array" aca="1" ref="K76" ca="1">IF(J30&lt;&gt;"",INDIRECT(J30&amp;"!"&amp;$F$8),"")</f>
        <v/>
      </c>
      <c r="L76" s="10" t="str" cm="1">
        <f t="array" aca="1" ref="L76" ca="1">IF(K30&lt;&gt;"",INDIRECT(K30&amp;"!"&amp;$F$8),"")</f>
        <v/>
      </c>
      <c r="M76" s="10" t="str" cm="1">
        <f t="array" aca="1" ref="M76" ca="1">IF(L30&lt;&gt;"",INDIRECT(L30&amp;"!"&amp;$F$8),"")</f>
        <v/>
      </c>
      <c r="N76" s="10" t="str" cm="1">
        <f t="array" aca="1" ref="N76" ca="1">IF(M30&lt;&gt;"",INDIRECT(M30&amp;"!"&amp;$F$8),"")</f>
        <v/>
      </c>
      <c r="O76" s="10" t="str" cm="1">
        <f t="array" aca="1" ref="O76" ca="1">IF(N30&lt;&gt;"",INDIRECT(N30&amp;"!"&amp;$F$8),"")</f>
        <v/>
      </c>
      <c r="P76" s="10" t="str" cm="1">
        <f t="array" aca="1" ref="P76" ca="1">IF(O30&lt;&gt;"",INDIRECT(O30&amp;"!"&amp;$F$8),"")</f>
        <v/>
      </c>
      <c r="Q76" s="10" t="str" cm="1">
        <f t="array" aca="1" ref="Q76" ca="1">IF(P30&lt;&gt;"",INDIRECT(P30&amp;"!"&amp;$F$8),"")</f>
        <v/>
      </c>
      <c r="R76" s="10" t="str" cm="1">
        <f t="array" aca="1" ref="R76" ca="1">IF(Q30&lt;&gt;"",INDIRECT(Q30&amp;"!"&amp;$F$8),"")</f>
        <v/>
      </c>
      <c r="S76" s="10" t="str" cm="1">
        <f t="array" aca="1" ref="S76" ca="1">IF(R30&lt;&gt;"",INDIRECT(R30&amp;"!"&amp;$F$8),"")</f>
        <v/>
      </c>
      <c r="T76" s="10" t="str" cm="1">
        <f t="array" aca="1" ref="T76" ca="1">IF(S30&lt;&gt;"",INDIRECT(S30&amp;"!"&amp;$F$8),"")</f>
        <v/>
      </c>
      <c r="U76" s="92" t="str" cm="1">
        <f t="array" aca="1" ref="U76" ca="1">IF(T30&lt;&gt;"",INDIRECT(T30&amp;"!"&amp;$F$8),"")</f>
        <v/>
      </c>
    </row>
    <row r="77" spans="2:22" x14ac:dyDescent="0.4">
      <c r="B77" s="1179"/>
      <c r="C77" s="1182"/>
      <c r="D77" s="88" t="s">
        <v>400</v>
      </c>
      <c r="E77" s="1176"/>
      <c r="F77" s="126" t="str">
        <f t="shared" ca="1" si="1"/>
        <v/>
      </c>
      <c r="G77" s="122" t="str">
        <f ca="1">IF(COUNT(G75:G76)&gt;0,SUM(G75:G76),"")</f>
        <v/>
      </c>
      <c r="H77" s="111" t="str">
        <f t="shared" ref="H77:U77" ca="1" si="4">IF(COUNT(H75:H76)&gt;0,SUM(H75:H76),"")</f>
        <v/>
      </c>
      <c r="I77" s="111" t="str">
        <f t="shared" ca="1" si="4"/>
        <v/>
      </c>
      <c r="J77" s="111" t="str">
        <f t="shared" ca="1" si="4"/>
        <v/>
      </c>
      <c r="K77" s="111" t="str">
        <f t="shared" ca="1" si="4"/>
        <v/>
      </c>
      <c r="L77" s="111" t="str">
        <f t="shared" ca="1" si="4"/>
        <v/>
      </c>
      <c r="M77" s="111" t="str">
        <f t="shared" ca="1" si="4"/>
        <v/>
      </c>
      <c r="N77" s="111" t="str">
        <f t="shared" ca="1" si="4"/>
        <v/>
      </c>
      <c r="O77" s="111" t="str">
        <f t="shared" ca="1" si="4"/>
        <v/>
      </c>
      <c r="P77" s="111" t="str">
        <f t="shared" ca="1" si="4"/>
        <v/>
      </c>
      <c r="Q77" s="111" t="str">
        <f t="shared" ca="1" si="4"/>
        <v/>
      </c>
      <c r="R77" s="111" t="str">
        <f t="shared" ca="1" si="4"/>
        <v/>
      </c>
      <c r="S77" s="111" t="str">
        <f t="shared" ca="1" si="4"/>
        <v/>
      </c>
      <c r="T77" s="111" t="str">
        <f t="shared" ca="1" si="4"/>
        <v/>
      </c>
      <c r="U77" s="112" t="str">
        <f t="shared" ca="1" si="4"/>
        <v/>
      </c>
    </row>
    <row r="78" spans="2:22" x14ac:dyDescent="0.4">
      <c r="B78" s="1179"/>
      <c r="C78" s="1182"/>
      <c r="D78" s="88" t="str">
        <f>$D$9</f>
        <v>Préleveur</v>
      </c>
      <c r="E78" s="1176"/>
      <c r="F78" s="126" t="str">
        <f t="shared" ca="1" si="1"/>
        <v/>
      </c>
      <c r="G78" s="121" t="str" cm="1">
        <f t="array" aca="1" ref="G78" ca="1">IF(F31&lt;&gt;"",INDIRECT(F31&amp;"!"&amp;$F$9),"")</f>
        <v/>
      </c>
      <c r="H78" s="10" t="str" cm="1">
        <f t="array" aca="1" ref="H78" ca="1">IF(G31&lt;&gt;"",INDIRECT(G31&amp;"!"&amp;$F$9),"")</f>
        <v/>
      </c>
      <c r="I78" s="10" t="str" cm="1">
        <f t="array" aca="1" ref="I78" ca="1">IF(H31&lt;&gt;"",INDIRECT(H31&amp;"!"&amp;$F$9),"")</f>
        <v/>
      </c>
      <c r="J78" s="10" t="str" cm="1">
        <f t="array" aca="1" ref="J78" ca="1">IF(I31&lt;&gt;"",INDIRECT(I31&amp;"!"&amp;$F$9),"")</f>
        <v/>
      </c>
      <c r="K78" s="10" t="str" cm="1">
        <f t="array" aca="1" ref="K78" ca="1">IF(J31&lt;&gt;"",INDIRECT(J31&amp;"!"&amp;$F$9),"")</f>
        <v/>
      </c>
      <c r="L78" s="10" t="str" cm="1">
        <f t="array" aca="1" ref="L78" ca="1">IF(K31&lt;&gt;"",INDIRECT(K31&amp;"!"&amp;$F$9),"")</f>
        <v/>
      </c>
      <c r="M78" s="10" t="str" cm="1">
        <f t="array" aca="1" ref="M78" ca="1">IF(L31&lt;&gt;"",INDIRECT(L31&amp;"!"&amp;$F$9),"")</f>
        <v/>
      </c>
      <c r="N78" s="10" t="str" cm="1">
        <f t="array" aca="1" ref="N78" ca="1">IF(M31&lt;&gt;"",INDIRECT(M31&amp;"!"&amp;$F$9),"")</f>
        <v/>
      </c>
      <c r="O78" s="10" t="str" cm="1">
        <f t="array" aca="1" ref="O78" ca="1">IF(N31&lt;&gt;"",INDIRECT(N31&amp;"!"&amp;$F$9),"")</f>
        <v/>
      </c>
      <c r="P78" s="10" t="str" cm="1">
        <f t="array" aca="1" ref="P78" ca="1">IF(O31&lt;&gt;"",INDIRECT(O31&amp;"!"&amp;$F$9),"")</f>
        <v/>
      </c>
      <c r="Q78" s="10" t="str" cm="1">
        <f t="array" aca="1" ref="Q78" ca="1">IF(P31&lt;&gt;"",INDIRECT(P31&amp;"!"&amp;$F$9),"")</f>
        <v/>
      </c>
      <c r="R78" s="10" t="str" cm="1">
        <f t="array" aca="1" ref="R78" ca="1">IF(Q31&lt;&gt;"",INDIRECT(Q31&amp;"!"&amp;$F$9),"")</f>
        <v/>
      </c>
      <c r="S78" s="10" t="str" cm="1">
        <f t="array" aca="1" ref="S78" ca="1">IF(R31&lt;&gt;"",INDIRECT(R31&amp;"!"&amp;$F$9),"")</f>
        <v/>
      </c>
      <c r="T78" s="10" t="str" cm="1">
        <f t="array" aca="1" ref="T78" ca="1">IF(S31&lt;&gt;"",INDIRECT(S31&amp;"!"&amp;$F$9),"")</f>
        <v/>
      </c>
      <c r="U78" s="92" t="str" cm="1">
        <f t="array" aca="1" ref="U78" ca="1">IF(T31&lt;&gt;"",INDIRECT(T31&amp;"!"&amp;$F$9),"")</f>
        <v/>
      </c>
    </row>
    <row r="79" spans="2:22" x14ac:dyDescent="0.4">
      <c r="B79" s="1179"/>
      <c r="C79" s="1182"/>
      <c r="D79" s="287" t="s">
        <v>392</v>
      </c>
      <c r="E79" s="1176"/>
      <c r="F79" s="126" t="str">
        <f t="shared" ca="1" si="1"/>
        <v/>
      </c>
      <c r="G79" s="288" t="str">
        <f ca="1">IF(F32&lt;&gt;"",VLOOKUP(F32,Analytique!$X$3:$AE$29,6,FALSE),"")</f>
        <v/>
      </c>
      <c r="H79" s="288" t="str">
        <f ca="1">IF(G32&lt;&gt;"",VLOOKUP(G32,Analytique!$X$3:$AE$29,6,FALSE),"")</f>
        <v/>
      </c>
      <c r="I79" s="288" t="str">
        <f ca="1">IF(H32&lt;&gt;"",VLOOKUP(H32,Analytique!$X$3:$AE$29,6,FALSE),"")</f>
        <v/>
      </c>
      <c r="J79" s="288" t="str">
        <f ca="1">IF(I32&lt;&gt;"",VLOOKUP(I32,Analytique!$X$3:$AE$29,6,FALSE),"")</f>
        <v/>
      </c>
      <c r="K79" s="288" t="str">
        <f ca="1">IF(J32&lt;&gt;"",VLOOKUP(J32,Analytique!$X$3:$AE$29,6,FALSE),"")</f>
        <v/>
      </c>
      <c r="L79" s="288" t="str">
        <f ca="1">IF(K32&lt;&gt;"",VLOOKUP(K32,Analytique!$X$3:$AE$29,6,FALSE),"")</f>
        <v/>
      </c>
      <c r="M79" s="288" t="str">
        <f ca="1">IF(L32&lt;&gt;"",VLOOKUP(L32,Analytique!$X$3:$AE$29,6,FALSE),"")</f>
        <v/>
      </c>
      <c r="N79" s="288" t="str">
        <f ca="1">IF(M32&lt;&gt;"",VLOOKUP(M32,Analytique!$X$3:$AE$29,6,FALSE),"")</f>
        <v/>
      </c>
      <c r="O79" s="288" t="str">
        <f ca="1">IF(N32&lt;&gt;"",VLOOKUP(N32,Analytique!$X$3:$AE$29,6,FALSE),"")</f>
        <v/>
      </c>
      <c r="P79" s="288" t="str">
        <f ca="1">IF(O32&lt;&gt;"",VLOOKUP(O32,Analytique!$X$3:$AE$29,6,FALSE),"")</f>
        <v/>
      </c>
      <c r="Q79" s="288" t="str">
        <f ca="1">IF(P32&lt;&gt;"",VLOOKUP(P32,Analytique!$X$3:$AE$29,6,FALSE),"")</f>
        <v/>
      </c>
      <c r="R79" s="288" t="str">
        <f ca="1">IF(Q32&lt;&gt;"",VLOOKUP(Q32,Analytique!$X$3:$AE$29,6,FALSE),"")</f>
        <v/>
      </c>
      <c r="S79" s="288" t="str">
        <f ca="1">IF(R32&lt;&gt;"",VLOOKUP(R32,Analytique!$X$3:$AE$29,6,FALSE),"")</f>
        <v/>
      </c>
      <c r="T79" s="288" t="str">
        <f ca="1">IF(S32&lt;&gt;"",VLOOKUP(S32,Analytique!$X$3:$AE$29,6,FALSE),"")</f>
        <v/>
      </c>
      <c r="U79" s="288" t="str">
        <f ca="1">IF(T32&lt;&gt;"",VLOOKUP(T32,Analytique!$X$3:$AE$29,6,FALSE),"")</f>
        <v/>
      </c>
    </row>
    <row r="80" spans="2:22" ht="13" thickBot="1" x14ac:dyDescent="0.45">
      <c r="B80" s="1180"/>
      <c r="C80" s="1183"/>
      <c r="D80" s="93" t="str">
        <f>$D$10</f>
        <v>Sonde de température</v>
      </c>
      <c r="E80" s="1177"/>
      <c r="F80" s="127" t="str">
        <f t="shared" ca="1" si="1"/>
        <v/>
      </c>
      <c r="G80" s="123" t="str" cm="1">
        <f t="array" aca="1" ref="G80" ca="1">IF(F33&lt;&gt;"",INDIRECT(F33&amp;"!"&amp;$F$10),"")</f>
        <v/>
      </c>
      <c r="H80" s="96" t="str" cm="1">
        <f t="array" aca="1" ref="H80" ca="1">IF(G33&lt;&gt;"",INDIRECT(G33&amp;"!"&amp;$F$10),"")</f>
        <v/>
      </c>
      <c r="I80" s="96" t="str" cm="1">
        <f t="array" aca="1" ref="I80" ca="1">IF(H33&lt;&gt;"",INDIRECT(H33&amp;"!"&amp;$F$10),"")</f>
        <v/>
      </c>
      <c r="J80" s="96" t="str" cm="1">
        <f t="array" aca="1" ref="J80" ca="1">IF(I33&lt;&gt;"",INDIRECT(I33&amp;"!"&amp;$F$10),"")</f>
        <v/>
      </c>
      <c r="K80" s="96" t="str" cm="1">
        <f t="array" aca="1" ref="K80" ca="1">IF(J33&lt;&gt;"",INDIRECT(J33&amp;"!"&amp;$F$10),"")</f>
        <v/>
      </c>
      <c r="L80" s="96" t="str" cm="1">
        <f t="array" aca="1" ref="L80" ca="1">IF(K33&lt;&gt;"",INDIRECT(K33&amp;"!"&amp;$F$10),"")</f>
        <v/>
      </c>
      <c r="M80" s="96" t="str" cm="1">
        <f t="array" aca="1" ref="M80" ca="1">IF(L33&lt;&gt;"",INDIRECT(L33&amp;"!"&amp;$F$10),"")</f>
        <v/>
      </c>
      <c r="N80" s="96" t="str" cm="1">
        <f t="array" aca="1" ref="N80" ca="1">IF(M33&lt;&gt;"",INDIRECT(M33&amp;"!"&amp;$F$10),"")</f>
        <v/>
      </c>
      <c r="O80" s="96" t="str" cm="1">
        <f t="array" aca="1" ref="O80" ca="1">IF(N33&lt;&gt;"",INDIRECT(N33&amp;"!"&amp;$F$10),"")</f>
        <v/>
      </c>
      <c r="P80" s="96" t="str" cm="1">
        <f t="array" aca="1" ref="P80" ca="1">IF(O33&lt;&gt;"",INDIRECT(O33&amp;"!"&amp;$F$10),"")</f>
        <v/>
      </c>
      <c r="Q80" s="96" t="str" cm="1">
        <f t="array" aca="1" ref="Q80" ca="1">IF(P33&lt;&gt;"",INDIRECT(P33&amp;"!"&amp;$F$10),"")</f>
        <v/>
      </c>
      <c r="R80" s="96" t="str" cm="1">
        <f t="array" aca="1" ref="R80" ca="1">IF(Q33&lt;&gt;"",INDIRECT(Q33&amp;"!"&amp;$F$10),"")</f>
        <v/>
      </c>
      <c r="S80" s="96" t="str" cm="1">
        <f t="array" aca="1" ref="S80" ca="1">IF(R33&lt;&gt;"",INDIRECT(R33&amp;"!"&amp;$F$10),"")</f>
        <v/>
      </c>
      <c r="T80" s="96" t="str" cm="1">
        <f t="array" aca="1" ref="T80" ca="1">IF(S33&lt;&gt;"",INDIRECT(S33&amp;"!"&amp;$F$10),"")</f>
        <v/>
      </c>
      <c r="U80" s="97" t="str" cm="1">
        <f t="array" aca="1" ref="U80" ca="1">IF(T33&lt;&gt;"",INDIRECT(T33&amp;"!"&amp;$F$10),"")</f>
        <v/>
      </c>
    </row>
    <row r="81" spans="2:21" x14ac:dyDescent="0.4">
      <c r="B81" s="1178" t="s">
        <v>106</v>
      </c>
      <c r="C81" s="1181" t="s">
        <v>114</v>
      </c>
      <c r="D81" s="89" t="str">
        <f>$D$7</f>
        <v>Débitmètre en charge</v>
      </c>
      <c r="E81" s="1175" t="str">
        <f ca="1">IFERROR(AVERAGE(F83:F85)*$B$5,"")</f>
        <v/>
      </c>
      <c r="F81" s="125" t="str">
        <f t="shared" ca="1" si="1"/>
        <v/>
      </c>
      <c r="G81" s="120" t="str" cm="1">
        <f t="array" aca="1" ref="G81" ca="1">IF(F34&lt;&gt;"",INDIRECT(F34&amp;"!"&amp;$F$7),"")</f>
        <v/>
      </c>
      <c r="H81" s="90" t="str" cm="1">
        <f t="array" aca="1" ref="H81" ca="1">IF(G34&lt;&gt;"",INDIRECT(G34&amp;"!"&amp;$F$7),"")</f>
        <v/>
      </c>
      <c r="I81" s="90" t="str" cm="1">
        <f t="array" aca="1" ref="I81" ca="1">IF(H34&lt;&gt;"",INDIRECT(H34&amp;"!"&amp;$F$7),"")</f>
        <v/>
      </c>
      <c r="J81" s="90" t="str" cm="1">
        <f t="array" aca="1" ref="J81" ca="1">IF(I34&lt;&gt;"",INDIRECT(I34&amp;"!"&amp;$F$7),"")</f>
        <v/>
      </c>
      <c r="K81" s="90" t="str" cm="1">
        <f t="array" aca="1" ref="K81" ca="1">IF(J34&lt;&gt;"",INDIRECT(J34&amp;"!"&amp;$F$7),"")</f>
        <v/>
      </c>
      <c r="L81" s="90" t="str" cm="1">
        <f t="array" aca="1" ref="L81" ca="1">IF(K34&lt;&gt;"",INDIRECT(K34&amp;"!"&amp;$F$7),"")</f>
        <v/>
      </c>
      <c r="M81" s="90" t="str" cm="1">
        <f t="array" aca="1" ref="M81" ca="1">IF(L34&lt;&gt;"",INDIRECT(L34&amp;"!"&amp;$F$7),"")</f>
        <v/>
      </c>
      <c r="N81" s="90" t="str" cm="1">
        <f t="array" aca="1" ref="N81" ca="1">IF(M34&lt;&gt;"",INDIRECT(M34&amp;"!"&amp;$F$7),"")</f>
        <v/>
      </c>
      <c r="O81" s="90" t="str" cm="1">
        <f t="array" aca="1" ref="O81" ca="1">IF(N34&lt;&gt;"",INDIRECT(N34&amp;"!"&amp;$F$7),"")</f>
        <v/>
      </c>
      <c r="P81" s="90" t="str" cm="1">
        <f t="array" aca="1" ref="P81" ca="1">IF(O34&lt;&gt;"",INDIRECT(O34&amp;"!"&amp;$F$7),"")</f>
        <v/>
      </c>
      <c r="Q81" s="90" t="str" cm="1">
        <f t="array" aca="1" ref="Q81" ca="1">IF(P34&lt;&gt;"",INDIRECT(P34&amp;"!"&amp;$F$7),"")</f>
        <v/>
      </c>
      <c r="R81" s="90" t="str" cm="1">
        <f t="array" aca="1" ref="R81" ca="1">IF(Q34&lt;&gt;"",INDIRECT(Q34&amp;"!"&amp;$F$7),"")</f>
        <v/>
      </c>
      <c r="S81" s="90" t="str" cm="1">
        <f t="array" aca="1" ref="S81" ca="1">IF(R34&lt;&gt;"",INDIRECT(R34&amp;"!"&amp;$F$7),"")</f>
        <v/>
      </c>
      <c r="T81" s="90" t="str" cm="1">
        <f t="array" aca="1" ref="T81" ca="1">IF(S34&lt;&gt;"",INDIRECT(S34&amp;"!"&amp;$F$7),"")</f>
        <v/>
      </c>
      <c r="U81" s="91" t="str" cm="1">
        <f t="array" aca="1" ref="U81" ca="1">IF(T34&lt;&gt;"",INDIRECT(T34&amp;"!"&amp;$F$7),"")</f>
        <v/>
      </c>
    </row>
    <row r="82" spans="2:21" x14ac:dyDescent="0.4">
      <c r="B82" s="1179"/>
      <c r="C82" s="1182"/>
      <c r="D82" s="88" t="str">
        <f>$D$8</f>
        <v>Débitmètre gravitaire</v>
      </c>
      <c r="E82" s="1176"/>
      <c r="F82" s="126" t="str">
        <f t="shared" ca="1" si="1"/>
        <v/>
      </c>
      <c r="G82" s="121" t="str" cm="1">
        <f t="array" aca="1" ref="G82" ca="1">IF(F35&lt;&gt;"",INDIRECT(F35&amp;"!"&amp;$F$8),"")</f>
        <v/>
      </c>
      <c r="H82" s="10" t="str" cm="1">
        <f t="array" aca="1" ref="H82" ca="1">IF(G35&lt;&gt;"",INDIRECT(G35&amp;"!"&amp;$F$8),"")</f>
        <v/>
      </c>
      <c r="I82" s="10" t="str" cm="1">
        <f t="array" aca="1" ref="I82" ca="1">IF(H35&lt;&gt;"",INDIRECT(H35&amp;"!"&amp;$F$8),"")</f>
        <v/>
      </c>
      <c r="J82" s="10" t="str" cm="1">
        <f t="array" aca="1" ref="J82" ca="1">IF(I35&lt;&gt;"",INDIRECT(I35&amp;"!"&amp;$F$8),"")</f>
        <v/>
      </c>
      <c r="K82" s="10" t="str" cm="1">
        <f t="array" aca="1" ref="K82" ca="1">IF(J35&lt;&gt;"",INDIRECT(J35&amp;"!"&amp;$F$8),"")</f>
        <v/>
      </c>
      <c r="L82" s="10" t="str" cm="1">
        <f t="array" aca="1" ref="L82" ca="1">IF(K35&lt;&gt;"",INDIRECT(K35&amp;"!"&amp;$F$8),"")</f>
        <v/>
      </c>
      <c r="M82" s="10" t="str" cm="1">
        <f t="array" aca="1" ref="M82" ca="1">IF(L35&lt;&gt;"",INDIRECT(L35&amp;"!"&amp;$F$8),"")</f>
        <v/>
      </c>
      <c r="N82" s="10" t="str" cm="1">
        <f t="array" aca="1" ref="N82" ca="1">IF(M35&lt;&gt;"",INDIRECT(M35&amp;"!"&amp;$F$8),"")</f>
        <v/>
      </c>
      <c r="O82" s="10" t="str" cm="1">
        <f t="array" aca="1" ref="O82" ca="1">IF(N35&lt;&gt;"",INDIRECT(N35&amp;"!"&amp;$F$8),"")</f>
        <v/>
      </c>
      <c r="P82" s="10" t="str" cm="1">
        <f t="array" aca="1" ref="P82" ca="1">IF(O35&lt;&gt;"",INDIRECT(O35&amp;"!"&amp;$F$8),"")</f>
        <v/>
      </c>
      <c r="Q82" s="10" t="str" cm="1">
        <f t="array" aca="1" ref="Q82" ca="1">IF(P35&lt;&gt;"",INDIRECT(P35&amp;"!"&amp;$F$8),"")</f>
        <v/>
      </c>
      <c r="R82" s="10" t="str" cm="1">
        <f t="array" aca="1" ref="R82" ca="1">IF(Q35&lt;&gt;"",INDIRECT(Q35&amp;"!"&amp;$F$8),"")</f>
        <v/>
      </c>
      <c r="S82" s="10" t="str" cm="1">
        <f t="array" aca="1" ref="S82" ca="1">IF(R35&lt;&gt;"",INDIRECT(R35&amp;"!"&amp;$F$8),"")</f>
        <v/>
      </c>
      <c r="T82" s="10" t="str" cm="1">
        <f t="array" aca="1" ref="T82" ca="1">IF(S35&lt;&gt;"",INDIRECT(S35&amp;"!"&amp;$F$8),"")</f>
        <v/>
      </c>
      <c r="U82" s="92" t="str" cm="1">
        <f t="array" aca="1" ref="U82" ca="1">IF(T35&lt;&gt;"",INDIRECT(T35&amp;"!"&amp;$F$8),"")</f>
        <v/>
      </c>
    </row>
    <row r="83" spans="2:21" x14ac:dyDescent="0.4">
      <c r="B83" s="1179"/>
      <c r="C83" s="1182"/>
      <c r="D83" s="88" t="s">
        <v>400</v>
      </c>
      <c r="E83" s="1176"/>
      <c r="F83" s="126" t="str">
        <f t="shared" ca="1" si="1"/>
        <v/>
      </c>
      <c r="G83" s="122" t="str">
        <f ca="1">IF(COUNT(G81:G82)&gt;0,SUM(G81:G82),"")</f>
        <v/>
      </c>
      <c r="H83" s="111" t="str">
        <f t="shared" ref="H83:U83" ca="1" si="5">IF(COUNT(H81:H82)&gt;0,SUM(H81:H82),"")</f>
        <v/>
      </c>
      <c r="I83" s="111" t="str">
        <f t="shared" ca="1" si="5"/>
        <v/>
      </c>
      <c r="J83" s="111" t="str">
        <f t="shared" ca="1" si="5"/>
        <v/>
      </c>
      <c r="K83" s="111" t="str">
        <f t="shared" ca="1" si="5"/>
        <v/>
      </c>
      <c r="L83" s="111" t="str">
        <f t="shared" ca="1" si="5"/>
        <v/>
      </c>
      <c r="M83" s="111" t="str">
        <f t="shared" ca="1" si="5"/>
        <v/>
      </c>
      <c r="N83" s="111" t="str">
        <f t="shared" ca="1" si="5"/>
        <v/>
      </c>
      <c r="O83" s="111" t="str">
        <f t="shared" ca="1" si="5"/>
        <v/>
      </c>
      <c r="P83" s="111" t="str">
        <f t="shared" ca="1" si="5"/>
        <v/>
      </c>
      <c r="Q83" s="111" t="str">
        <f t="shared" ca="1" si="5"/>
        <v/>
      </c>
      <c r="R83" s="111" t="str">
        <f t="shared" ca="1" si="5"/>
        <v/>
      </c>
      <c r="S83" s="111" t="str">
        <f t="shared" ca="1" si="5"/>
        <v/>
      </c>
      <c r="T83" s="111" t="str">
        <f t="shared" ca="1" si="5"/>
        <v/>
      </c>
      <c r="U83" s="112" t="str">
        <f t="shared" ca="1" si="5"/>
        <v/>
      </c>
    </row>
    <row r="84" spans="2:21" x14ac:dyDescent="0.4">
      <c r="B84" s="1179"/>
      <c r="C84" s="1182"/>
      <c r="D84" s="88" t="str">
        <f>$D$9</f>
        <v>Préleveur</v>
      </c>
      <c r="E84" s="1176"/>
      <c r="F84" s="126" t="str">
        <f t="shared" ca="1" si="1"/>
        <v/>
      </c>
      <c r="G84" s="121" t="str" cm="1">
        <f t="array" aca="1" ref="G84" ca="1">IF(F36&lt;&gt;"",INDIRECT(F36&amp;"!"&amp;$F$9),"")</f>
        <v/>
      </c>
      <c r="H84" s="10" t="str" cm="1">
        <f t="array" aca="1" ref="H84" ca="1">IF(G36&lt;&gt;"",INDIRECT(G36&amp;"!"&amp;$F$9),"")</f>
        <v/>
      </c>
      <c r="I84" s="10" t="str" cm="1">
        <f t="array" aca="1" ref="I84" ca="1">IF(H36&lt;&gt;"",INDIRECT(H36&amp;"!"&amp;$F$9),"")</f>
        <v/>
      </c>
      <c r="J84" s="10" t="str" cm="1">
        <f t="array" aca="1" ref="J84" ca="1">IF(I36&lt;&gt;"",INDIRECT(I36&amp;"!"&amp;$F$9),"")</f>
        <v/>
      </c>
      <c r="K84" s="10" t="str" cm="1">
        <f t="array" aca="1" ref="K84" ca="1">IF(J36&lt;&gt;"",INDIRECT(J36&amp;"!"&amp;$F$9),"")</f>
        <v/>
      </c>
      <c r="L84" s="10" t="str" cm="1">
        <f t="array" aca="1" ref="L84" ca="1">IF(K36&lt;&gt;"",INDIRECT(K36&amp;"!"&amp;$F$9),"")</f>
        <v/>
      </c>
      <c r="M84" s="10" t="str" cm="1">
        <f t="array" aca="1" ref="M84" ca="1">IF(L36&lt;&gt;"",INDIRECT(L36&amp;"!"&amp;$F$9),"")</f>
        <v/>
      </c>
      <c r="N84" s="10" t="str" cm="1">
        <f t="array" aca="1" ref="N84" ca="1">IF(M36&lt;&gt;"",INDIRECT(M36&amp;"!"&amp;$F$9),"")</f>
        <v/>
      </c>
      <c r="O84" s="10" t="str" cm="1">
        <f t="array" aca="1" ref="O84" ca="1">IF(N36&lt;&gt;"",INDIRECT(N36&amp;"!"&amp;$F$9),"")</f>
        <v/>
      </c>
      <c r="P84" s="10" t="str" cm="1">
        <f t="array" aca="1" ref="P84" ca="1">IF(O36&lt;&gt;"",INDIRECT(O36&amp;"!"&amp;$F$9),"")</f>
        <v/>
      </c>
      <c r="Q84" s="10" t="str" cm="1">
        <f t="array" aca="1" ref="Q84" ca="1">IF(P36&lt;&gt;"",INDIRECT(P36&amp;"!"&amp;$F$9),"")</f>
        <v/>
      </c>
      <c r="R84" s="10" t="str" cm="1">
        <f t="array" aca="1" ref="R84" ca="1">IF(Q36&lt;&gt;"",INDIRECT(Q36&amp;"!"&amp;$F$9),"")</f>
        <v/>
      </c>
      <c r="S84" s="10" t="str" cm="1">
        <f t="array" aca="1" ref="S84" ca="1">IF(R36&lt;&gt;"",INDIRECT(R36&amp;"!"&amp;$F$9),"")</f>
        <v/>
      </c>
      <c r="T84" s="10" t="str" cm="1">
        <f t="array" aca="1" ref="T84" ca="1">IF(S36&lt;&gt;"",INDIRECT(S36&amp;"!"&amp;$F$9),"")</f>
        <v/>
      </c>
      <c r="U84" s="92" t="str" cm="1">
        <f t="array" aca="1" ref="U84" ca="1">IF(T36&lt;&gt;"",INDIRECT(T36&amp;"!"&amp;$F$9),"")</f>
        <v/>
      </c>
    </row>
    <row r="85" spans="2:21" x14ac:dyDescent="0.4">
      <c r="B85" s="1179"/>
      <c r="C85" s="1182"/>
      <c r="D85" s="287" t="s">
        <v>392</v>
      </c>
      <c r="E85" s="1176"/>
      <c r="F85" s="126" t="str">
        <f t="shared" ca="1" si="1"/>
        <v/>
      </c>
      <c r="G85" s="288" t="str">
        <f ca="1">IF(F37&lt;&gt;"",VLOOKUP(F37,Analytique!$X$3:$AE$29,6,FALSE),"")</f>
        <v/>
      </c>
      <c r="H85" s="288" t="str">
        <f ca="1">IF(G37&lt;&gt;"",VLOOKUP(G37,Analytique!$X$3:$AE$29,6,FALSE),"")</f>
        <v/>
      </c>
      <c r="I85" s="288" t="str">
        <f ca="1">IF(H37&lt;&gt;"",VLOOKUP(H37,Analytique!$X$3:$AE$29,6,FALSE),"")</f>
        <v/>
      </c>
      <c r="J85" s="288" t="str">
        <f ca="1">IF(I37&lt;&gt;"",VLOOKUP(I37,Analytique!$X$3:$AE$29,6,FALSE),"")</f>
        <v/>
      </c>
      <c r="K85" s="288" t="str">
        <f ca="1">IF(J37&lt;&gt;"",VLOOKUP(J37,Analytique!$X$3:$AE$29,6,FALSE),"")</f>
        <v/>
      </c>
      <c r="L85" s="288" t="str">
        <f ca="1">IF(K37&lt;&gt;"",VLOOKUP(K37,Analytique!$X$3:$AE$29,6,FALSE),"")</f>
        <v/>
      </c>
      <c r="M85" s="288" t="str">
        <f ca="1">IF(L37&lt;&gt;"",VLOOKUP(L37,Analytique!$X$3:$AE$29,6,FALSE),"")</f>
        <v/>
      </c>
      <c r="N85" s="288" t="str">
        <f ca="1">IF(M37&lt;&gt;"",VLOOKUP(M37,Analytique!$X$3:$AE$29,6,FALSE),"")</f>
        <v/>
      </c>
      <c r="O85" s="288" t="str">
        <f ca="1">IF(N37&lt;&gt;"",VLOOKUP(N37,Analytique!$X$3:$AE$29,6,FALSE),"")</f>
        <v/>
      </c>
      <c r="P85" s="288" t="str">
        <f ca="1">IF(O37&lt;&gt;"",VLOOKUP(O37,Analytique!$X$3:$AE$29,6,FALSE),"")</f>
        <v/>
      </c>
      <c r="Q85" s="288" t="str">
        <f ca="1">IF(P37&lt;&gt;"",VLOOKUP(P37,Analytique!$X$3:$AE$29,6,FALSE),"")</f>
        <v/>
      </c>
      <c r="R85" s="288" t="str">
        <f ca="1">IF(Q37&lt;&gt;"",VLOOKUP(Q37,Analytique!$X$3:$AE$29,6,FALSE),"")</f>
        <v/>
      </c>
      <c r="S85" s="288" t="str">
        <f ca="1">IF(R37&lt;&gt;"",VLOOKUP(R37,Analytique!$X$3:$AE$29,6,FALSE),"")</f>
        <v/>
      </c>
      <c r="T85" s="288" t="str">
        <f ca="1">IF(S37&lt;&gt;"",VLOOKUP(S37,Analytique!$X$3:$AE$29,6,FALSE),"")</f>
        <v/>
      </c>
      <c r="U85" s="288" t="str">
        <f ca="1">IF(T37&lt;&gt;"",VLOOKUP(T37,Analytique!$X$3:$AE$29,6,FALSE),"")</f>
        <v/>
      </c>
    </row>
    <row r="86" spans="2:21" ht="13" thickBot="1" x14ac:dyDescent="0.45">
      <c r="B86" s="1180"/>
      <c r="C86" s="1183"/>
      <c r="D86" s="93" t="str">
        <f>$D$10</f>
        <v>Sonde de température</v>
      </c>
      <c r="E86" s="1177"/>
      <c r="F86" s="127" t="str">
        <f t="shared" ca="1" si="1"/>
        <v/>
      </c>
      <c r="G86" s="123" t="str" cm="1">
        <f t="array" aca="1" ref="G86" ca="1">IF(F38&lt;&gt;"",INDIRECT(F38&amp;"!"&amp;$F$10),"")</f>
        <v/>
      </c>
      <c r="H86" s="96" t="str" cm="1">
        <f t="array" aca="1" ref="H86" ca="1">IF(G38&lt;&gt;"",INDIRECT(G38&amp;"!"&amp;$F$10),"")</f>
        <v/>
      </c>
      <c r="I86" s="96" t="str" cm="1">
        <f t="array" aca="1" ref="I86" ca="1">IF(H38&lt;&gt;"",INDIRECT(H38&amp;"!"&amp;$F$10),"")</f>
        <v/>
      </c>
      <c r="J86" s="96" t="str" cm="1">
        <f t="array" aca="1" ref="J86" ca="1">IF(I38&lt;&gt;"",INDIRECT(I38&amp;"!"&amp;$F$10),"")</f>
        <v/>
      </c>
      <c r="K86" s="96" t="str" cm="1">
        <f t="array" aca="1" ref="K86" ca="1">IF(J38&lt;&gt;"",INDIRECT(J38&amp;"!"&amp;$F$10),"")</f>
        <v/>
      </c>
      <c r="L86" s="96" t="str" cm="1">
        <f t="array" aca="1" ref="L86" ca="1">IF(K38&lt;&gt;"",INDIRECT(K38&amp;"!"&amp;$F$10),"")</f>
        <v/>
      </c>
      <c r="M86" s="96" t="str" cm="1">
        <f t="array" aca="1" ref="M86" ca="1">IF(L38&lt;&gt;"",INDIRECT(L38&amp;"!"&amp;$F$10),"")</f>
        <v/>
      </c>
      <c r="N86" s="96" t="str" cm="1">
        <f t="array" aca="1" ref="N86" ca="1">IF(M38&lt;&gt;"",INDIRECT(M38&amp;"!"&amp;$F$10),"")</f>
        <v/>
      </c>
      <c r="O86" s="96" t="str" cm="1">
        <f t="array" aca="1" ref="O86" ca="1">IF(N38&lt;&gt;"",INDIRECT(N38&amp;"!"&amp;$F$10),"")</f>
        <v/>
      </c>
      <c r="P86" s="96" t="str" cm="1">
        <f t="array" aca="1" ref="P86" ca="1">IF(O38&lt;&gt;"",INDIRECT(O38&amp;"!"&amp;$F$10),"")</f>
        <v/>
      </c>
      <c r="Q86" s="96" t="str" cm="1">
        <f t="array" aca="1" ref="Q86" ca="1">IF(P38&lt;&gt;"",INDIRECT(P38&amp;"!"&amp;$F$10),"")</f>
        <v/>
      </c>
      <c r="R86" s="96" t="str" cm="1">
        <f t="array" aca="1" ref="R86" ca="1">IF(Q38&lt;&gt;"",INDIRECT(Q38&amp;"!"&amp;$F$10),"")</f>
        <v/>
      </c>
      <c r="S86" s="96" t="str" cm="1">
        <f t="array" aca="1" ref="S86" ca="1">IF(R38&lt;&gt;"",INDIRECT(R38&amp;"!"&amp;$F$10),"")</f>
        <v/>
      </c>
      <c r="T86" s="96" t="str" cm="1">
        <f t="array" aca="1" ref="T86" ca="1">IF(S38&lt;&gt;"",INDIRECT(S38&amp;"!"&amp;$F$10),"")</f>
        <v/>
      </c>
      <c r="U86" s="97" t="str" cm="1">
        <f t="array" aca="1" ref="U86" ca="1">IF(T38&lt;&gt;"",INDIRECT(T38&amp;"!"&amp;$F$10),"")</f>
        <v/>
      </c>
    </row>
    <row r="87" spans="2:21" x14ac:dyDescent="0.4">
      <c r="B87" s="1178" t="s">
        <v>109</v>
      </c>
      <c r="C87" s="1181" t="s">
        <v>117</v>
      </c>
      <c r="D87" s="89" t="str">
        <f>$D$7</f>
        <v>Débitmètre en charge</v>
      </c>
      <c r="E87" s="1175" t="str">
        <f ca="1">IFERROR(AVERAGE(F89:F91)*$B$5,"")</f>
        <v/>
      </c>
      <c r="F87" s="125" t="str">
        <f t="shared" ca="1" si="1"/>
        <v/>
      </c>
      <c r="G87" s="120" t="str" cm="1">
        <f t="array" aca="1" ref="G87" ca="1">IF(F39&lt;&gt;"",INDIRECT(F39&amp;"!"&amp;$F$7),"")</f>
        <v/>
      </c>
      <c r="H87" s="90" t="str" cm="1">
        <f t="array" aca="1" ref="H87" ca="1">IF(G39&lt;&gt;"",INDIRECT(G39&amp;"!"&amp;$F$7),"")</f>
        <v/>
      </c>
      <c r="I87" s="90" t="str" cm="1">
        <f t="array" aca="1" ref="I87" ca="1">IF(H39&lt;&gt;"",INDIRECT(H39&amp;"!"&amp;$F$7),"")</f>
        <v/>
      </c>
      <c r="J87" s="90" t="str" cm="1">
        <f t="array" aca="1" ref="J87" ca="1">IF(I39&lt;&gt;"",INDIRECT(I39&amp;"!"&amp;$F$7),"")</f>
        <v/>
      </c>
      <c r="K87" s="90" t="str" cm="1">
        <f t="array" aca="1" ref="K87" ca="1">IF(J39&lt;&gt;"",INDIRECT(J39&amp;"!"&amp;$F$7),"")</f>
        <v/>
      </c>
      <c r="L87" s="90" t="str" cm="1">
        <f t="array" aca="1" ref="L87" ca="1">IF(K39&lt;&gt;"",INDIRECT(K39&amp;"!"&amp;$F$7),"")</f>
        <v/>
      </c>
      <c r="M87" s="90" t="str" cm="1">
        <f t="array" aca="1" ref="M87" ca="1">IF(L39&lt;&gt;"",INDIRECT(L39&amp;"!"&amp;$F$7),"")</f>
        <v/>
      </c>
      <c r="N87" s="90" t="str" cm="1">
        <f t="array" aca="1" ref="N87" ca="1">IF(M39&lt;&gt;"",INDIRECT(M39&amp;"!"&amp;$F$7),"")</f>
        <v/>
      </c>
      <c r="O87" s="90" t="str" cm="1">
        <f t="array" aca="1" ref="O87" ca="1">IF(N39&lt;&gt;"",INDIRECT(N39&amp;"!"&amp;$F$7),"")</f>
        <v/>
      </c>
      <c r="P87" s="90" t="str" cm="1">
        <f t="array" aca="1" ref="P87" ca="1">IF(O39&lt;&gt;"",INDIRECT(O39&amp;"!"&amp;$F$7),"")</f>
        <v/>
      </c>
      <c r="Q87" s="90" t="str" cm="1">
        <f t="array" aca="1" ref="Q87" ca="1">IF(P39&lt;&gt;"",INDIRECT(P39&amp;"!"&amp;$F$7),"")</f>
        <v/>
      </c>
      <c r="R87" s="90" t="str" cm="1">
        <f t="array" aca="1" ref="R87" ca="1">IF(Q39&lt;&gt;"",INDIRECT(Q39&amp;"!"&amp;$F$7),"")</f>
        <v/>
      </c>
      <c r="S87" s="90" t="str" cm="1">
        <f t="array" aca="1" ref="S87" ca="1">IF(R39&lt;&gt;"",INDIRECT(R39&amp;"!"&amp;$F$7),"")</f>
        <v/>
      </c>
      <c r="T87" s="90" t="str" cm="1">
        <f t="array" aca="1" ref="T87" ca="1">IF(S39&lt;&gt;"",INDIRECT(S39&amp;"!"&amp;$F$7),"")</f>
        <v/>
      </c>
      <c r="U87" s="91" t="str" cm="1">
        <f t="array" aca="1" ref="U87" ca="1">IF(T39&lt;&gt;"",INDIRECT(T39&amp;"!"&amp;$F$7),"")</f>
        <v/>
      </c>
    </row>
    <row r="88" spans="2:21" x14ac:dyDescent="0.4">
      <c r="B88" s="1179"/>
      <c r="C88" s="1182"/>
      <c r="D88" s="88" t="str">
        <f>$D$8</f>
        <v>Débitmètre gravitaire</v>
      </c>
      <c r="E88" s="1176"/>
      <c r="F88" s="126" t="str">
        <f t="shared" ca="1" si="1"/>
        <v/>
      </c>
      <c r="G88" s="121" t="str" cm="1">
        <f t="array" aca="1" ref="G88" ca="1">IF(F40&lt;&gt;"",INDIRECT(F40&amp;"!"&amp;$F$8),"")</f>
        <v/>
      </c>
      <c r="H88" s="10" t="str" cm="1">
        <f t="array" aca="1" ref="H88" ca="1">IF(G40&lt;&gt;"",INDIRECT(G40&amp;"!"&amp;$F$8),"")</f>
        <v/>
      </c>
      <c r="I88" s="10" t="str" cm="1">
        <f t="array" aca="1" ref="I88" ca="1">IF(H40&lt;&gt;"",INDIRECT(H40&amp;"!"&amp;$F$8),"")</f>
        <v/>
      </c>
      <c r="J88" s="10" t="str" cm="1">
        <f t="array" aca="1" ref="J88" ca="1">IF(I40&lt;&gt;"",INDIRECT(I40&amp;"!"&amp;$F$8),"")</f>
        <v/>
      </c>
      <c r="K88" s="10" t="str" cm="1">
        <f t="array" aca="1" ref="K88" ca="1">IF(J40&lt;&gt;"",INDIRECT(J40&amp;"!"&amp;$F$8),"")</f>
        <v/>
      </c>
      <c r="L88" s="10" t="str" cm="1">
        <f t="array" aca="1" ref="L88" ca="1">IF(K40&lt;&gt;"",INDIRECT(K40&amp;"!"&amp;$F$8),"")</f>
        <v/>
      </c>
      <c r="M88" s="10" t="str" cm="1">
        <f t="array" aca="1" ref="M88" ca="1">IF(L40&lt;&gt;"",INDIRECT(L40&amp;"!"&amp;$F$8),"")</f>
        <v/>
      </c>
      <c r="N88" s="10" t="str" cm="1">
        <f t="array" aca="1" ref="N88" ca="1">IF(M40&lt;&gt;"",INDIRECT(M40&amp;"!"&amp;$F$8),"")</f>
        <v/>
      </c>
      <c r="O88" s="10" t="str" cm="1">
        <f t="array" aca="1" ref="O88" ca="1">IF(N40&lt;&gt;"",INDIRECT(N40&amp;"!"&amp;$F$8),"")</f>
        <v/>
      </c>
      <c r="P88" s="10" t="str" cm="1">
        <f t="array" aca="1" ref="P88" ca="1">IF(O40&lt;&gt;"",INDIRECT(O40&amp;"!"&amp;$F$8),"")</f>
        <v/>
      </c>
      <c r="Q88" s="10" t="str" cm="1">
        <f t="array" aca="1" ref="Q88" ca="1">IF(P40&lt;&gt;"",INDIRECT(P40&amp;"!"&amp;$F$8),"")</f>
        <v/>
      </c>
      <c r="R88" s="10" t="str" cm="1">
        <f t="array" aca="1" ref="R88" ca="1">IF(Q40&lt;&gt;"",INDIRECT(Q40&amp;"!"&amp;$F$8),"")</f>
        <v/>
      </c>
      <c r="S88" s="10" t="str" cm="1">
        <f t="array" aca="1" ref="S88" ca="1">IF(R40&lt;&gt;"",INDIRECT(R40&amp;"!"&amp;$F$8),"")</f>
        <v/>
      </c>
      <c r="T88" s="10" t="str" cm="1">
        <f t="array" aca="1" ref="T88" ca="1">IF(S40&lt;&gt;"",INDIRECT(S40&amp;"!"&amp;$F$8),"")</f>
        <v/>
      </c>
      <c r="U88" s="92" t="str" cm="1">
        <f t="array" aca="1" ref="U88" ca="1">IF(T40&lt;&gt;"",INDIRECT(T40&amp;"!"&amp;$F$8),"")</f>
        <v/>
      </c>
    </row>
    <row r="89" spans="2:21" x14ac:dyDescent="0.4">
      <c r="B89" s="1179"/>
      <c r="C89" s="1182"/>
      <c r="D89" s="88" t="s">
        <v>400</v>
      </c>
      <c r="E89" s="1176"/>
      <c r="F89" s="126" t="str">
        <f t="shared" ca="1" si="1"/>
        <v/>
      </c>
      <c r="G89" s="122" t="str">
        <f ca="1">IF(COUNT(G87:G88)&gt;0,SUM(G87:G88),"")</f>
        <v/>
      </c>
      <c r="H89" s="111" t="str">
        <f t="shared" ref="H89:U89" ca="1" si="6">IF(COUNT(H87:H88)&gt;0,SUM(H87:H88),"")</f>
        <v/>
      </c>
      <c r="I89" s="111" t="str">
        <f t="shared" ca="1" si="6"/>
        <v/>
      </c>
      <c r="J89" s="111" t="str">
        <f t="shared" ca="1" si="6"/>
        <v/>
      </c>
      <c r="K89" s="111" t="str">
        <f t="shared" ca="1" si="6"/>
        <v/>
      </c>
      <c r="L89" s="111" t="str">
        <f t="shared" ca="1" si="6"/>
        <v/>
      </c>
      <c r="M89" s="111" t="str">
        <f t="shared" ca="1" si="6"/>
        <v/>
      </c>
      <c r="N89" s="111" t="str">
        <f t="shared" ca="1" si="6"/>
        <v/>
      </c>
      <c r="O89" s="111" t="str">
        <f t="shared" ca="1" si="6"/>
        <v/>
      </c>
      <c r="P89" s="111" t="str">
        <f t="shared" ca="1" si="6"/>
        <v/>
      </c>
      <c r="Q89" s="111" t="str">
        <f t="shared" ca="1" si="6"/>
        <v/>
      </c>
      <c r="R89" s="111" t="str">
        <f t="shared" ca="1" si="6"/>
        <v/>
      </c>
      <c r="S89" s="111" t="str">
        <f t="shared" ca="1" si="6"/>
        <v/>
      </c>
      <c r="T89" s="111" t="str">
        <f t="shared" ca="1" si="6"/>
        <v/>
      </c>
      <c r="U89" s="112" t="str">
        <f t="shared" ca="1" si="6"/>
        <v/>
      </c>
    </row>
    <row r="90" spans="2:21" x14ac:dyDescent="0.4">
      <c r="B90" s="1179"/>
      <c r="C90" s="1182"/>
      <c r="D90" s="88" t="str">
        <f>$D$9</f>
        <v>Préleveur</v>
      </c>
      <c r="E90" s="1176"/>
      <c r="F90" s="126" t="str">
        <f t="shared" ca="1" si="1"/>
        <v/>
      </c>
      <c r="G90" s="121" t="str" cm="1">
        <f t="array" aca="1" ref="G90" ca="1">IF(F41&lt;&gt;"",INDIRECT(F41&amp;"!"&amp;$F$9),"")</f>
        <v/>
      </c>
      <c r="H90" s="10" t="str" cm="1">
        <f t="array" aca="1" ref="H90" ca="1">IF(G41&lt;&gt;"",INDIRECT(G41&amp;"!"&amp;$F$9),"")</f>
        <v/>
      </c>
      <c r="I90" s="10" t="str" cm="1">
        <f t="array" aca="1" ref="I90" ca="1">IF(H41&lt;&gt;"",INDIRECT(H41&amp;"!"&amp;$F$9),"")</f>
        <v/>
      </c>
      <c r="J90" s="10" t="str" cm="1">
        <f t="array" aca="1" ref="J90" ca="1">IF(I41&lt;&gt;"",INDIRECT(I41&amp;"!"&amp;$F$9),"")</f>
        <v/>
      </c>
      <c r="K90" s="10" t="str" cm="1">
        <f t="array" aca="1" ref="K90" ca="1">IF(J41&lt;&gt;"",INDIRECT(J41&amp;"!"&amp;$F$9),"")</f>
        <v/>
      </c>
      <c r="L90" s="10" t="str" cm="1">
        <f t="array" aca="1" ref="L90" ca="1">IF(K41&lt;&gt;"",INDIRECT(K41&amp;"!"&amp;$F$9),"")</f>
        <v/>
      </c>
      <c r="M90" s="10" t="str" cm="1">
        <f t="array" aca="1" ref="M90" ca="1">IF(L41&lt;&gt;"",INDIRECT(L41&amp;"!"&amp;$F$9),"")</f>
        <v/>
      </c>
      <c r="N90" s="10" t="str" cm="1">
        <f t="array" aca="1" ref="N90" ca="1">IF(M41&lt;&gt;"",INDIRECT(M41&amp;"!"&amp;$F$9),"")</f>
        <v/>
      </c>
      <c r="O90" s="10" t="str" cm="1">
        <f t="array" aca="1" ref="O90" ca="1">IF(N41&lt;&gt;"",INDIRECT(N41&amp;"!"&amp;$F$9),"")</f>
        <v/>
      </c>
      <c r="P90" s="10" t="str" cm="1">
        <f t="array" aca="1" ref="P90" ca="1">IF(O41&lt;&gt;"",INDIRECT(O41&amp;"!"&amp;$F$9),"")</f>
        <v/>
      </c>
      <c r="Q90" s="10" t="str" cm="1">
        <f t="array" aca="1" ref="Q90" ca="1">IF(P41&lt;&gt;"",INDIRECT(P41&amp;"!"&amp;$F$9),"")</f>
        <v/>
      </c>
      <c r="R90" s="10" t="str" cm="1">
        <f t="array" aca="1" ref="R90" ca="1">IF(Q41&lt;&gt;"",INDIRECT(Q41&amp;"!"&amp;$F$9),"")</f>
        <v/>
      </c>
      <c r="S90" s="10" t="str" cm="1">
        <f t="array" aca="1" ref="S90" ca="1">IF(R41&lt;&gt;"",INDIRECT(R41&amp;"!"&amp;$F$9),"")</f>
        <v/>
      </c>
      <c r="T90" s="10" t="str" cm="1">
        <f t="array" aca="1" ref="T90" ca="1">IF(S41&lt;&gt;"",INDIRECT(S41&amp;"!"&amp;$F$9),"")</f>
        <v/>
      </c>
      <c r="U90" s="92" t="str" cm="1">
        <f t="array" aca="1" ref="U90" ca="1">IF(T41&lt;&gt;"",INDIRECT(T41&amp;"!"&amp;$F$9),"")</f>
        <v/>
      </c>
    </row>
    <row r="91" spans="2:21" x14ac:dyDescent="0.4">
      <c r="B91" s="1179"/>
      <c r="C91" s="1182"/>
      <c r="D91" s="287" t="s">
        <v>392</v>
      </c>
      <c r="E91" s="1176"/>
      <c r="F91" s="126" t="str">
        <f t="shared" ca="1" si="1"/>
        <v/>
      </c>
      <c r="G91" s="288" t="str">
        <f ca="1">IF(F42&lt;&gt;"",VLOOKUP(F42,Analytique!$X$3:$AE$29,6,FALSE),"")</f>
        <v/>
      </c>
      <c r="H91" s="288" t="str">
        <f ca="1">IF(G42&lt;&gt;"",VLOOKUP(G42,Analytique!$X$3:$AE$29,6,FALSE),"")</f>
        <v/>
      </c>
      <c r="I91" s="288" t="str">
        <f ca="1">IF(H42&lt;&gt;"",VLOOKUP(H42,Analytique!$X$3:$AE$29,6,FALSE),"")</f>
        <v/>
      </c>
      <c r="J91" s="288" t="str">
        <f ca="1">IF(I42&lt;&gt;"",VLOOKUP(I42,Analytique!$X$3:$AE$29,6,FALSE),"")</f>
        <v/>
      </c>
      <c r="K91" s="288" t="str">
        <f ca="1">IF(J42&lt;&gt;"",VLOOKUP(J42,Analytique!$X$3:$AE$29,6,FALSE),"")</f>
        <v/>
      </c>
      <c r="L91" s="288" t="str">
        <f ca="1">IF(K42&lt;&gt;"",VLOOKUP(K42,Analytique!$X$3:$AE$29,6,FALSE),"")</f>
        <v/>
      </c>
      <c r="M91" s="288" t="str">
        <f ca="1">IF(L42&lt;&gt;"",VLOOKUP(L42,Analytique!$X$3:$AE$29,6,FALSE),"")</f>
        <v/>
      </c>
      <c r="N91" s="288" t="str">
        <f ca="1">IF(M42&lt;&gt;"",VLOOKUP(M42,Analytique!$X$3:$AE$29,6,FALSE),"")</f>
        <v/>
      </c>
      <c r="O91" s="288" t="str">
        <f ca="1">IF(N42&lt;&gt;"",VLOOKUP(N42,Analytique!$X$3:$AE$29,6,FALSE),"")</f>
        <v/>
      </c>
      <c r="P91" s="288" t="str">
        <f ca="1">IF(O42&lt;&gt;"",VLOOKUP(O42,Analytique!$X$3:$AE$29,6,FALSE),"")</f>
        <v/>
      </c>
      <c r="Q91" s="288" t="str">
        <f ca="1">IF(P42&lt;&gt;"",VLOOKUP(P42,Analytique!$X$3:$AE$29,6,FALSE),"")</f>
        <v/>
      </c>
      <c r="R91" s="288" t="str">
        <f ca="1">IF(Q42&lt;&gt;"",VLOOKUP(Q42,Analytique!$X$3:$AE$29,6,FALSE),"")</f>
        <v/>
      </c>
      <c r="S91" s="288" t="str">
        <f ca="1">IF(R42&lt;&gt;"",VLOOKUP(R42,Analytique!$X$3:$AE$29,6,FALSE),"")</f>
        <v/>
      </c>
      <c r="T91" s="288" t="str">
        <f ca="1">IF(S42&lt;&gt;"",VLOOKUP(S42,Analytique!$X$3:$AE$29,6,FALSE),"")</f>
        <v/>
      </c>
      <c r="U91" s="288" t="str">
        <f ca="1">IF(T42&lt;&gt;"",VLOOKUP(T42,Analytique!$X$3:$AE$29,6,FALSE),"")</f>
        <v/>
      </c>
    </row>
    <row r="92" spans="2:21" ht="13" thickBot="1" x14ac:dyDescent="0.45">
      <c r="B92" s="1180"/>
      <c r="C92" s="1183"/>
      <c r="D92" s="93" t="str">
        <f>$D$10</f>
        <v>Sonde de température</v>
      </c>
      <c r="E92" s="1177"/>
      <c r="F92" s="127" t="str">
        <f t="shared" ca="1" si="1"/>
        <v/>
      </c>
      <c r="G92" s="123" t="str" cm="1">
        <f t="array" aca="1" ref="G92" ca="1">IF(F43&lt;&gt;"",INDIRECT(F43&amp;"!"&amp;$F$10),"")</f>
        <v/>
      </c>
      <c r="H92" s="96" t="str" cm="1">
        <f t="array" aca="1" ref="H92" ca="1">IF(G43&lt;&gt;"",INDIRECT(G43&amp;"!"&amp;$F$10),"")</f>
        <v/>
      </c>
      <c r="I92" s="96" t="str" cm="1">
        <f t="array" aca="1" ref="I92" ca="1">IF(H43&lt;&gt;"",INDIRECT(H43&amp;"!"&amp;$F$10),"")</f>
        <v/>
      </c>
      <c r="J92" s="96" t="str" cm="1">
        <f t="array" aca="1" ref="J92" ca="1">IF(I43&lt;&gt;"",INDIRECT(I43&amp;"!"&amp;$F$10),"")</f>
        <v/>
      </c>
      <c r="K92" s="96" t="str" cm="1">
        <f t="array" aca="1" ref="K92" ca="1">IF(J43&lt;&gt;"",INDIRECT(J43&amp;"!"&amp;$F$10),"")</f>
        <v/>
      </c>
      <c r="L92" s="96" t="str" cm="1">
        <f t="array" aca="1" ref="L92" ca="1">IF(K43&lt;&gt;"",INDIRECT(K43&amp;"!"&amp;$F$10),"")</f>
        <v/>
      </c>
      <c r="M92" s="96" t="str" cm="1">
        <f t="array" aca="1" ref="M92" ca="1">IF(L43&lt;&gt;"",INDIRECT(L43&amp;"!"&amp;$F$10),"")</f>
        <v/>
      </c>
      <c r="N92" s="96" t="str" cm="1">
        <f t="array" aca="1" ref="N92" ca="1">IF(M43&lt;&gt;"",INDIRECT(M43&amp;"!"&amp;$F$10),"")</f>
        <v/>
      </c>
      <c r="O92" s="96" t="str" cm="1">
        <f t="array" aca="1" ref="O92" ca="1">IF(N43&lt;&gt;"",INDIRECT(N43&amp;"!"&amp;$F$10),"")</f>
        <v/>
      </c>
      <c r="P92" s="96" t="str" cm="1">
        <f t="array" aca="1" ref="P92" ca="1">IF(O43&lt;&gt;"",INDIRECT(O43&amp;"!"&amp;$F$10),"")</f>
        <v/>
      </c>
      <c r="Q92" s="96" t="str" cm="1">
        <f t="array" aca="1" ref="Q92" ca="1">IF(P43&lt;&gt;"",INDIRECT(P43&amp;"!"&amp;$F$10),"")</f>
        <v/>
      </c>
      <c r="R92" s="96" t="str" cm="1">
        <f t="array" aca="1" ref="R92" ca="1">IF(Q43&lt;&gt;"",INDIRECT(Q43&amp;"!"&amp;$F$10),"")</f>
        <v/>
      </c>
      <c r="S92" s="96" t="str" cm="1">
        <f t="array" aca="1" ref="S92" ca="1">IF(R43&lt;&gt;"",INDIRECT(R43&amp;"!"&amp;$F$10),"")</f>
        <v/>
      </c>
      <c r="T92" s="96" t="str" cm="1">
        <f t="array" aca="1" ref="T92" ca="1">IF(S43&lt;&gt;"",INDIRECT(S43&amp;"!"&amp;$F$10),"")</f>
        <v/>
      </c>
      <c r="U92" s="97" t="str" cm="1">
        <f t="array" aca="1" ref="U92" ca="1">IF(T43&lt;&gt;"",INDIRECT(T43&amp;"!"&amp;$F$10),"")</f>
        <v/>
      </c>
    </row>
    <row r="93" spans="2:21" x14ac:dyDescent="0.4">
      <c r="B93" s="1178" t="s">
        <v>111</v>
      </c>
      <c r="C93" s="1181" t="s">
        <v>116</v>
      </c>
      <c r="D93" s="89" t="str">
        <f>$D$7</f>
        <v>Débitmètre en charge</v>
      </c>
      <c r="E93" s="1175" t="str">
        <f ca="1">IFERROR(AVERAGE(F95:F97)*$B$5,"")</f>
        <v/>
      </c>
      <c r="F93" s="125" t="str">
        <f t="shared" ca="1" si="1"/>
        <v/>
      </c>
      <c r="G93" s="120" t="str" cm="1">
        <f t="array" aca="1" ref="G93" ca="1">IF(F44&lt;&gt;"",INDIRECT(F44&amp;"!"&amp;$F$7),"")</f>
        <v/>
      </c>
      <c r="H93" s="90" t="str" cm="1">
        <f t="array" aca="1" ref="H93" ca="1">IF(G44&lt;&gt;"",INDIRECT(G44&amp;"!"&amp;$F$7),"")</f>
        <v/>
      </c>
      <c r="I93" s="90" t="str" cm="1">
        <f t="array" aca="1" ref="I93" ca="1">IF(H44&lt;&gt;"",INDIRECT(H44&amp;"!"&amp;$F$7),"")</f>
        <v/>
      </c>
      <c r="J93" s="90" t="str" cm="1">
        <f t="array" aca="1" ref="J93" ca="1">IF(I44&lt;&gt;"",INDIRECT(I44&amp;"!"&amp;$F$7),"")</f>
        <v/>
      </c>
      <c r="K93" s="90" t="str" cm="1">
        <f t="array" aca="1" ref="K93" ca="1">IF(J44&lt;&gt;"",INDIRECT(J44&amp;"!"&amp;$F$7),"")</f>
        <v/>
      </c>
      <c r="L93" s="90" t="str" cm="1">
        <f t="array" aca="1" ref="L93" ca="1">IF(K44&lt;&gt;"",INDIRECT(K44&amp;"!"&amp;$F$7),"")</f>
        <v/>
      </c>
      <c r="M93" s="90" t="str" cm="1">
        <f t="array" aca="1" ref="M93" ca="1">IF(L44&lt;&gt;"",INDIRECT(L44&amp;"!"&amp;$F$7),"")</f>
        <v/>
      </c>
      <c r="N93" s="90" t="str" cm="1">
        <f t="array" aca="1" ref="N93" ca="1">IF(M44&lt;&gt;"",INDIRECT(M44&amp;"!"&amp;$F$7),"")</f>
        <v/>
      </c>
      <c r="O93" s="90" t="str" cm="1">
        <f t="array" aca="1" ref="O93" ca="1">IF(N44&lt;&gt;"",INDIRECT(N44&amp;"!"&amp;$F$7),"")</f>
        <v/>
      </c>
      <c r="P93" s="90" t="str" cm="1">
        <f t="array" aca="1" ref="P93" ca="1">IF(O44&lt;&gt;"",INDIRECT(O44&amp;"!"&amp;$F$7),"")</f>
        <v/>
      </c>
      <c r="Q93" s="90" t="str" cm="1">
        <f t="array" aca="1" ref="Q93" ca="1">IF(P44&lt;&gt;"",INDIRECT(P44&amp;"!"&amp;$F$7),"")</f>
        <v/>
      </c>
      <c r="R93" s="90" t="str" cm="1">
        <f t="array" aca="1" ref="R93" ca="1">IF(Q44&lt;&gt;"",INDIRECT(Q44&amp;"!"&amp;$F$7),"")</f>
        <v/>
      </c>
      <c r="S93" s="90" t="str" cm="1">
        <f t="array" aca="1" ref="S93" ca="1">IF(R44&lt;&gt;"",INDIRECT(R44&amp;"!"&amp;$F$7),"")</f>
        <v/>
      </c>
      <c r="T93" s="90" t="str" cm="1">
        <f t="array" aca="1" ref="T93" ca="1">IF(S44&lt;&gt;"",INDIRECT(S44&amp;"!"&amp;$F$7),"")</f>
        <v/>
      </c>
      <c r="U93" s="91" t="str" cm="1">
        <f t="array" aca="1" ref="U93" ca="1">IF(T44&lt;&gt;"",INDIRECT(T44&amp;"!"&amp;$F$7),"")</f>
        <v/>
      </c>
    </row>
    <row r="94" spans="2:21" x14ac:dyDescent="0.4">
      <c r="B94" s="1179"/>
      <c r="C94" s="1182"/>
      <c r="D94" s="88" t="str">
        <f>$D$8</f>
        <v>Débitmètre gravitaire</v>
      </c>
      <c r="E94" s="1176"/>
      <c r="F94" s="126" t="str">
        <f t="shared" ca="1" si="1"/>
        <v/>
      </c>
      <c r="G94" s="121" t="str" cm="1">
        <f t="array" aca="1" ref="G94" ca="1">IF(F45&lt;&gt;"",INDIRECT(F45&amp;"!"&amp;$F$8),"")</f>
        <v/>
      </c>
      <c r="H94" s="10" t="str" cm="1">
        <f t="array" aca="1" ref="H94" ca="1">IF(G45&lt;&gt;"",INDIRECT(G45&amp;"!"&amp;$F$8),"")</f>
        <v/>
      </c>
      <c r="I94" s="10" t="str" cm="1">
        <f t="array" aca="1" ref="I94" ca="1">IF(H45&lt;&gt;"",INDIRECT(H45&amp;"!"&amp;$F$8),"")</f>
        <v/>
      </c>
      <c r="J94" s="10" t="str" cm="1">
        <f t="array" aca="1" ref="J94" ca="1">IF(I45&lt;&gt;"",INDIRECT(I45&amp;"!"&amp;$F$8),"")</f>
        <v/>
      </c>
      <c r="K94" s="10" t="str" cm="1">
        <f t="array" aca="1" ref="K94" ca="1">IF(J45&lt;&gt;"",INDIRECT(J45&amp;"!"&amp;$F$8),"")</f>
        <v/>
      </c>
      <c r="L94" s="10" t="str" cm="1">
        <f t="array" aca="1" ref="L94" ca="1">IF(K45&lt;&gt;"",INDIRECT(K45&amp;"!"&amp;$F$8),"")</f>
        <v/>
      </c>
      <c r="M94" s="10" t="str" cm="1">
        <f t="array" aca="1" ref="M94" ca="1">IF(L45&lt;&gt;"",INDIRECT(L45&amp;"!"&amp;$F$8),"")</f>
        <v/>
      </c>
      <c r="N94" s="10" t="str" cm="1">
        <f t="array" aca="1" ref="N94" ca="1">IF(M45&lt;&gt;"",INDIRECT(M45&amp;"!"&amp;$F$8),"")</f>
        <v/>
      </c>
      <c r="O94" s="10" t="str" cm="1">
        <f t="array" aca="1" ref="O94" ca="1">IF(N45&lt;&gt;"",INDIRECT(N45&amp;"!"&amp;$F$8),"")</f>
        <v/>
      </c>
      <c r="P94" s="10" t="str" cm="1">
        <f t="array" aca="1" ref="P94" ca="1">IF(O45&lt;&gt;"",INDIRECT(O45&amp;"!"&amp;$F$8),"")</f>
        <v/>
      </c>
      <c r="Q94" s="10" t="str" cm="1">
        <f t="array" aca="1" ref="Q94" ca="1">IF(P45&lt;&gt;"",INDIRECT(P45&amp;"!"&amp;$F$8),"")</f>
        <v/>
      </c>
      <c r="R94" s="10" t="str" cm="1">
        <f t="array" aca="1" ref="R94" ca="1">IF(Q45&lt;&gt;"",INDIRECT(Q45&amp;"!"&amp;$F$8),"")</f>
        <v/>
      </c>
      <c r="S94" s="10" t="str" cm="1">
        <f t="array" aca="1" ref="S94" ca="1">IF(R45&lt;&gt;"",INDIRECT(R45&amp;"!"&amp;$F$8),"")</f>
        <v/>
      </c>
      <c r="T94" s="10" t="str" cm="1">
        <f t="array" aca="1" ref="T94" ca="1">IF(S45&lt;&gt;"",INDIRECT(S45&amp;"!"&amp;$F$8),"")</f>
        <v/>
      </c>
      <c r="U94" s="92" t="str" cm="1">
        <f t="array" aca="1" ref="U94" ca="1">IF(T45&lt;&gt;"",INDIRECT(T45&amp;"!"&amp;$F$8),"")</f>
        <v/>
      </c>
    </row>
    <row r="95" spans="2:21" x14ac:dyDescent="0.4">
      <c r="B95" s="1179"/>
      <c r="C95" s="1182"/>
      <c r="D95" s="88" t="s">
        <v>400</v>
      </c>
      <c r="E95" s="1176"/>
      <c r="F95" s="126" t="str">
        <f t="shared" ca="1" si="1"/>
        <v/>
      </c>
      <c r="G95" s="122" t="str">
        <f ca="1">IF(COUNT(G93:G94)&gt;0,SUM(G93:G94),"")</f>
        <v/>
      </c>
      <c r="H95" s="111" t="str">
        <f t="shared" ref="H95:U95" ca="1" si="7">IF(COUNT(H93:H94)&gt;0,SUM(H93:H94),"")</f>
        <v/>
      </c>
      <c r="I95" s="111" t="str">
        <f t="shared" ca="1" si="7"/>
        <v/>
      </c>
      <c r="J95" s="111" t="str">
        <f t="shared" ca="1" si="7"/>
        <v/>
      </c>
      <c r="K95" s="111" t="str">
        <f t="shared" ca="1" si="7"/>
        <v/>
      </c>
      <c r="L95" s="111" t="str">
        <f t="shared" ca="1" si="7"/>
        <v/>
      </c>
      <c r="M95" s="111" t="str">
        <f t="shared" ca="1" si="7"/>
        <v/>
      </c>
      <c r="N95" s="111" t="str">
        <f t="shared" ca="1" si="7"/>
        <v/>
      </c>
      <c r="O95" s="111" t="str">
        <f t="shared" ca="1" si="7"/>
        <v/>
      </c>
      <c r="P95" s="111" t="str">
        <f t="shared" ca="1" si="7"/>
        <v/>
      </c>
      <c r="Q95" s="111" t="str">
        <f t="shared" ca="1" si="7"/>
        <v/>
      </c>
      <c r="R95" s="111" t="str">
        <f t="shared" ca="1" si="7"/>
        <v/>
      </c>
      <c r="S95" s="111" t="str">
        <f t="shared" ca="1" si="7"/>
        <v/>
      </c>
      <c r="T95" s="111" t="str">
        <f t="shared" ca="1" si="7"/>
        <v/>
      </c>
      <c r="U95" s="112" t="str">
        <f t="shared" ca="1" si="7"/>
        <v/>
      </c>
    </row>
    <row r="96" spans="2:21" x14ac:dyDescent="0.4">
      <c r="B96" s="1179"/>
      <c r="C96" s="1182"/>
      <c r="D96" s="88" t="str">
        <f>$D$9</f>
        <v>Préleveur</v>
      </c>
      <c r="E96" s="1176"/>
      <c r="F96" s="126" t="str">
        <f t="shared" ca="1" si="1"/>
        <v/>
      </c>
      <c r="G96" s="121" t="str" cm="1">
        <f t="array" aca="1" ref="G96" ca="1">IF(F46&lt;&gt;"",INDIRECT(F46&amp;"!"&amp;$F$9),"")</f>
        <v/>
      </c>
      <c r="H96" s="10" t="str" cm="1">
        <f t="array" aca="1" ref="H96" ca="1">IF(G46&lt;&gt;"",INDIRECT(G46&amp;"!"&amp;$F$9),"")</f>
        <v/>
      </c>
      <c r="I96" s="10" t="str" cm="1">
        <f t="array" aca="1" ref="I96" ca="1">IF(H46&lt;&gt;"",INDIRECT(H46&amp;"!"&amp;$F$9),"")</f>
        <v/>
      </c>
      <c r="J96" s="10" t="str" cm="1">
        <f t="array" aca="1" ref="J96" ca="1">IF(I46&lt;&gt;"",INDIRECT(I46&amp;"!"&amp;$F$9),"")</f>
        <v/>
      </c>
      <c r="K96" s="10" t="str" cm="1">
        <f t="array" aca="1" ref="K96" ca="1">IF(J46&lt;&gt;"",INDIRECT(J46&amp;"!"&amp;$F$9),"")</f>
        <v/>
      </c>
      <c r="L96" s="10" t="str" cm="1">
        <f t="array" aca="1" ref="L96" ca="1">IF(K46&lt;&gt;"",INDIRECT(K46&amp;"!"&amp;$F$9),"")</f>
        <v/>
      </c>
      <c r="M96" s="10" t="str" cm="1">
        <f t="array" aca="1" ref="M96" ca="1">IF(L46&lt;&gt;"",INDIRECT(L46&amp;"!"&amp;$F$9),"")</f>
        <v/>
      </c>
      <c r="N96" s="10" t="str" cm="1">
        <f t="array" aca="1" ref="N96" ca="1">IF(M46&lt;&gt;"",INDIRECT(M46&amp;"!"&amp;$F$9),"")</f>
        <v/>
      </c>
      <c r="O96" s="10" t="str" cm="1">
        <f t="array" aca="1" ref="O96" ca="1">IF(N46&lt;&gt;"",INDIRECT(N46&amp;"!"&amp;$F$9),"")</f>
        <v/>
      </c>
      <c r="P96" s="10" t="str" cm="1">
        <f t="array" aca="1" ref="P96" ca="1">IF(O46&lt;&gt;"",INDIRECT(O46&amp;"!"&amp;$F$9),"")</f>
        <v/>
      </c>
      <c r="Q96" s="10" t="str" cm="1">
        <f t="array" aca="1" ref="Q96" ca="1">IF(P46&lt;&gt;"",INDIRECT(P46&amp;"!"&amp;$F$9),"")</f>
        <v/>
      </c>
      <c r="R96" s="10" t="str" cm="1">
        <f t="array" aca="1" ref="R96" ca="1">IF(Q46&lt;&gt;"",INDIRECT(Q46&amp;"!"&amp;$F$9),"")</f>
        <v/>
      </c>
      <c r="S96" s="10" t="str" cm="1">
        <f t="array" aca="1" ref="S96" ca="1">IF(R46&lt;&gt;"",INDIRECT(R46&amp;"!"&amp;$F$9),"")</f>
        <v/>
      </c>
      <c r="T96" s="10" t="str" cm="1">
        <f t="array" aca="1" ref="T96" ca="1">IF(S46&lt;&gt;"",INDIRECT(S46&amp;"!"&amp;$F$9),"")</f>
        <v/>
      </c>
      <c r="U96" s="92" t="str" cm="1">
        <f t="array" aca="1" ref="U96" ca="1">IF(T46&lt;&gt;"",INDIRECT(T46&amp;"!"&amp;$F$9),"")</f>
        <v/>
      </c>
    </row>
    <row r="97" spans="2:21" x14ac:dyDescent="0.4">
      <c r="B97" s="1179"/>
      <c r="C97" s="1182"/>
      <c r="D97" s="287" t="s">
        <v>392</v>
      </c>
      <c r="E97" s="1176"/>
      <c r="F97" s="126" t="str">
        <f t="shared" ca="1" si="1"/>
        <v/>
      </c>
      <c r="G97" s="288" t="str">
        <f ca="1">IF(F47&lt;&gt;"",VLOOKUP(F47,Analytique!$X$3:$AE$29,6,FALSE),"")</f>
        <v/>
      </c>
      <c r="H97" s="288" t="str">
        <f ca="1">IF(G47&lt;&gt;"",VLOOKUP(G47,Analytique!$X$3:$AE$29,6,FALSE),"")</f>
        <v/>
      </c>
      <c r="I97" s="288" t="str">
        <f ca="1">IF(H47&lt;&gt;"",VLOOKUP(H47,Analytique!$X$3:$AE$29,6,FALSE),"")</f>
        <v/>
      </c>
      <c r="J97" s="288" t="str">
        <f ca="1">IF(I47&lt;&gt;"",VLOOKUP(I47,Analytique!$X$3:$AE$29,6,FALSE),"")</f>
        <v/>
      </c>
      <c r="K97" s="288" t="str">
        <f ca="1">IF(J47&lt;&gt;"",VLOOKUP(J47,Analytique!$X$3:$AE$29,6,FALSE),"")</f>
        <v/>
      </c>
      <c r="L97" s="288" t="str">
        <f ca="1">IF(K47&lt;&gt;"",VLOOKUP(K47,Analytique!$X$3:$AE$29,6,FALSE),"")</f>
        <v/>
      </c>
      <c r="M97" s="288" t="str">
        <f ca="1">IF(L47&lt;&gt;"",VLOOKUP(L47,Analytique!$X$3:$AE$29,6,FALSE),"")</f>
        <v/>
      </c>
      <c r="N97" s="288" t="str">
        <f ca="1">IF(M47&lt;&gt;"",VLOOKUP(M47,Analytique!$X$3:$AE$29,6,FALSE),"")</f>
        <v/>
      </c>
      <c r="O97" s="288" t="str">
        <f ca="1">IF(N47&lt;&gt;"",VLOOKUP(N47,Analytique!$X$3:$AE$29,6,FALSE),"")</f>
        <v/>
      </c>
      <c r="P97" s="288" t="str">
        <f ca="1">IF(O47&lt;&gt;"",VLOOKUP(O47,Analytique!$X$3:$AE$29,6,FALSE),"")</f>
        <v/>
      </c>
      <c r="Q97" s="288" t="str">
        <f ca="1">IF(P47&lt;&gt;"",VLOOKUP(P47,Analytique!$X$3:$AE$29,6,FALSE),"")</f>
        <v/>
      </c>
      <c r="R97" s="288" t="str">
        <f ca="1">IF(Q47&lt;&gt;"",VLOOKUP(Q47,Analytique!$X$3:$AE$29,6,FALSE),"")</f>
        <v/>
      </c>
      <c r="S97" s="288" t="str">
        <f ca="1">IF(R47&lt;&gt;"",VLOOKUP(R47,Analytique!$X$3:$AE$29,6,FALSE),"")</f>
        <v/>
      </c>
      <c r="T97" s="288" t="str">
        <f ca="1">IF(S47&lt;&gt;"",VLOOKUP(S47,Analytique!$X$3:$AE$29,6,FALSE),"")</f>
        <v/>
      </c>
      <c r="U97" s="288" t="str">
        <f ca="1">IF(T47&lt;&gt;"",VLOOKUP(T47,Analytique!$X$3:$AE$29,6,FALSE),"")</f>
        <v/>
      </c>
    </row>
    <row r="98" spans="2:21" ht="13" thickBot="1" x14ac:dyDescent="0.45">
      <c r="B98" s="1180"/>
      <c r="C98" s="1183"/>
      <c r="D98" s="93" t="str">
        <f>$D$10</f>
        <v>Sonde de température</v>
      </c>
      <c r="E98" s="1177"/>
      <c r="F98" s="127" t="str">
        <f t="shared" ca="1" si="1"/>
        <v/>
      </c>
      <c r="G98" s="123" t="str" cm="1">
        <f t="array" aca="1" ref="G98" ca="1">IF(F48&lt;&gt;"",INDIRECT(F48&amp;"!"&amp;$F$10),"")</f>
        <v/>
      </c>
      <c r="H98" s="96" t="str" cm="1">
        <f t="array" aca="1" ref="H98" ca="1">IF(G48&lt;&gt;"",INDIRECT(G48&amp;"!"&amp;$F$10),"")</f>
        <v/>
      </c>
      <c r="I98" s="96" t="str" cm="1">
        <f t="array" aca="1" ref="I98" ca="1">IF(H48&lt;&gt;"",INDIRECT(H48&amp;"!"&amp;$F$10),"")</f>
        <v/>
      </c>
      <c r="J98" s="96" t="str" cm="1">
        <f t="array" aca="1" ref="J98" ca="1">IF(I48&lt;&gt;"",INDIRECT(I48&amp;"!"&amp;$F$10),"")</f>
        <v/>
      </c>
      <c r="K98" s="96" t="str" cm="1">
        <f t="array" aca="1" ref="K98" ca="1">IF(J48&lt;&gt;"",INDIRECT(J48&amp;"!"&amp;$F$10),"")</f>
        <v/>
      </c>
      <c r="L98" s="96" t="str" cm="1">
        <f t="array" aca="1" ref="L98" ca="1">IF(K48&lt;&gt;"",INDIRECT(K48&amp;"!"&amp;$F$10),"")</f>
        <v/>
      </c>
      <c r="M98" s="96" t="str" cm="1">
        <f t="array" aca="1" ref="M98" ca="1">IF(L48&lt;&gt;"",INDIRECT(L48&amp;"!"&amp;$F$10),"")</f>
        <v/>
      </c>
      <c r="N98" s="96" t="str" cm="1">
        <f t="array" aca="1" ref="N98" ca="1">IF(M48&lt;&gt;"",INDIRECT(M48&amp;"!"&amp;$F$10),"")</f>
        <v/>
      </c>
      <c r="O98" s="96" t="str" cm="1">
        <f t="array" aca="1" ref="O98" ca="1">IF(N48&lt;&gt;"",INDIRECT(N48&amp;"!"&amp;$F$10),"")</f>
        <v/>
      </c>
      <c r="P98" s="96" t="str" cm="1">
        <f t="array" aca="1" ref="P98" ca="1">IF(O48&lt;&gt;"",INDIRECT(O48&amp;"!"&amp;$F$10),"")</f>
        <v/>
      </c>
      <c r="Q98" s="96" t="str" cm="1">
        <f t="array" aca="1" ref="Q98" ca="1">IF(P48&lt;&gt;"",INDIRECT(P48&amp;"!"&amp;$F$10),"")</f>
        <v/>
      </c>
      <c r="R98" s="96" t="str" cm="1">
        <f t="array" aca="1" ref="R98" ca="1">IF(Q48&lt;&gt;"",INDIRECT(Q48&amp;"!"&amp;$F$10),"")</f>
        <v/>
      </c>
      <c r="S98" s="96" t="str" cm="1">
        <f t="array" aca="1" ref="S98" ca="1">IF(R48&lt;&gt;"",INDIRECT(R48&amp;"!"&amp;$F$10),"")</f>
        <v/>
      </c>
      <c r="T98" s="96" t="str" cm="1">
        <f t="array" aca="1" ref="T98" ca="1">IF(S48&lt;&gt;"",INDIRECT(S48&amp;"!"&amp;$F$10),"")</f>
        <v/>
      </c>
      <c r="U98" s="97" t="str" cm="1">
        <f t="array" aca="1" ref="U98" ca="1">IF(T48&lt;&gt;"",INDIRECT(T48&amp;"!"&amp;$F$10),"")</f>
        <v/>
      </c>
    </row>
    <row r="99" spans="2:21" x14ac:dyDescent="0.4">
      <c r="B99" s="1178" t="s">
        <v>99</v>
      </c>
      <c r="C99" s="1181" t="s">
        <v>101</v>
      </c>
      <c r="D99" s="89" t="str">
        <f>$D$7</f>
        <v>Débitmètre en charge</v>
      </c>
      <c r="E99" s="1175" t="str">
        <f ca="1">IFERROR(AVERAGE(F101:F103)*$B$5,"")</f>
        <v/>
      </c>
      <c r="F99" s="125" t="str">
        <f t="shared" ca="1" si="1"/>
        <v/>
      </c>
      <c r="G99" s="120" t="str" cm="1">
        <f t="array" aca="1" ref="G99" ca="1">IF(F49&lt;&gt;"",INDIRECT(F49&amp;"!"&amp;$F$7),"")</f>
        <v/>
      </c>
      <c r="H99" s="90" t="str" cm="1">
        <f t="array" aca="1" ref="H99" ca="1">IF(G49&lt;&gt;"",INDIRECT(G49&amp;"!"&amp;$F$7),"")</f>
        <v/>
      </c>
      <c r="I99" s="90" t="str" cm="1">
        <f t="array" aca="1" ref="I99" ca="1">IF(H49&lt;&gt;"",INDIRECT(H49&amp;"!"&amp;$F$7),"")</f>
        <v/>
      </c>
      <c r="J99" s="90" t="str" cm="1">
        <f t="array" aca="1" ref="J99" ca="1">IF(I49&lt;&gt;"",INDIRECT(I49&amp;"!"&amp;$F$7),"")</f>
        <v/>
      </c>
      <c r="K99" s="90" t="str" cm="1">
        <f t="array" aca="1" ref="K99" ca="1">IF(J49&lt;&gt;"",INDIRECT(J49&amp;"!"&amp;$F$7),"")</f>
        <v/>
      </c>
      <c r="L99" s="90" t="str" cm="1">
        <f t="array" aca="1" ref="L99" ca="1">IF(K49&lt;&gt;"",INDIRECT(K49&amp;"!"&amp;$F$7),"")</f>
        <v/>
      </c>
      <c r="M99" s="90" t="str" cm="1">
        <f t="array" aca="1" ref="M99" ca="1">IF(L49&lt;&gt;"",INDIRECT(L49&amp;"!"&amp;$F$7),"")</f>
        <v/>
      </c>
      <c r="N99" s="90" t="str" cm="1">
        <f t="array" aca="1" ref="N99" ca="1">IF(M49&lt;&gt;"",INDIRECT(M49&amp;"!"&amp;$F$7),"")</f>
        <v/>
      </c>
      <c r="O99" s="90" t="str" cm="1">
        <f t="array" aca="1" ref="O99" ca="1">IF(N49&lt;&gt;"",INDIRECT(N49&amp;"!"&amp;$F$7),"")</f>
        <v/>
      </c>
      <c r="P99" s="90" t="str" cm="1">
        <f t="array" aca="1" ref="P99" ca="1">IF(O49&lt;&gt;"",INDIRECT(O49&amp;"!"&amp;$F$7),"")</f>
        <v/>
      </c>
      <c r="Q99" s="90" t="str" cm="1">
        <f t="array" aca="1" ref="Q99" ca="1">IF(P49&lt;&gt;"",INDIRECT(P49&amp;"!"&amp;$F$7),"")</f>
        <v/>
      </c>
      <c r="R99" s="90" t="str" cm="1">
        <f t="array" aca="1" ref="R99" ca="1">IF(Q49&lt;&gt;"",INDIRECT(Q49&amp;"!"&amp;$F$7),"")</f>
        <v/>
      </c>
      <c r="S99" s="90" t="str" cm="1">
        <f t="array" aca="1" ref="S99" ca="1">IF(R49&lt;&gt;"",INDIRECT(R49&amp;"!"&amp;$F$7),"")</f>
        <v/>
      </c>
      <c r="T99" s="90" t="str" cm="1">
        <f t="array" aca="1" ref="T99" ca="1">IF(S49&lt;&gt;"",INDIRECT(S49&amp;"!"&amp;$F$7),"")</f>
        <v/>
      </c>
      <c r="U99" s="91" t="str" cm="1">
        <f t="array" aca="1" ref="U99" ca="1">IF(T49&lt;&gt;"",INDIRECT(T49&amp;"!"&amp;$F$7),"")</f>
        <v/>
      </c>
    </row>
    <row r="100" spans="2:21" x14ac:dyDescent="0.4">
      <c r="B100" s="1179"/>
      <c r="C100" s="1182"/>
      <c r="D100" s="88" t="str">
        <f>$D$8</f>
        <v>Débitmètre gravitaire</v>
      </c>
      <c r="E100" s="1176"/>
      <c r="F100" s="126" t="str">
        <f t="shared" ca="1" si="1"/>
        <v/>
      </c>
      <c r="G100" s="121" t="str" cm="1">
        <f t="array" aca="1" ref="G100" ca="1">IF(F50&lt;&gt;"",INDIRECT(F50&amp;"!"&amp;$F$8),"")</f>
        <v/>
      </c>
      <c r="H100" s="10" t="str" cm="1">
        <f t="array" aca="1" ref="H100" ca="1">IF(G50&lt;&gt;"",INDIRECT(G50&amp;"!"&amp;$F$8),"")</f>
        <v/>
      </c>
      <c r="I100" s="10" t="str" cm="1">
        <f t="array" aca="1" ref="I100" ca="1">IF(H50&lt;&gt;"",INDIRECT(H50&amp;"!"&amp;$F$8),"")</f>
        <v/>
      </c>
      <c r="J100" s="10" t="str" cm="1">
        <f t="array" aca="1" ref="J100" ca="1">IF(I50&lt;&gt;"",INDIRECT(I50&amp;"!"&amp;$F$8),"")</f>
        <v/>
      </c>
      <c r="K100" s="10" t="str" cm="1">
        <f t="array" aca="1" ref="K100" ca="1">IF(J50&lt;&gt;"",INDIRECT(J50&amp;"!"&amp;$F$8),"")</f>
        <v/>
      </c>
      <c r="L100" s="10" t="str" cm="1">
        <f t="array" aca="1" ref="L100" ca="1">IF(K50&lt;&gt;"",INDIRECT(K50&amp;"!"&amp;$F$8),"")</f>
        <v/>
      </c>
      <c r="M100" s="10" t="str" cm="1">
        <f t="array" aca="1" ref="M100" ca="1">IF(L50&lt;&gt;"",INDIRECT(L50&amp;"!"&amp;$F$8),"")</f>
        <v/>
      </c>
      <c r="N100" s="10" t="str" cm="1">
        <f t="array" aca="1" ref="N100" ca="1">IF(M50&lt;&gt;"",INDIRECT(M50&amp;"!"&amp;$F$8),"")</f>
        <v/>
      </c>
      <c r="O100" s="10" t="str" cm="1">
        <f t="array" aca="1" ref="O100" ca="1">IF(N50&lt;&gt;"",INDIRECT(N50&amp;"!"&amp;$F$8),"")</f>
        <v/>
      </c>
      <c r="P100" s="10" t="str" cm="1">
        <f t="array" aca="1" ref="P100" ca="1">IF(O50&lt;&gt;"",INDIRECT(O50&amp;"!"&amp;$F$8),"")</f>
        <v/>
      </c>
      <c r="Q100" s="10" t="str" cm="1">
        <f t="array" aca="1" ref="Q100" ca="1">IF(P50&lt;&gt;"",INDIRECT(P50&amp;"!"&amp;$F$8),"")</f>
        <v/>
      </c>
      <c r="R100" s="10" t="str" cm="1">
        <f t="array" aca="1" ref="R100" ca="1">IF(Q50&lt;&gt;"",INDIRECT(Q50&amp;"!"&amp;$F$8),"")</f>
        <v/>
      </c>
      <c r="S100" s="10" t="str" cm="1">
        <f t="array" aca="1" ref="S100" ca="1">IF(R50&lt;&gt;"",INDIRECT(R50&amp;"!"&amp;$F$8),"")</f>
        <v/>
      </c>
      <c r="T100" s="10" t="str" cm="1">
        <f t="array" aca="1" ref="T100" ca="1">IF(S50&lt;&gt;"",INDIRECT(S50&amp;"!"&amp;$F$8),"")</f>
        <v/>
      </c>
      <c r="U100" s="92" t="str" cm="1">
        <f t="array" aca="1" ref="U100" ca="1">IF(T50&lt;&gt;"",INDIRECT(T50&amp;"!"&amp;$F$8),"")</f>
        <v/>
      </c>
    </row>
    <row r="101" spans="2:21" x14ac:dyDescent="0.4">
      <c r="B101" s="1179"/>
      <c r="C101" s="1182"/>
      <c r="D101" s="88" t="s">
        <v>400</v>
      </c>
      <c r="E101" s="1176"/>
      <c r="F101" s="126" t="str">
        <f t="shared" ca="1" si="1"/>
        <v/>
      </c>
      <c r="G101" s="122" t="str">
        <f ca="1">IF(COUNT(G99:G100)&gt;0,SUM(G99:G100),"")</f>
        <v/>
      </c>
      <c r="H101" s="111" t="str">
        <f t="shared" ref="H101:U101" ca="1" si="8">IF(COUNT(H99:H100)&gt;0,SUM(H99:H100),"")</f>
        <v/>
      </c>
      <c r="I101" s="111" t="str">
        <f t="shared" ca="1" si="8"/>
        <v/>
      </c>
      <c r="J101" s="111" t="str">
        <f t="shared" ca="1" si="8"/>
        <v/>
      </c>
      <c r="K101" s="111" t="str">
        <f t="shared" ca="1" si="8"/>
        <v/>
      </c>
      <c r="L101" s="111" t="str">
        <f t="shared" ca="1" si="8"/>
        <v/>
      </c>
      <c r="M101" s="111" t="str">
        <f t="shared" ca="1" si="8"/>
        <v/>
      </c>
      <c r="N101" s="111" t="str">
        <f t="shared" ca="1" si="8"/>
        <v/>
      </c>
      <c r="O101" s="111" t="str">
        <f t="shared" ca="1" si="8"/>
        <v/>
      </c>
      <c r="P101" s="111" t="str">
        <f t="shared" ca="1" si="8"/>
        <v/>
      </c>
      <c r="Q101" s="111" t="str">
        <f t="shared" ca="1" si="8"/>
        <v/>
      </c>
      <c r="R101" s="111" t="str">
        <f t="shared" ca="1" si="8"/>
        <v/>
      </c>
      <c r="S101" s="111" t="str">
        <f t="shared" ca="1" si="8"/>
        <v/>
      </c>
      <c r="T101" s="111" t="str">
        <f t="shared" ca="1" si="8"/>
        <v/>
      </c>
      <c r="U101" s="112" t="str">
        <f t="shared" ca="1" si="8"/>
        <v/>
      </c>
    </row>
    <row r="102" spans="2:21" x14ac:dyDescent="0.4">
      <c r="B102" s="1179"/>
      <c r="C102" s="1182"/>
      <c r="D102" s="88" t="str">
        <f>$D$9</f>
        <v>Préleveur</v>
      </c>
      <c r="E102" s="1176"/>
      <c r="F102" s="126" t="str">
        <f t="shared" ca="1" si="1"/>
        <v/>
      </c>
      <c r="G102" s="121" t="str" cm="1">
        <f t="array" aca="1" ref="G102" ca="1">IF(F51&lt;&gt;"",INDIRECT(F51&amp;"!"&amp;$F$9),"")</f>
        <v/>
      </c>
      <c r="H102" s="10" t="str" cm="1">
        <f t="array" aca="1" ref="H102" ca="1">IF(G51&lt;&gt;"",INDIRECT(G51&amp;"!"&amp;$F$9),"")</f>
        <v/>
      </c>
      <c r="I102" s="10" t="str" cm="1">
        <f t="array" aca="1" ref="I102" ca="1">IF(H51&lt;&gt;"",INDIRECT(H51&amp;"!"&amp;$F$9),"")</f>
        <v/>
      </c>
      <c r="J102" s="10" t="str" cm="1">
        <f t="array" aca="1" ref="J102" ca="1">IF(I51&lt;&gt;"",INDIRECT(I51&amp;"!"&amp;$F$9),"")</f>
        <v/>
      </c>
      <c r="K102" s="10" t="str" cm="1">
        <f t="array" aca="1" ref="K102" ca="1">IF(J51&lt;&gt;"",INDIRECT(J51&amp;"!"&amp;$F$9),"")</f>
        <v/>
      </c>
      <c r="L102" s="10" t="str" cm="1">
        <f t="array" aca="1" ref="L102" ca="1">IF(K51&lt;&gt;"",INDIRECT(K51&amp;"!"&amp;$F$9),"")</f>
        <v/>
      </c>
      <c r="M102" s="10" t="str" cm="1">
        <f t="array" aca="1" ref="M102" ca="1">IF(L51&lt;&gt;"",INDIRECT(L51&amp;"!"&amp;$F$9),"")</f>
        <v/>
      </c>
      <c r="N102" s="10" t="str" cm="1">
        <f t="array" aca="1" ref="N102" ca="1">IF(M51&lt;&gt;"",INDIRECT(M51&amp;"!"&amp;$F$9),"")</f>
        <v/>
      </c>
      <c r="O102" s="10" t="str" cm="1">
        <f t="array" aca="1" ref="O102" ca="1">IF(N51&lt;&gt;"",INDIRECT(N51&amp;"!"&amp;$F$9),"")</f>
        <v/>
      </c>
      <c r="P102" s="10" t="str" cm="1">
        <f t="array" aca="1" ref="P102" ca="1">IF(O51&lt;&gt;"",INDIRECT(O51&amp;"!"&amp;$F$9),"")</f>
        <v/>
      </c>
      <c r="Q102" s="10" t="str" cm="1">
        <f t="array" aca="1" ref="Q102" ca="1">IF(P51&lt;&gt;"",INDIRECT(P51&amp;"!"&amp;$F$9),"")</f>
        <v/>
      </c>
      <c r="R102" s="10" t="str" cm="1">
        <f t="array" aca="1" ref="R102" ca="1">IF(Q51&lt;&gt;"",INDIRECT(Q51&amp;"!"&amp;$F$9),"")</f>
        <v/>
      </c>
      <c r="S102" s="10" t="str" cm="1">
        <f t="array" aca="1" ref="S102" ca="1">IF(R51&lt;&gt;"",INDIRECT(R51&amp;"!"&amp;$F$9),"")</f>
        <v/>
      </c>
      <c r="T102" s="10" t="str" cm="1">
        <f t="array" aca="1" ref="T102" ca="1">IF(S51&lt;&gt;"",INDIRECT(S51&amp;"!"&amp;$F$9),"")</f>
        <v/>
      </c>
      <c r="U102" s="92" t="str" cm="1">
        <f t="array" aca="1" ref="U102" ca="1">IF(T51&lt;&gt;"",INDIRECT(T51&amp;"!"&amp;$F$9),"")</f>
        <v/>
      </c>
    </row>
    <row r="103" spans="2:21" x14ac:dyDescent="0.4">
      <c r="B103" s="1179"/>
      <c r="C103" s="1182"/>
      <c r="D103" s="287" t="s">
        <v>392</v>
      </c>
      <c r="E103" s="1176"/>
      <c r="F103" s="126" t="str">
        <f t="shared" ca="1" si="1"/>
        <v/>
      </c>
      <c r="G103" s="288" t="str">
        <f ca="1">IF(F52&lt;&gt;"",VLOOKUP(F52,Analytique!$X$3:$AE$29,6,FALSE),"")</f>
        <v/>
      </c>
      <c r="H103" s="288" t="str">
        <f ca="1">IF(G52&lt;&gt;"",VLOOKUP(G52,Analytique!$X$3:$AE$29,6,FALSE),"")</f>
        <v/>
      </c>
      <c r="I103" s="288" t="str">
        <f ca="1">IF(H52&lt;&gt;"",VLOOKUP(H52,Analytique!$X$3:$AE$29,6,FALSE),"")</f>
        <v/>
      </c>
      <c r="J103" s="288" t="str">
        <f ca="1">IF(I52&lt;&gt;"",VLOOKUP(I52,Analytique!$X$3:$AE$29,6,FALSE),"")</f>
        <v/>
      </c>
      <c r="K103" s="288" t="str">
        <f ca="1">IF(J52&lt;&gt;"",VLOOKUP(J52,Analytique!$X$3:$AE$29,6,FALSE),"")</f>
        <v/>
      </c>
      <c r="L103" s="288" t="str">
        <f ca="1">IF(K52&lt;&gt;"",VLOOKUP(K52,Analytique!$X$3:$AE$29,6,FALSE),"")</f>
        <v/>
      </c>
      <c r="M103" s="288" t="str">
        <f ca="1">IF(L52&lt;&gt;"",VLOOKUP(L52,Analytique!$X$3:$AE$29,6,FALSE),"")</f>
        <v/>
      </c>
      <c r="N103" s="288" t="str">
        <f ca="1">IF(M52&lt;&gt;"",VLOOKUP(M52,Analytique!$X$3:$AE$29,6,FALSE),"")</f>
        <v/>
      </c>
      <c r="O103" s="288" t="str">
        <f ca="1">IF(N52&lt;&gt;"",VLOOKUP(N52,Analytique!$X$3:$AE$29,6,FALSE),"")</f>
        <v/>
      </c>
      <c r="P103" s="288" t="str">
        <f ca="1">IF(O52&lt;&gt;"",VLOOKUP(O52,Analytique!$X$3:$AE$29,6,FALSE),"")</f>
        <v/>
      </c>
      <c r="Q103" s="288" t="str">
        <f ca="1">IF(P52&lt;&gt;"",VLOOKUP(P52,Analytique!$X$3:$AE$29,6,FALSE),"")</f>
        <v/>
      </c>
      <c r="R103" s="288" t="str">
        <f ca="1">IF(Q52&lt;&gt;"",VLOOKUP(Q52,Analytique!$X$3:$AE$29,6,FALSE),"")</f>
        <v/>
      </c>
      <c r="S103" s="288" t="str">
        <f ca="1">IF(R52&lt;&gt;"",VLOOKUP(R52,Analytique!$X$3:$AE$29,6,FALSE),"")</f>
        <v/>
      </c>
      <c r="T103" s="288" t="str">
        <f ca="1">IF(S52&lt;&gt;"",VLOOKUP(S52,Analytique!$X$3:$AE$29,6,FALSE),"")</f>
        <v/>
      </c>
      <c r="U103" s="288" t="str">
        <f ca="1">IF(T52&lt;&gt;"",VLOOKUP(T52,Analytique!$X$3:$AE$29,6,FALSE),"")</f>
        <v/>
      </c>
    </row>
    <row r="104" spans="2:21" ht="13" thickBot="1" x14ac:dyDescent="0.45">
      <c r="B104" s="1180"/>
      <c r="C104" s="1183"/>
      <c r="D104" s="93" t="str">
        <f>$D$10</f>
        <v>Sonde de température</v>
      </c>
      <c r="E104" s="1177"/>
      <c r="F104" s="127" t="str">
        <f t="shared" ca="1" si="1"/>
        <v/>
      </c>
      <c r="G104" s="123" t="str" cm="1">
        <f t="array" aca="1" ref="G104" ca="1">IF(F53&lt;&gt;"",INDIRECT(F53&amp;"!"&amp;$F$10),"")</f>
        <v/>
      </c>
      <c r="H104" s="96" t="str" cm="1">
        <f t="array" aca="1" ref="H104" ca="1">IF(G53&lt;&gt;"",INDIRECT(G53&amp;"!"&amp;$F$10),"")</f>
        <v/>
      </c>
      <c r="I104" s="96" t="str" cm="1">
        <f t="array" aca="1" ref="I104" ca="1">IF(H53&lt;&gt;"",INDIRECT(H53&amp;"!"&amp;$F$10),"")</f>
        <v/>
      </c>
      <c r="J104" s="96" t="str" cm="1">
        <f t="array" aca="1" ref="J104" ca="1">IF(I53&lt;&gt;"",INDIRECT(I53&amp;"!"&amp;$F$10),"")</f>
        <v/>
      </c>
      <c r="K104" s="96" t="str" cm="1">
        <f t="array" aca="1" ref="K104" ca="1">IF(J53&lt;&gt;"",INDIRECT(J53&amp;"!"&amp;$F$10),"")</f>
        <v/>
      </c>
      <c r="L104" s="96" t="str" cm="1">
        <f t="array" aca="1" ref="L104" ca="1">IF(K53&lt;&gt;"",INDIRECT(K53&amp;"!"&amp;$F$10),"")</f>
        <v/>
      </c>
      <c r="M104" s="96" t="str" cm="1">
        <f t="array" aca="1" ref="M104" ca="1">IF(L53&lt;&gt;"",INDIRECT(L53&amp;"!"&amp;$F$10),"")</f>
        <v/>
      </c>
      <c r="N104" s="96" t="str" cm="1">
        <f t="array" aca="1" ref="N104" ca="1">IF(M53&lt;&gt;"",INDIRECT(M53&amp;"!"&amp;$F$10),"")</f>
        <v/>
      </c>
      <c r="O104" s="96" t="str" cm="1">
        <f t="array" aca="1" ref="O104" ca="1">IF(N53&lt;&gt;"",INDIRECT(N53&amp;"!"&amp;$F$10),"")</f>
        <v/>
      </c>
      <c r="P104" s="96" t="str" cm="1">
        <f t="array" aca="1" ref="P104" ca="1">IF(O53&lt;&gt;"",INDIRECT(O53&amp;"!"&amp;$F$10),"")</f>
        <v/>
      </c>
      <c r="Q104" s="96" t="str" cm="1">
        <f t="array" aca="1" ref="Q104" ca="1">IF(P53&lt;&gt;"",INDIRECT(P53&amp;"!"&amp;$F$10),"")</f>
        <v/>
      </c>
      <c r="R104" s="96" t="str" cm="1">
        <f t="array" aca="1" ref="R104" ca="1">IF(Q53&lt;&gt;"",INDIRECT(Q53&amp;"!"&amp;$F$10),"")</f>
        <v/>
      </c>
      <c r="S104" s="96" t="str" cm="1">
        <f t="array" aca="1" ref="S104" ca="1">IF(R53&lt;&gt;"",INDIRECT(R53&amp;"!"&amp;$F$10),"")</f>
        <v/>
      </c>
      <c r="T104" s="96" t="str" cm="1">
        <f t="array" aca="1" ref="T104" ca="1">IF(S53&lt;&gt;"",INDIRECT(S53&amp;"!"&amp;$F$10),"")</f>
        <v/>
      </c>
      <c r="U104" s="97" t="str" cm="1">
        <f t="array" aca="1" ref="U104" ca="1">IF(T53&lt;&gt;"",INDIRECT(T53&amp;"!"&amp;$F$10),"")</f>
        <v/>
      </c>
    </row>
    <row r="105" spans="2:21" x14ac:dyDescent="0.4">
      <c r="B105" s="1178" t="s">
        <v>113</v>
      </c>
      <c r="C105" s="1181" t="s">
        <v>120</v>
      </c>
      <c r="D105" s="89" t="str">
        <f>$D$7</f>
        <v>Débitmètre en charge</v>
      </c>
      <c r="E105" s="1175" t="str">
        <f ca="1">IFERROR(AVERAGE(F107:F109)*$B$5,"")</f>
        <v/>
      </c>
      <c r="F105" s="125" t="str">
        <f t="shared" ca="1" si="1"/>
        <v/>
      </c>
      <c r="G105" s="120" t="str" cm="1">
        <f t="array" aca="1" ref="G105" ca="1">IF(F54&lt;&gt;"",INDIRECT(F54&amp;"!"&amp;$F$7),"")</f>
        <v/>
      </c>
      <c r="H105" s="90" t="str" cm="1">
        <f t="array" aca="1" ref="H105" ca="1">IF(G54&lt;&gt;"",INDIRECT(G54&amp;"!"&amp;$F$7),"")</f>
        <v/>
      </c>
      <c r="I105" s="90" t="str" cm="1">
        <f t="array" aca="1" ref="I105" ca="1">IF(H54&lt;&gt;"",INDIRECT(H54&amp;"!"&amp;$F$7),"")</f>
        <v/>
      </c>
      <c r="J105" s="90" t="str" cm="1">
        <f t="array" aca="1" ref="J105" ca="1">IF(I54&lt;&gt;"",INDIRECT(I54&amp;"!"&amp;$F$7),"")</f>
        <v/>
      </c>
      <c r="K105" s="90" t="str" cm="1">
        <f t="array" aca="1" ref="K105" ca="1">IF(J54&lt;&gt;"",INDIRECT(J54&amp;"!"&amp;$F$7),"")</f>
        <v/>
      </c>
      <c r="L105" s="90" t="str" cm="1">
        <f t="array" aca="1" ref="L105" ca="1">IF(K54&lt;&gt;"",INDIRECT(K54&amp;"!"&amp;$F$7),"")</f>
        <v/>
      </c>
      <c r="M105" s="90" t="str" cm="1">
        <f t="array" aca="1" ref="M105" ca="1">IF(L54&lt;&gt;"",INDIRECT(L54&amp;"!"&amp;$F$7),"")</f>
        <v/>
      </c>
      <c r="N105" s="90" t="str" cm="1">
        <f t="array" aca="1" ref="N105" ca="1">IF(M54&lt;&gt;"",INDIRECT(M54&amp;"!"&amp;$F$7),"")</f>
        <v/>
      </c>
      <c r="O105" s="90" t="str" cm="1">
        <f t="array" aca="1" ref="O105" ca="1">IF(N54&lt;&gt;"",INDIRECT(N54&amp;"!"&amp;$F$7),"")</f>
        <v/>
      </c>
      <c r="P105" s="90" t="str" cm="1">
        <f t="array" aca="1" ref="P105" ca="1">IF(O54&lt;&gt;"",INDIRECT(O54&amp;"!"&amp;$F$7),"")</f>
        <v/>
      </c>
      <c r="Q105" s="90" t="str" cm="1">
        <f t="array" aca="1" ref="Q105" ca="1">IF(P54&lt;&gt;"",INDIRECT(P54&amp;"!"&amp;$F$7),"")</f>
        <v/>
      </c>
      <c r="R105" s="90" t="str" cm="1">
        <f t="array" aca="1" ref="R105" ca="1">IF(Q54&lt;&gt;"",INDIRECT(Q54&amp;"!"&amp;$F$7),"")</f>
        <v/>
      </c>
      <c r="S105" s="90" t="str" cm="1">
        <f t="array" aca="1" ref="S105" ca="1">IF(R54&lt;&gt;"",INDIRECT(R54&amp;"!"&amp;$F$7),"")</f>
        <v/>
      </c>
      <c r="T105" s="90" t="str" cm="1">
        <f t="array" aca="1" ref="T105" ca="1">IF(S54&lt;&gt;"",INDIRECT(S54&amp;"!"&amp;$F$7),"")</f>
        <v/>
      </c>
      <c r="U105" s="91" t="str" cm="1">
        <f t="array" aca="1" ref="U105" ca="1">IF(T54&lt;&gt;"",INDIRECT(T54&amp;"!"&amp;$F$7),"")</f>
        <v/>
      </c>
    </row>
    <row r="106" spans="2:21" x14ac:dyDescent="0.4">
      <c r="B106" s="1179"/>
      <c r="C106" s="1182"/>
      <c r="D106" s="88" t="str">
        <f>$D$8</f>
        <v>Débitmètre gravitaire</v>
      </c>
      <c r="E106" s="1176"/>
      <c r="F106" s="126" t="str">
        <f t="shared" ca="1" si="1"/>
        <v/>
      </c>
      <c r="G106" s="121" t="str" cm="1">
        <f t="array" aca="1" ref="G106" ca="1">IF(F55&lt;&gt;"",INDIRECT(F55&amp;"!"&amp;$F$8),"")</f>
        <v/>
      </c>
      <c r="H106" s="10" t="str" cm="1">
        <f t="array" aca="1" ref="H106" ca="1">IF(G55&lt;&gt;"",INDIRECT(G55&amp;"!"&amp;$F$8),"")</f>
        <v/>
      </c>
      <c r="I106" s="10" t="str" cm="1">
        <f t="array" aca="1" ref="I106" ca="1">IF(H55&lt;&gt;"",INDIRECT(H55&amp;"!"&amp;$F$8),"")</f>
        <v/>
      </c>
      <c r="J106" s="10" t="str" cm="1">
        <f t="array" aca="1" ref="J106" ca="1">IF(I55&lt;&gt;"",INDIRECT(I55&amp;"!"&amp;$F$8),"")</f>
        <v/>
      </c>
      <c r="K106" s="10" t="str" cm="1">
        <f t="array" aca="1" ref="K106" ca="1">IF(J55&lt;&gt;"",INDIRECT(J55&amp;"!"&amp;$F$8),"")</f>
        <v/>
      </c>
      <c r="L106" s="10" t="str" cm="1">
        <f t="array" aca="1" ref="L106" ca="1">IF(K55&lt;&gt;"",INDIRECT(K55&amp;"!"&amp;$F$8),"")</f>
        <v/>
      </c>
      <c r="M106" s="10" t="str" cm="1">
        <f t="array" aca="1" ref="M106" ca="1">IF(L55&lt;&gt;"",INDIRECT(L55&amp;"!"&amp;$F$8),"")</f>
        <v/>
      </c>
      <c r="N106" s="10" t="str" cm="1">
        <f t="array" aca="1" ref="N106" ca="1">IF(M55&lt;&gt;"",INDIRECT(M55&amp;"!"&amp;$F$8),"")</f>
        <v/>
      </c>
      <c r="O106" s="10" t="str" cm="1">
        <f t="array" aca="1" ref="O106" ca="1">IF(N55&lt;&gt;"",INDIRECT(N55&amp;"!"&amp;$F$8),"")</f>
        <v/>
      </c>
      <c r="P106" s="10" t="str" cm="1">
        <f t="array" aca="1" ref="P106" ca="1">IF(O55&lt;&gt;"",INDIRECT(O55&amp;"!"&amp;$F$8),"")</f>
        <v/>
      </c>
      <c r="Q106" s="10" t="str" cm="1">
        <f t="array" aca="1" ref="Q106" ca="1">IF(P55&lt;&gt;"",INDIRECT(P55&amp;"!"&amp;$F$8),"")</f>
        <v/>
      </c>
      <c r="R106" s="10" t="str" cm="1">
        <f t="array" aca="1" ref="R106" ca="1">IF(Q55&lt;&gt;"",INDIRECT(Q55&amp;"!"&amp;$F$8),"")</f>
        <v/>
      </c>
      <c r="S106" s="10" t="str" cm="1">
        <f t="array" aca="1" ref="S106" ca="1">IF(R55&lt;&gt;"",INDIRECT(R55&amp;"!"&amp;$F$8),"")</f>
        <v/>
      </c>
      <c r="T106" s="10" t="str" cm="1">
        <f t="array" aca="1" ref="T106" ca="1">IF(S55&lt;&gt;"",INDIRECT(S55&amp;"!"&amp;$F$8),"")</f>
        <v/>
      </c>
      <c r="U106" s="92" t="str" cm="1">
        <f t="array" aca="1" ref="U106" ca="1">IF(T55&lt;&gt;"",INDIRECT(T55&amp;"!"&amp;$F$8),"")</f>
        <v/>
      </c>
    </row>
    <row r="107" spans="2:21" x14ac:dyDescent="0.4">
      <c r="B107" s="1179"/>
      <c r="C107" s="1182"/>
      <c r="D107" s="88" t="s">
        <v>400</v>
      </c>
      <c r="E107" s="1176"/>
      <c r="F107" s="126" t="str">
        <f t="shared" ca="1" si="1"/>
        <v/>
      </c>
      <c r="G107" s="122" t="str">
        <f ca="1">IF(COUNT(G105:G106)&gt;0,SUM(G105:G106),"")</f>
        <v/>
      </c>
      <c r="H107" s="111" t="str">
        <f t="shared" ref="H107:U107" ca="1" si="9">IF(COUNT(H105:H106)&gt;0,SUM(H105:H106),"")</f>
        <v/>
      </c>
      <c r="I107" s="111" t="str">
        <f t="shared" ca="1" si="9"/>
        <v/>
      </c>
      <c r="J107" s="111" t="str">
        <f t="shared" ca="1" si="9"/>
        <v/>
      </c>
      <c r="K107" s="111" t="str">
        <f t="shared" ca="1" si="9"/>
        <v/>
      </c>
      <c r="L107" s="111" t="str">
        <f t="shared" ca="1" si="9"/>
        <v/>
      </c>
      <c r="M107" s="111" t="str">
        <f t="shared" ca="1" si="9"/>
        <v/>
      </c>
      <c r="N107" s="111" t="str">
        <f t="shared" ca="1" si="9"/>
        <v/>
      </c>
      <c r="O107" s="111" t="str">
        <f t="shared" ca="1" si="9"/>
        <v/>
      </c>
      <c r="P107" s="111" t="str">
        <f t="shared" ca="1" si="9"/>
        <v/>
      </c>
      <c r="Q107" s="111" t="str">
        <f t="shared" ca="1" si="9"/>
        <v/>
      </c>
      <c r="R107" s="111" t="str">
        <f t="shared" ca="1" si="9"/>
        <v/>
      </c>
      <c r="S107" s="111" t="str">
        <f t="shared" ca="1" si="9"/>
        <v/>
      </c>
      <c r="T107" s="111" t="str">
        <f t="shared" ca="1" si="9"/>
        <v/>
      </c>
      <c r="U107" s="112" t="str">
        <f t="shared" ca="1" si="9"/>
        <v/>
      </c>
    </row>
    <row r="108" spans="2:21" x14ac:dyDescent="0.4">
      <c r="B108" s="1179"/>
      <c r="C108" s="1182"/>
      <c r="D108" s="88" t="str">
        <f>$D$9</f>
        <v>Préleveur</v>
      </c>
      <c r="E108" s="1176"/>
      <c r="F108" s="126" t="str">
        <f t="shared" ca="1" si="1"/>
        <v/>
      </c>
      <c r="G108" s="121" t="str" cm="1">
        <f t="array" aca="1" ref="G108" ca="1">IF(F56&lt;&gt;"",INDIRECT(F56&amp;"!"&amp;$F$9),"")</f>
        <v/>
      </c>
      <c r="H108" s="10" t="str" cm="1">
        <f t="array" aca="1" ref="H108" ca="1">IF(G56&lt;&gt;"",INDIRECT(G56&amp;"!"&amp;$F$9),"")</f>
        <v/>
      </c>
      <c r="I108" s="10" t="str" cm="1">
        <f t="array" aca="1" ref="I108" ca="1">IF(H56&lt;&gt;"",INDIRECT(H56&amp;"!"&amp;$F$9),"")</f>
        <v/>
      </c>
      <c r="J108" s="10" t="str" cm="1">
        <f t="array" aca="1" ref="J108" ca="1">IF(I56&lt;&gt;"",INDIRECT(I56&amp;"!"&amp;$F$9),"")</f>
        <v/>
      </c>
      <c r="K108" s="10" t="str" cm="1">
        <f t="array" aca="1" ref="K108" ca="1">IF(J56&lt;&gt;"",INDIRECT(J56&amp;"!"&amp;$F$9),"")</f>
        <v/>
      </c>
      <c r="L108" s="10" t="str" cm="1">
        <f t="array" aca="1" ref="L108" ca="1">IF(K56&lt;&gt;"",INDIRECT(K56&amp;"!"&amp;$F$9),"")</f>
        <v/>
      </c>
      <c r="M108" s="10" t="str" cm="1">
        <f t="array" aca="1" ref="M108" ca="1">IF(L56&lt;&gt;"",INDIRECT(L56&amp;"!"&amp;$F$9),"")</f>
        <v/>
      </c>
      <c r="N108" s="10" t="str" cm="1">
        <f t="array" aca="1" ref="N108" ca="1">IF(M56&lt;&gt;"",INDIRECT(M56&amp;"!"&amp;$F$9),"")</f>
        <v/>
      </c>
      <c r="O108" s="10" t="str" cm="1">
        <f t="array" aca="1" ref="O108" ca="1">IF(N56&lt;&gt;"",INDIRECT(N56&amp;"!"&amp;$F$9),"")</f>
        <v/>
      </c>
      <c r="P108" s="10" t="str" cm="1">
        <f t="array" aca="1" ref="P108" ca="1">IF(O56&lt;&gt;"",INDIRECT(O56&amp;"!"&amp;$F$9),"")</f>
        <v/>
      </c>
      <c r="Q108" s="10" t="str" cm="1">
        <f t="array" aca="1" ref="Q108" ca="1">IF(P56&lt;&gt;"",INDIRECT(P56&amp;"!"&amp;$F$9),"")</f>
        <v/>
      </c>
      <c r="R108" s="10" t="str" cm="1">
        <f t="array" aca="1" ref="R108" ca="1">IF(Q56&lt;&gt;"",INDIRECT(Q56&amp;"!"&amp;$F$9),"")</f>
        <v/>
      </c>
      <c r="S108" s="10" t="str" cm="1">
        <f t="array" aca="1" ref="S108" ca="1">IF(R56&lt;&gt;"",INDIRECT(R56&amp;"!"&amp;$F$9),"")</f>
        <v/>
      </c>
      <c r="T108" s="10" t="str" cm="1">
        <f t="array" aca="1" ref="T108" ca="1">IF(S56&lt;&gt;"",INDIRECT(S56&amp;"!"&amp;$F$9),"")</f>
        <v/>
      </c>
      <c r="U108" s="92" t="str" cm="1">
        <f t="array" aca="1" ref="U108" ca="1">IF(T56&lt;&gt;"",INDIRECT(T56&amp;"!"&amp;$F$9),"")</f>
        <v/>
      </c>
    </row>
    <row r="109" spans="2:21" x14ac:dyDescent="0.4">
      <c r="B109" s="1179"/>
      <c r="C109" s="1182"/>
      <c r="D109" s="287" t="s">
        <v>392</v>
      </c>
      <c r="E109" s="1176"/>
      <c r="F109" s="126" t="str">
        <f t="shared" ca="1" si="1"/>
        <v/>
      </c>
      <c r="G109" s="288" t="str">
        <f ca="1">IF(F57&lt;&gt;"",VLOOKUP(F57,Analytique!$X$3:$AE$29,6,FALSE),"")</f>
        <v/>
      </c>
      <c r="H109" s="288" t="str">
        <f ca="1">IF(G64&lt;&gt;"",VLOOKUP(G64,Analytique!$X$3:$AE$29,6,FALSE),"")</f>
        <v/>
      </c>
      <c r="I109" s="288" t="str">
        <f ca="1">IF(H64&lt;&gt;"",VLOOKUP(H64,Analytique!$X$3:$AE$29,6,FALSE),"")</f>
        <v/>
      </c>
      <c r="J109" s="288" t="str">
        <f ca="1">IF(I64&lt;&gt;"",VLOOKUP(I64,Analytique!$X$3:$AE$29,6,FALSE),"")</f>
        <v/>
      </c>
      <c r="K109" s="288" t="str">
        <f ca="1">IF(J64&lt;&gt;"",VLOOKUP(J64,Analytique!$X$3:$AE$29,6,FALSE),"")</f>
        <v/>
      </c>
      <c r="L109" s="288" t="str">
        <f ca="1">IF(K64&lt;&gt;"",VLOOKUP(K64,Analytique!$X$3:$AE$29,6,FALSE),"")</f>
        <v/>
      </c>
      <c r="M109" s="288" t="str">
        <f ca="1">IF(L64&lt;&gt;"",VLOOKUP(L64,Analytique!$X$3:$AE$29,6,FALSE),"")</f>
        <v/>
      </c>
      <c r="N109" s="288" t="str">
        <f ca="1">IF(M64&lt;&gt;"",VLOOKUP(M64,Analytique!$X$3:$AE$29,6,FALSE),"")</f>
        <v/>
      </c>
      <c r="O109" s="288" t="str">
        <f ca="1">IF(N64&lt;&gt;"",VLOOKUP(N64,Analytique!$X$3:$AE$29,6,FALSE),"")</f>
        <v/>
      </c>
      <c r="P109" s="288" t="str">
        <f ca="1">IF(O64&lt;&gt;"",VLOOKUP(O64,Analytique!$X$3:$AE$29,6,FALSE),"")</f>
        <v/>
      </c>
      <c r="Q109" s="288" t="str">
        <f ca="1">IF(P64&lt;&gt;"",VLOOKUP(P64,Analytique!$X$3:$AE$29,6,FALSE),"")</f>
        <v/>
      </c>
      <c r="R109" s="288" t="str">
        <f ca="1">IF(Q64&lt;&gt;"",VLOOKUP(Q64,Analytique!$X$3:$AE$29,6,FALSE),"")</f>
        <v/>
      </c>
      <c r="S109" s="288" t="str">
        <f ca="1">IF(R64&lt;&gt;"",VLOOKUP(R64,Analytique!$X$3:$AE$29,6,FALSE),"")</f>
        <v/>
      </c>
      <c r="T109" s="288" t="str">
        <f ca="1">IF(S64&lt;&gt;"",VLOOKUP(S64,Analytique!$X$3:$AE$29,6,FALSE),"")</f>
        <v/>
      </c>
      <c r="U109" s="289" t="str">
        <f ca="1">IF(T64&lt;&gt;"",VLOOKUP(T64,Analytique!$X$3:$AE$29,6,FALSE),"")</f>
        <v/>
      </c>
    </row>
    <row r="110" spans="2:21" ht="13" thickBot="1" x14ac:dyDescent="0.45">
      <c r="B110" s="1180"/>
      <c r="C110" s="1183"/>
      <c r="D110" s="93" t="str">
        <f>$D$10</f>
        <v>Sonde de température</v>
      </c>
      <c r="E110" s="1177"/>
      <c r="F110" s="127" t="str">
        <f t="shared" ca="1" si="1"/>
        <v/>
      </c>
      <c r="G110" s="123" t="str" cm="1">
        <f t="array" aca="1" ref="G110" ca="1">IF(F58&lt;&gt;"",INDIRECT(F58&amp;"!"&amp;$F$10),"")</f>
        <v/>
      </c>
      <c r="H110" s="96" t="str" cm="1">
        <f t="array" aca="1" ref="H110" ca="1">IF(G58&lt;&gt;"",INDIRECT(G58&amp;"!"&amp;$F$10),"")</f>
        <v/>
      </c>
      <c r="I110" s="96" t="str" cm="1">
        <f t="array" aca="1" ref="I110" ca="1">IF(H58&lt;&gt;"",INDIRECT(H58&amp;"!"&amp;$F$10),"")</f>
        <v/>
      </c>
      <c r="J110" s="96" t="str" cm="1">
        <f t="array" aca="1" ref="J110" ca="1">IF(I58&lt;&gt;"",INDIRECT(I58&amp;"!"&amp;$F$10),"")</f>
        <v/>
      </c>
      <c r="K110" s="96" t="str" cm="1">
        <f t="array" aca="1" ref="K110" ca="1">IF(J58&lt;&gt;"",INDIRECT(J58&amp;"!"&amp;$F$10),"")</f>
        <v/>
      </c>
      <c r="L110" s="96" t="str" cm="1">
        <f t="array" aca="1" ref="L110" ca="1">IF(K58&lt;&gt;"",INDIRECT(K58&amp;"!"&amp;$F$10),"")</f>
        <v/>
      </c>
      <c r="M110" s="96" t="str" cm="1">
        <f t="array" aca="1" ref="M110" ca="1">IF(L58&lt;&gt;"",INDIRECT(L58&amp;"!"&amp;$F$10),"")</f>
        <v/>
      </c>
      <c r="N110" s="96" t="str" cm="1">
        <f t="array" aca="1" ref="N110" ca="1">IF(M58&lt;&gt;"",INDIRECT(M58&amp;"!"&amp;$F$10),"")</f>
        <v/>
      </c>
      <c r="O110" s="96" t="str" cm="1">
        <f t="array" aca="1" ref="O110" ca="1">IF(N58&lt;&gt;"",INDIRECT(N58&amp;"!"&amp;$F$10),"")</f>
        <v/>
      </c>
      <c r="P110" s="96" t="str" cm="1">
        <f t="array" aca="1" ref="P110" ca="1">IF(O58&lt;&gt;"",INDIRECT(O58&amp;"!"&amp;$F$10),"")</f>
        <v/>
      </c>
      <c r="Q110" s="96" t="str" cm="1">
        <f t="array" aca="1" ref="Q110" ca="1">IF(P58&lt;&gt;"",INDIRECT(P58&amp;"!"&amp;$F$10),"")</f>
        <v/>
      </c>
      <c r="R110" s="96" t="str" cm="1">
        <f t="array" aca="1" ref="R110" ca="1">IF(Q58&lt;&gt;"",INDIRECT(Q58&amp;"!"&amp;$F$10),"")</f>
        <v/>
      </c>
      <c r="S110" s="96" t="str" cm="1">
        <f t="array" aca="1" ref="S110" ca="1">IF(R58&lt;&gt;"",INDIRECT(R58&amp;"!"&amp;$F$10),"")</f>
        <v/>
      </c>
      <c r="T110" s="96" t="str" cm="1">
        <f t="array" aca="1" ref="T110" ca="1">IF(S58&lt;&gt;"",INDIRECT(S58&amp;"!"&amp;$F$10),"")</f>
        <v/>
      </c>
      <c r="U110" s="97" t="str" cm="1">
        <f t="array" aca="1" ref="U110" ca="1">IF(T58&lt;&gt;"",INDIRECT(T58&amp;"!"&amp;$F$10),"")</f>
        <v/>
      </c>
    </row>
    <row r="113" spans="2:21" s="84" customFormat="1" ht="23.1" customHeight="1" x14ac:dyDescent="0.4">
      <c r="B113" s="85" t="s">
        <v>28</v>
      </c>
    </row>
    <row r="114" spans="2:21" ht="13" thickBot="1" x14ac:dyDescent="0.45">
      <c r="B114" t="s">
        <v>406</v>
      </c>
    </row>
    <row r="115" spans="2:21" s="9" customFormat="1" ht="15.95" customHeight="1" thickBot="1" x14ac:dyDescent="0.45">
      <c r="B115" s="109" t="s">
        <v>307</v>
      </c>
      <c r="C115" s="110" t="s">
        <v>308</v>
      </c>
      <c r="D115" s="115"/>
      <c r="E115" s="124" t="s">
        <v>318</v>
      </c>
      <c r="F115" s="116" t="s">
        <v>317</v>
      </c>
      <c r="G115" s="113" t="s">
        <v>5</v>
      </c>
      <c r="H115" s="113" t="s">
        <v>6</v>
      </c>
      <c r="I115" s="113" t="s">
        <v>7</v>
      </c>
      <c r="J115" s="113" t="s">
        <v>16</v>
      </c>
      <c r="K115" s="113" t="s">
        <v>17</v>
      </c>
      <c r="L115" s="113" t="s">
        <v>18</v>
      </c>
      <c r="M115" s="113" t="s">
        <v>19</v>
      </c>
      <c r="N115" s="113" t="s">
        <v>20</v>
      </c>
      <c r="O115" s="113" t="s">
        <v>21</v>
      </c>
      <c r="P115" s="113" t="s">
        <v>22</v>
      </c>
      <c r="Q115" s="113" t="s">
        <v>23</v>
      </c>
      <c r="R115" s="114" t="s">
        <v>24</v>
      </c>
      <c r="S115" s="114" t="s">
        <v>301</v>
      </c>
      <c r="T115" s="114" t="s">
        <v>302</v>
      </c>
      <c r="U115" s="114" t="s">
        <v>303</v>
      </c>
    </row>
    <row r="116" spans="2:21" ht="13" thickBot="1" x14ac:dyDescent="0.45">
      <c r="B116" s="1167" t="s">
        <v>95</v>
      </c>
      <c r="C116" s="1171" t="s">
        <v>96</v>
      </c>
      <c r="D116" s="118" t="str">
        <f>$D$7</f>
        <v>Débitmètre en charge</v>
      </c>
      <c r="E116" s="1175" t="str" cm="1">
        <f t="array" aca="1" ref="E116" ca="1">IFERROR(LOOKUP(MIN(IF(LEFT(F116:F120,10)="Non validé",1,IF(F116:F120="Validé avec réserve",2,IF(F116:F120="Validé",3)))),{1,2,3},{"Non validé","Validé avec réserve","Validé"}),"")</f>
        <v/>
      </c>
      <c r="F116" s="118" t="str" cm="1">
        <f t="array" aca="1" ref="F116" ca="1">IFERROR(LOOKUP(MIN(IF(LEFT(G116:U116,10)="Non validé",1,IF(G116:U116="Validé avec réserve",2,IF(G116:U116="Validé",3)))),{1,2,3},{"Non validé","Validé avec réserve","Validé"}),"")</f>
        <v/>
      </c>
      <c r="G116" s="90" t="str" cm="1">
        <f t="array" aca="1" ref="G116" ca="1">IF(F19&lt;&gt;"",INDIRECT(F19&amp;"!"&amp;$G$7),"")</f>
        <v/>
      </c>
      <c r="H116" s="90" t="str" cm="1">
        <f t="array" aca="1" ref="H116" ca="1">IF(G19&lt;&gt;"",INDIRECT(G19&amp;"!"&amp;$G$7),"")</f>
        <v/>
      </c>
      <c r="I116" s="90" t="str" cm="1">
        <f t="array" aca="1" ref="I116" ca="1">IF(H19&lt;&gt;"",INDIRECT(H19&amp;"!"&amp;$G$7),"")</f>
        <v/>
      </c>
      <c r="J116" s="90" t="str" cm="1">
        <f t="array" aca="1" ref="J116" ca="1">IF(I19&lt;&gt;"",INDIRECT(I19&amp;"!"&amp;$G$7),"")</f>
        <v/>
      </c>
      <c r="K116" s="90" t="str" cm="1">
        <f t="array" aca="1" ref="K116" ca="1">IF(J19&lt;&gt;"",INDIRECT(J19&amp;"!"&amp;$G$7),"")</f>
        <v/>
      </c>
      <c r="L116" s="90" t="str" cm="1">
        <f t="array" aca="1" ref="L116" ca="1">IF(K19&lt;&gt;"",INDIRECT(K19&amp;"!"&amp;$G$7),"")</f>
        <v/>
      </c>
      <c r="M116" s="90" t="str" cm="1">
        <f t="array" aca="1" ref="M116" ca="1">IF(L19&lt;&gt;"",INDIRECT(L19&amp;"!"&amp;$G$7),"")</f>
        <v/>
      </c>
      <c r="N116" s="90" t="str" cm="1">
        <f t="array" aca="1" ref="N116" ca="1">IF(M19&lt;&gt;"",INDIRECT(M19&amp;"!"&amp;$G$7),"")</f>
        <v/>
      </c>
      <c r="O116" s="90" t="str" cm="1">
        <f t="array" aca="1" ref="O116" ca="1">IF(N19&lt;&gt;"",INDIRECT(N19&amp;"!"&amp;$G$7),"")</f>
        <v/>
      </c>
      <c r="P116" s="90" t="str" cm="1">
        <f t="array" aca="1" ref="P116" ca="1">IF(O19&lt;&gt;"",INDIRECT(O19&amp;"!"&amp;$G$7),"")</f>
        <v/>
      </c>
      <c r="Q116" s="90" t="str" cm="1">
        <f t="array" aca="1" ref="Q116" ca="1">IF(P19&lt;&gt;"",INDIRECT(P19&amp;"!"&amp;$G$7),"")</f>
        <v/>
      </c>
      <c r="R116" s="90" t="str" cm="1">
        <f t="array" aca="1" ref="R116" ca="1">IF(Q19&lt;&gt;"",INDIRECT(Q19&amp;"!"&amp;$G$7),"")</f>
        <v/>
      </c>
      <c r="S116" s="90" t="str" cm="1">
        <f t="array" aca="1" ref="S116" ca="1">IF(R19&lt;&gt;"",INDIRECT(R19&amp;"!"&amp;$G$7),"")</f>
        <v/>
      </c>
      <c r="T116" s="90" t="str" cm="1">
        <f t="array" aca="1" ref="T116" ca="1">IF(S19&lt;&gt;"",INDIRECT(S19&amp;"!"&amp;$G$7),"")</f>
        <v/>
      </c>
      <c r="U116" s="90" t="str" cm="1">
        <f t="array" aca="1" ref="U116" ca="1">IF(T19&lt;&gt;"",INDIRECT(T19&amp;"!"&amp;$G$7),"")</f>
        <v/>
      </c>
    </row>
    <row r="117" spans="2:21" ht="13" thickBot="1" x14ac:dyDescent="0.45">
      <c r="B117" s="1168"/>
      <c r="C117" s="1172"/>
      <c r="D117" s="117" t="str">
        <f>$D$8</f>
        <v>Débitmètre gravitaire</v>
      </c>
      <c r="E117" s="1176"/>
      <c r="F117" s="118" t="str" cm="1">
        <f t="array" aca="1" ref="F117" ca="1">IFERROR(LOOKUP(MIN(IF(LEFT(G117:U117,10)="Non validé",1,IF(G117:U117="Validé avec réserve",2,IF(G117:U117="Validé",3)))),{1,2,3},{"Non validé","Validé avec réserve","Validé"}),"")</f>
        <v/>
      </c>
      <c r="G117" s="10" t="str" cm="1">
        <f t="array" aca="1" ref="G117" ca="1">IF(F20&lt;&gt;"",INDIRECT(F20&amp;"!"&amp;$G$8),"")</f>
        <v/>
      </c>
      <c r="H117" s="10" t="str" cm="1">
        <f t="array" aca="1" ref="H117" ca="1">IF(G20&lt;&gt;"",INDIRECT(G20&amp;"!"&amp;$G$8),"")</f>
        <v/>
      </c>
      <c r="I117" s="10" t="str" cm="1">
        <f t="array" aca="1" ref="I117" ca="1">IF(H20&lt;&gt;"",INDIRECT(H20&amp;"!"&amp;$G$8),"")</f>
        <v/>
      </c>
      <c r="J117" s="10" t="str" cm="1">
        <f t="array" aca="1" ref="J117" ca="1">IF(I20&lt;&gt;"",INDIRECT(I20&amp;"!"&amp;$G$8),"")</f>
        <v/>
      </c>
      <c r="K117" s="10" t="str" cm="1">
        <f t="array" aca="1" ref="K117" ca="1">IF(J20&lt;&gt;"",INDIRECT(J20&amp;"!"&amp;$G$8),"")</f>
        <v/>
      </c>
      <c r="L117" s="10" t="str" cm="1">
        <f t="array" aca="1" ref="L117" ca="1">IF(K20&lt;&gt;"",INDIRECT(K20&amp;"!"&amp;$G$8),"")</f>
        <v/>
      </c>
      <c r="M117" s="10" t="str" cm="1">
        <f t="array" aca="1" ref="M117" ca="1">IF(L20&lt;&gt;"",INDIRECT(L20&amp;"!"&amp;$G$8),"")</f>
        <v/>
      </c>
      <c r="N117" s="10" t="str" cm="1">
        <f t="array" aca="1" ref="N117" ca="1">IF(M20&lt;&gt;"",INDIRECT(M20&amp;"!"&amp;$G$8),"")</f>
        <v/>
      </c>
      <c r="O117" s="10" t="str" cm="1">
        <f t="array" aca="1" ref="O117" ca="1">IF(N20&lt;&gt;"",INDIRECT(N20&amp;"!"&amp;$G$8),"")</f>
        <v/>
      </c>
      <c r="P117" s="10" t="str" cm="1">
        <f t="array" aca="1" ref="P117" ca="1">IF(O20&lt;&gt;"",INDIRECT(O20&amp;"!"&amp;$G$8),"")</f>
        <v/>
      </c>
      <c r="Q117" s="10" t="str" cm="1">
        <f t="array" aca="1" ref="Q117" ca="1">IF(P20&lt;&gt;"",INDIRECT(P20&amp;"!"&amp;$G$8),"")</f>
        <v/>
      </c>
      <c r="R117" s="10" t="str" cm="1">
        <f t="array" aca="1" ref="R117" ca="1">IF(Q20&lt;&gt;"",INDIRECT(Q20&amp;"!"&amp;$G$8),"")</f>
        <v/>
      </c>
      <c r="S117" s="10" t="str" cm="1">
        <f t="array" aca="1" ref="S117" ca="1">IF(R20&lt;&gt;"",INDIRECT(R20&amp;"!"&amp;$G$8),"")</f>
        <v/>
      </c>
      <c r="T117" s="10" t="str" cm="1">
        <f t="array" aca="1" ref="T117" ca="1">IF(S20&lt;&gt;"",INDIRECT(S20&amp;"!"&amp;$G$8),"")</f>
        <v/>
      </c>
      <c r="U117" s="10" t="str" cm="1">
        <f t="array" aca="1" ref="U117" ca="1">IF(T20&lt;&gt;"",INDIRECT(T20&amp;"!"&amp;$G$8),"")</f>
        <v/>
      </c>
    </row>
    <row r="118" spans="2:21" ht="13" thickBot="1" x14ac:dyDescent="0.45">
      <c r="B118" s="1168"/>
      <c r="C118" s="1172"/>
      <c r="D118" s="117" t="s">
        <v>400</v>
      </c>
      <c r="E118" s="1176"/>
      <c r="F118" s="118" t="str" cm="1">
        <f t="array" aca="1" ref="F118" ca="1">IFERROR(LOOKUP(MIN(IF(LEFT(G118:U118,10)="Non validé",1,IF(G118:U118="Validé avec réserve",2,IF(G118:U118="Validé",3)))),{1,2,3},{"Non validé","Validé avec réserve","Validé"}),"")</f>
        <v/>
      </c>
      <c r="G118" s="111" t="str">
        <f ca="1">G116 &amp; G117</f>
        <v/>
      </c>
      <c r="H118" s="111" t="str">
        <f t="shared" ref="H118:U118" ca="1" si="10">H116 &amp; H117</f>
        <v/>
      </c>
      <c r="I118" s="111" t="str">
        <f t="shared" ca="1" si="10"/>
        <v/>
      </c>
      <c r="J118" s="111" t="str">
        <f t="shared" ca="1" si="10"/>
        <v/>
      </c>
      <c r="K118" s="111" t="str">
        <f t="shared" ca="1" si="10"/>
        <v/>
      </c>
      <c r="L118" s="111" t="str">
        <f t="shared" ca="1" si="10"/>
        <v/>
      </c>
      <c r="M118" s="111" t="str">
        <f t="shared" ca="1" si="10"/>
        <v/>
      </c>
      <c r="N118" s="111" t="str">
        <f t="shared" ca="1" si="10"/>
        <v/>
      </c>
      <c r="O118" s="111" t="str">
        <f t="shared" ca="1" si="10"/>
        <v/>
      </c>
      <c r="P118" s="111" t="str">
        <f t="shared" ca="1" si="10"/>
        <v/>
      </c>
      <c r="Q118" s="111" t="str">
        <f t="shared" ca="1" si="10"/>
        <v/>
      </c>
      <c r="R118" s="111" t="str">
        <f t="shared" ca="1" si="10"/>
        <v/>
      </c>
      <c r="S118" s="111" t="str">
        <f t="shared" ca="1" si="10"/>
        <v/>
      </c>
      <c r="T118" s="111" t="str">
        <f t="shared" ca="1" si="10"/>
        <v/>
      </c>
      <c r="U118" s="111" t="str">
        <f t="shared" ca="1" si="10"/>
        <v/>
      </c>
    </row>
    <row r="119" spans="2:21" ht="13" thickBot="1" x14ac:dyDescent="0.45">
      <c r="B119" s="1168"/>
      <c r="C119" s="1172"/>
      <c r="D119" s="117" t="str">
        <f>$D$9</f>
        <v>Préleveur</v>
      </c>
      <c r="E119" s="1176"/>
      <c r="F119" s="118" t="str" cm="1">
        <f t="array" aca="1" ref="F119" ca="1">IFERROR(LOOKUP(MIN(IF(LEFT(G119:U119,10)="Non validé",1,IF(G119:U119="Validé avec réserve",2,IF(G119:U119="Validé",3)))),{1,2,3},{"Non validé","Validé avec réserve","Validé"}),"")</f>
        <v/>
      </c>
      <c r="G119" s="10" t="str" cm="1">
        <f t="array" aca="1" ref="G119" ca="1">IF(F21&lt;&gt;"",INDIRECT(F21&amp;"!"&amp;$G$9),"")</f>
        <v/>
      </c>
      <c r="H119" s="10" t="str" cm="1">
        <f t="array" aca="1" ref="H119" ca="1">IF(G21&lt;&gt;"",INDIRECT(G21&amp;"!"&amp;$G$9),"")</f>
        <v/>
      </c>
      <c r="I119" s="10" t="str" cm="1">
        <f t="array" aca="1" ref="I119" ca="1">IF(H21&lt;&gt;"",INDIRECT(H21&amp;"!"&amp;$G$9),"")</f>
        <v/>
      </c>
      <c r="J119" s="10" t="str" cm="1">
        <f t="array" aca="1" ref="J119" ca="1">IF(I21&lt;&gt;"",INDIRECT(I21&amp;"!"&amp;$G$9),"")</f>
        <v/>
      </c>
      <c r="K119" s="10" t="str" cm="1">
        <f t="array" aca="1" ref="K119" ca="1">IF(J21&lt;&gt;"",INDIRECT(J21&amp;"!"&amp;$G$9),"")</f>
        <v/>
      </c>
      <c r="L119" s="10" t="str" cm="1">
        <f t="array" aca="1" ref="L119" ca="1">IF(K21&lt;&gt;"",INDIRECT(K21&amp;"!"&amp;$G$9),"")</f>
        <v/>
      </c>
      <c r="M119" s="10" t="str" cm="1">
        <f t="array" aca="1" ref="M119" ca="1">IF(L21&lt;&gt;"",INDIRECT(L21&amp;"!"&amp;$G$9),"")</f>
        <v/>
      </c>
      <c r="N119" s="10" t="str" cm="1">
        <f t="array" aca="1" ref="N119" ca="1">IF(M21&lt;&gt;"",INDIRECT(M21&amp;"!"&amp;$G$9),"")</f>
        <v/>
      </c>
      <c r="O119" s="10" t="str" cm="1">
        <f t="array" aca="1" ref="O119" ca="1">IF(N21&lt;&gt;"",INDIRECT(N21&amp;"!"&amp;$G$9),"")</f>
        <v/>
      </c>
      <c r="P119" s="10" t="str" cm="1">
        <f t="array" aca="1" ref="P119" ca="1">IF(O21&lt;&gt;"",INDIRECT(O21&amp;"!"&amp;$G$9),"")</f>
        <v/>
      </c>
      <c r="Q119" s="10" t="str" cm="1">
        <f t="array" aca="1" ref="Q119" ca="1">IF(P21&lt;&gt;"",INDIRECT(P21&amp;"!"&amp;$G$9),"")</f>
        <v/>
      </c>
      <c r="R119" s="10" t="str" cm="1">
        <f t="array" aca="1" ref="R119" ca="1">IF(Q21&lt;&gt;"",INDIRECT(Q21&amp;"!"&amp;$G$9),"")</f>
        <v/>
      </c>
      <c r="S119" s="10" t="str" cm="1">
        <f t="array" aca="1" ref="S119" ca="1">IF(R21&lt;&gt;"",INDIRECT(R21&amp;"!"&amp;$G$9),"")</f>
        <v/>
      </c>
      <c r="T119" s="10" t="str" cm="1">
        <f t="array" aca="1" ref="T119" ca="1">IF(S21&lt;&gt;"",INDIRECT(S21&amp;"!"&amp;$G$9),"")</f>
        <v/>
      </c>
      <c r="U119" s="10" t="str" cm="1">
        <f t="array" aca="1" ref="U119" ca="1">IF(T21&lt;&gt;"",INDIRECT(T21&amp;"!"&amp;$G$9),"")</f>
        <v/>
      </c>
    </row>
    <row r="120" spans="2:21" ht="13" thickBot="1" x14ac:dyDescent="0.45">
      <c r="B120" s="1169"/>
      <c r="C120" s="1173"/>
      <c r="D120" s="290" t="s">
        <v>392</v>
      </c>
      <c r="E120" s="1176"/>
      <c r="F120" s="118" t="str" cm="1">
        <f t="array" aca="1" ref="F120" ca="1">IFERROR(LOOKUP(MIN(IF(LEFT(G120:U120,10)="Non validé",1,IF(G120:U120="Validé avec réserve",2,IF(G120:U120="Validé",3)))),{1,2,3},{"Non validé","Validé avec réserve","Validé"}),"")</f>
        <v/>
      </c>
      <c r="G120" s="288" t="str">
        <f ca="1">IF(F22&lt;&gt;"",VLOOKUP(F22,Analytique!$X$3:$AE$29,7,FALSE),"")</f>
        <v/>
      </c>
      <c r="H120" s="288" t="str">
        <f ca="1">IF(G22&lt;&gt;"",VLOOKUP(G22,Analytique!$X$3:$AE$29,7,FALSE),"")</f>
        <v/>
      </c>
      <c r="I120" s="288" t="str">
        <f ca="1">IF(H22&lt;&gt;"",VLOOKUP(H22,Analytique!$X$3:$AE$29,7,FALSE),"")</f>
        <v/>
      </c>
      <c r="J120" s="288" t="str">
        <f ca="1">IF(I22&lt;&gt;"",VLOOKUP(I22,Analytique!$X$3:$AE$29,7,FALSE),"")</f>
        <v/>
      </c>
      <c r="K120" s="288" t="str">
        <f ca="1">IF(J22&lt;&gt;"",VLOOKUP(J22,Analytique!$X$3:$AE$29,7,FALSE),"")</f>
        <v/>
      </c>
      <c r="L120" s="288" t="str">
        <f ca="1">IF(K22&lt;&gt;"",VLOOKUP(K22,Analytique!$X$3:$AE$29,7,FALSE),"")</f>
        <v/>
      </c>
      <c r="M120" s="288" t="str">
        <f ca="1">IF(L22&lt;&gt;"",VLOOKUP(L22,Analytique!$X$3:$AE$29,7,FALSE),"")</f>
        <v/>
      </c>
      <c r="N120" s="288" t="str">
        <f ca="1">IF(M22&lt;&gt;"",VLOOKUP(M22,Analytique!$X$3:$AE$29,7,FALSE),"")</f>
        <v/>
      </c>
      <c r="O120" s="288" t="str">
        <f ca="1">IF(N22&lt;&gt;"",VLOOKUP(N22,Analytique!$X$3:$AE$29,7,FALSE),"")</f>
        <v/>
      </c>
      <c r="P120" s="288" t="str">
        <f ca="1">IF(O22&lt;&gt;"",VLOOKUP(O22,Analytique!$X$3:$AE$29,7,FALSE),"")</f>
        <v/>
      </c>
      <c r="Q120" s="288" t="str">
        <f ca="1">IF(P22&lt;&gt;"",VLOOKUP(P22,Analytique!$X$3:$AE$29,7,FALSE),"")</f>
        <v/>
      </c>
      <c r="R120" s="288" t="str">
        <f ca="1">IF(Q22&lt;&gt;"",VLOOKUP(Q22,Analytique!$X$3:$AE$29,7,FALSE),"")</f>
        <v/>
      </c>
      <c r="S120" s="288" t="str">
        <f ca="1">IF(R22&lt;&gt;"",VLOOKUP(R22,Analytique!$X$3:$AE$29,7,FALSE),"")</f>
        <v/>
      </c>
      <c r="T120" s="288" t="str">
        <f ca="1">IF(S22&lt;&gt;"",VLOOKUP(S22,Analytique!$X$3:$AE$29,7,FALSE),"")</f>
        <v/>
      </c>
      <c r="U120" s="288" t="str">
        <f ca="1">IF(T22&lt;&gt;"",VLOOKUP(T22,Analytique!$X$3:$AE$29,7,FALSE),"")</f>
        <v/>
      </c>
    </row>
    <row r="121" spans="2:21" ht="13" thickBot="1" x14ac:dyDescent="0.45">
      <c r="B121" s="1170"/>
      <c r="C121" s="1174"/>
      <c r="D121" s="119" t="str">
        <f>$D$10</f>
        <v>Sonde de température</v>
      </c>
      <c r="E121" s="1177"/>
      <c r="F121" s="118" t="str" cm="1">
        <f t="array" aca="1" ref="F121" ca="1">IFERROR(LOOKUP(MIN(IF(LEFT(G121:U121,10)="Non validé",1,IF(G121:U121="Validé avec réserve",2,IF(G121:U121="Validé",3)))),{1,2,3},{"Non validé","Validé avec réserve","Validé"}),"")</f>
        <v/>
      </c>
      <c r="G121" s="96" t="str" cm="1">
        <f t="array" aca="1" ref="G121" ca="1">IF(F23&lt;&gt;"",INDIRECT(F23&amp;"!"&amp;$G$10),"")</f>
        <v/>
      </c>
      <c r="H121" s="96" t="str" cm="1">
        <f t="array" aca="1" ref="H121" ca="1">IF(G23&lt;&gt;"",INDIRECT(G23&amp;"!"&amp;$G$10),"")</f>
        <v/>
      </c>
      <c r="I121" s="96" t="str" cm="1">
        <f t="array" aca="1" ref="I121" ca="1">IF(H23&lt;&gt;"",INDIRECT(H23&amp;"!"&amp;$G$10),"")</f>
        <v/>
      </c>
      <c r="J121" s="96" t="str" cm="1">
        <f t="array" aca="1" ref="J121" ca="1">IF(I23&lt;&gt;"",INDIRECT(I23&amp;"!"&amp;$G$10),"")</f>
        <v/>
      </c>
      <c r="K121" s="96" t="str" cm="1">
        <f t="array" aca="1" ref="K121" ca="1">IF(J23&lt;&gt;"",INDIRECT(J23&amp;"!"&amp;$G$10),"")</f>
        <v/>
      </c>
      <c r="L121" s="96" t="str" cm="1">
        <f t="array" aca="1" ref="L121" ca="1">IF(K23&lt;&gt;"",INDIRECT(K23&amp;"!"&amp;$G$10),"")</f>
        <v/>
      </c>
      <c r="M121" s="96" t="str" cm="1">
        <f t="array" aca="1" ref="M121" ca="1">IF(L23&lt;&gt;"",INDIRECT(L23&amp;"!"&amp;$G$10),"")</f>
        <v/>
      </c>
      <c r="N121" s="96" t="str" cm="1">
        <f t="array" aca="1" ref="N121" ca="1">IF(M23&lt;&gt;"",INDIRECT(M23&amp;"!"&amp;$G$10),"")</f>
        <v/>
      </c>
      <c r="O121" s="96" t="str" cm="1">
        <f t="array" aca="1" ref="O121" ca="1">IF(N23&lt;&gt;"",INDIRECT(N23&amp;"!"&amp;$G$10),"")</f>
        <v/>
      </c>
      <c r="P121" s="96" t="str" cm="1">
        <f t="array" aca="1" ref="P121" ca="1">IF(O23&lt;&gt;"",INDIRECT(O23&amp;"!"&amp;$G$10),"")</f>
        <v/>
      </c>
      <c r="Q121" s="96" t="str" cm="1">
        <f t="array" aca="1" ref="Q121" ca="1">IF(P23&lt;&gt;"",INDIRECT(P23&amp;"!"&amp;$G$10),"")</f>
        <v/>
      </c>
      <c r="R121" s="96" t="str" cm="1">
        <f t="array" aca="1" ref="R121" ca="1">IF(Q23&lt;&gt;"",INDIRECT(Q23&amp;"!"&amp;$G$10),"")</f>
        <v/>
      </c>
      <c r="S121" s="96" t="str" cm="1">
        <f t="array" aca="1" ref="S121" ca="1">IF(R23&lt;&gt;"",INDIRECT(R23&amp;"!"&amp;$G$10),"")</f>
        <v/>
      </c>
      <c r="T121" s="96" t="str" cm="1">
        <f t="array" aca="1" ref="T121" ca="1">IF(S23&lt;&gt;"",INDIRECT(S23&amp;"!"&amp;$G$10),"")</f>
        <v/>
      </c>
      <c r="U121" s="96" t="str" cm="1">
        <f t="array" aca="1" ref="U121" ca="1">IF(T23&lt;&gt;"",INDIRECT(T23&amp;"!"&amp;$G$10),"")</f>
        <v/>
      </c>
    </row>
    <row r="122" spans="2:21" ht="13" thickBot="1" x14ac:dyDescent="0.45">
      <c r="B122" s="1167" t="s">
        <v>58</v>
      </c>
      <c r="C122" s="1171" t="s">
        <v>105</v>
      </c>
      <c r="D122" s="118" t="str">
        <f>$D$7</f>
        <v>Débitmètre en charge</v>
      </c>
      <c r="E122" s="1175" t="str" cm="1">
        <f t="array" aca="1" ref="E122" ca="1">IFERROR(LOOKUP(MIN(IF(LEFT(F122:F126,10)="Non validé",1,IF(F122:F126="Validé avec réserve",2,IF(F122:F126="Validé",3)))),{1,2,3},{"Non validé","Validé avec réserve","Validé"}),"")</f>
        <v/>
      </c>
      <c r="F122" s="118" t="str" cm="1">
        <f t="array" aca="1" ref="F122" ca="1">IFERROR(LOOKUP(MIN(IF(LEFT(G122:U122,10)="Non validé",1,IF(G122:U122="Validé avec réserve",2,IF(G122:U122="Validé",3)))),{1,2,3},{"Non validé","Validé avec réserve","Validé"}),"")</f>
        <v/>
      </c>
      <c r="G122" s="90" t="str" cm="1">
        <f t="array" aca="1" ref="G122" ca="1">IF(F24&lt;&gt;"",INDIRECT(F24&amp;"!"&amp;$G$7),"")</f>
        <v/>
      </c>
      <c r="H122" s="90" t="str" cm="1">
        <f t="array" aca="1" ref="H122" ca="1">IF(G24&lt;&gt;"",INDIRECT(G24&amp;"!"&amp;$G$7),"")</f>
        <v/>
      </c>
      <c r="I122" s="90" t="str" cm="1">
        <f t="array" aca="1" ref="I122" ca="1">IF(H24&lt;&gt;"",INDIRECT(H24&amp;"!"&amp;$G$7),"")</f>
        <v/>
      </c>
      <c r="J122" s="90" t="str" cm="1">
        <f t="array" aca="1" ref="J122" ca="1">IF(I24&lt;&gt;"",INDIRECT(I24&amp;"!"&amp;$G$7),"")</f>
        <v/>
      </c>
      <c r="K122" s="90" t="str" cm="1">
        <f t="array" aca="1" ref="K122" ca="1">IF(J24&lt;&gt;"",INDIRECT(J24&amp;"!"&amp;$G$7),"")</f>
        <v/>
      </c>
      <c r="L122" s="90" t="str" cm="1">
        <f t="array" aca="1" ref="L122" ca="1">IF(K24&lt;&gt;"",INDIRECT(K24&amp;"!"&amp;$G$7),"")</f>
        <v/>
      </c>
      <c r="M122" s="90" t="str" cm="1">
        <f t="array" aca="1" ref="M122" ca="1">IF(L24&lt;&gt;"",INDIRECT(L24&amp;"!"&amp;$G$7),"")</f>
        <v/>
      </c>
      <c r="N122" s="90" t="str" cm="1">
        <f t="array" aca="1" ref="N122" ca="1">IF(M24&lt;&gt;"",INDIRECT(M24&amp;"!"&amp;$G$7),"")</f>
        <v/>
      </c>
      <c r="O122" s="90" t="str" cm="1">
        <f t="array" aca="1" ref="O122" ca="1">IF(N24&lt;&gt;"",INDIRECT(N24&amp;"!"&amp;$G$7),"")</f>
        <v/>
      </c>
      <c r="P122" s="90" t="str" cm="1">
        <f t="array" aca="1" ref="P122" ca="1">IF(O24&lt;&gt;"",INDIRECT(O24&amp;"!"&amp;$G$7),"")</f>
        <v/>
      </c>
      <c r="Q122" s="90" t="str" cm="1">
        <f t="array" aca="1" ref="Q122" ca="1">IF(P24&lt;&gt;"",INDIRECT(P24&amp;"!"&amp;$G$7),"")</f>
        <v/>
      </c>
      <c r="R122" s="90" t="str" cm="1">
        <f t="array" aca="1" ref="R122" ca="1">IF(Q24&lt;&gt;"",INDIRECT(Q24&amp;"!"&amp;$G$7),"")</f>
        <v/>
      </c>
      <c r="S122" s="90" t="str" cm="1">
        <f t="array" aca="1" ref="S122" ca="1">IF(R24&lt;&gt;"",INDIRECT(R24&amp;"!"&amp;$G$7),"")</f>
        <v/>
      </c>
      <c r="T122" s="90" t="str" cm="1">
        <f t="array" aca="1" ref="T122" ca="1">IF(S24&lt;&gt;"",INDIRECT(S24&amp;"!"&amp;$G$7),"")</f>
        <v/>
      </c>
      <c r="U122" s="90" t="str" cm="1">
        <f t="array" aca="1" ref="U122" ca="1">IF(T24&lt;&gt;"",INDIRECT(T24&amp;"!"&amp;$G$7),"")</f>
        <v/>
      </c>
    </row>
    <row r="123" spans="2:21" ht="13" thickBot="1" x14ac:dyDescent="0.45">
      <c r="B123" s="1168"/>
      <c r="C123" s="1172"/>
      <c r="D123" s="117" t="str">
        <f>$D$8</f>
        <v>Débitmètre gravitaire</v>
      </c>
      <c r="E123" s="1176"/>
      <c r="F123" s="118" t="str" cm="1">
        <f t="array" aca="1" ref="F123" ca="1">IFERROR(LOOKUP(MIN(IF(LEFT(G123:U123,10)="Non validé",1,IF(G123:U123="Validé avec réserve",2,IF(G123:U123="Validé",3)))),{1,2,3},{"Non validé","Validé avec réserve","Validé"}),"")</f>
        <v/>
      </c>
      <c r="G123" s="10" t="str" cm="1">
        <f t="array" aca="1" ref="G123" ca="1">IF(F25&lt;&gt;"",INDIRECT(F25&amp;"!"&amp;$G$8),"")</f>
        <v/>
      </c>
      <c r="H123" s="10" t="str" cm="1">
        <f t="array" aca="1" ref="H123" ca="1">IF(G25&lt;&gt;"",INDIRECT(G25&amp;"!"&amp;$G$8),"")</f>
        <v/>
      </c>
      <c r="I123" s="10" t="str" cm="1">
        <f t="array" aca="1" ref="I123" ca="1">IF(H25&lt;&gt;"",INDIRECT(H25&amp;"!"&amp;$G$8),"")</f>
        <v/>
      </c>
      <c r="J123" s="10" t="str" cm="1">
        <f t="array" aca="1" ref="J123" ca="1">IF(I25&lt;&gt;"",INDIRECT(I25&amp;"!"&amp;$G$8),"")</f>
        <v/>
      </c>
      <c r="K123" s="10" t="str" cm="1">
        <f t="array" aca="1" ref="K123" ca="1">IF(J25&lt;&gt;"",INDIRECT(J25&amp;"!"&amp;$G$8),"")</f>
        <v/>
      </c>
      <c r="L123" s="10" t="str" cm="1">
        <f t="array" aca="1" ref="L123" ca="1">IF(K25&lt;&gt;"",INDIRECT(K25&amp;"!"&amp;$G$8),"")</f>
        <v/>
      </c>
      <c r="M123" s="10" t="str" cm="1">
        <f t="array" aca="1" ref="M123" ca="1">IF(L25&lt;&gt;"",INDIRECT(L25&amp;"!"&amp;$G$8),"")</f>
        <v/>
      </c>
      <c r="N123" s="10" t="str" cm="1">
        <f t="array" aca="1" ref="N123" ca="1">IF(M25&lt;&gt;"",INDIRECT(M25&amp;"!"&amp;$G$8),"")</f>
        <v/>
      </c>
      <c r="O123" s="10" t="str" cm="1">
        <f t="array" aca="1" ref="O123" ca="1">IF(N25&lt;&gt;"",INDIRECT(N25&amp;"!"&amp;$G$8),"")</f>
        <v/>
      </c>
      <c r="P123" s="10" t="str" cm="1">
        <f t="array" aca="1" ref="P123" ca="1">IF(O25&lt;&gt;"",INDIRECT(O25&amp;"!"&amp;$G$8),"")</f>
        <v/>
      </c>
      <c r="Q123" s="10" t="str" cm="1">
        <f t="array" aca="1" ref="Q123" ca="1">IF(P25&lt;&gt;"",INDIRECT(P25&amp;"!"&amp;$G$8),"")</f>
        <v/>
      </c>
      <c r="R123" s="10" t="str" cm="1">
        <f t="array" aca="1" ref="R123" ca="1">IF(Q25&lt;&gt;"",INDIRECT(Q25&amp;"!"&amp;$G$8),"")</f>
        <v/>
      </c>
      <c r="S123" s="10" t="str" cm="1">
        <f t="array" aca="1" ref="S123" ca="1">IF(R25&lt;&gt;"",INDIRECT(R25&amp;"!"&amp;$G$8),"")</f>
        <v/>
      </c>
      <c r="T123" s="10" t="str" cm="1">
        <f t="array" aca="1" ref="T123" ca="1">IF(S25&lt;&gt;"",INDIRECT(S25&amp;"!"&amp;$G$8),"")</f>
        <v/>
      </c>
      <c r="U123" s="10" t="str" cm="1">
        <f t="array" aca="1" ref="U123" ca="1">IF(T25&lt;&gt;"",INDIRECT(T25&amp;"!"&amp;$G$8),"")</f>
        <v/>
      </c>
    </row>
    <row r="124" spans="2:21" ht="13" thickBot="1" x14ac:dyDescent="0.45">
      <c r="B124" s="1168"/>
      <c r="C124" s="1172"/>
      <c r="D124" s="117" t="s">
        <v>400</v>
      </c>
      <c r="E124" s="1176"/>
      <c r="F124" s="118" t="str" cm="1">
        <f t="array" aca="1" ref="F124" ca="1">IFERROR(LOOKUP(MIN(IF(LEFT(G124:U124,10)="Non validé",1,IF(G124:U124="Validé avec réserve",2,IF(G124:U124="Validé",3)))),{1,2,3},{"Non validé","Validé avec réserve","Validé"}),"")</f>
        <v/>
      </c>
      <c r="G124" s="111" t="str">
        <f ca="1">G122 &amp; G123</f>
        <v/>
      </c>
      <c r="H124" s="111" t="str">
        <f t="shared" ref="H124:U124" ca="1" si="11">H122 &amp; H123</f>
        <v/>
      </c>
      <c r="I124" s="111" t="str">
        <f t="shared" ca="1" si="11"/>
        <v/>
      </c>
      <c r="J124" s="111" t="str">
        <f t="shared" ca="1" si="11"/>
        <v/>
      </c>
      <c r="K124" s="111" t="str">
        <f t="shared" ca="1" si="11"/>
        <v/>
      </c>
      <c r="L124" s="111" t="str">
        <f t="shared" ca="1" si="11"/>
        <v/>
      </c>
      <c r="M124" s="111" t="str">
        <f t="shared" ca="1" si="11"/>
        <v/>
      </c>
      <c r="N124" s="111" t="str">
        <f t="shared" ca="1" si="11"/>
        <v/>
      </c>
      <c r="O124" s="111" t="str">
        <f t="shared" ca="1" si="11"/>
        <v/>
      </c>
      <c r="P124" s="111" t="str">
        <f t="shared" ca="1" si="11"/>
        <v/>
      </c>
      <c r="Q124" s="111" t="str">
        <f t="shared" ca="1" si="11"/>
        <v/>
      </c>
      <c r="R124" s="111" t="str">
        <f t="shared" ca="1" si="11"/>
        <v/>
      </c>
      <c r="S124" s="111" t="str">
        <f t="shared" ca="1" si="11"/>
        <v/>
      </c>
      <c r="T124" s="111" t="str">
        <f t="shared" ca="1" si="11"/>
        <v/>
      </c>
      <c r="U124" s="111" t="str">
        <f t="shared" ca="1" si="11"/>
        <v/>
      </c>
    </row>
    <row r="125" spans="2:21" ht="13" thickBot="1" x14ac:dyDescent="0.45">
      <c r="B125" s="1168"/>
      <c r="C125" s="1172"/>
      <c r="D125" s="117" t="str">
        <f>$D$9</f>
        <v>Préleveur</v>
      </c>
      <c r="E125" s="1176"/>
      <c r="F125" s="118" t="str" cm="1">
        <f t="array" aca="1" ref="F125" ca="1">IFERROR(LOOKUP(MIN(IF(LEFT(G125:U125,10)="Non validé",1,IF(G125:U125="Validé avec réserve",2,IF(G125:U125="Validé",3)))),{1,2,3},{"Non validé","Validé avec réserve","Validé"}),"")</f>
        <v/>
      </c>
      <c r="G125" s="10" t="str" cm="1">
        <f t="array" aca="1" ref="G125" ca="1">IF(F26&lt;&gt;"",INDIRECT(F26&amp;"!"&amp;$G$9),"")</f>
        <v/>
      </c>
      <c r="H125" s="10" t="str" cm="1">
        <f t="array" aca="1" ref="H125" ca="1">IF(G26&lt;&gt;"",INDIRECT(G26&amp;"!"&amp;$G$9),"")</f>
        <v/>
      </c>
      <c r="I125" s="10" t="str" cm="1">
        <f t="array" aca="1" ref="I125" ca="1">IF(H26&lt;&gt;"",INDIRECT(H26&amp;"!"&amp;$G$9),"")</f>
        <v/>
      </c>
      <c r="J125" s="10" t="str" cm="1">
        <f t="array" aca="1" ref="J125" ca="1">IF(I26&lt;&gt;"",INDIRECT(I26&amp;"!"&amp;$G$9),"")</f>
        <v/>
      </c>
      <c r="K125" s="10" t="str" cm="1">
        <f t="array" aca="1" ref="K125" ca="1">IF(J26&lt;&gt;"",INDIRECT(J26&amp;"!"&amp;$G$9),"")</f>
        <v/>
      </c>
      <c r="L125" s="10" t="str" cm="1">
        <f t="array" aca="1" ref="L125" ca="1">IF(K26&lt;&gt;"",INDIRECT(K26&amp;"!"&amp;$G$9),"")</f>
        <v/>
      </c>
      <c r="M125" s="10" t="str" cm="1">
        <f t="array" aca="1" ref="M125" ca="1">IF(L26&lt;&gt;"",INDIRECT(L26&amp;"!"&amp;$G$9),"")</f>
        <v/>
      </c>
      <c r="N125" s="10" t="str" cm="1">
        <f t="array" aca="1" ref="N125" ca="1">IF(M26&lt;&gt;"",INDIRECT(M26&amp;"!"&amp;$G$9),"")</f>
        <v/>
      </c>
      <c r="O125" s="10" t="str" cm="1">
        <f t="array" aca="1" ref="O125" ca="1">IF(N26&lt;&gt;"",INDIRECT(N26&amp;"!"&amp;$G$9),"")</f>
        <v/>
      </c>
      <c r="P125" s="10" t="str" cm="1">
        <f t="array" aca="1" ref="P125" ca="1">IF(O26&lt;&gt;"",INDIRECT(O26&amp;"!"&amp;$G$9),"")</f>
        <v/>
      </c>
      <c r="Q125" s="10" t="str" cm="1">
        <f t="array" aca="1" ref="Q125" ca="1">IF(P26&lt;&gt;"",INDIRECT(P26&amp;"!"&amp;$G$9),"")</f>
        <v/>
      </c>
      <c r="R125" s="10" t="str" cm="1">
        <f t="array" aca="1" ref="R125" ca="1">IF(Q26&lt;&gt;"",INDIRECT(Q26&amp;"!"&amp;$G$9),"")</f>
        <v/>
      </c>
      <c r="S125" s="10" t="str" cm="1">
        <f t="array" aca="1" ref="S125" ca="1">IF(R26&lt;&gt;"",INDIRECT(R26&amp;"!"&amp;$G$9),"")</f>
        <v/>
      </c>
      <c r="T125" s="10" t="str" cm="1">
        <f t="array" aca="1" ref="T125" ca="1">IF(S26&lt;&gt;"",INDIRECT(S26&amp;"!"&amp;$G$9),"")</f>
        <v/>
      </c>
      <c r="U125" s="10" t="str" cm="1">
        <f t="array" aca="1" ref="U125" ca="1">IF(T26&lt;&gt;"",INDIRECT(T26&amp;"!"&amp;$G$9),"")</f>
        <v/>
      </c>
    </row>
    <row r="126" spans="2:21" ht="13" thickBot="1" x14ac:dyDescent="0.45">
      <c r="B126" s="1169"/>
      <c r="C126" s="1173"/>
      <c r="D126" s="290" t="s">
        <v>392</v>
      </c>
      <c r="E126" s="1176"/>
      <c r="F126" s="118" t="str" cm="1">
        <f t="array" aca="1" ref="F126" ca="1">IFERROR(LOOKUP(MIN(IF(LEFT(G126:U126,10)="Non validé",1,IF(G126:U126="Validé avec réserve",2,IF(G126:U126="Validé",3)))),{1,2,3},{"Non validé","Validé avec réserve","Validé"}),"")</f>
        <v/>
      </c>
      <c r="G126" s="288" t="str">
        <f ca="1">IF(F27&lt;&gt;"",VLOOKUP(F27,Analytique!$X$3:$AE$29,7,FALSE),"")</f>
        <v/>
      </c>
      <c r="H126" s="288" t="str">
        <f ca="1">IF(G27&lt;&gt;"",VLOOKUP(G27,Analytique!$X$3:$AE$29,7,FALSE),"")</f>
        <v/>
      </c>
      <c r="I126" s="288" t="str">
        <f ca="1">IF(H27&lt;&gt;"",VLOOKUP(H27,Analytique!$X$3:$AE$29,7,FALSE),"")</f>
        <v/>
      </c>
      <c r="J126" s="288" t="str">
        <f ca="1">IF(I27&lt;&gt;"",VLOOKUP(I27,Analytique!$X$3:$AE$29,7,FALSE),"")</f>
        <v/>
      </c>
      <c r="K126" s="288" t="str">
        <f ca="1">IF(J27&lt;&gt;"",VLOOKUP(J27,Analytique!$X$3:$AE$29,7,FALSE),"")</f>
        <v/>
      </c>
      <c r="L126" s="288" t="str">
        <f ca="1">IF(K27&lt;&gt;"",VLOOKUP(K27,Analytique!$X$3:$AE$29,7,FALSE),"")</f>
        <v/>
      </c>
      <c r="M126" s="288" t="str">
        <f ca="1">IF(L27&lt;&gt;"",VLOOKUP(L27,Analytique!$X$3:$AE$29,7,FALSE),"")</f>
        <v/>
      </c>
      <c r="N126" s="288" t="str">
        <f ca="1">IF(M27&lt;&gt;"",VLOOKUP(M27,Analytique!$X$3:$AE$29,7,FALSE),"")</f>
        <v/>
      </c>
      <c r="O126" s="288" t="str">
        <f ca="1">IF(N27&lt;&gt;"",VLOOKUP(N27,Analytique!$X$3:$AE$29,7,FALSE),"")</f>
        <v/>
      </c>
      <c r="P126" s="288" t="str">
        <f ca="1">IF(O27&lt;&gt;"",VLOOKUP(O27,Analytique!$X$3:$AE$29,7,FALSE),"")</f>
        <v/>
      </c>
      <c r="Q126" s="288" t="str">
        <f ca="1">IF(P27&lt;&gt;"",VLOOKUP(P27,Analytique!$X$3:$AE$29,7,FALSE),"")</f>
        <v/>
      </c>
      <c r="R126" s="288" t="str">
        <f ca="1">IF(Q27&lt;&gt;"",VLOOKUP(Q27,Analytique!$X$3:$AE$29,7,FALSE),"")</f>
        <v/>
      </c>
      <c r="S126" s="288" t="str">
        <f ca="1">IF(R27&lt;&gt;"",VLOOKUP(R27,Analytique!$X$3:$AE$29,7,FALSE),"")</f>
        <v/>
      </c>
      <c r="T126" s="288" t="str">
        <f ca="1">IF(S27&lt;&gt;"",VLOOKUP(S27,Analytique!$X$3:$AE$29,7,FALSE),"")</f>
        <v/>
      </c>
      <c r="U126" s="288" t="str">
        <f ca="1">IF(T27&lt;&gt;"",VLOOKUP(T27,Analytique!$X$3:$AE$29,7,FALSE),"")</f>
        <v/>
      </c>
    </row>
    <row r="127" spans="2:21" ht="13" thickBot="1" x14ac:dyDescent="0.45">
      <c r="B127" s="1170"/>
      <c r="C127" s="1174"/>
      <c r="D127" s="119" t="str">
        <f>$D$10</f>
        <v>Sonde de température</v>
      </c>
      <c r="E127" s="1177"/>
      <c r="F127" s="118" t="str" cm="1">
        <f t="array" aca="1" ref="F127" ca="1">IFERROR(LOOKUP(MIN(IF(LEFT(G127:U127,10)="Non validé",1,IF(G127:U127="Validé avec réserve",2,IF(G127:U127="Validé",3)))),{1,2,3},{"Non validé","Validé avec réserve","Validé"}),"")</f>
        <v/>
      </c>
      <c r="G127" s="96" t="str" cm="1">
        <f t="array" aca="1" ref="G127" ca="1">IF(F28&lt;&gt;"",INDIRECT(F28&amp;"!"&amp;$G$10),"")</f>
        <v/>
      </c>
      <c r="H127" s="96" t="str" cm="1">
        <f t="array" aca="1" ref="H127" ca="1">IF(G28&lt;&gt;"",INDIRECT(G28&amp;"!"&amp;$G$10),"")</f>
        <v/>
      </c>
      <c r="I127" s="96" t="str" cm="1">
        <f t="array" aca="1" ref="I127" ca="1">IF(H28&lt;&gt;"",INDIRECT(H28&amp;"!"&amp;$G$10),"")</f>
        <v/>
      </c>
      <c r="J127" s="96" t="str" cm="1">
        <f t="array" aca="1" ref="J127" ca="1">IF(I28&lt;&gt;"",INDIRECT(I28&amp;"!"&amp;$G$10),"")</f>
        <v/>
      </c>
      <c r="K127" s="96" t="str" cm="1">
        <f t="array" aca="1" ref="K127" ca="1">IF(J28&lt;&gt;"",INDIRECT(J28&amp;"!"&amp;$G$10),"")</f>
        <v/>
      </c>
      <c r="L127" s="96" t="str" cm="1">
        <f t="array" aca="1" ref="L127" ca="1">IF(K28&lt;&gt;"",INDIRECT(K28&amp;"!"&amp;$G$10),"")</f>
        <v/>
      </c>
      <c r="M127" s="96" t="str" cm="1">
        <f t="array" aca="1" ref="M127" ca="1">IF(L28&lt;&gt;"",INDIRECT(L28&amp;"!"&amp;$G$10),"")</f>
        <v/>
      </c>
      <c r="N127" s="96" t="str" cm="1">
        <f t="array" aca="1" ref="N127" ca="1">IF(M28&lt;&gt;"",INDIRECT(M28&amp;"!"&amp;$G$10),"")</f>
        <v/>
      </c>
      <c r="O127" s="96" t="str" cm="1">
        <f t="array" aca="1" ref="O127" ca="1">IF(N28&lt;&gt;"",INDIRECT(N28&amp;"!"&amp;$G$10),"")</f>
        <v/>
      </c>
      <c r="P127" s="96" t="str" cm="1">
        <f t="array" aca="1" ref="P127" ca="1">IF(O28&lt;&gt;"",INDIRECT(O28&amp;"!"&amp;$G$10),"")</f>
        <v/>
      </c>
      <c r="Q127" s="96" t="str" cm="1">
        <f t="array" aca="1" ref="Q127" ca="1">IF(P28&lt;&gt;"",INDIRECT(P28&amp;"!"&amp;$G$10),"")</f>
        <v/>
      </c>
      <c r="R127" s="96" t="str" cm="1">
        <f t="array" aca="1" ref="R127" ca="1">IF(Q28&lt;&gt;"",INDIRECT(Q28&amp;"!"&amp;$G$10),"")</f>
        <v/>
      </c>
      <c r="S127" s="96" t="str" cm="1">
        <f t="array" aca="1" ref="S127" ca="1">IF(R28&lt;&gt;"",INDIRECT(R28&amp;"!"&amp;$G$10),"")</f>
        <v/>
      </c>
      <c r="T127" s="96" t="str" cm="1">
        <f t="array" aca="1" ref="T127" ca="1">IF(S28&lt;&gt;"",INDIRECT(S28&amp;"!"&amp;$G$10),"")</f>
        <v/>
      </c>
      <c r="U127" s="96" t="str" cm="1">
        <f t="array" aca="1" ref="U127" ca="1">IF(T28&lt;&gt;"",INDIRECT(T28&amp;"!"&amp;$G$10),"")</f>
        <v/>
      </c>
    </row>
    <row r="128" spans="2:21" ht="13" thickBot="1" x14ac:dyDescent="0.45">
      <c r="B128" s="1167" t="s">
        <v>98</v>
      </c>
      <c r="C128" s="1171" t="s">
        <v>112</v>
      </c>
      <c r="D128" s="118" t="str">
        <f>$D$7</f>
        <v>Débitmètre en charge</v>
      </c>
      <c r="E128" s="1175" t="str" cm="1">
        <f t="array" aca="1" ref="E128" ca="1">IFERROR(LOOKUP(MIN(IF(LEFT(F128:F132,10)="Non validé",1,IF(F128:F132="Validé avec réserve",2,IF(F128:F132="Validé",3)))),{1,2,3},{"Non validé","Validé avec réserve","Validé"}),"")</f>
        <v/>
      </c>
      <c r="F128" s="118" t="str" cm="1">
        <f t="array" aca="1" ref="F128" ca="1">IFERROR(LOOKUP(MIN(IF(LEFT(G128:U128,10)="Non validé",1,IF(G128:U128="Validé avec réserve",2,IF(G128:U128="Validé",3)))),{1,2,3},{"Non validé","Validé avec réserve","Validé"}),"")</f>
        <v/>
      </c>
      <c r="G128" s="90" t="str" cm="1">
        <f t="array" aca="1" ref="G128" ca="1">IF(F29&lt;&gt;"",INDIRECT(F29&amp;"!"&amp;$G$7),"")</f>
        <v/>
      </c>
      <c r="H128" s="90" t="str" cm="1">
        <f t="array" aca="1" ref="H128" ca="1">IF(G29&lt;&gt;"",INDIRECT(G29&amp;"!"&amp;$G$7),"")</f>
        <v/>
      </c>
      <c r="I128" s="90" t="str" cm="1">
        <f t="array" aca="1" ref="I128" ca="1">IF(H29&lt;&gt;"",INDIRECT(H29&amp;"!"&amp;$G$7),"")</f>
        <v/>
      </c>
      <c r="J128" s="90" t="str" cm="1">
        <f t="array" aca="1" ref="J128" ca="1">IF(I29&lt;&gt;"",INDIRECT(I29&amp;"!"&amp;$G$7),"")</f>
        <v/>
      </c>
      <c r="K128" s="90" t="str" cm="1">
        <f t="array" aca="1" ref="K128" ca="1">IF(J29&lt;&gt;"",INDIRECT(J29&amp;"!"&amp;$G$7),"")</f>
        <v/>
      </c>
      <c r="L128" s="90" t="str" cm="1">
        <f t="array" aca="1" ref="L128" ca="1">IF(K29&lt;&gt;"",INDIRECT(K29&amp;"!"&amp;$G$7),"")</f>
        <v/>
      </c>
      <c r="M128" s="90" t="str" cm="1">
        <f t="array" aca="1" ref="M128" ca="1">IF(L29&lt;&gt;"",INDIRECT(L29&amp;"!"&amp;$G$7),"")</f>
        <v/>
      </c>
      <c r="N128" s="90" t="str" cm="1">
        <f t="array" aca="1" ref="N128" ca="1">IF(M29&lt;&gt;"",INDIRECT(M29&amp;"!"&amp;$G$7),"")</f>
        <v/>
      </c>
      <c r="O128" s="90" t="str" cm="1">
        <f t="array" aca="1" ref="O128" ca="1">IF(N29&lt;&gt;"",INDIRECT(N29&amp;"!"&amp;$G$7),"")</f>
        <v/>
      </c>
      <c r="P128" s="90" t="str" cm="1">
        <f t="array" aca="1" ref="P128" ca="1">IF(O29&lt;&gt;"",INDIRECT(O29&amp;"!"&amp;$G$7),"")</f>
        <v/>
      </c>
      <c r="Q128" s="90" t="str" cm="1">
        <f t="array" aca="1" ref="Q128" ca="1">IF(P29&lt;&gt;"",INDIRECT(P29&amp;"!"&amp;$G$7),"")</f>
        <v/>
      </c>
      <c r="R128" s="90" t="str" cm="1">
        <f t="array" aca="1" ref="R128" ca="1">IF(Q29&lt;&gt;"",INDIRECT(Q29&amp;"!"&amp;$G$7),"")</f>
        <v/>
      </c>
      <c r="S128" s="90" t="str" cm="1">
        <f t="array" aca="1" ref="S128" ca="1">IF(R29&lt;&gt;"",INDIRECT(R29&amp;"!"&amp;$G$7),"")</f>
        <v/>
      </c>
      <c r="T128" s="90" t="str" cm="1">
        <f t="array" aca="1" ref="T128" ca="1">IF(S29&lt;&gt;"",INDIRECT(S29&amp;"!"&amp;$G$7),"")</f>
        <v/>
      </c>
      <c r="U128" s="90" t="str" cm="1">
        <f t="array" aca="1" ref="U128" ca="1">IF(T29&lt;&gt;"",INDIRECT(T29&amp;"!"&amp;$G$7),"")</f>
        <v/>
      </c>
    </row>
    <row r="129" spans="2:21" ht="13" thickBot="1" x14ac:dyDescent="0.45">
      <c r="B129" s="1168"/>
      <c r="C129" s="1172"/>
      <c r="D129" s="117" t="str">
        <f>$D$8</f>
        <v>Débitmètre gravitaire</v>
      </c>
      <c r="E129" s="1176"/>
      <c r="F129" s="118" t="str" cm="1">
        <f t="array" aca="1" ref="F129" ca="1">IFERROR(LOOKUP(MIN(IF(LEFT(G129:U129,10)="Non validé",1,IF(G129:U129="Validé avec réserve",2,IF(G129:U129="Validé",3)))),{1,2,3},{"Non validé","Validé avec réserve","Validé"}),"")</f>
        <v/>
      </c>
      <c r="G129" s="10" t="str" cm="1">
        <f t="array" aca="1" ref="G129" ca="1">IF(F30&lt;&gt;"",INDIRECT(F30&amp;"!"&amp;$G$8),"")</f>
        <v/>
      </c>
      <c r="H129" s="10" t="str" cm="1">
        <f t="array" aca="1" ref="H129" ca="1">IF(G30&lt;&gt;"",INDIRECT(G30&amp;"!"&amp;$G$8),"")</f>
        <v/>
      </c>
      <c r="I129" s="10" t="str" cm="1">
        <f t="array" aca="1" ref="I129" ca="1">IF(H30&lt;&gt;"",INDIRECT(H30&amp;"!"&amp;$G$8),"")</f>
        <v/>
      </c>
      <c r="J129" s="10" t="str" cm="1">
        <f t="array" aca="1" ref="J129" ca="1">IF(I30&lt;&gt;"",INDIRECT(I30&amp;"!"&amp;$G$8),"")</f>
        <v/>
      </c>
      <c r="K129" s="10" t="str" cm="1">
        <f t="array" aca="1" ref="K129" ca="1">IF(J30&lt;&gt;"",INDIRECT(J30&amp;"!"&amp;$G$8),"")</f>
        <v/>
      </c>
      <c r="L129" s="10" t="str" cm="1">
        <f t="array" aca="1" ref="L129" ca="1">IF(K30&lt;&gt;"",INDIRECT(K30&amp;"!"&amp;$G$8),"")</f>
        <v/>
      </c>
      <c r="M129" s="10" t="str" cm="1">
        <f t="array" aca="1" ref="M129" ca="1">IF(L30&lt;&gt;"",INDIRECT(L30&amp;"!"&amp;$G$8),"")</f>
        <v/>
      </c>
      <c r="N129" s="10" t="str" cm="1">
        <f t="array" aca="1" ref="N129" ca="1">IF(M30&lt;&gt;"",INDIRECT(M30&amp;"!"&amp;$G$8),"")</f>
        <v/>
      </c>
      <c r="O129" s="10" t="str" cm="1">
        <f t="array" aca="1" ref="O129" ca="1">IF(N30&lt;&gt;"",INDIRECT(N30&amp;"!"&amp;$G$8),"")</f>
        <v/>
      </c>
      <c r="P129" s="10" t="str" cm="1">
        <f t="array" aca="1" ref="P129" ca="1">IF(O30&lt;&gt;"",INDIRECT(O30&amp;"!"&amp;$G$8),"")</f>
        <v/>
      </c>
      <c r="Q129" s="10" t="str" cm="1">
        <f t="array" aca="1" ref="Q129" ca="1">IF(P30&lt;&gt;"",INDIRECT(P30&amp;"!"&amp;$G$8),"")</f>
        <v/>
      </c>
      <c r="R129" s="10" t="str" cm="1">
        <f t="array" aca="1" ref="R129" ca="1">IF(Q30&lt;&gt;"",INDIRECT(Q30&amp;"!"&amp;$G$8),"")</f>
        <v/>
      </c>
      <c r="S129" s="10" t="str" cm="1">
        <f t="array" aca="1" ref="S129" ca="1">IF(R30&lt;&gt;"",INDIRECT(R30&amp;"!"&amp;$G$8),"")</f>
        <v/>
      </c>
      <c r="T129" s="10" t="str" cm="1">
        <f t="array" aca="1" ref="T129" ca="1">IF(S30&lt;&gt;"",INDIRECT(S30&amp;"!"&amp;$G$8),"")</f>
        <v/>
      </c>
      <c r="U129" s="10" t="str" cm="1">
        <f t="array" aca="1" ref="U129" ca="1">IF(T30&lt;&gt;"",INDIRECT(T30&amp;"!"&amp;$G$8),"")</f>
        <v/>
      </c>
    </row>
    <row r="130" spans="2:21" ht="13" thickBot="1" x14ac:dyDescent="0.45">
      <c r="B130" s="1168"/>
      <c r="C130" s="1172"/>
      <c r="D130" s="117" t="s">
        <v>400</v>
      </c>
      <c r="E130" s="1176"/>
      <c r="F130" s="118" t="str" cm="1">
        <f t="array" aca="1" ref="F130" ca="1">IFERROR(LOOKUP(MIN(IF(LEFT(G130:U130,10)="Non validé",1,IF(G130:U130="Validé avec réserve",2,IF(G130:U130="Validé",3)))),{1,2,3},{"Non validé","Validé avec réserve","Validé"}),"")</f>
        <v/>
      </c>
      <c r="G130" s="111" t="str">
        <f ca="1">G128 &amp; G129</f>
        <v/>
      </c>
      <c r="H130" s="111" t="str">
        <f t="shared" ref="H130:U130" ca="1" si="12">H128 &amp; H129</f>
        <v/>
      </c>
      <c r="I130" s="111" t="str">
        <f t="shared" ca="1" si="12"/>
        <v/>
      </c>
      <c r="J130" s="111" t="str">
        <f t="shared" ca="1" si="12"/>
        <v/>
      </c>
      <c r="K130" s="111" t="str">
        <f t="shared" ca="1" si="12"/>
        <v/>
      </c>
      <c r="L130" s="111" t="str">
        <f t="shared" ca="1" si="12"/>
        <v/>
      </c>
      <c r="M130" s="111" t="str">
        <f t="shared" ca="1" si="12"/>
        <v/>
      </c>
      <c r="N130" s="111" t="str">
        <f t="shared" ca="1" si="12"/>
        <v/>
      </c>
      <c r="O130" s="111" t="str">
        <f t="shared" ca="1" si="12"/>
        <v/>
      </c>
      <c r="P130" s="111" t="str">
        <f t="shared" ca="1" si="12"/>
        <v/>
      </c>
      <c r="Q130" s="111" t="str">
        <f t="shared" ca="1" si="12"/>
        <v/>
      </c>
      <c r="R130" s="111" t="str">
        <f t="shared" ca="1" si="12"/>
        <v/>
      </c>
      <c r="S130" s="111" t="str">
        <f t="shared" ca="1" si="12"/>
        <v/>
      </c>
      <c r="T130" s="111" t="str">
        <f t="shared" ca="1" si="12"/>
        <v/>
      </c>
      <c r="U130" s="111" t="str">
        <f t="shared" ca="1" si="12"/>
        <v/>
      </c>
    </row>
    <row r="131" spans="2:21" ht="13" thickBot="1" x14ac:dyDescent="0.45">
      <c r="B131" s="1168"/>
      <c r="C131" s="1172"/>
      <c r="D131" s="117" t="str">
        <f>$D$9</f>
        <v>Préleveur</v>
      </c>
      <c r="E131" s="1176"/>
      <c r="F131" s="118" t="str" cm="1">
        <f t="array" aca="1" ref="F131" ca="1">IFERROR(LOOKUP(MIN(IF(LEFT(G131:U131,10)="Non validé",1,IF(G131:U131="Validé avec réserve",2,IF(G131:U131="Validé",3)))),{1,2,3},{"Non validé","Validé avec réserve","Validé"}),"")</f>
        <v/>
      </c>
      <c r="G131" s="10" t="str" cm="1">
        <f t="array" aca="1" ref="G131" ca="1">IF(F31&lt;&gt;"",INDIRECT(F31&amp;"!"&amp;$G$9),"")</f>
        <v/>
      </c>
      <c r="H131" s="10" t="str" cm="1">
        <f t="array" aca="1" ref="H131" ca="1">IF(G31&lt;&gt;"",INDIRECT(G31&amp;"!"&amp;$G$9),"")</f>
        <v/>
      </c>
      <c r="I131" s="10" t="str" cm="1">
        <f t="array" aca="1" ref="I131" ca="1">IF(H31&lt;&gt;"",INDIRECT(H31&amp;"!"&amp;$G$9),"")</f>
        <v/>
      </c>
      <c r="J131" s="10" t="str" cm="1">
        <f t="array" aca="1" ref="J131" ca="1">IF(I31&lt;&gt;"",INDIRECT(I31&amp;"!"&amp;$G$9),"")</f>
        <v/>
      </c>
      <c r="K131" s="10" t="str" cm="1">
        <f t="array" aca="1" ref="K131" ca="1">IF(J31&lt;&gt;"",INDIRECT(J31&amp;"!"&amp;$G$9),"")</f>
        <v/>
      </c>
      <c r="L131" s="10" t="str" cm="1">
        <f t="array" aca="1" ref="L131" ca="1">IF(K31&lt;&gt;"",INDIRECT(K31&amp;"!"&amp;$G$9),"")</f>
        <v/>
      </c>
      <c r="M131" s="10" t="str" cm="1">
        <f t="array" aca="1" ref="M131" ca="1">IF(L31&lt;&gt;"",INDIRECT(L31&amp;"!"&amp;$G$9),"")</f>
        <v/>
      </c>
      <c r="N131" s="10" t="str" cm="1">
        <f t="array" aca="1" ref="N131" ca="1">IF(M31&lt;&gt;"",INDIRECT(M31&amp;"!"&amp;$G$9),"")</f>
        <v/>
      </c>
      <c r="O131" s="10" t="str" cm="1">
        <f t="array" aca="1" ref="O131" ca="1">IF(N31&lt;&gt;"",INDIRECT(N31&amp;"!"&amp;$G$9),"")</f>
        <v/>
      </c>
      <c r="P131" s="10" t="str" cm="1">
        <f t="array" aca="1" ref="P131" ca="1">IF(O31&lt;&gt;"",INDIRECT(O31&amp;"!"&amp;$G$9),"")</f>
        <v/>
      </c>
      <c r="Q131" s="10" t="str" cm="1">
        <f t="array" aca="1" ref="Q131" ca="1">IF(P31&lt;&gt;"",INDIRECT(P31&amp;"!"&amp;$G$9),"")</f>
        <v/>
      </c>
      <c r="R131" s="10" t="str" cm="1">
        <f t="array" aca="1" ref="R131" ca="1">IF(Q31&lt;&gt;"",INDIRECT(Q31&amp;"!"&amp;$G$9),"")</f>
        <v/>
      </c>
      <c r="S131" s="10" t="str" cm="1">
        <f t="array" aca="1" ref="S131" ca="1">IF(R31&lt;&gt;"",INDIRECT(R31&amp;"!"&amp;$G$9),"")</f>
        <v/>
      </c>
      <c r="T131" s="10" t="str" cm="1">
        <f t="array" aca="1" ref="T131" ca="1">IF(S31&lt;&gt;"",INDIRECT(S31&amp;"!"&amp;$G$9),"")</f>
        <v/>
      </c>
      <c r="U131" s="10" t="str" cm="1">
        <f t="array" aca="1" ref="U131" ca="1">IF(T31&lt;&gt;"",INDIRECT(T31&amp;"!"&amp;$G$9),"")</f>
        <v/>
      </c>
    </row>
    <row r="132" spans="2:21" ht="13" thickBot="1" x14ac:dyDescent="0.45">
      <c r="B132" s="1169"/>
      <c r="C132" s="1173"/>
      <c r="D132" s="290" t="s">
        <v>392</v>
      </c>
      <c r="E132" s="1176"/>
      <c r="F132" s="118" t="str" cm="1">
        <f t="array" aca="1" ref="F132" ca="1">IFERROR(LOOKUP(MIN(IF(LEFT(G132:U132,10)="Non validé",1,IF(G132:U132="Validé avec réserve",2,IF(G132:U132="Validé",3)))),{1,2,3},{"Non validé","Validé avec réserve","Validé"}),"")</f>
        <v/>
      </c>
      <c r="G132" s="288" t="str">
        <f ca="1">IF(F32&lt;&gt;"",VLOOKUP(F32,Analytique!$X$3:$AE$29,7,FALSE),"")</f>
        <v/>
      </c>
      <c r="H132" s="288" t="str">
        <f ca="1">IF(G32&lt;&gt;"",VLOOKUP(G32,Analytique!$X$3:$AE$29,7,FALSE),"")</f>
        <v/>
      </c>
      <c r="I132" s="288" t="str">
        <f ca="1">IF(H32&lt;&gt;"",VLOOKUP(H32,Analytique!$X$3:$AE$29,7,FALSE),"")</f>
        <v/>
      </c>
      <c r="J132" s="288" t="str">
        <f ca="1">IF(I32&lt;&gt;"",VLOOKUP(I32,Analytique!$X$3:$AE$29,7,FALSE),"")</f>
        <v/>
      </c>
      <c r="K132" s="288" t="str">
        <f ca="1">IF(J32&lt;&gt;"",VLOOKUP(J32,Analytique!$X$3:$AE$29,7,FALSE),"")</f>
        <v/>
      </c>
      <c r="L132" s="288" t="str">
        <f ca="1">IF(K32&lt;&gt;"",VLOOKUP(K32,Analytique!$X$3:$AE$29,7,FALSE),"")</f>
        <v/>
      </c>
      <c r="M132" s="288" t="str">
        <f ca="1">IF(L32&lt;&gt;"",VLOOKUP(L32,Analytique!$X$3:$AE$29,7,FALSE),"")</f>
        <v/>
      </c>
      <c r="N132" s="288" t="str">
        <f ca="1">IF(M32&lt;&gt;"",VLOOKUP(M32,Analytique!$X$3:$AE$29,7,FALSE),"")</f>
        <v/>
      </c>
      <c r="O132" s="288" t="str">
        <f ca="1">IF(N32&lt;&gt;"",VLOOKUP(N32,Analytique!$X$3:$AE$29,7,FALSE),"")</f>
        <v/>
      </c>
      <c r="P132" s="288" t="str">
        <f ca="1">IF(O32&lt;&gt;"",VLOOKUP(O32,Analytique!$X$3:$AE$29,7,FALSE),"")</f>
        <v/>
      </c>
      <c r="Q132" s="288" t="str">
        <f ca="1">IF(P32&lt;&gt;"",VLOOKUP(P32,Analytique!$X$3:$AE$29,7,FALSE),"")</f>
        <v/>
      </c>
      <c r="R132" s="288" t="str">
        <f ca="1">IF(Q32&lt;&gt;"",VLOOKUP(Q32,Analytique!$X$3:$AE$29,7,FALSE),"")</f>
        <v/>
      </c>
      <c r="S132" s="288" t="str">
        <f ca="1">IF(R32&lt;&gt;"",VLOOKUP(R32,Analytique!$X$3:$AE$29,7,FALSE),"")</f>
        <v/>
      </c>
      <c r="T132" s="288" t="str">
        <f ca="1">IF(S32&lt;&gt;"",VLOOKUP(S32,Analytique!$X$3:$AE$29,7,FALSE),"")</f>
        <v/>
      </c>
      <c r="U132" s="288" t="str">
        <f ca="1">IF(T32&lt;&gt;"",VLOOKUP(T32,Analytique!$X$3:$AE$29,7,FALSE),"")</f>
        <v/>
      </c>
    </row>
    <row r="133" spans="2:21" ht="13" thickBot="1" x14ac:dyDescent="0.45">
      <c r="B133" s="1170"/>
      <c r="C133" s="1174"/>
      <c r="D133" s="119" t="str">
        <f>$D$10</f>
        <v>Sonde de température</v>
      </c>
      <c r="E133" s="1177"/>
      <c r="F133" s="118" t="str" cm="1">
        <f t="array" aca="1" ref="F133" ca="1">IFERROR(LOOKUP(MIN(IF(LEFT(G133:U133,10)="Non validé",1,IF(G133:U133="Validé avec réserve",2,IF(G133:U133="Validé",3)))),{1,2,3},{"Non validé","Validé avec réserve","Validé"}),"")</f>
        <v/>
      </c>
      <c r="G133" s="96" t="str" cm="1">
        <f t="array" aca="1" ref="G133" ca="1">IF(F33&lt;&gt;"",INDIRECT(F33&amp;"!"&amp;$G$10),"")</f>
        <v/>
      </c>
      <c r="H133" s="96" t="str" cm="1">
        <f t="array" aca="1" ref="H133" ca="1">IF(G33&lt;&gt;"",INDIRECT(G33&amp;"!"&amp;$G$10),"")</f>
        <v/>
      </c>
      <c r="I133" s="96" t="str" cm="1">
        <f t="array" aca="1" ref="I133" ca="1">IF(H33&lt;&gt;"",INDIRECT(H33&amp;"!"&amp;$G$10),"")</f>
        <v/>
      </c>
      <c r="J133" s="96" t="str" cm="1">
        <f t="array" aca="1" ref="J133" ca="1">IF(I33&lt;&gt;"",INDIRECT(I33&amp;"!"&amp;$G$10),"")</f>
        <v/>
      </c>
      <c r="K133" s="96" t="str" cm="1">
        <f t="array" aca="1" ref="K133" ca="1">IF(J33&lt;&gt;"",INDIRECT(J33&amp;"!"&amp;$G$10),"")</f>
        <v/>
      </c>
      <c r="L133" s="96" t="str" cm="1">
        <f t="array" aca="1" ref="L133" ca="1">IF(K33&lt;&gt;"",INDIRECT(K33&amp;"!"&amp;$G$10),"")</f>
        <v/>
      </c>
      <c r="M133" s="96" t="str" cm="1">
        <f t="array" aca="1" ref="M133" ca="1">IF(L33&lt;&gt;"",INDIRECT(L33&amp;"!"&amp;$G$10),"")</f>
        <v/>
      </c>
      <c r="N133" s="96" t="str" cm="1">
        <f t="array" aca="1" ref="N133" ca="1">IF(M33&lt;&gt;"",INDIRECT(M33&amp;"!"&amp;$G$10),"")</f>
        <v/>
      </c>
      <c r="O133" s="96" t="str" cm="1">
        <f t="array" aca="1" ref="O133" ca="1">IF(N33&lt;&gt;"",INDIRECT(N33&amp;"!"&amp;$G$10),"")</f>
        <v/>
      </c>
      <c r="P133" s="96" t="str" cm="1">
        <f t="array" aca="1" ref="P133" ca="1">IF(O33&lt;&gt;"",INDIRECT(O33&amp;"!"&amp;$G$10),"")</f>
        <v/>
      </c>
      <c r="Q133" s="96" t="str" cm="1">
        <f t="array" aca="1" ref="Q133" ca="1">IF(P33&lt;&gt;"",INDIRECT(P33&amp;"!"&amp;$G$10),"")</f>
        <v/>
      </c>
      <c r="R133" s="96" t="str" cm="1">
        <f t="array" aca="1" ref="R133" ca="1">IF(Q33&lt;&gt;"",INDIRECT(Q33&amp;"!"&amp;$G$10),"")</f>
        <v/>
      </c>
      <c r="S133" s="96" t="str" cm="1">
        <f t="array" aca="1" ref="S133" ca="1">IF(R33&lt;&gt;"",INDIRECT(R33&amp;"!"&amp;$G$10),"")</f>
        <v/>
      </c>
      <c r="T133" s="96" t="str" cm="1">
        <f t="array" aca="1" ref="T133" ca="1">IF(S33&lt;&gt;"",INDIRECT(S33&amp;"!"&amp;$G$10),"")</f>
        <v/>
      </c>
      <c r="U133" s="96" t="str" cm="1">
        <f t="array" aca="1" ref="U133" ca="1">IF(T33&lt;&gt;"",INDIRECT(T33&amp;"!"&amp;$G$10),"")</f>
        <v/>
      </c>
    </row>
    <row r="134" spans="2:21" ht="13" thickBot="1" x14ac:dyDescent="0.45">
      <c r="B134" s="1167" t="s">
        <v>106</v>
      </c>
      <c r="C134" s="1171" t="s">
        <v>114</v>
      </c>
      <c r="D134" s="118" t="str">
        <f>$D$7</f>
        <v>Débitmètre en charge</v>
      </c>
      <c r="E134" s="1175" t="str" cm="1">
        <f t="array" aca="1" ref="E134" ca="1">IFERROR(LOOKUP(MIN(IF(LEFT(F134:F138,10)="Non validé",1,IF(F134:F138="Validé avec réserve",2,IF(F134:F138="Validé",3)))),{1,2,3},{"Non validé","Validé avec réserve","Validé"}),"")</f>
        <v/>
      </c>
      <c r="F134" s="118" t="str" cm="1">
        <f t="array" aca="1" ref="F134" ca="1">IFERROR(LOOKUP(MIN(IF(LEFT(G134:U134,10)="Non validé",1,IF(G134:U134="Validé avec réserve",2,IF(G134:U134="Validé",3)))),{1,2,3},{"Non validé","Validé avec réserve","Validé"}),"")</f>
        <v/>
      </c>
      <c r="G134" s="90" t="str" cm="1">
        <f t="array" aca="1" ref="G134" ca="1">IF(F34&lt;&gt;"",INDIRECT(F34&amp;"!"&amp;$G$7),"")</f>
        <v/>
      </c>
      <c r="H134" s="90" t="str" cm="1">
        <f t="array" aca="1" ref="H134" ca="1">IF(G34&lt;&gt;"",INDIRECT(G34&amp;"!"&amp;$G$7),"")</f>
        <v/>
      </c>
      <c r="I134" s="90" t="str" cm="1">
        <f t="array" aca="1" ref="I134" ca="1">IF(H34&lt;&gt;"",INDIRECT(H34&amp;"!"&amp;$G$7),"")</f>
        <v/>
      </c>
      <c r="J134" s="90" t="str" cm="1">
        <f t="array" aca="1" ref="J134" ca="1">IF(I34&lt;&gt;"",INDIRECT(I34&amp;"!"&amp;$G$7),"")</f>
        <v/>
      </c>
      <c r="K134" s="90" t="str" cm="1">
        <f t="array" aca="1" ref="K134" ca="1">IF(J34&lt;&gt;"",INDIRECT(J34&amp;"!"&amp;$G$7),"")</f>
        <v/>
      </c>
      <c r="L134" s="90" t="str" cm="1">
        <f t="array" aca="1" ref="L134" ca="1">IF(K34&lt;&gt;"",INDIRECT(K34&amp;"!"&amp;$G$7),"")</f>
        <v/>
      </c>
      <c r="M134" s="90" t="str" cm="1">
        <f t="array" aca="1" ref="M134" ca="1">IF(L34&lt;&gt;"",INDIRECT(L34&amp;"!"&amp;$G$7),"")</f>
        <v/>
      </c>
      <c r="N134" s="90" t="str" cm="1">
        <f t="array" aca="1" ref="N134" ca="1">IF(M34&lt;&gt;"",INDIRECT(M34&amp;"!"&amp;$G$7),"")</f>
        <v/>
      </c>
      <c r="O134" s="90" t="str" cm="1">
        <f t="array" aca="1" ref="O134" ca="1">IF(N34&lt;&gt;"",INDIRECT(N34&amp;"!"&amp;$G$7),"")</f>
        <v/>
      </c>
      <c r="P134" s="90" t="str" cm="1">
        <f t="array" aca="1" ref="P134" ca="1">IF(O34&lt;&gt;"",INDIRECT(O34&amp;"!"&amp;$G$7),"")</f>
        <v/>
      </c>
      <c r="Q134" s="90" t="str" cm="1">
        <f t="array" aca="1" ref="Q134" ca="1">IF(P34&lt;&gt;"",INDIRECT(P34&amp;"!"&amp;$G$7),"")</f>
        <v/>
      </c>
      <c r="R134" s="90" t="str" cm="1">
        <f t="array" aca="1" ref="R134" ca="1">IF(Q34&lt;&gt;"",INDIRECT(Q34&amp;"!"&amp;$G$7),"")</f>
        <v/>
      </c>
      <c r="S134" s="90" t="str" cm="1">
        <f t="array" aca="1" ref="S134" ca="1">IF(R34&lt;&gt;"",INDIRECT(R34&amp;"!"&amp;$G$7),"")</f>
        <v/>
      </c>
      <c r="T134" s="90" t="str" cm="1">
        <f t="array" aca="1" ref="T134" ca="1">IF(S34&lt;&gt;"",INDIRECT(S34&amp;"!"&amp;$G$7),"")</f>
        <v/>
      </c>
      <c r="U134" s="90" t="str" cm="1">
        <f t="array" aca="1" ref="U134" ca="1">IF(T34&lt;&gt;"",INDIRECT(T34&amp;"!"&amp;$G$7),"")</f>
        <v/>
      </c>
    </row>
    <row r="135" spans="2:21" ht="13" thickBot="1" x14ac:dyDescent="0.45">
      <c r="B135" s="1168"/>
      <c r="C135" s="1172"/>
      <c r="D135" s="117" t="str">
        <f>$D$8</f>
        <v>Débitmètre gravitaire</v>
      </c>
      <c r="E135" s="1176"/>
      <c r="F135" s="118" t="str" cm="1">
        <f t="array" aca="1" ref="F135" ca="1">IFERROR(LOOKUP(MIN(IF(LEFT(G135:U135,10)="Non validé",1,IF(G135:U135="Validé avec réserve",2,IF(G135:U135="Validé",3)))),{1,2,3},{"Non validé","Validé avec réserve","Validé"}),"")</f>
        <v/>
      </c>
      <c r="G135" s="10" t="str" cm="1">
        <f t="array" aca="1" ref="G135" ca="1">IF(F35&lt;&gt;"",INDIRECT(F35&amp;"!"&amp;$G$8),"")</f>
        <v/>
      </c>
      <c r="H135" s="10" t="str" cm="1">
        <f t="array" aca="1" ref="H135" ca="1">IF(G35&lt;&gt;"",INDIRECT(G35&amp;"!"&amp;$G$8),"")</f>
        <v/>
      </c>
      <c r="I135" s="10" t="str" cm="1">
        <f t="array" aca="1" ref="I135" ca="1">IF(H35&lt;&gt;"",INDIRECT(H35&amp;"!"&amp;$G$8),"")</f>
        <v/>
      </c>
      <c r="J135" s="10" t="str" cm="1">
        <f t="array" aca="1" ref="J135" ca="1">IF(I35&lt;&gt;"",INDIRECT(I35&amp;"!"&amp;$G$8),"")</f>
        <v/>
      </c>
      <c r="K135" s="10" t="str" cm="1">
        <f t="array" aca="1" ref="K135" ca="1">IF(J35&lt;&gt;"",INDIRECT(J35&amp;"!"&amp;$G$8),"")</f>
        <v/>
      </c>
      <c r="L135" s="10" t="str" cm="1">
        <f t="array" aca="1" ref="L135" ca="1">IF(K35&lt;&gt;"",INDIRECT(K35&amp;"!"&amp;$G$8),"")</f>
        <v/>
      </c>
      <c r="M135" s="10" t="str" cm="1">
        <f t="array" aca="1" ref="M135" ca="1">IF(L35&lt;&gt;"",INDIRECT(L35&amp;"!"&amp;$G$8),"")</f>
        <v/>
      </c>
      <c r="N135" s="10" t="str" cm="1">
        <f t="array" aca="1" ref="N135" ca="1">IF(M35&lt;&gt;"",INDIRECT(M35&amp;"!"&amp;$G$8),"")</f>
        <v/>
      </c>
      <c r="O135" s="10" t="str" cm="1">
        <f t="array" aca="1" ref="O135" ca="1">IF(N35&lt;&gt;"",INDIRECT(N35&amp;"!"&amp;$G$8),"")</f>
        <v/>
      </c>
      <c r="P135" s="10" t="str" cm="1">
        <f t="array" aca="1" ref="P135" ca="1">IF(O35&lt;&gt;"",INDIRECT(O35&amp;"!"&amp;$G$8),"")</f>
        <v/>
      </c>
      <c r="Q135" s="10" t="str" cm="1">
        <f t="array" aca="1" ref="Q135" ca="1">IF(P35&lt;&gt;"",INDIRECT(P35&amp;"!"&amp;$G$8),"")</f>
        <v/>
      </c>
      <c r="R135" s="10" t="str" cm="1">
        <f t="array" aca="1" ref="R135" ca="1">IF(Q35&lt;&gt;"",INDIRECT(Q35&amp;"!"&amp;$G$8),"")</f>
        <v/>
      </c>
      <c r="S135" s="10" t="str" cm="1">
        <f t="array" aca="1" ref="S135" ca="1">IF(R35&lt;&gt;"",INDIRECT(R35&amp;"!"&amp;$G$8),"")</f>
        <v/>
      </c>
      <c r="T135" s="10" t="str" cm="1">
        <f t="array" aca="1" ref="T135" ca="1">IF(S35&lt;&gt;"",INDIRECT(S35&amp;"!"&amp;$G$8),"")</f>
        <v/>
      </c>
      <c r="U135" s="10" t="str" cm="1">
        <f t="array" aca="1" ref="U135" ca="1">IF(T35&lt;&gt;"",INDIRECT(T35&amp;"!"&amp;$G$8),"")</f>
        <v/>
      </c>
    </row>
    <row r="136" spans="2:21" ht="13" thickBot="1" x14ac:dyDescent="0.45">
      <c r="B136" s="1168"/>
      <c r="C136" s="1172"/>
      <c r="D136" s="117" t="s">
        <v>400</v>
      </c>
      <c r="E136" s="1176"/>
      <c r="F136" s="118" t="str" cm="1">
        <f t="array" aca="1" ref="F136" ca="1">IFERROR(LOOKUP(MIN(IF(LEFT(G136:U136,10)="Non validé",1,IF(G136:U136="Validé avec réserve",2,IF(G136:U136="Validé",3)))),{1,2,3},{"Non validé","Validé avec réserve","Validé"}),"")</f>
        <v/>
      </c>
      <c r="G136" s="111" t="str">
        <f ca="1">G134 &amp; G135</f>
        <v/>
      </c>
      <c r="H136" s="111" t="str">
        <f t="shared" ref="H136:U136" ca="1" si="13">H134 &amp; H135</f>
        <v/>
      </c>
      <c r="I136" s="111" t="str">
        <f t="shared" ca="1" si="13"/>
        <v/>
      </c>
      <c r="J136" s="111" t="str">
        <f t="shared" ca="1" si="13"/>
        <v/>
      </c>
      <c r="K136" s="111" t="str">
        <f t="shared" ca="1" si="13"/>
        <v/>
      </c>
      <c r="L136" s="111" t="str">
        <f t="shared" ca="1" si="13"/>
        <v/>
      </c>
      <c r="M136" s="111" t="str">
        <f t="shared" ca="1" si="13"/>
        <v/>
      </c>
      <c r="N136" s="111" t="str">
        <f t="shared" ca="1" si="13"/>
        <v/>
      </c>
      <c r="O136" s="111" t="str">
        <f t="shared" ca="1" si="13"/>
        <v/>
      </c>
      <c r="P136" s="111" t="str">
        <f t="shared" ca="1" si="13"/>
        <v/>
      </c>
      <c r="Q136" s="111" t="str">
        <f t="shared" ca="1" si="13"/>
        <v/>
      </c>
      <c r="R136" s="111" t="str">
        <f t="shared" ca="1" si="13"/>
        <v/>
      </c>
      <c r="S136" s="111" t="str">
        <f t="shared" ca="1" si="13"/>
        <v/>
      </c>
      <c r="T136" s="111" t="str">
        <f t="shared" ca="1" si="13"/>
        <v/>
      </c>
      <c r="U136" s="111" t="str">
        <f t="shared" ca="1" si="13"/>
        <v/>
      </c>
    </row>
    <row r="137" spans="2:21" ht="13" thickBot="1" x14ac:dyDescent="0.45">
      <c r="B137" s="1168"/>
      <c r="C137" s="1172"/>
      <c r="D137" s="117" t="str">
        <f>$D$9</f>
        <v>Préleveur</v>
      </c>
      <c r="E137" s="1176"/>
      <c r="F137" s="118" t="str" cm="1">
        <f t="array" aca="1" ref="F137" ca="1">IFERROR(LOOKUP(MIN(IF(LEFT(G137:U137,10)="Non validé",1,IF(G137:U137="Validé avec réserve",2,IF(G137:U137="Validé",3)))),{1,2,3},{"Non validé","Validé avec réserve","Validé"}),"")</f>
        <v/>
      </c>
      <c r="G137" s="10" t="str" cm="1">
        <f t="array" aca="1" ref="G137" ca="1">IF(F36&lt;&gt;"",INDIRECT(F36&amp;"!"&amp;$G$9),"")</f>
        <v/>
      </c>
      <c r="H137" s="10" t="str" cm="1">
        <f t="array" aca="1" ref="H137" ca="1">IF(G36&lt;&gt;"",INDIRECT(G36&amp;"!"&amp;$G$9),"")</f>
        <v/>
      </c>
      <c r="I137" s="10" t="str" cm="1">
        <f t="array" aca="1" ref="I137" ca="1">IF(H36&lt;&gt;"",INDIRECT(H36&amp;"!"&amp;$G$9),"")</f>
        <v/>
      </c>
      <c r="J137" s="10" t="str" cm="1">
        <f t="array" aca="1" ref="J137" ca="1">IF(I36&lt;&gt;"",INDIRECT(I36&amp;"!"&amp;$G$9),"")</f>
        <v/>
      </c>
      <c r="K137" s="10" t="str" cm="1">
        <f t="array" aca="1" ref="K137" ca="1">IF(J36&lt;&gt;"",INDIRECT(J36&amp;"!"&amp;$G$9),"")</f>
        <v/>
      </c>
      <c r="L137" s="10" t="str" cm="1">
        <f t="array" aca="1" ref="L137" ca="1">IF(K36&lt;&gt;"",INDIRECT(K36&amp;"!"&amp;$G$9),"")</f>
        <v/>
      </c>
      <c r="M137" s="10" t="str" cm="1">
        <f t="array" aca="1" ref="M137" ca="1">IF(L36&lt;&gt;"",INDIRECT(L36&amp;"!"&amp;$G$9),"")</f>
        <v/>
      </c>
      <c r="N137" s="10" t="str" cm="1">
        <f t="array" aca="1" ref="N137" ca="1">IF(M36&lt;&gt;"",INDIRECT(M36&amp;"!"&amp;$G$9),"")</f>
        <v/>
      </c>
      <c r="O137" s="10" t="str" cm="1">
        <f t="array" aca="1" ref="O137" ca="1">IF(N36&lt;&gt;"",INDIRECT(N36&amp;"!"&amp;$G$9),"")</f>
        <v/>
      </c>
      <c r="P137" s="10" t="str" cm="1">
        <f t="array" aca="1" ref="P137" ca="1">IF(O36&lt;&gt;"",INDIRECT(O36&amp;"!"&amp;$G$9),"")</f>
        <v/>
      </c>
      <c r="Q137" s="10" t="str" cm="1">
        <f t="array" aca="1" ref="Q137" ca="1">IF(P36&lt;&gt;"",INDIRECT(P36&amp;"!"&amp;$G$9),"")</f>
        <v/>
      </c>
      <c r="R137" s="10" t="str" cm="1">
        <f t="array" aca="1" ref="R137" ca="1">IF(Q36&lt;&gt;"",INDIRECT(Q36&amp;"!"&amp;$G$9),"")</f>
        <v/>
      </c>
      <c r="S137" s="10" t="str" cm="1">
        <f t="array" aca="1" ref="S137" ca="1">IF(R36&lt;&gt;"",INDIRECT(R36&amp;"!"&amp;$G$9),"")</f>
        <v/>
      </c>
      <c r="T137" s="10" t="str" cm="1">
        <f t="array" aca="1" ref="T137" ca="1">IF(S36&lt;&gt;"",INDIRECT(S36&amp;"!"&amp;$G$9),"")</f>
        <v/>
      </c>
      <c r="U137" s="10" t="str" cm="1">
        <f t="array" aca="1" ref="U137" ca="1">IF(T36&lt;&gt;"",INDIRECT(T36&amp;"!"&amp;$G$9),"")</f>
        <v/>
      </c>
    </row>
    <row r="138" spans="2:21" ht="13" thickBot="1" x14ac:dyDescent="0.45">
      <c r="B138" s="1169"/>
      <c r="C138" s="1173"/>
      <c r="D138" s="290" t="s">
        <v>392</v>
      </c>
      <c r="E138" s="1176"/>
      <c r="F138" s="118" t="str" cm="1">
        <f t="array" aca="1" ref="F138" ca="1">IFERROR(LOOKUP(MIN(IF(LEFT(G138:U138,10)="Non validé",1,IF(G138:U138="Validé avec réserve",2,IF(G138:U138="Validé",3)))),{1,2,3},{"Non validé","Validé avec réserve","Validé"}),"")</f>
        <v/>
      </c>
      <c r="G138" s="288" t="str">
        <f ca="1">IF(F37&lt;&gt;"",VLOOKUP(F37,Analytique!$X$3:$AE$29,7,FALSE),"")</f>
        <v/>
      </c>
      <c r="H138" s="288" t="str">
        <f ca="1">IF(G37&lt;&gt;"",VLOOKUP(G37,Analytique!$X$3:$AE$29,7,FALSE),"")</f>
        <v/>
      </c>
      <c r="I138" s="288" t="str">
        <f ca="1">IF(H37&lt;&gt;"",VLOOKUP(H37,Analytique!$X$3:$AE$29,7,FALSE),"")</f>
        <v/>
      </c>
      <c r="J138" s="288" t="str">
        <f ca="1">IF(I37&lt;&gt;"",VLOOKUP(I37,Analytique!$X$3:$AE$29,7,FALSE),"")</f>
        <v/>
      </c>
      <c r="K138" s="288" t="str">
        <f ca="1">IF(J37&lt;&gt;"",VLOOKUP(J37,Analytique!$X$3:$AE$29,7,FALSE),"")</f>
        <v/>
      </c>
      <c r="L138" s="288" t="str">
        <f ca="1">IF(K37&lt;&gt;"",VLOOKUP(K37,Analytique!$X$3:$AE$29,7,FALSE),"")</f>
        <v/>
      </c>
      <c r="M138" s="288" t="str">
        <f ca="1">IF(L37&lt;&gt;"",VLOOKUP(L37,Analytique!$X$3:$AE$29,7,FALSE),"")</f>
        <v/>
      </c>
      <c r="N138" s="288" t="str">
        <f ca="1">IF(M37&lt;&gt;"",VLOOKUP(M37,Analytique!$X$3:$AE$29,7,FALSE),"")</f>
        <v/>
      </c>
      <c r="O138" s="288" t="str">
        <f ca="1">IF(N37&lt;&gt;"",VLOOKUP(N37,Analytique!$X$3:$AE$29,7,FALSE),"")</f>
        <v/>
      </c>
      <c r="P138" s="288" t="str">
        <f ca="1">IF(O37&lt;&gt;"",VLOOKUP(O37,Analytique!$X$3:$AE$29,7,FALSE),"")</f>
        <v/>
      </c>
      <c r="Q138" s="288" t="str">
        <f ca="1">IF(P37&lt;&gt;"",VLOOKUP(P37,Analytique!$X$3:$AE$29,7,FALSE),"")</f>
        <v/>
      </c>
      <c r="R138" s="288" t="str">
        <f ca="1">IF(Q37&lt;&gt;"",VLOOKUP(Q37,Analytique!$X$3:$AE$29,7,FALSE),"")</f>
        <v/>
      </c>
      <c r="S138" s="288" t="str">
        <f ca="1">IF(R37&lt;&gt;"",VLOOKUP(R37,Analytique!$X$3:$AE$29,7,FALSE),"")</f>
        <v/>
      </c>
      <c r="T138" s="288" t="str">
        <f ca="1">IF(S37&lt;&gt;"",VLOOKUP(S37,Analytique!$X$3:$AE$29,7,FALSE),"")</f>
        <v/>
      </c>
      <c r="U138" s="288" t="str">
        <f ca="1">IF(T37&lt;&gt;"",VLOOKUP(T37,Analytique!$X$3:$AE$29,7,FALSE),"")</f>
        <v/>
      </c>
    </row>
    <row r="139" spans="2:21" ht="13" thickBot="1" x14ac:dyDescent="0.45">
      <c r="B139" s="1170"/>
      <c r="C139" s="1174"/>
      <c r="D139" s="119" t="str">
        <f>$D$10</f>
        <v>Sonde de température</v>
      </c>
      <c r="E139" s="1177"/>
      <c r="F139" s="118" t="str" cm="1">
        <f t="array" aca="1" ref="F139" ca="1">IFERROR(LOOKUP(MIN(IF(LEFT(G139:U139,10)="Non validé",1,IF(G139:U139="Validé avec réserve",2,IF(G139:U139="Validé",3)))),{1,2,3},{"Non validé","Validé avec réserve","Validé"}),"")</f>
        <v/>
      </c>
      <c r="G139" s="96" t="str" cm="1">
        <f t="array" aca="1" ref="G139" ca="1">IF(F38&lt;&gt;"",INDIRECT(F38&amp;"!"&amp;$G$10),"")</f>
        <v/>
      </c>
      <c r="H139" s="96" t="str" cm="1">
        <f t="array" aca="1" ref="H139" ca="1">IF(G38&lt;&gt;"",INDIRECT(G38&amp;"!"&amp;$G$10),"")</f>
        <v/>
      </c>
      <c r="I139" s="96" t="str" cm="1">
        <f t="array" aca="1" ref="I139" ca="1">IF(H38&lt;&gt;"",INDIRECT(H38&amp;"!"&amp;$G$10),"")</f>
        <v/>
      </c>
      <c r="J139" s="96" t="str" cm="1">
        <f t="array" aca="1" ref="J139" ca="1">IF(I38&lt;&gt;"",INDIRECT(I38&amp;"!"&amp;$G$10),"")</f>
        <v/>
      </c>
      <c r="K139" s="96" t="str" cm="1">
        <f t="array" aca="1" ref="K139" ca="1">IF(J38&lt;&gt;"",INDIRECT(J38&amp;"!"&amp;$G$10),"")</f>
        <v/>
      </c>
      <c r="L139" s="96" t="str" cm="1">
        <f t="array" aca="1" ref="L139" ca="1">IF(K38&lt;&gt;"",INDIRECT(K38&amp;"!"&amp;$G$10),"")</f>
        <v/>
      </c>
      <c r="M139" s="96" t="str" cm="1">
        <f t="array" aca="1" ref="M139" ca="1">IF(L38&lt;&gt;"",INDIRECT(L38&amp;"!"&amp;$G$10),"")</f>
        <v/>
      </c>
      <c r="N139" s="96" t="str" cm="1">
        <f t="array" aca="1" ref="N139" ca="1">IF(M38&lt;&gt;"",INDIRECT(M38&amp;"!"&amp;$G$10),"")</f>
        <v/>
      </c>
      <c r="O139" s="96" t="str" cm="1">
        <f t="array" aca="1" ref="O139" ca="1">IF(N38&lt;&gt;"",INDIRECT(N38&amp;"!"&amp;$G$10),"")</f>
        <v/>
      </c>
      <c r="P139" s="96" t="str" cm="1">
        <f t="array" aca="1" ref="P139" ca="1">IF(O38&lt;&gt;"",INDIRECT(O38&amp;"!"&amp;$G$10),"")</f>
        <v/>
      </c>
      <c r="Q139" s="96" t="str" cm="1">
        <f t="array" aca="1" ref="Q139" ca="1">IF(P38&lt;&gt;"",INDIRECT(P38&amp;"!"&amp;$G$10),"")</f>
        <v/>
      </c>
      <c r="R139" s="96" t="str" cm="1">
        <f t="array" aca="1" ref="R139" ca="1">IF(Q38&lt;&gt;"",INDIRECT(Q38&amp;"!"&amp;$G$10),"")</f>
        <v/>
      </c>
      <c r="S139" s="96" t="str" cm="1">
        <f t="array" aca="1" ref="S139" ca="1">IF(R38&lt;&gt;"",INDIRECT(R38&amp;"!"&amp;$G$10),"")</f>
        <v/>
      </c>
      <c r="T139" s="96" t="str" cm="1">
        <f t="array" aca="1" ref="T139" ca="1">IF(S38&lt;&gt;"",INDIRECT(S38&amp;"!"&amp;$G$10),"")</f>
        <v/>
      </c>
      <c r="U139" s="96" t="str" cm="1">
        <f t="array" aca="1" ref="U139" ca="1">IF(T38&lt;&gt;"",INDIRECT(T38&amp;"!"&amp;$G$10),"")</f>
        <v/>
      </c>
    </row>
    <row r="140" spans="2:21" ht="13" thickBot="1" x14ac:dyDescent="0.45">
      <c r="B140" s="1167" t="s">
        <v>109</v>
      </c>
      <c r="C140" s="1171" t="s">
        <v>117</v>
      </c>
      <c r="D140" s="118" t="str">
        <f>$D$7</f>
        <v>Débitmètre en charge</v>
      </c>
      <c r="E140" s="1175" t="str" cm="1">
        <f t="array" aca="1" ref="E140" ca="1">IFERROR(LOOKUP(MIN(IF(LEFT(F140:F144,10)="Non validé",1,IF(F140:F144="Validé avec réserve",2,IF(F140:F144="Validé",3)))),{1,2,3},{"Non validé","Validé avec réserve","Validé"}),"")</f>
        <v/>
      </c>
      <c r="F140" s="118" t="str" cm="1">
        <f t="array" aca="1" ref="F140" ca="1">IFERROR(LOOKUP(MIN(IF(LEFT(G140:U140,10)="Non validé",1,IF(G140:U140="Validé avec réserve",2,IF(G140:U140="Validé",3)))),{1,2,3},{"Non validé","Validé avec réserve","Validé"}),"")</f>
        <v/>
      </c>
      <c r="G140" s="90" t="str" cm="1">
        <f t="array" aca="1" ref="G140" ca="1">IF(F39&lt;&gt;"",INDIRECT(F39&amp;"!"&amp;$G$7),"")</f>
        <v/>
      </c>
      <c r="H140" s="90" t="str" cm="1">
        <f t="array" aca="1" ref="H140" ca="1">IF(G39&lt;&gt;"",INDIRECT(G39&amp;"!"&amp;$G$7),"")</f>
        <v/>
      </c>
      <c r="I140" s="90" t="str" cm="1">
        <f t="array" aca="1" ref="I140" ca="1">IF(H39&lt;&gt;"",INDIRECT(H39&amp;"!"&amp;$G$7),"")</f>
        <v/>
      </c>
      <c r="J140" s="90" t="str" cm="1">
        <f t="array" aca="1" ref="J140" ca="1">IF(I39&lt;&gt;"",INDIRECT(I39&amp;"!"&amp;$G$7),"")</f>
        <v/>
      </c>
      <c r="K140" s="90" t="str" cm="1">
        <f t="array" aca="1" ref="K140" ca="1">IF(J39&lt;&gt;"",INDIRECT(J39&amp;"!"&amp;$G$7),"")</f>
        <v/>
      </c>
      <c r="L140" s="90" t="str" cm="1">
        <f t="array" aca="1" ref="L140" ca="1">IF(K39&lt;&gt;"",INDIRECT(K39&amp;"!"&amp;$G$7),"")</f>
        <v/>
      </c>
      <c r="M140" s="90" t="str" cm="1">
        <f t="array" aca="1" ref="M140" ca="1">IF(L39&lt;&gt;"",INDIRECT(L39&amp;"!"&amp;$G$7),"")</f>
        <v/>
      </c>
      <c r="N140" s="90" t="str" cm="1">
        <f t="array" aca="1" ref="N140" ca="1">IF(M39&lt;&gt;"",INDIRECT(M39&amp;"!"&amp;$G$7),"")</f>
        <v/>
      </c>
      <c r="O140" s="90" t="str" cm="1">
        <f t="array" aca="1" ref="O140" ca="1">IF(N39&lt;&gt;"",INDIRECT(N39&amp;"!"&amp;$G$7),"")</f>
        <v/>
      </c>
      <c r="P140" s="90" t="str" cm="1">
        <f t="array" aca="1" ref="P140" ca="1">IF(O39&lt;&gt;"",INDIRECT(O39&amp;"!"&amp;$G$7),"")</f>
        <v/>
      </c>
      <c r="Q140" s="90" t="str" cm="1">
        <f t="array" aca="1" ref="Q140" ca="1">IF(P39&lt;&gt;"",INDIRECT(P39&amp;"!"&amp;$G$7),"")</f>
        <v/>
      </c>
      <c r="R140" s="90" t="str" cm="1">
        <f t="array" aca="1" ref="R140" ca="1">IF(Q39&lt;&gt;"",INDIRECT(Q39&amp;"!"&amp;$G$7),"")</f>
        <v/>
      </c>
      <c r="S140" s="90" t="str" cm="1">
        <f t="array" aca="1" ref="S140" ca="1">IF(R39&lt;&gt;"",INDIRECT(R39&amp;"!"&amp;$G$7),"")</f>
        <v/>
      </c>
      <c r="T140" s="90" t="str" cm="1">
        <f t="array" aca="1" ref="T140" ca="1">IF(S39&lt;&gt;"",INDIRECT(S39&amp;"!"&amp;$G$7),"")</f>
        <v/>
      </c>
      <c r="U140" s="90" t="str" cm="1">
        <f t="array" aca="1" ref="U140" ca="1">IF(T39&lt;&gt;"",INDIRECT(T39&amp;"!"&amp;$G$7),"")</f>
        <v/>
      </c>
    </row>
    <row r="141" spans="2:21" ht="13" thickBot="1" x14ac:dyDescent="0.45">
      <c r="B141" s="1168"/>
      <c r="C141" s="1172"/>
      <c r="D141" s="117" t="str">
        <f>$D$8</f>
        <v>Débitmètre gravitaire</v>
      </c>
      <c r="E141" s="1176"/>
      <c r="F141" s="118" t="str" cm="1">
        <f t="array" aca="1" ref="F141" ca="1">IFERROR(LOOKUP(MIN(IF(LEFT(G141:U141,10)="Non validé",1,IF(G141:U141="Validé avec réserve",2,IF(G141:U141="Validé",3)))),{1,2,3},{"Non validé","Validé avec réserve","Validé"}),"")</f>
        <v/>
      </c>
      <c r="G141" s="10" t="str" cm="1">
        <f t="array" aca="1" ref="G141" ca="1">IF(F40&lt;&gt;"",INDIRECT(F40&amp;"!"&amp;$G$8),"")</f>
        <v/>
      </c>
      <c r="H141" s="10" t="str" cm="1">
        <f t="array" aca="1" ref="H141" ca="1">IF(G40&lt;&gt;"",INDIRECT(G40&amp;"!"&amp;$G$8),"")</f>
        <v/>
      </c>
      <c r="I141" s="10" t="str" cm="1">
        <f t="array" aca="1" ref="I141" ca="1">IF(H40&lt;&gt;"",INDIRECT(H40&amp;"!"&amp;$G$8),"")</f>
        <v/>
      </c>
      <c r="J141" s="10" t="str" cm="1">
        <f t="array" aca="1" ref="J141" ca="1">IF(I40&lt;&gt;"",INDIRECT(I40&amp;"!"&amp;$G$8),"")</f>
        <v/>
      </c>
      <c r="K141" s="10" t="str" cm="1">
        <f t="array" aca="1" ref="K141" ca="1">IF(J40&lt;&gt;"",INDIRECT(J40&amp;"!"&amp;$G$8),"")</f>
        <v/>
      </c>
      <c r="L141" s="10" t="str" cm="1">
        <f t="array" aca="1" ref="L141" ca="1">IF(K40&lt;&gt;"",INDIRECT(K40&amp;"!"&amp;$G$8),"")</f>
        <v/>
      </c>
      <c r="M141" s="10" t="str" cm="1">
        <f t="array" aca="1" ref="M141" ca="1">IF(L40&lt;&gt;"",INDIRECT(L40&amp;"!"&amp;$G$8),"")</f>
        <v/>
      </c>
      <c r="N141" s="10" t="str" cm="1">
        <f t="array" aca="1" ref="N141" ca="1">IF(M40&lt;&gt;"",INDIRECT(M40&amp;"!"&amp;$G$8),"")</f>
        <v/>
      </c>
      <c r="O141" s="10" t="str" cm="1">
        <f t="array" aca="1" ref="O141" ca="1">IF(N40&lt;&gt;"",INDIRECT(N40&amp;"!"&amp;$G$8),"")</f>
        <v/>
      </c>
      <c r="P141" s="10" t="str" cm="1">
        <f t="array" aca="1" ref="P141" ca="1">IF(O40&lt;&gt;"",INDIRECT(O40&amp;"!"&amp;$G$8),"")</f>
        <v/>
      </c>
      <c r="Q141" s="10" t="str" cm="1">
        <f t="array" aca="1" ref="Q141" ca="1">IF(P40&lt;&gt;"",INDIRECT(P40&amp;"!"&amp;$G$8),"")</f>
        <v/>
      </c>
      <c r="R141" s="10" t="str" cm="1">
        <f t="array" aca="1" ref="R141" ca="1">IF(Q40&lt;&gt;"",INDIRECT(Q40&amp;"!"&amp;$G$8),"")</f>
        <v/>
      </c>
      <c r="S141" s="10" t="str" cm="1">
        <f t="array" aca="1" ref="S141" ca="1">IF(R40&lt;&gt;"",INDIRECT(R40&amp;"!"&amp;$G$8),"")</f>
        <v/>
      </c>
      <c r="T141" s="10" t="str" cm="1">
        <f t="array" aca="1" ref="T141" ca="1">IF(S40&lt;&gt;"",INDIRECT(S40&amp;"!"&amp;$G$8),"")</f>
        <v/>
      </c>
      <c r="U141" s="10" t="str" cm="1">
        <f t="array" aca="1" ref="U141" ca="1">IF(T40&lt;&gt;"",INDIRECT(T40&amp;"!"&amp;$G$8),"")</f>
        <v/>
      </c>
    </row>
    <row r="142" spans="2:21" ht="13" thickBot="1" x14ac:dyDescent="0.45">
      <c r="B142" s="1168"/>
      <c r="C142" s="1172"/>
      <c r="D142" s="117" t="s">
        <v>400</v>
      </c>
      <c r="E142" s="1176"/>
      <c r="F142" s="118" t="str" cm="1">
        <f t="array" aca="1" ref="F142" ca="1">IFERROR(LOOKUP(MIN(IF(LEFT(G142:U142,10)="Non validé",1,IF(G142:U142="Validé avec réserve",2,IF(G142:U142="Validé",3)))),{1,2,3},{"Non validé","Validé avec réserve","Validé"}),"")</f>
        <v/>
      </c>
      <c r="G142" s="111" t="str">
        <f ca="1">G140 &amp; G141</f>
        <v/>
      </c>
      <c r="H142" s="111" t="str">
        <f t="shared" ref="H142:U142" ca="1" si="14">H140 &amp; H141</f>
        <v/>
      </c>
      <c r="I142" s="111" t="str">
        <f t="shared" ca="1" si="14"/>
        <v/>
      </c>
      <c r="J142" s="111" t="str">
        <f t="shared" ca="1" si="14"/>
        <v/>
      </c>
      <c r="K142" s="111" t="str">
        <f t="shared" ca="1" si="14"/>
        <v/>
      </c>
      <c r="L142" s="111" t="str">
        <f t="shared" ca="1" si="14"/>
        <v/>
      </c>
      <c r="M142" s="111" t="str">
        <f t="shared" ca="1" si="14"/>
        <v/>
      </c>
      <c r="N142" s="111" t="str">
        <f t="shared" ca="1" si="14"/>
        <v/>
      </c>
      <c r="O142" s="111" t="str">
        <f t="shared" ca="1" si="14"/>
        <v/>
      </c>
      <c r="P142" s="111" t="str">
        <f t="shared" ca="1" si="14"/>
        <v/>
      </c>
      <c r="Q142" s="111" t="str">
        <f t="shared" ca="1" si="14"/>
        <v/>
      </c>
      <c r="R142" s="111" t="str">
        <f t="shared" ca="1" si="14"/>
        <v/>
      </c>
      <c r="S142" s="111" t="str">
        <f t="shared" ca="1" si="14"/>
        <v/>
      </c>
      <c r="T142" s="111" t="str">
        <f t="shared" ca="1" si="14"/>
        <v/>
      </c>
      <c r="U142" s="111" t="str">
        <f t="shared" ca="1" si="14"/>
        <v/>
      </c>
    </row>
    <row r="143" spans="2:21" ht="13" thickBot="1" x14ac:dyDescent="0.45">
      <c r="B143" s="1168"/>
      <c r="C143" s="1172"/>
      <c r="D143" s="117" t="str">
        <f>$D$9</f>
        <v>Préleveur</v>
      </c>
      <c r="E143" s="1176"/>
      <c r="F143" s="118" t="str" cm="1">
        <f t="array" aca="1" ref="F143" ca="1">IFERROR(LOOKUP(MIN(IF(LEFT(G143:U143,10)="Non validé",1,IF(G143:U143="Validé avec réserve",2,IF(G143:U143="Validé",3)))),{1,2,3},{"Non validé","Validé avec réserve","Validé"}),"")</f>
        <v/>
      </c>
      <c r="G143" s="10" t="str" cm="1">
        <f t="array" aca="1" ref="G143" ca="1">IF(F41&lt;&gt;"",INDIRECT(F41&amp;"!"&amp;$G$9),"")</f>
        <v/>
      </c>
      <c r="H143" s="10" t="str" cm="1">
        <f t="array" aca="1" ref="H143" ca="1">IF(G41&lt;&gt;"",INDIRECT(G41&amp;"!"&amp;$G$9),"")</f>
        <v/>
      </c>
      <c r="I143" s="10" t="str" cm="1">
        <f t="array" aca="1" ref="I143" ca="1">IF(H41&lt;&gt;"",INDIRECT(H41&amp;"!"&amp;$G$9),"")</f>
        <v/>
      </c>
      <c r="J143" s="10" t="str" cm="1">
        <f t="array" aca="1" ref="J143" ca="1">IF(I41&lt;&gt;"",INDIRECT(I41&amp;"!"&amp;$G$9),"")</f>
        <v/>
      </c>
      <c r="K143" s="10" t="str" cm="1">
        <f t="array" aca="1" ref="K143" ca="1">IF(J41&lt;&gt;"",INDIRECT(J41&amp;"!"&amp;$G$9),"")</f>
        <v/>
      </c>
      <c r="L143" s="10" t="str" cm="1">
        <f t="array" aca="1" ref="L143" ca="1">IF(K41&lt;&gt;"",INDIRECT(K41&amp;"!"&amp;$G$9),"")</f>
        <v/>
      </c>
      <c r="M143" s="10" t="str" cm="1">
        <f t="array" aca="1" ref="M143" ca="1">IF(L41&lt;&gt;"",INDIRECT(L41&amp;"!"&amp;$G$9),"")</f>
        <v/>
      </c>
      <c r="N143" s="10" t="str" cm="1">
        <f t="array" aca="1" ref="N143" ca="1">IF(M41&lt;&gt;"",INDIRECT(M41&amp;"!"&amp;$G$9),"")</f>
        <v/>
      </c>
      <c r="O143" s="10" t="str" cm="1">
        <f t="array" aca="1" ref="O143" ca="1">IF(N41&lt;&gt;"",INDIRECT(N41&amp;"!"&amp;$G$9),"")</f>
        <v/>
      </c>
      <c r="P143" s="10" t="str" cm="1">
        <f t="array" aca="1" ref="P143" ca="1">IF(O41&lt;&gt;"",INDIRECT(O41&amp;"!"&amp;$G$9),"")</f>
        <v/>
      </c>
      <c r="Q143" s="10" t="str" cm="1">
        <f t="array" aca="1" ref="Q143" ca="1">IF(P41&lt;&gt;"",INDIRECT(P41&amp;"!"&amp;$G$9),"")</f>
        <v/>
      </c>
      <c r="R143" s="10" t="str" cm="1">
        <f t="array" aca="1" ref="R143" ca="1">IF(Q41&lt;&gt;"",INDIRECT(Q41&amp;"!"&amp;$G$9),"")</f>
        <v/>
      </c>
      <c r="S143" s="10" t="str" cm="1">
        <f t="array" aca="1" ref="S143" ca="1">IF(R41&lt;&gt;"",INDIRECT(R41&amp;"!"&amp;$G$9),"")</f>
        <v/>
      </c>
      <c r="T143" s="10" t="str" cm="1">
        <f t="array" aca="1" ref="T143" ca="1">IF(S41&lt;&gt;"",INDIRECT(S41&amp;"!"&amp;$G$9),"")</f>
        <v/>
      </c>
      <c r="U143" s="10" t="str" cm="1">
        <f t="array" aca="1" ref="U143" ca="1">IF(T41&lt;&gt;"",INDIRECT(T41&amp;"!"&amp;$G$9),"")</f>
        <v/>
      </c>
    </row>
    <row r="144" spans="2:21" ht="13" thickBot="1" x14ac:dyDescent="0.45">
      <c r="B144" s="1169"/>
      <c r="C144" s="1173"/>
      <c r="D144" s="290" t="s">
        <v>392</v>
      </c>
      <c r="E144" s="1176"/>
      <c r="F144" s="118" t="str" cm="1">
        <f t="array" aca="1" ref="F144" ca="1">IFERROR(LOOKUP(MIN(IF(LEFT(G144:U144,10)="Non validé",1,IF(G144:U144="Validé avec réserve",2,IF(G144:U144="Validé",3)))),{1,2,3},{"Non validé","Validé avec réserve","Validé"}),"")</f>
        <v/>
      </c>
      <c r="G144" s="288" t="str">
        <f ca="1">IF(F42&lt;&gt;"",VLOOKUP(F42,Analytique!$X$3:$AE$29,7,FALSE),"")</f>
        <v/>
      </c>
      <c r="H144" s="288" t="str">
        <f ca="1">IF(G42&lt;&gt;"",VLOOKUP(G42,Analytique!$X$3:$AE$29,7,FALSE),"")</f>
        <v/>
      </c>
      <c r="I144" s="288" t="str">
        <f ca="1">IF(H42&lt;&gt;"",VLOOKUP(H42,Analytique!$X$3:$AE$29,7,FALSE),"")</f>
        <v/>
      </c>
      <c r="J144" s="288" t="str">
        <f ca="1">IF(I42&lt;&gt;"",VLOOKUP(I42,Analytique!$X$3:$AE$29,7,FALSE),"")</f>
        <v/>
      </c>
      <c r="K144" s="288" t="str">
        <f ca="1">IF(J42&lt;&gt;"",VLOOKUP(J42,Analytique!$X$3:$AE$29,7,FALSE),"")</f>
        <v/>
      </c>
      <c r="L144" s="288" t="str">
        <f ca="1">IF(K42&lt;&gt;"",VLOOKUP(K42,Analytique!$X$3:$AE$29,7,FALSE),"")</f>
        <v/>
      </c>
      <c r="M144" s="288" t="str">
        <f ca="1">IF(L42&lt;&gt;"",VLOOKUP(L42,Analytique!$X$3:$AE$29,7,FALSE),"")</f>
        <v/>
      </c>
      <c r="N144" s="288" t="str">
        <f ca="1">IF(M42&lt;&gt;"",VLOOKUP(M42,Analytique!$X$3:$AE$29,7,FALSE),"")</f>
        <v/>
      </c>
      <c r="O144" s="288" t="str">
        <f ca="1">IF(N42&lt;&gt;"",VLOOKUP(N42,Analytique!$X$3:$AE$29,7,FALSE),"")</f>
        <v/>
      </c>
      <c r="P144" s="288" t="str">
        <f ca="1">IF(O42&lt;&gt;"",VLOOKUP(O42,Analytique!$X$3:$AE$29,7,FALSE),"")</f>
        <v/>
      </c>
      <c r="Q144" s="288" t="str">
        <f ca="1">IF(P42&lt;&gt;"",VLOOKUP(P42,Analytique!$X$3:$AE$29,7,FALSE),"")</f>
        <v/>
      </c>
      <c r="R144" s="288" t="str">
        <f ca="1">IF(Q42&lt;&gt;"",VLOOKUP(Q42,Analytique!$X$3:$AE$29,7,FALSE),"")</f>
        <v/>
      </c>
      <c r="S144" s="288" t="str">
        <f ca="1">IF(R42&lt;&gt;"",VLOOKUP(R42,Analytique!$X$3:$AE$29,7,FALSE),"")</f>
        <v/>
      </c>
      <c r="T144" s="288" t="str">
        <f ca="1">IF(S42&lt;&gt;"",VLOOKUP(S42,Analytique!$X$3:$AE$29,7,FALSE),"")</f>
        <v/>
      </c>
      <c r="U144" s="288" t="str">
        <f ca="1">IF(T42&lt;&gt;"",VLOOKUP(T42,Analytique!$X$3:$AE$29,7,FALSE),"")</f>
        <v/>
      </c>
    </row>
    <row r="145" spans="2:21" ht="13" thickBot="1" x14ac:dyDescent="0.45">
      <c r="B145" s="1170"/>
      <c r="C145" s="1174"/>
      <c r="D145" s="119" t="str">
        <f>$D$10</f>
        <v>Sonde de température</v>
      </c>
      <c r="E145" s="1177"/>
      <c r="F145" s="118" t="str" cm="1">
        <f t="array" aca="1" ref="F145" ca="1">IFERROR(LOOKUP(MIN(IF(LEFT(G145:U145,10)="Non validé",1,IF(G145:U145="Validé avec réserve",2,IF(G145:U145="Validé",3)))),{1,2,3},{"Non validé","Validé avec réserve","Validé"}),"")</f>
        <v/>
      </c>
      <c r="G145" s="96" t="str" cm="1">
        <f t="array" aca="1" ref="G145" ca="1">IF(F43&lt;&gt;"",INDIRECT(F43&amp;"!"&amp;$G$10),"")</f>
        <v/>
      </c>
      <c r="H145" s="96" t="str" cm="1">
        <f t="array" aca="1" ref="H145" ca="1">IF(G43&lt;&gt;"",INDIRECT(G43&amp;"!"&amp;$G$10),"")</f>
        <v/>
      </c>
      <c r="I145" s="96" t="str" cm="1">
        <f t="array" aca="1" ref="I145" ca="1">IF(H43&lt;&gt;"",INDIRECT(H43&amp;"!"&amp;$G$10),"")</f>
        <v/>
      </c>
      <c r="J145" s="96" t="str" cm="1">
        <f t="array" aca="1" ref="J145" ca="1">IF(I43&lt;&gt;"",INDIRECT(I43&amp;"!"&amp;$G$10),"")</f>
        <v/>
      </c>
      <c r="K145" s="96" t="str" cm="1">
        <f t="array" aca="1" ref="K145" ca="1">IF(J43&lt;&gt;"",INDIRECT(J43&amp;"!"&amp;$G$10),"")</f>
        <v/>
      </c>
      <c r="L145" s="96" t="str" cm="1">
        <f t="array" aca="1" ref="L145" ca="1">IF(K43&lt;&gt;"",INDIRECT(K43&amp;"!"&amp;$G$10),"")</f>
        <v/>
      </c>
      <c r="M145" s="96" t="str" cm="1">
        <f t="array" aca="1" ref="M145" ca="1">IF(L43&lt;&gt;"",INDIRECT(L43&amp;"!"&amp;$G$10),"")</f>
        <v/>
      </c>
      <c r="N145" s="96" t="str" cm="1">
        <f t="array" aca="1" ref="N145" ca="1">IF(M43&lt;&gt;"",INDIRECT(M43&amp;"!"&amp;$G$10),"")</f>
        <v/>
      </c>
      <c r="O145" s="96" t="str" cm="1">
        <f t="array" aca="1" ref="O145" ca="1">IF(N43&lt;&gt;"",INDIRECT(N43&amp;"!"&amp;$G$10),"")</f>
        <v/>
      </c>
      <c r="P145" s="96" t="str" cm="1">
        <f t="array" aca="1" ref="P145" ca="1">IF(O43&lt;&gt;"",INDIRECT(O43&amp;"!"&amp;$G$10),"")</f>
        <v/>
      </c>
      <c r="Q145" s="96" t="str" cm="1">
        <f t="array" aca="1" ref="Q145" ca="1">IF(P43&lt;&gt;"",INDIRECT(P43&amp;"!"&amp;$G$10),"")</f>
        <v/>
      </c>
      <c r="R145" s="96" t="str" cm="1">
        <f t="array" aca="1" ref="R145" ca="1">IF(Q43&lt;&gt;"",INDIRECT(Q43&amp;"!"&amp;$G$10),"")</f>
        <v/>
      </c>
      <c r="S145" s="96" t="str" cm="1">
        <f t="array" aca="1" ref="S145" ca="1">IF(R43&lt;&gt;"",INDIRECT(R43&amp;"!"&amp;$G$10),"")</f>
        <v/>
      </c>
      <c r="T145" s="96" t="str" cm="1">
        <f t="array" aca="1" ref="T145" ca="1">IF(S43&lt;&gt;"",INDIRECT(S43&amp;"!"&amp;$G$10),"")</f>
        <v/>
      </c>
      <c r="U145" s="96" t="str" cm="1">
        <f t="array" aca="1" ref="U145" ca="1">IF(T43&lt;&gt;"",INDIRECT(T43&amp;"!"&amp;$G$10),"")</f>
        <v/>
      </c>
    </row>
    <row r="146" spans="2:21" ht="13" thickBot="1" x14ac:dyDescent="0.45">
      <c r="B146" s="1167" t="s">
        <v>111</v>
      </c>
      <c r="C146" s="1171" t="s">
        <v>116</v>
      </c>
      <c r="D146" s="118" t="str">
        <f>$D$7</f>
        <v>Débitmètre en charge</v>
      </c>
      <c r="E146" s="1175" t="str" cm="1">
        <f t="array" aca="1" ref="E146" ca="1">IFERROR(LOOKUP(MIN(IF(LEFT(F146:F150,10)="Non validé",1,IF(F146:F150="Validé avec réserve",2,IF(F146:F150="Validé",3)))),{1,2,3},{"Non validé","Validé avec réserve","Validé"}),"")</f>
        <v/>
      </c>
      <c r="F146" s="118" t="str" cm="1">
        <f t="array" aca="1" ref="F146" ca="1">IFERROR(LOOKUP(MIN(IF(LEFT(G146:U146,10)="Non validé",1,IF(G146:U146="Validé avec réserve",2,IF(G146:U146="Validé",3)))),{1,2,3},{"Non validé","Validé avec réserve","Validé"}),"")</f>
        <v/>
      </c>
      <c r="G146" s="90" t="str" cm="1">
        <f t="array" aca="1" ref="G146" ca="1">IF(F44&lt;&gt;"",INDIRECT(F44&amp;"!"&amp;$G$7),"")</f>
        <v/>
      </c>
      <c r="H146" s="90" t="str" cm="1">
        <f t="array" aca="1" ref="H146" ca="1">IF(G44&lt;&gt;"",INDIRECT(G44&amp;"!"&amp;$G$7),"")</f>
        <v/>
      </c>
      <c r="I146" s="90" t="str" cm="1">
        <f t="array" aca="1" ref="I146" ca="1">IF(H44&lt;&gt;"",INDIRECT(H44&amp;"!"&amp;$G$7),"")</f>
        <v/>
      </c>
      <c r="J146" s="90" t="str" cm="1">
        <f t="array" aca="1" ref="J146" ca="1">IF(I44&lt;&gt;"",INDIRECT(I44&amp;"!"&amp;$G$7),"")</f>
        <v/>
      </c>
      <c r="K146" s="90" t="str" cm="1">
        <f t="array" aca="1" ref="K146" ca="1">IF(J44&lt;&gt;"",INDIRECT(J44&amp;"!"&amp;$G$7),"")</f>
        <v/>
      </c>
      <c r="L146" s="90" t="str" cm="1">
        <f t="array" aca="1" ref="L146" ca="1">IF(K44&lt;&gt;"",INDIRECT(K44&amp;"!"&amp;$G$7),"")</f>
        <v/>
      </c>
      <c r="M146" s="90" t="str" cm="1">
        <f t="array" aca="1" ref="M146" ca="1">IF(L44&lt;&gt;"",INDIRECT(L44&amp;"!"&amp;$G$7),"")</f>
        <v/>
      </c>
      <c r="N146" s="90" t="str" cm="1">
        <f t="array" aca="1" ref="N146" ca="1">IF(M44&lt;&gt;"",INDIRECT(M44&amp;"!"&amp;$G$7),"")</f>
        <v/>
      </c>
      <c r="O146" s="90" t="str" cm="1">
        <f t="array" aca="1" ref="O146" ca="1">IF(N44&lt;&gt;"",INDIRECT(N44&amp;"!"&amp;$G$7),"")</f>
        <v/>
      </c>
      <c r="P146" s="90" t="str" cm="1">
        <f t="array" aca="1" ref="P146" ca="1">IF(O44&lt;&gt;"",INDIRECT(O44&amp;"!"&amp;$G$7),"")</f>
        <v/>
      </c>
      <c r="Q146" s="90" t="str" cm="1">
        <f t="array" aca="1" ref="Q146" ca="1">IF(P44&lt;&gt;"",INDIRECT(P44&amp;"!"&amp;$G$7),"")</f>
        <v/>
      </c>
      <c r="R146" s="90" t="str" cm="1">
        <f t="array" aca="1" ref="R146" ca="1">IF(Q44&lt;&gt;"",INDIRECT(Q44&amp;"!"&amp;$G$7),"")</f>
        <v/>
      </c>
      <c r="S146" s="90" t="str" cm="1">
        <f t="array" aca="1" ref="S146" ca="1">IF(R44&lt;&gt;"",INDIRECT(R44&amp;"!"&amp;$G$7),"")</f>
        <v/>
      </c>
      <c r="T146" s="90" t="str" cm="1">
        <f t="array" aca="1" ref="T146" ca="1">IF(S44&lt;&gt;"",INDIRECT(S44&amp;"!"&amp;$G$7),"")</f>
        <v/>
      </c>
      <c r="U146" s="90" t="str" cm="1">
        <f t="array" aca="1" ref="U146" ca="1">IF(T44&lt;&gt;"",INDIRECT(T44&amp;"!"&amp;$G$7),"")</f>
        <v/>
      </c>
    </row>
    <row r="147" spans="2:21" ht="13" thickBot="1" x14ac:dyDescent="0.45">
      <c r="B147" s="1168"/>
      <c r="C147" s="1172"/>
      <c r="D147" s="117" t="str">
        <f>$D$8</f>
        <v>Débitmètre gravitaire</v>
      </c>
      <c r="E147" s="1176"/>
      <c r="F147" s="118" t="str" cm="1">
        <f t="array" aca="1" ref="F147" ca="1">IFERROR(LOOKUP(MIN(IF(LEFT(G147:U147,10)="Non validé",1,IF(G147:U147="Validé avec réserve",2,IF(G147:U147="Validé",3)))),{1,2,3},{"Non validé","Validé avec réserve","Validé"}),"")</f>
        <v/>
      </c>
      <c r="G147" s="10" t="str" cm="1">
        <f t="array" aca="1" ref="G147" ca="1">IF(F45&lt;&gt;"",INDIRECT(F45&amp;"!"&amp;$G$8),"")</f>
        <v/>
      </c>
      <c r="H147" s="10" t="str" cm="1">
        <f t="array" aca="1" ref="H147" ca="1">IF(G45&lt;&gt;"",INDIRECT(G45&amp;"!"&amp;$G$8),"")</f>
        <v/>
      </c>
      <c r="I147" s="10" t="str" cm="1">
        <f t="array" aca="1" ref="I147" ca="1">IF(H45&lt;&gt;"",INDIRECT(H45&amp;"!"&amp;$G$8),"")</f>
        <v/>
      </c>
      <c r="J147" s="10" t="str" cm="1">
        <f t="array" aca="1" ref="J147" ca="1">IF(I45&lt;&gt;"",INDIRECT(I45&amp;"!"&amp;$G$8),"")</f>
        <v/>
      </c>
      <c r="K147" s="10" t="str" cm="1">
        <f t="array" aca="1" ref="K147" ca="1">IF(J45&lt;&gt;"",INDIRECT(J45&amp;"!"&amp;$G$8),"")</f>
        <v/>
      </c>
      <c r="L147" s="10" t="str" cm="1">
        <f t="array" aca="1" ref="L147" ca="1">IF(K45&lt;&gt;"",INDIRECT(K45&amp;"!"&amp;$G$8),"")</f>
        <v/>
      </c>
      <c r="M147" s="10" t="str" cm="1">
        <f t="array" aca="1" ref="M147" ca="1">IF(L45&lt;&gt;"",INDIRECT(L45&amp;"!"&amp;$G$8),"")</f>
        <v/>
      </c>
      <c r="N147" s="10" t="str" cm="1">
        <f t="array" aca="1" ref="N147" ca="1">IF(M45&lt;&gt;"",INDIRECT(M45&amp;"!"&amp;$G$8),"")</f>
        <v/>
      </c>
      <c r="O147" s="10" t="str" cm="1">
        <f t="array" aca="1" ref="O147" ca="1">IF(N45&lt;&gt;"",INDIRECT(N45&amp;"!"&amp;$G$8),"")</f>
        <v/>
      </c>
      <c r="P147" s="10" t="str" cm="1">
        <f t="array" aca="1" ref="P147" ca="1">IF(O45&lt;&gt;"",INDIRECT(O45&amp;"!"&amp;$G$8),"")</f>
        <v/>
      </c>
      <c r="Q147" s="10" t="str" cm="1">
        <f t="array" aca="1" ref="Q147" ca="1">IF(P45&lt;&gt;"",INDIRECT(P45&amp;"!"&amp;$G$8),"")</f>
        <v/>
      </c>
      <c r="R147" s="10" t="str" cm="1">
        <f t="array" aca="1" ref="R147" ca="1">IF(Q45&lt;&gt;"",INDIRECT(Q45&amp;"!"&amp;$G$8),"")</f>
        <v/>
      </c>
      <c r="S147" s="10" t="str" cm="1">
        <f t="array" aca="1" ref="S147" ca="1">IF(R45&lt;&gt;"",INDIRECT(R45&amp;"!"&amp;$G$8),"")</f>
        <v/>
      </c>
      <c r="T147" s="10" t="str" cm="1">
        <f t="array" aca="1" ref="T147" ca="1">IF(S45&lt;&gt;"",INDIRECT(S45&amp;"!"&amp;$G$8),"")</f>
        <v/>
      </c>
      <c r="U147" s="10" t="str" cm="1">
        <f t="array" aca="1" ref="U147" ca="1">IF(T45&lt;&gt;"",INDIRECT(T45&amp;"!"&amp;$G$8),"")</f>
        <v/>
      </c>
    </row>
    <row r="148" spans="2:21" ht="13" thickBot="1" x14ac:dyDescent="0.45">
      <c r="B148" s="1168"/>
      <c r="C148" s="1172"/>
      <c r="D148" s="117" t="s">
        <v>400</v>
      </c>
      <c r="E148" s="1176"/>
      <c r="F148" s="118" t="str" cm="1">
        <f t="array" aca="1" ref="F148" ca="1">IFERROR(LOOKUP(MIN(IF(LEFT(G148:U148,10)="Non validé",1,IF(G148:U148="Validé avec réserve",2,IF(G148:U148="Validé",3)))),{1,2,3},{"Non validé","Validé avec réserve","Validé"}),"")</f>
        <v/>
      </c>
      <c r="G148" s="111" t="str">
        <f ca="1">G146 &amp; G147</f>
        <v/>
      </c>
      <c r="H148" s="111" t="str">
        <f t="shared" ref="H148:U148" ca="1" si="15">H146 &amp; H147</f>
        <v/>
      </c>
      <c r="I148" s="111" t="str">
        <f t="shared" ca="1" si="15"/>
        <v/>
      </c>
      <c r="J148" s="111" t="str">
        <f t="shared" ca="1" si="15"/>
        <v/>
      </c>
      <c r="K148" s="111" t="str">
        <f t="shared" ca="1" si="15"/>
        <v/>
      </c>
      <c r="L148" s="111" t="str">
        <f t="shared" ca="1" si="15"/>
        <v/>
      </c>
      <c r="M148" s="111" t="str">
        <f t="shared" ca="1" si="15"/>
        <v/>
      </c>
      <c r="N148" s="111" t="str">
        <f t="shared" ca="1" si="15"/>
        <v/>
      </c>
      <c r="O148" s="111" t="str">
        <f t="shared" ca="1" si="15"/>
        <v/>
      </c>
      <c r="P148" s="111" t="str">
        <f t="shared" ca="1" si="15"/>
        <v/>
      </c>
      <c r="Q148" s="111" t="str">
        <f t="shared" ca="1" si="15"/>
        <v/>
      </c>
      <c r="R148" s="111" t="str">
        <f t="shared" ca="1" si="15"/>
        <v/>
      </c>
      <c r="S148" s="111" t="str">
        <f t="shared" ca="1" si="15"/>
        <v/>
      </c>
      <c r="T148" s="111" t="str">
        <f t="shared" ca="1" si="15"/>
        <v/>
      </c>
      <c r="U148" s="111" t="str">
        <f t="shared" ca="1" si="15"/>
        <v/>
      </c>
    </row>
    <row r="149" spans="2:21" ht="13" thickBot="1" x14ac:dyDescent="0.45">
      <c r="B149" s="1168"/>
      <c r="C149" s="1172"/>
      <c r="D149" s="117" t="str">
        <f>$D$9</f>
        <v>Préleveur</v>
      </c>
      <c r="E149" s="1176"/>
      <c r="F149" s="118" t="str" cm="1">
        <f t="array" aca="1" ref="F149" ca="1">IFERROR(LOOKUP(MIN(IF(LEFT(G149:U149,10)="Non validé",1,IF(G149:U149="Validé avec réserve",2,IF(G149:U149="Validé",3)))),{1,2,3},{"Non validé","Validé avec réserve","Validé"}),"")</f>
        <v/>
      </c>
      <c r="G149" s="10" t="str" cm="1">
        <f t="array" aca="1" ref="G149" ca="1">IF(F46&lt;&gt;"",INDIRECT(F46&amp;"!"&amp;$G$9),"")</f>
        <v/>
      </c>
      <c r="H149" s="10" t="str" cm="1">
        <f t="array" aca="1" ref="H149" ca="1">IF(G46&lt;&gt;"",INDIRECT(G46&amp;"!"&amp;$G$9),"")</f>
        <v/>
      </c>
      <c r="I149" s="10" t="str" cm="1">
        <f t="array" aca="1" ref="I149" ca="1">IF(H46&lt;&gt;"",INDIRECT(H46&amp;"!"&amp;$G$9),"")</f>
        <v/>
      </c>
      <c r="J149" s="10" t="str" cm="1">
        <f t="array" aca="1" ref="J149" ca="1">IF(I46&lt;&gt;"",INDIRECT(I46&amp;"!"&amp;$G$9),"")</f>
        <v/>
      </c>
      <c r="K149" s="10" t="str" cm="1">
        <f t="array" aca="1" ref="K149" ca="1">IF(J46&lt;&gt;"",INDIRECT(J46&amp;"!"&amp;$G$9),"")</f>
        <v/>
      </c>
      <c r="L149" s="10" t="str" cm="1">
        <f t="array" aca="1" ref="L149" ca="1">IF(K46&lt;&gt;"",INDIRECT(K46&amp;"!"&amp;$G$9),"")</f>
        <v/>
      </c>
      <c r="M149" s="10" t="str" cm="1">
        <f t="array" aca="1" ref="M149" ca="1">IF(L46&lt;&gt;"",INDIRECT(L46&amp;"!"&amp;$G$9),"")</f>
        <v/>
      </c>
      <c r="N149" s="10" t="str" cm="1">
        <f t="array" aca="1" ref="N149" ca="1">IF(M46&lt;&gt;"",INDIRECT(M46&amp;"!"&amp;$G$9),"")</f>
        <v/>
      </c>
      <c r="O149" s="10" t="str" cm="1">
        <f t="array" aca="1" ref="O149" ca="1">IF(N46&lt;&gt;"",INDIRECT(N46&amp;"!"&amp;$G$9),"")</f>
        <v/>
      </c>
      <c r="P149" s="10" t="str" cm="1">
        <f t="array" aca="1" ref="P149" ca="1">IF(O46&lt;&gt;"",INDIRECT(O46&amp;"!"&amp;$G$9),"")</f>
        <v/>
      </c>
      <c r="Q149" s="10" t="str" cm="1">
        <f t="array" aca="1" ref="Q149" ca="1">IF(P46&lt;&gt;"",INDIRECT(P46&amp;"!"&amp;$G$9),"")</f>
        <v/>
      </c>
      <c r="R149" s="10" t="str" cm="1">
        <f t="array" aca="1" ref="R149" ca="1">IF(Q46&lt;&gt;"",INDIRECT(Q46&amp;"!"&amp;$G$9),"")</f>
        <v/>
      </c>
      <c r="S149" s="10" t="str" cm="1">
        <f t="array" aca="1" ref="S149" ca="1">IF(R46&lt;&gt;"",INDIRECT(R46&amp;"!"&amp;$G$9),"")</f>
        <v/>
      </c>
      <c r="T149" s="10" t="str" cm="1">
        <f t="array" aca="1" ref="T149" ca="1">IF(S46&lt;&gt;"",INDIRECT(S46&amp;"!"&amp;$G$9),"")</f>
        <v/>
      </c>
      <c r="U149" s="10" t="str" cm="1">
        <f t="array" aca="1" ref="U149" ca="1">IF(T46&lt;&gt;"",INDIRECT(T46&amp;"!"&amp;$G$9),"")</f>
        <v/>
      </c>
    </row>
    <row r="150" spans="2:21" ht="13" thickBot="1" x14ac:dyDescent="0.45">
      <c r="B150" s="1169"/>
      <c r="C150" s="1173"/>
      <c r="D150" s="290" t="s">
        <v>392</v>
      </c>
      <c r="E150" s="1176"/>
      <c r="F150" s="118" t="str" cm="1">
        <f t="array" aca="1" ref="F150" ca="1">IFERROR(LOOKUP(MIN(IF(LEFT(G150:U150,10)="Non validé",1,IF(G150:U150="Validé avec réserve",2,IF(G150:U150="Validé",3)))),{1,2,3},{"Non validé","Validé avec réserve","Validé"}),"")</f>
        <v/>
      </c>
      <c r="G150" s="288" t="str">
        <f ca="1">IF(F47&lt;&gt;"",VLOOKUP(F47,Analytique!$X$3:$AE$29,7,FALSE),"")</f>
        <v/>
      </c>
      <c r="H150" s="288" t="str">
        <f ca="1">IF(G47&lt;&gt;"",VLOOKUP(G47,Analytique!$X$3:$AE$29,7,FALSE),"")</f>
        <v/>
      </c>
      <c r="I150" s="288" t="str">
        <f ca="1">IF(H47&lt;&gt;"",VLOOKUP(H47,Analytique!$X$3:$AE$29,7,FALSE),"")</f>
        <v/>
      </c>
      <c r="J150" s="288" t="str">
        <f ca="1">IF(I47&lt;&gt;"",VLOOKUP(I47,Analytique!$X$3:$AE$29,7,FALSE),"")</f>
        <v/>
      </c>
      <c r="K150" s="288" t="str">
        <f ca="1">IF(J47&lt;&gt;"",VLOOKUP(J47,Analytique!$X$3:$AE$29,7,FALSE),"")</f>
        <v/>
      </c>
      <c r="L150" s="288" t="str">
        <f ca="1">IF(K47&lt;&gt;"",VLOOKUP(K47,Analytique!$X$3:$AE$29,7,FALSE),"")</f>
        <v/>
      </c>
      <c r="M150" s="288" t="str">
        <f ca="1">IF(L47&lt;&gt;"",VLOOKUP(L47,Analytique!$X$3:$AE$29,7,FALSE),"")</f>
        <v/>
      </c>
      <c r="N150" s="288" t="str">
        <f ca="1">IF(M47&lt;&gt;"",VLOOKUP(M47,Analytique!$X$3:$AE$29,7,FALSE),"")</f>
        <v/>
      </c>
      <c r="O150" s="288" t="str">
        <f ca="1">IF(N47&lt;&gt;"",VLOOKUP(N47,Analytique!$X$3:$AE$29,7,FALSE),"")</f>
        <v/>
      </c>
      <c r="P150" s="288" t="str">
        <f ca="1">IF(O47&lt;&gt;"",VLOOKUP(O47,Analytique!$X$3:$AE$29,7,FALSE),"")</f>
        <v/>
      </c>
      <c r="Q150" s="288" t="str">
        <f ca="1">IF(P47&lt;&gt;"",VLOOKUP(P47,Analytique!$X$3:$AE$29,7,FALSE),"")</f>
        <v/>
      </c>
      <c r="R150" s="288" t="str">
        <f ca="1">IF(Q47&lt;&gt;"",VLOOKUP(Q47,Analytique!$X$3:$AE$29,7,FALSE),"")</f>
        <v/>
      </c>
      <c r="S150" s="288" t="str">
        <f ca="1">IF(R47&lt;&gt;"",VLOOKUP(R47,Analytique!$X$3:$AE$29,7,FALSE),"")</f>
        <v/>
      </c>
      <c r="T150" s="288" t="str">
        <f ca="1">IF(S47&lt;&gt;"",VLOOKUP(S47,Analytique!$X$3:$AE$29,7,FALSE),"")</f>
        <v/>
      </c>
      <c r="U150" s="288" t="str">
        <f ca="1">IF(T47&lt;&gt;"",VLOOKUP(T47,Analytique!$X$3:$AE$29,7,FALSE),"")</f>
        <v/>
      </c>
    </row>
    <row r="151" spans="2:21" ht="13" thickBot="1" x14ac:dyDescent="0.45">
      <c r="B151" s="1170"/>
      <c r="C151" s="1174"/>
      <c r="D151" s="119" t="str">
        <f>$D$10</f>
        <v>Sonde de température</v>
      </c>
      <c r="E151" s="1177"/>
      <c r="F151" s="118" t="str" cm="1">
        <f t="array" aca="1" ref="F151" ca="1">IFERROR(LOOKUP(MIN(IF(LEFT(G151:U151,10)="Non validé",1,IF(G151:U151="Validé avec réserve",2,IF(G151:U151="Validé",3)))),{1,2,3},{"Non validé","Validé avec réserve","Validé"}),"")</f>
        <v/>
      </c>
      <c r="G151" s="96" t="str" cm="1">
        <f t="array" aca="1" ref="G151" ca="1">IF(F48&lt;&gt;"",INDIRECT(F48&amp;"!"&amp;$G$10),"")</f>
        <v/>
      </c>
      <c r="H151" s="96" t="str" cm="1">
        <f t="array" aca="1" ref="H151" ca="1">IF(G48&lt;&gt;"",INDIRECT(G48&amp;"!"&amp;$G$10),"")</f>
        <v/>
      </c>
      <c r="I151" s="96" t="str" cm="1">
        <f t="array" aca="1" ref="I151" ca="1">IF(H48&lt;&gt;"",INDIRECT(H48&amp;"!"&amp;$G$10),"")</f>
        <v/>
      </c>
      <c r="J151" s="96" t="str" cm="1">
        <f t="array" aca="1" ref="J151" ca="1">IF(I48&lt;&gt;"",INDIRECT(I48&amp;"!"&amp;$G$10),"")</f>
        <v/>
      </c>
      <c r="K151" s="96" t="str" cm="1">
        <f t="array" aca="1" ref="K151" ca="1">IF(J48&lt;&gt;"",INDIRECT(J48&amp;"!"&amp;$G$10),"")</f>
        <v/>
      </c>
      <c r="L151" s="96" t="str" cm="1">
        <f t="array" aca="1" ref="L151" ca="1">IF(K48&lt;&gt;"",INDIRECT(K48&amp;"!"&amp;$G$10),"")</f>
        <v/>
      </c>
      <c r="M151" s="96" t="str" cm="1">
        <f t="array" aca="1" ref="M151" ca="1">IF(L48&lt;&gt;"",INDIRECT(L48&amp;"!"&amp;$G$10),"")</f>
        <v/>
      </c>
      <c r="N151" s="96" t="str" cm="1">
        <f t="array" aca="1" ref="N151" ca="1">IF(M48&lt;&gt;"",INDIRECT(M48&amp;"!"&amp;$G$10),"")</f>
        <v/>
      </c>
      <c r="O151" s="96" t="str" cm="1">
        <f t="array" aca="1" ref="O151" ca="1">IF(N48&lt;&gt;"",INDIRECT(N48&amp;"!"&amp;$G$10),"")</f>
        <v/>
      </c>
      <c r="P151" s="96" t="str" cm="1">
        <f t="array" aca="1" ref="P151" ca="1">IF(O48&lt;&gt;"",INDIRECT(O48&amp;"!"&amp;$G$10),"")</f>
        <v/>
      </c>
      <c r="Q151" s="96" t="str" cm="1">
        <f t="array" aca="1" ref="Q151" ca="1">IF(P48&lt;&gt;"",INDIRECT(P48&amp;"!"&amp;$G$10),"")</f>
        <v/>
      </c>
      <c r="R151" s="96" t="str" cm="1">
        <f t="array" aca="1" ref="R151" ca="1">IF(Q48&lt;&gt;"",INDIRECT(Q48&amp;"!"&amp;$G$10),"")</f>
        <v/>
      </c>
      <c r="S151" s="96" t="str" cm="1">
        <f t="array" aca="1" ref="S151" ca="1">IF(R48&lt;&gt;"",INDIRECT(R48&amp;"!"&amp;$G$10),"")</f>
        <v/>
      </c>
      <c r="T151" s="96" t="str" cm="1">
        <f t="array" aca="1" ref="T151" ca="1">IF(S48&lt;&gt;"",INDIRECT(S48&amp;"!"&amp;$G$10),"")</f>
        <v/>
      </c>
      <c r="U151" s="96" t="str" cm="1">
        <f t="array" aca="1" ref="U151" ca="1">IF(T48&lt;&gt;"",INDIRECT(T48&amp;"!"&amp;$G$10),"")</f>
        <v/>
      </c>
    </row>
    <row r="152" spans="2:21" ht="13" thickBot="1" x14ac:dyDescent="0.45">
      <c r="B152" s="1167" t="s">
        <v>99</v>
      </c>
      <c r="C152" s="1171" t="s">
        <v>101</v>
      </c>
      <c r="D152" s="118" t="str">
        <f>$D$7</f>
        <v>Débitmètre en charge</v>
      </c>
      <c r="E152" s="1175" t="str" cm="1">
        <f t="array" aca="1" ref="E152" ca="1">IFERROR(LOOKUP(MIN(IF(LEFT(F152:F156,10)="Non validé",1,IF(F152:F156="Validé avec réserve",2,IF(F152:F156="Validé",3)))),{1,2,3},{"Non validé","Validé avec réserve","Validé"}),"")</f>
        <v/>
      </c>
      <c r="F152" s="118" t="str" cm="1">
        <f t="array" aca="1" ref="F152" ca="1">IFERROR(LOOKUP(MIN(IF(LEFT(G152:U152,10)="Non validé",1,IF(G152:U152="Validé avec réserve",2,IF(G152:U152="Validé",3)))),{1,2,3},{"Non validé","Validé avec réserve","Validé"}),"")</f>
        <v/>
      </c>
      <c r="G152" s="90" t="str" cm="1">
        <f t="array" aca="1" ref="G152" ca="1">IF(F49&lt;&gt;"",INDIRECT(F49&amp;"!"&amp;$G$7),"")</f>
        <v/>
      </c>
      <c r="H152" s="90" t="str" cm="1">
        <f t="array" aca="1" ref="H152" ca="1">IF(G49&lt;&gt;"",INDIRECT(G49&amp;"!"&amp;$G$7),"")</f>
        <v/>
      </c>
      <c r="I152" s="90" t="str" cm="1">
        <f t="array" aca="1" ref="I152" ca="1">IF(H49&lt;&gt;"",INDIRECT(H49&amp;"!"&amp;$G$7),"")</f>
        <v/>
      </c>
      <c r="J152" s="90" t="str" cm="1">
        <f t="array" aca="1" ref="J152" ca="1">IF(I49&lt;&gt;"",INDIRECT(I49&amp;"!"&amp;$G$7),"")</f>
        <v/>
      </c>
      <c r="K152" s="90" t="str" cm="1">
        <f t="array" aca="1" ref="K152" ca="1">IF(J49&lt;&gt;"",INDIRECT(J49&amp;"!"&amp;$G$7),"")</f>
        <v/>
      </c>
      <c r="L152" s="90" t="str" cm="1">
        <f t="array" aca="1" ref="L152" ca="1">IF(K49&lt;&gt;"",INDIRECT(K49&amp;"!"&amp;$G$7),"")</f>
        <v/>
      </c>
      <c r="M152" s="90" t="str" cm="1">
        <f t="array" aca="1" ref="M152" ca="1">IF(L49&lt;&gt;"",INDIRECT(L49&amp;"!"&amp;$G$7),"")</f>
        <v/>
      </c>
      <c r="N152" s="90" t="str" cm="1">
        <f t="array" aca="1" ref="N152" ca="1">IF(M49&lt;&gt;"",INDIRECT(M49&amp;"!"&amp;$G$7),"")</f>
        <v/>
      </c>
      <c r="O152" s="90" t="str" cm="1">
        <f t="array" aca="1" ref="O152" ca="1">IF(N49&lt;&gt;"",INDIRECT(N49&amp;"!"&amp;$G$7),"")</f>
        <v/>
      </c>
      <c r="P152" s="90" t="str" cm="1">
        <f t="array" aca="1" ref="P152" ca="1">IF(O49&lt;&gt;"",INDIRECT(O49&amp;"!"&amp;$G$7),"")</f>
        <v/>
      </c>
      <c r="Q152" s="90" t="str" cm="1">
        <f t="array" aca="1" ref="Q152" ca="1">IF(P49&lt;&gt;"",INDIRECT(P49&amp;"!"&amp;$G$7),"")</f>
        <v/>
      </c>
      <c r="R152" s="90" t="str" cm="1">
        <f t="array" aca="1" ref="R152" ca="1">IF(Q49&lt;&gt;"",INDIRECT(Q49&amp;"!"&amp;$G$7),"")</f>
        <v/>
      </c>
      <c r="S152" s="90" t="str" cm="1">
        <f t="array" aca="1" ref="S152" ca="1">IF(R49&lt;&gt;"",INDIRECT(R49&amp;"!"&amp;$G$7),"")</f>
        <v/>
      </c>
      <c r="T152" s="90" t="str" cm="1">
        <f t="array" aca="1" ref="T152" ca="1">IF(S49&lt;&gt;"",INDIRECT(S49&amp;"!"&amp;$G$7),"")</f>
        <v/>
      </c>
      <c r="U152" s="90" t="str" cm="1">
        <f t="array" aca="1" ref="U152" ca="1">IF(T49&lt;&gt;"",INDIRECT(T49&amp;"!"&amp;$G$7),"")</f>
        <v/>
      </c>
    </row>
    <row r="153" spans="2:21" ht="13" thickBot="1" x14ac:dyDescent="0.45">
      <c r="B153" s="1168"/>
      <c r="C153" s="1172"/>
      <c r="D153" s="117" t="str">
        <f>$D$8</f>
        <v>Débitmètre gravitaire</v>
      </c>
      <c r="E153" s="1176"/>
      <c r="F153" s="118" t="str" cm="1">
        <f t="array" aca="1" ref="F153" ca="1">IFERROR(LOOKUP(MIN(IF(LEFT(G153:U153,10)="Non validé",1,IF(G153:U153="Validé avec réserve",2,IF(G153:U153="Validé",3)))),{1,2,3},{"Non validé","Validé avec réserve","Validé"}),"")</f>
        <v/>
      </c>
      <c r="G153" s="10" t="str" cm="1">
        <f t="array" aca="1" ref="G153" ca="1">IF(F50&lt;&gt;"",INDIRECT(F50&amp;"!"&amp;$G$8),"")</f>
        <v/>
      </c>
      <c r="H153" s="10" t="str" cm="1">
        <f t="array" aca="1" ref="H153" ca="1">IF(G50&lt;&gt;"",INDIRECT(G50&amp;"!"&amp;$G$8),"")</f>
        <v/>
      </c>
      <c r="I153" s="10" t="str" cm="1">
        <f t="array" aca="1" ref="I153" ca="1">IF(H50&lt;&gt;"",INDIRECT(H50&amp;"!"&amp;$G$8),"")</f>
        <v/>
      </c>
      <c r="J153" s="10" t="str" cm="1">
        <f t="array" aca="1" ref="J153" ca="1">IF(I50&lt;&gt;"",INDIRECT(I50&amp;"!"&amp;$G$8),"")</f>
        <v/>
      </c>
      <c r="K153" s="10" t="str" cm="1">
        <f t="array" aca="1" ref="K153" ca="1">IF(J50&lt;&gt;"",INDIRECT(J50&amp;"!"&amp;$G$8),"")</f>
        <v/>
      </c>
      <c r="L153" s="10" t="str" cm="1">
        <f t="array" aca="1" ref="L153" ca="1">IF(K50&lt;&gt;"",INDIRECT(K50&amp;"!"&amp;$G$8),"")</f>
        <v/>
      </c>
      <c r="M153" s="10" t="str" cm="1">
        <f t="array" aca="1" ref="M153" ca="1">IF(L50&lt;&gt;"",INDIRECT(L50&amp;"!"&amp;$G$8),"")</f>
        <v/>
      </c>
      <c r="N153" s="10" t="str" cm="1">
        <f t="array" aca="1" ref="N153" ca="1">IF(M50&lt;&gt;"",INDIRECT(M50&amp;"!"&amp;$G$8),"")</f>
        <v/>
      </c>
      <c r="O153" s="10" t="str" cm="1">
        <f t="array" aca="1" ref="O153" ca="1">IF(N50&lt;&gt;"",INDIRECT(N50&amp;"!"&amp;$G$8),"")</f>
        <v/>
      </c>
      <c r="P153" s="10" t="str" cm="1">
        <f t="array" aca="1" ref="P153" ca="1">IF(O50&lt;&gt;"",INDIRECT(O50&amp;"!"&amp;$G$8),"")</f>
        <v/>
      </c>
      <c r="Q153" s="10" t="str" cm="1">
        <f t="array" aca="1" ref="Q153" ca="1">IF(P50&lt;&gt;"",INDIRECT(P50&amp;"!"&amp;$G$8),"")</f>
        <v/>
      </c>
      <c r="R153" s="10" t="str" cm="1">
        <f t="array" aca="1" ref="R153" ca="1">IF(Q50&lt;&gt;"",INDIRECT(Q50&amp;"!"&amp;$G$8),"")</f>
        <v/>
      </c>
      <c r="S153" s="10" t="str" cm="1">
        <f t="array" aca="1" ref="S153" ca="1">IF(R50&lt;&gt;"",INDIRECT(R50&amp;"!"&amp;$G$8),"")</f>
        <v/>
      </c>
      <c r="T153" s="10" t="str" cm="1">
        <f t="array" aca="1" ref="T153" ca="1">IF(S50&lt;&gt;"",INDIRECT(S50&amp;"!"&amp;$G$8),"")</f>
        <v/>
      </c>
      <c r="U153" s="10" t="str" cm="1">
        <f t="array" aca="1" ref="U153" ca="1">IF(T50&lt;&gt;"",INDIRECT(T50&amp;"!"&amp;$G$8),"")</f>
        <v/>
      </c>
    </row>
    <row r="154" spans="2:21" ht="13" thickBot="1" x14ac:dyDescent="0.45">
      <c r="B154" s="1168"/>
      <c r="C154" s="1172"/>
      <c r="D154" s="117" t="s">
        <v>400</v>
      </c>
      <c r="E154" s="1176"/>
      <c r="F154" s="118" t="str" cm="1">
        <f t="array" aca="1" ref="F154" ca="1">IFERROR(LOOKUP(MIN(IF(LEFT(G154:U154,10)="Non validé",1,IF(G154:U154="Validé avec réserve",2,IF(G154:U154="Validé",3)))),{1,2,3},{"Non validé","Validé avec réserve","Validé"}),"")</f>
        <v/>
      </c>
      <c r="G154" s="111" t="str">
        <f ca="1">G152 &amp; G153</f>
        <v/>
      </c>
      <c r="H154" s="111" t="str">
        <f t="shared" ref="H154:U154" ca="1" si="16">H152 &amp; H153</f>
        <v/>
      </c>
      <c r="I154" s="111" t="str">
        <f t="shared" ca="1" si="16"/>
        <v/>
      </c>
      <c r="J154" s="111" t="str">
        <f t="shared" ca="1" si="16"/>
        <v/>
      </c>
      <c r="K154" s="111" t="str">
        <f t="shared" ca="1" si="16"/>
        <v/>
      </c>
      <c r="L154" s="111" t="str">
        <f t="shared" ca="1" si="16"/>
        <v/>
      </c>
      <c r="M154" s="111" t="str">
        <f t="shared" ca="1" si="16"/>
        <v/>
      </c>
      <c r="N154" s="111" t="str">
        <f t="shared" ca="1" si="16"/>
        <v/>
      </c>
      <c r="O154" s="111" t="str">
        <f t="shared" ca="1" si="16"/>
        <v/>
      </c>
      <c r="P154" s="111" t="str">
        <f t="shared" ca="1" si="16"/>
        <v/>
      </c>
      <c r="Q154" s="111" t="str">
        <f t="shared" ca="1" si="16"/>
        <v/>
      </c>
      <c r="R154" s="111" t="str">
        <f t="shared" ca="1" si="16"/>
        <v/>
      </c>
      <c r="S154" s="111" t="str">
        <f t="shared" ca="1" si="16"/>
        <v/>
      </c>
      <c r="T154" s="111" t="str">
        <f t="shared" ca="1" si="16"/>
        <v/>
      </c>
      <c r="U154" s="111" t="str">
        <f t="shared" ca="1" si="16"/>
        <v/>
      </c>
    </row>
    <row r="155" spans="2:21" ht="13" thickBot="1" x14ac:dyDescent="0.45">
      <c r="B155" s="1168"/>
      <c r="C155" s="1172"/>
      <c r="D155" s="117" t="str">
        <f>$D$9</f>
        <v>Préleveur</v>
      </c>
      <c r="E155" s="1176"/>
      <c r="F155" s="118" t="str" cm="1">
        <f t="array" aca="1" ref="F155" ca="1">IFERROR(LOOKUP(MIN(IF(LEFT(G155:U155,10)="Non validé",1,IF(G155:U155="Validé avec réserve",2,IF(G155:U155="Validé",3)))),{1,2,3},{"Non validé","Validé avec réserve","Validé"}),"")</f>
        <v/>
      </c>
      <c r="G155" s="10" t="str" cm="1">
        <f t="array" aca="1" ref="G155" ca="1">IF(F51&lt;&gt;"",INDIRECT(F51&amp;"!"&amp;$G$9),"")</f>
        <v/>
      </c>
      <c r="H155" s="10" t="str" cm="1">
        <f t="array" aca="1" ref="H155" ca="1">IF(G51&lt;&gt;"",INDIRECT(G51&amp;"!"&amp;$G$9),"")</f>
        <v/>
      </c>
      <c r="I155" s="10" t="str" cm="1">
        <f t="array" aca="1" ref="I155" ca="1">IF(H51&lt;&gt;"",INDIRECT(H51&amp;"!"&amp;$G$9),"")</f>
        <v/>
      </c>
      <c r="J155" s="10" t="str" cm="1">
        <f t="array" aca="1" ref="J155" ca="1">IF(I51&lt;&gt;"",INDIRECT(I51&amp;"!"&amp;$G$9),"")</f>
        <v/>
      </c>
      <c r="K155" s="10" t="str" cm="1">
        <f t="array" aca="1" ref="K155" ca="1">IF(J51&lt;&gt;"",INDIRECT(J51&amp;"!"&amp;$G$9),"")</f>
        <v/>
      </c>
      <c r="L155" s="10" t="str" cm="1">
        <f t="array" aca="1" ref="L155" ca="1">IF(K51&lt;&gt;"",INDIRECT(K51&amp;"!"&amp;$G$9),"")</f>
        <v/>
      </c>
      <c r="M155" s="10" t="str" cm="1">
        <f t="array" aca="1" ref="M155" ca="1">IF(L51&lt;&gt;"",INDIRECT(L51&amp;"!"&amp;$G$9),"")</f>
        <v/>
      </c>
      <c r="N155" s="10" t="str" cm="1">
        <f t="array" aca="1" ref="N155" ca="1">IF(M51&lt;&gt;"",INDIRECT(M51&amp;"!"&amp;$G$9),"")</f>
        <v/>
      </c>
      <c r="O155" s="10" t="str" cm="1">
        <f t="array" aca="1" ref="O155" ca="1">IF(N51&lt;&gt;"",INDIRECT(N51&amp;"!"&amp;$G$9),"")</f>
        <v/>
      </c>
      <c r="P155" s="10" t="str" cm="1">
        <f t="array" aca="1" ref="P155" ca="1">IF(O51&lt;&gt;"",INDIRECT(O51&amp;"!"&amp;$G$9),"")</f>
        <v/>
      </c>
      <c r="Q155" s="10" t="str" cm="1">
        <f t="array" aca="1" ref="Q155" ca="1">IF(P51&lt;&gt;"",INDIRECT(P51&amp;"!"&amp;$G$9),"")</f>
        <v/>
      </c>
      <c r="R155" s="10" t="str" cm="1">
        <f t="array" aca="1" ref="R155" ca="1">IF(Q51&lt;&gt;"",INDIRECT(Q51&amp;"!"&amp;$G$9),"")</f>
        <v/>
      </c>
      <c r="S155" s="10" t="str" cm="1">
        <f t="array" aca="1" ref="S155" ca="1">IF(R51&lt;&gt;"",INDIRECT(R51&amp;"!"&amp;$G$9),"")</f>
        <v/>
      </c>
      <c r="T155" s="10" t="str" cm="1">
        <f t="array" aca="1" ref="T155" ca="1">IF(S51&lt;&gt;"",INDIRECT(S51&amp;"!"&amp;$G$9),"")</f>
        <v/>
      </c>
      <c r="U155" s="10" t="str" cm="1">
        <f t="array" aca="1" ref="U155" ca="1">IF(T51&lt;&gt;"",INDIRECT(T51&amp;"!"&amp;$G$9),"")</f>
        <v/>
      </c>
    </row>
    <row r="156" spans="2:21" ht="13" thickBot="1" x14ac:dyDescent="0.45">
      <c r="B156" s="1169"/>
      <c r="C156" s="1173"/>
      <c r="D156" s="290" t="s">
        <v>392</v>
      </c>
      <c r="E156" s="1176"/>
      <c r="F156" s="118" t="str" cm="1">
        <f t="array" aca="1" ref="F156" ca="1">IFERROR(LOOKUP(MIN(IF(LEFT(G156:U156,10)="Non validé",1,IF(G156:U156="Validé avec réserve",2,IF(G156:U156="Validé",3)))),{1,2,3},{"Non validé","Validé avec réserve","Validé"}),"")</f>
        <v/>
      </c>
      <c r="G156" s="288" t="str">
        <f ca="1">IF(F52&lt;&gt;"",VLOOKUP(F52,Analytique!$X$3:$AE$29,7,FALSE),"")</f>
        <v/>
      </c>
      <c r="H156" s="288" t="str">
        <f ca="1">IF(G52&lt;&gt;"",VLOOKUP(G52,Analytique!$X$3:$AE$29,7,FALSE),"")</f>
        <v/>
      </c>
      <c r="I156" s="288" t="str">
        <f ca="1">IF(H52&lt;&gt;"",VLOOKUP(H52,Analytique!$X$3:$AE$29,7,FALSE),"")</f>
        <v/>
      </c>
      <c r="J156" s="288" t="str">
        <f ca="1">IF(I52&lt;&gt;"",VLOOKUP(I52,Analytique!$X$3:$AE$29,7,FALSE),"")</f>
        <v/>
      </c>
      <c r="K156" s="288" t="str">
        <f ca="1">IF(J52&lt;&gt;"",VLOOKUP(J52,Analytique!$X$3:$AE$29,7,FALSE),"")</f>
        <v/>
      </c>
      <c r="L156" s="288" t="str">
        <f ca="1">IF(K52&lt;&gt;"",VLOOKUP(K52,Analytique!$X$3:$AE$29,7,FALSE),"")</f>
        <v/>
      </c>
      <c r="M156" s="288" t="str">
        <f ca="1">IF(L52&lt;&gt;"",VLOOKUP(L52,Analytique!$X$3:$AE$29,7,FALSE),"")</f>
        <v/>
      </c>
      <c r="N156" s="288" t="str">
        <f ca="1">IF(M52&lt;&gt;"",VLOOKUP(M52,Analytique!$X$3:$AE$29,7,FALSE),"")</f>
        <v/>
      </c>
      <c r="O156" s="288" t="str">
        <f ca="1">IF(N52&lt;&gt;"",VLOOKUP(N52,Analytique!$X$3:$AE$29,7,FALSE),"")</f>
        <v/>
      </c>
      <c r="P156" s="288" t="str">
        <f ca="1">IF(O52&lt;&gt;"",VLOOKUP(O52,Analytique!$X$3:$AE$29,7,FALSE),"")</f>
        <v/>
      </c>
      <c r="Q156" s="288" t="str">
        <f ca="1">IF(P52&lt;&gt;"",VLOOKUP(P52,Analytique!$X$3:$AE$29,7,FALSE),"")</f>
        <v/>
      </c>
      <c r="R156" s="288" t="str">
        <f ca="1">IF(Q52&lt;&gt;"",VLOOKUP(Q52,Analytique!$X$3:$AE$29,7,FALSE),"")</f>
        <v/>
      </c>
      <c r="S156" s="288" t="str">
        <f ca="1">IF(R52&lt;&gt;"",VLOOKUP(R52,Analytique!$X$3:$AE$29,7,FALSE),"")</f>
        <v/>
      </c>
      <c r="T156" s="288" t="str">
        <f ca="1">IF(S52&lt;&gt;"",VLOOKUP(S52,Analytique!$X$3:$AE$29,7,FALSE),"")</f>
        <v/>
      </c>
      <c r="U156" s="288" t="str">
        <f ca="1">IF(T52&lt;&gt;"",VLOOKUP(T52,Analytique!$X$3:$AE$29,7,FALSE),"")</f>
        <v/>
      </c>
    </row>
    <row r="157" spans="2:21" ht="13" thickBot="1" x14ac:dyDescent="0.45">
      <c r="B157" s="1170"/>
      <c r="C157" s="1174"/>
      <c r="D157" s="119" t="str">
        <f>$D$10</f>
        <v>Sonde de température</v>
      </c>
      <c r="E157" s="1177"/>
      <c r="F157" s="118" t="str" cm="1">
        <f t="array" aca="1" ref="F157" ca="1">IFERROR(LOOKUP(MIN(IF(LEFT(G157:U157,10)="Non validé",1,IF(G157:U157="Validé avec réserve",2,IF(G157:U157="Validé",3)))),{1,2,3},{"Non validé","Validé avec réserve","Validé"}),"")</f>
        <v/>
      </c>
      <c r="G157" s="96" t="str" cm="1">
        <f t="array" aca="1" ref="G157" ca="1">IF(F53&lt;&gt;"",INDIRECT(F53&amp;"!"&amp;$G$10),"")</f>
        <v/>
      </c>
      <c r="H157" s="96" t="str" cm="1">
        <f t="array" aca="1" ref="H157" ca="1">IF(G53&lt;&gt;"",INDIRECT(G53&amp;"!"&amp;$G$10),"")</f>
        <v/>
      </c>
      <c r="I157" s="96" t="str" cm="1">
        <f t="array" aca="1" ref="I157" ca="1">IF(H53&lt;&gt;"",INDIRECT(H53&amp;"!"&amp;$G$10),"")</f>
        <v/>
      </c>
      <c r="J157" s="96" t="str" cm="1">
        <f t="array" aca="1" ref="J157" ca="1">IF(I53&lt;&gt;"",INDIRECT(I53&amp;"!"&amp;$G$10),"")</f>
        <v/>
      </c>
      <c r="K157" s="96" t="str" cm="1">
        <f t="array" aca="1" ref="K157" ca="1">IF(J53&lt;&gt;"",INDIRECT(J53&amp;"!"&amp;$G$10),"")</f>
        <v/>
      </c>
      <c r="L157" s="96" t="str" cm="1">
        <f t="array" aca="1" ref="L157" ca="1">IF(K53&lt;&gt;"",INDIRECT(K53&amp;"!"&amp;$G$10),"")</f>
        <v/>
      </c>
      <c r="M157" s="96" t="str" cm="1">
        <f t="array" aca="1" ref="M157" ca="1">IF(L53&lt;&gt;"",INDIRECT(L53&amp;"!"&amp;$G$10),"")</f>
        <v/>
      </c>
      <c r="N157" s="96" t="str" cm="1">
        <f t="array" aca="1" ref="N157" ca="1">IF(M53&lt;&gt;"",INDIRECT(M53&amp;"!"&amp;$G$10),"")</f>
        <v/>
      </c>
      <c r="O157" s="96" t="str" cm="1">
        <f t="array" aca="1" ref="O157" ca="1">IF(N53&lt;&gt;"",INDIRECT(N53&amp;"!"&amp;$G$10),"")</f>
        <v/>
      </c>
      <c r="P157" s="96" t="str" cm="1">
        <f t="array" aca="1" ref="P157" ca="1">IF(O53&lt;&gt;"",INDIRECT(O53&amp;"!"&amp;$G$10),"")</f>
        <v/>
      </c>
      <c r="Q157" s="96" t="str" cm="1">
        <f t="array" aca="1" ref="Q157" ca="1">IF(P53&lt;&gt;"",INDIRECT(P53&amp;"!"&amp;$G$10),"")</f>
        <v/>
      </c>
      <c r="R157" s="96" t="str" cm="1">
        <f t="array" aca="1" ref="R157" ca="1">IF(Q53&lt;&gt;"",INDIRECT(Q53&amp;"!"&amp;$G$10),"")</f>
        <v/>
      </c>
      <c r="S157" s="96" t="str" cm="1">
        <f t="array" aca="1" ref="S157" ca="1">IF(R53&lt;&gt;"",INDIRECT(R53&amp;"!"&amp;$G$10),"")</f>
        <v/>
      </c>
      <c r="T157" s="96" t="str" cm="1">
        <f t="array" aca="1" ref="T157" ca="1">IF(S53&lt;&gt;"",INDIRECT(S53&amp;"!"&amp;$G$10),"")</f>
        <v/>
      </c>
      <c r="U157" s="96" t="str" cm="1">
        <f t="array" aca="1" ref="U157" ca="1">IF(T53&lt;&gt;"",INDIRECT(T53&amp;"!"&amp;$G$10),"")</f>
        <v/>
      </c>
    </row>
    <row r="158" spans="2:21" ht="13" thickBot="1" x14ac:dyDescent="0.45">
      <c r="B158" s="1167" t="s">
        <v>113</v>
      </c>
      <c r="C158" s="1171" t="s">
        <v>120</v>
      </c>
      <c r="D158" s="118" t="str">
        <f>$D$7</f>
        <v>Débitmètre en charge</v>
      </c>
      <c r="E158" s="1175" t="str" cm="1">
        <f t="array" aca="1" ref="E158" ca="1">IFERROR(LOOKUP(MIN(IF(LEFT(F158:F162,10)="Non validé",1,IF(F158:F162="Validé avec réserve",2,IF(F158:F162="Validé",3)))),{1,2,3},{"Non validé","Validé avec réserve","Validé"}),"")</f>
        <v/>
      </c>
      <c r="F158" s="118" t="str" cm="1">
        <f t="array" aca="1" ref="F158" ca="1">IFERROR(LOOKUP(MIN(IF(LEFT(G158:U158,10)="Non validé",1,IF(G158:U158="Validé avec réserve",2,IF(G158:U158="Validé",3)))),{1,2,3},{"Non validé","Validé avec réserve","Validé"}),"")</f>
        <v/>
      </c>
      <c r="G158" s="90" t="str" cm="1">
        <f t="array" aca="1" ref="G158" ca="1">IF(F54&lt;&gt;"",INDIRECT(F54&amp;"!"&amp;$G$7),"")</f>
        <v/>
      </c>
      <c r="H158" s="90" t="str" cm="1">
        <f t="array" aca="1" ref="H158" ca="1">IF(G54&lt;&gt;"",INDIRECT(G54&amp;"!"&amp;$G$7),"")</f>
        <v/>
      </c>
      <c r="I158" s="90" t="str" cm="1">
        <f t="array" aca="1" ref="I158" ca="1">IF(H54&lt;&gt;"",INDIRECT(H54&amp;"!"&amp;$G$7),"")</f>
        <v/>
      </c>
      <c r="J158" s="90" t="str" cm="1">
        <f t="array" aca="1" ref="J158" ca="1">IF(I54&lt;&gt;"",INDIRECT(I54&amp;"!"&amp;$G$7),"")</f>
        <v/>
      </c>
      <c r="K158" s="90" t="str" cm="1">
        <f t="array" aca="1" ref="K158" ca="1">IF(J54&lt;&gt;"",INDIRECT(J54&amp;"!"&amp;$G$7),"")</f>
        <v/>
      </c>
      <c r="L158" s="90" t="str" cm="1">
        <f t="array" aca="1" ref="L158" ca="1">IF(K54&lt;&gt;"",INDIRECT(K54&amp;"!"&amp;$G$7),"")</f>
        <v/>
      </c>
      <c r="M158" s="90" t="str" cm="1">
        <f t="array" aca="1" ref="M158" ca="1">IF(L54&lt;&gt;"",INDIRECT(L54&amp;"!"&amp;$G$7),"")</f>
        <v/>
      </c>
      <c r="N158" s="90" t="str" cm="1">
        <f t="array" aca="1" ref="N158" ca="1">IF(M54&lt;&gt;"",INDIRECT(M54&amp;"!"&amp;$G$7),"")</f>
        <v/>
      </c>
      <c r="O158" s="90" t="str" cm="1">
        <f t="array" aca="1" ref="O158" ca="1">IF(N54&lt;&gt;"",INDIRECT(N54&amp;"!"&amp;$G$7),"")</f>
        <v/>
      </c>
      <c r="P158" s="90" t="str" cm="1">
        <f t="array" aca="1" ref="P158" ca="1">IF(O54&lt;&gt;"",INDIRECT(O54&amp;"!"&amp;$G$7),"")</f>
        <v/>
      </c>
      <c r="Q158" s="90" t="str" cm="1">
        <f t="array" aca="1" ref="Q158" ca="1">IF(P54&lt;&gt;"",INDIRECT(P54&amp;"!"&amp;$G$7),"")</f>
        <v/>
      </c>
      <c r="R158" s="90" t="str" cm="1">
        <f t="array" aca="1" ref="R158" ca="1">IF(Q54&lt;&gt;"",INDIRECT(Q54&amp;"!"&amp;$G$7),"")</f>
        <v/>
      </c>
      <c r="S158" s="90" t="str" cm="1">
        <f t="array" aca="1" ref="S158" ca="1">IF(R54&lt;&gt;"",INDIRECT(R54&amp;"!"&amp;$G$7),"")</f>
        <v/>
      </c>
      <c r="T158" s="90" t="str" cm="1">
        <f t="array" aca="1" ref="T158" ca="1">IF(S54&lt;&gt;"",INDIRECT(S54&amp;"!"&amp;$G$7),"")</f>
        <v/>
      </c>
      <c r="U158" s="90" t="str" cm="1">
        <f t="array" aca="1" ref="U158" ca="1">IF(T54&lt;&gt;"",INDIRECT(T54&amp;"!"&amp;$G$7),"")</f>
        <v/>
      </c>
    </row>
    <row r="159" spans="2:21" ht="13" thickBot="1" x14ac:dyDescent="0.45">
      <c r="B159" s="1168"/>
      <c r="C159" s="1172"/>
      <c r="D159" s="117" t="str">
        <f>$D$8</f>
        <v>Débitmètre gravitaire</v>
      </c>
      <c r="E159" s="1176"/>
      <c r="F159" s="118" t="str" cm="1">
        <f t="array" aca="1" ref="F159" ca="1">IFERROR(LOOKUP(MIN(IF(LEFT(G159:U159,10)="Non validé",1,IF(G159:U159="Validé avec réserve",2,IF(G159:U159="Validé",3)))),{1,2,3},{"Non validé","Validé avec réserve","Validé"}),"")</f>
        <v/>
      </c>
      <c r="G159" s="10" t="str" cm="1">
        <f t="array" aca="1" ref="G159" ca="1">IF(F55&lt;&gt;"",INDIRECT(F55&amp;"!"&amp;$G$8),"")</f>
        <v/>
      </c>
      <c r="H159" s="10" t="str" cm="1">
        <f t="array" aca="1" ref="H159" ca="1">IF(G55&lt;&gt;"",INDIRECT(G55&amp;"!"&amp;$G$8),"")</f>
        <v/>
      </c>
      <c r="I159" s="10" t="str" cm="1">
        <f t="array" aca="1" ref="I159" ca="1">IF(H55&lt;&gt;"",INDIRECT(H55&amp;"!"&amp;$G$8),"")</f>
        <v/>
      </c>
      <c r="J159" s="10" t="str" cm="1">
        <f t="array" aca="1" ref="J159" ca="1">IF(I55&lt;&gt;"",INDIRECT(I55&amp;"!"&amp;$G$8),"")</f>
        <v/>
      </c>
      <c r="K159" s="10" t="str" cm="1">
        <f t="array" aca="1" ref="K159" ca="1">IF(J55&lt;&gt;"",INDIRECT(J55&amp;"!"&amp;$G$8),"")</f>
        <v/>
      </c>
      <c r="L159" s="10" t="str" cm="1">
        <f t="array" aca="1" ref="L159" ca="1">IF(K55&lt;&gt;"",INDIRECT(K55&amp;"!"&amp;$G$8),"")</f>
        <v/>
      </c>
      <c r="M159" s="10" t="str" cm="1">
        <f t="array" aca="1" ref="M159" ca="1">IF(L55&lt;&gt;"",INDIRECT(L55&amp;"!"&amp;$G$8),"")</f>
        <v/>
      </c>
      <c r="N159" s="10" t="str" cm="1">
        <f t="array" aca="1" ref="N159" ca="1">IF(M55&lt;&gt;"",INDIRECT(M55&amp;"!"&amp;$G$8),"")</f>
        <v/>
      </c>
      <c r="O159" s="10" t="str" cm="1">
        <f t="array" aca="1" ref="O159" ca="1">IF(N55&lt;&gt;"",INDIRECT(N55&amp;"!"&amp;$G$8),"")</f>
        <v/>
      </c>
      <c r="P159" s="10" t="str" cm="1">
        <f t="array" aca="1" ref="P159" ca="1">IF(O55&lt;&gt;"",INDIRECT(O55&amp;"!"&amp;$G$8),"")</f>
        <v/>
      </c>
      <c r="Q159" s="10" t="str" cm="1">
        <f t="array" aca="1" ref="Q159" ca="1">IF(P55&lt;&gt;"",INDIRECT(P55&amp;"!"&amp;$G$8),"")</f>
        <v/>
      </c>
      <c r="R159" s="10" t="str" cm="1">
        <f t="array" aca="1" ref="R159" ca="1">IF(Q55&lt;&gt;"",INDIRECT(Q55&amp;"!"&amp;$G$8),"")</f>
        <v/>
      </c>
      <c r="S159" s="10" t="str" cm="1">
        <f t="array" aca="1" ref="S159" ca="1">IF(R55&lt;&gt;"",INDIRECT(R55&amp;"!"&amp;$G$8),"")</f>
        <v/>
      </c>
      <c r="T159" s="10" t="str" cm="1">
        <f t="array" aca="1" ref="T159" ca="1">IF(S55&lt;&gt;"",INDIRECT(S55&amp;"!"&amp;$G$8),"")</f>
        <v/>
      </c>
      <c r="U159" s="10" t="str" cm="1">
        <f t="array" aca="1" ref="U159" ca="1">IF(T55&lt;&gt;"",INDIRECT(T55&amp;"!"&amp;$G$8),"")</f>
        <v/>
      </c>
    </row>
    <row r="160" spans="2:21" ht="13" thickBot="1" x14ac:dyDescent="0.45">
      <c r="B160" s="1168"/>
      <c r="C160" s="1172"/>
      <c r="D160" s="117" t="s">
        <v>400</v>
      </c>
      <c r="E160" s="1176"/>
      <c r="F160" s="118" t="str" cm="1">
        <f t="array" aca="1" ref="F160" ca="1">IFERROR(LOOKUP(MIN(IF(LEFT(G160:U160,10)="Non validé",1,IF(G160:U160="Validé avec réserve",2,IF(G160:U160="Validé",3)))),{1,2,3},{"Non validé","Validé avec réserve","Validé"}),"")</f>
        <v/>
      </c>
      <c r="G160" s="111" t="str">
        <f ca="1">G158 &amp; G159</f>
        <v/>
      </c>
      <c r="H160" s="111" t="str">
        <f t="shared" ref="H160:U160" ca="1" si="17">H158 &amp; H159</f>
        <v/>
      </c>
      <c r="I160" s="111" t="str">
        <f t="shared" ca="1" si="17"/>
        <v/>
      </c>
      <c r="J160" s="111" t="str">
        <f t="shared" ca="1" si="17"/>
        <v/>
      </c>
      <c r="K160" s="111" t="str">
        <f t="shared" ca="1" si="17"/>
        <v/>
      </c>
      <c r="L160" s="111" t="str">
        <f t="shared" ca="1" si="17"/>
        <v/>
      </c>
      <c r="M160" s="111" t="str">
        <f t="shared" ca="1" si="17"/>
        <v/>
      </c>
      <c r="N160" s="111" t="str">
        <f t="shared" ca="1" si="17"/>
        <v/>
      </c>
      <c r="O160" s="111" t="str">
        <f t="shared" ca="1" si="17"/>
        <v/>
      </c>
      <c r="P160" s="111" t="str">
        <f t="shared" ca="1" si="17"/>
        <v/>
      </c>
      <c r="Q160" s="111" t="str">
        <f t="shared" ca="1" si="17"/>
        <v/>
      </c>
      <c r="R160" s="111" t="str">
        <f t="shared" ca="1" si="17"/>
        <v/>
      </c>
      <c r="S160" s="111" t="str">
        <f t="shared" ca="1" si="17"/>
        <v/>
      </c>
      <c r="T160" s="111" t="str">
        <f t="shared" ca="1" si="17"/>
        <v/>
      </c>
      <c r="U160" s="111" t="str">
        <f t="shared" ca="1" si="17"/>
        <v/>
      </c>
    </row>
    <row r="161" spans="2:21" ht="13" thickBot="1" x14ac:dyDescent="0.45">
      <c r="B161" s="1168"/>
      <c r="C161" s="1172"/>
      <c r="D161" s="117" t="str">
        <f>$D$9</f>
        <v>Préleveur</v>
      </c>
      <c r="E161" s="1176"/>
      <c r="F161" s="118" t="str" cm="1">
        <f t="array" aca="1" ref="F161" ca="1">IFERROR(LOOKUP(MIN(IF(LEFT(G161:U161,10)="Non validé",1,IF(G161:U161="Validé avec réserve",2,IF(G161:U161="Validé",3)))),{1,2,3},{"Non validé","Validé avec réserve","Validé"}),"")</f>
        <v/>
      </c>
      <c r="G161" s="10" t="str" cm="1">
        <f t="array" aca="1" ref="G161" ca="1">IF(F56&lt;&gt;"",INDIRECT(F56&amp;"!"&amp;$G$9),"")</f>
        <v/>
      </c>
      <c r="H161" s="10" t="str" cm="1">
        <f t="array" aca="1" ref="H161" ca="1">IF(G56&lt;&gt;"",INDIRECT(G56&amp;"!"&amp;$G$9),"")</f>
        <v/>
      </c>
      <c r="I161" s="10" t="str" cm="1">
        <f t="array" aca="1" ref="I161" ca="1">IF(H56&lt;&gt;"",INDIRECT(H56&amp;"!"&amp;$G$9),"")</f>
        <v/>
      </c>
      <c r="J161" s="10" t="str" cm="1">
        <f t="array" aca="1" ref="J161" ca="1">IF(I56&lt;&gt;"",INDIRECT(I56&amp;"!"&amp;$G$9),"")</f>
        <v/>
      </c>
      <c r="K161" s="10" t="str" cm="1">
        <f t="array" aca="1" ref="K161" ca="1">IF(J56&lt;&gt;"",INDIRECT(J56&amp;"!"&amp;$G$9),"")</f>
        <v/>
      </c>
      <c r="L161" s="10" t="str" cm="1">
        <f t="array" aca="1" ref="L161" ca="1">IF(K56&lt;&gt;"",INDIRECT(K56&amp;"!"&amp;$G$9),"")</f>
        <v/>
      </c>
      <c r="M161" s="10" t="str" cm="1">
        <f t="array" aca="1" ref="M161" ca="1">IF(L56&lt;&gt;"",INDIRECT(L56&amp;"!"&amp;$G$9),"")</f>
        <v/>
      </c>
      <c r="N161" s="10" t="str" cm="1">
        <f t="array" aca="1" ref="N161" ca="1">IF(M56&lt;&gt;"",INDIRECT(M56&amp;"!"&amp;$G$9),"")</f>
        <v/>
      </c>
      <c r="O161" s="10" t="str" cm="1">
        <f t="array" aca="1" ref="O161" ca="1">IF(N56&lt;&gt;"",INDIRECT(N56&amp;"!"&amp;$G$9),"")</f>
        <v/>
      </c>
      <c r="P161" s="10" t="str" cm="1">
        <f t="array" aca="1" ref="P161" ca="1">IF(O56&lt;&gt;"",INDIRECT(O56&amp;"!"&amp;$G$9),"")</f>
        <v/>
      </c>
      <c r="Q161" s="10" t="str" cm="1">
        <f t="array" aca="1" ref="Q161" ca="1">IF(P56&lt;&gt;"",INDIRECT(P56&amp;"!"&amp;$G$9),"")</f>
        <v/>
      </c>
      <c r="R161" s="10" t="str" cm="1">
        <f t="array" aca="1" ref="R161" ca="1">IF(Q56&lt;&gt;"",INDIRECT(Q56&amp;"!"&amp;$G$9),"")</f>
        <v/>
      </c>
      <c r="S161" s="10" t="str" cm="1">
        <f t="array" aca="1" ref="S161" ca="1">IF(R56&lt;&gt;"",INDIRECT(R56&amp;"!"&amp;$G$9),"")</f>
        <v/>
      </c>
      <c r="T161" s="10" t="str" cm="1">
        <f t="array" aca="1" ref="T161" ca="1">IF(S56&lt;&gt;"",INDIRECT(S56&amp;"!"&amp;$G$9),"")</f>
        <v/>
      </c>
      <c r="U161" s="10" t="str" cm="1">
        <f t="array" aca="1" ref="U161" ca="1">IF(T56&lt;&gt;"",INDIRECT(T56&amp;"!"&amp;$G$9),"")</f>
        <v/>
      </c>
    </row>
    <row r="162" spans="2:21" ht="13" thickBot="1" x14ac:dyDescent="0.45">
      <c r="B162" s="1169"/>
      <c r="C162" s="1173"/>
      <c r="D162" s="290" t="s">
        <v>392</v>
      </c>
      <c r="E162" s="1176"/>
      <c r="F162" s="118" t="str" cm="1">
        <f t="array" aca="1" ref="F162" ca="1">IFERROR(LOOKUP(MIN(IF(LEFT(G162:U162,10)="Non validé",1,IF(G162:U162="Validé avec réserve",2,IF(G162:U162="Validé",3)))),{1,2,3},{"Non validé","Validé avec réserve","Validé"}),"")</f>
        <v/>
      </c>
      <c r="G162" s="288" t="str">
        <f ca="1">IF(F57&lt;&gt;"",VLOOKUP(F64,Analytique!$X$3:$AE$29,7,FALSE),"")</f>
        <v/>
      </c>
      <c r="H162" s="288" t="str">
        <f ca="1">IF(G57&lt;&gt;"",VLOOKUP(G64,Analytique!$X$3:$AE$29,7,FALSE),"")</f>
        <v/>
      </c>
      <c r="I162" s="288" t="str">
        <f ca="1">IF(H57&lt;&gt;"",VLOOKUP(H64,Analytique!$X$3:$AE$29,7,FALSE),"")</f>
        <v/>
      </c>
      <c r="J162" s="288" t="str">
        <f ca="1">IF(I57&lt;&gt;"",VLOOKUP(I64,Analytique!$X$3:$AE$29,7,FALSE),"")</f>
        <v/>
      </c>
      <c r="K162" s="288" t="str">
        <f ca="1">IF(J57&lt;&gt;"",VLOOKUP(J64,Analytique!$X$3:$AE$29,7,FALSE),"")</f>
        <v/>
      </c>
      <c r="L162" s="288" t="str">
        <f ca="1">IF(K57&lt;&gt;"",VLOOKUP(K64,Analytique!$X$3:$AE$29,7,FALSE),"")</f>
        <v/>
      </c>
      <c r="M162" s="288" t="str">
        <f ca="1">IF(L57&lt;&gt;"",VLOOKUP(L64,Analytique!$X$3:$AE$29,7,FALSE),"")</f>
        <v/>
      </c>
      <c r="N162" s="288" t="str">
        <f ca="1">IF(M57&lt;&gt;"",VLOOKUP(M64,Analytique!$X$3:$AE$29,7,FALSE),"")</f>
        <v/>
      </c>
      <c r="O162" s="288" t="str">
        <f ca="1">IF(N57&lt;&gt;"",VLOOKUP(N64,Analytique!$X$3:$AE$29,7,FALSE),"")</f>
        <v/>
      </c>
      <c r="P162" s="288" t="str">
        <f ca="1">IF(O57&lt;&gt;"",VLOOKUP(O64,Analytique!$X$3:$AE$29,7,FALSE),"")</f>
        <v/>
      </c>
      <c r="Q162" s="288" t="str">
        <f ca="1">IF(P57&lt;&gt;"",VLOOKUP(P64,Analytique!$X$3:$AE$29,7,FALSE),"")</f>
        <v/>
      </c>
      <c r="R162" s="288" t="str">
        <f ca="1">IF(Q57&lt;&gt;"",VLOOKUP(Q64,Analytique!$X$3:$AE$29,7,FALSE),"")</f>
        <v/>
      </c>
      <c r="S162" s="288" t="str">
        <f ca="1">IF(R57&lt;&gt;"",VLOOKUP(R64,Analytique!$X$3:$AE$29,7,FALSE),"")</f>
        <v/>
      </c>
      <c r="T162" s="288" t="str">
        <f ca="1">IF(S57&lt;&gt;"",VLOOKUP(S64,Analytique!$X$3:$AE$29,7,FALSE),"")</f>
        <v/>
      </c>
      <c r="U162" s="288" t="str">
        <f ca="1">IF(T57&lt;&gt;"",VLOOKUP(T64,Analytique!$X$3:$AE$29,7,FALSE),"")</f>
        <v/>
      </c>
    </row>
    <row r="163" spans="2:21" ht="13" thickBot="1" x14ac:dyDescent="0.45">
      <c r="B163" s="1170"/>
      <c r="C163" s="1174"/>
      <c r="D163" s="119" t="str">
        <f>$D$10</f>
        <v>Sonde de température</v>
      </c>
      <c r="E163" s="1177"/>
      <c r="F163" s="118" t="str" cm="1">
        <f t="array" aca="1" ref="F163" ca="1">IFERROR(LOOKUP(MIN(IF(LEFT(G163:U163,10)="Non validé",1,IF(G163:U163="Validé avec réserve",2,IF(G163:U163="Validé",3)))),{1,2,3},{"Non validé","Validé avec réserve","Validé"}),"")</f>
        <v/>
      </c>
      <c r="G163" s="96" t="str" cm="1">
        <f t="array" aca="1" ref="G163" ca="1">IF(F58&lt;&gt;"",INDIRECT(F58&amp;"!"&amp;$G$10),"")</f>
        <v/>
      </c>
      <c r="H163" s="96" t="str" cm="1">
        <f t="array" aca="1" ref="H163" ca="1">IF(G58&lt;&gt;"",INDIRECT(G58&amp;"!"&amp;$G$10),"")</f>
        <v/>
      </c>
      <c r="I163" s="96" t="str" cm="1">
        <f t="array" aca="1" ref="I163" ca="1">IF(H58&lt;&gt;"",INDIRECT(H58&amp;"!"&amp;$G$10),"")</f>
        <v/>
      </c>
      <c r="J163" s="96" t="str" cm="1">
        <f t="array" aca="1" ref="J163" ca="1">IF(I58&lt;&gt;"",INDIRECT(I58&amp;"!"&amp;$G$10),"")</f>
        <v/>
      </c>
      <c r="K163" s="96" t="str" cm="1">
        <f t="array" aca="1" ref="K163" ca="1">IF(J58&lt;&gt;"",INDIRECT(J58&amp;"!"&amp;$G$10),"")</f>
        <v/>
      </c>
      <c r="L163" s="96" t="str" cm="1">
        <f t="array" aca="1" ref="L163" ca="1">IF(K58&lt;&gt;"",INDIRECT(K58&amp;"!"&amp;$G$10),"")</f>
        <v/>
      </c>
      <c r="M163" s="96" t="str" cm="1">
        <f t="array" aca="1" ref="M163" ca="1">IF(L58&lt;&gt;"",INDIRECT(L58&amp;"!"&amp;$G$10),"")</f>
        <v/>
      </c>
      <c r="N163" s="96" t="str" cm="1">
        <f t="array" aca="1" ref="N163" ca="1">IF(M58&lt;&gt;"",INDIRECT(M58&amp;"!"&amp;$G$10),"")</f>
        <v/>
      </c>
      <c r="O163" s="96" t="str" cm="1">
        <f t="array" aca="1" ref="O163" ca="1">IF(N58&lt;&gt;"",INDIRECT(N58&amp;"!"&amp;$G$10),"")</f>
        <v/>
      </c>
      <c r="P163" s="96" t="str" cm="1">
        <f t="array" aca="1" ref="P163" ca="1">IF(O58&lt;&gt;"",INDIRECT(O58&amp;"!"&amp;$G$10),"")</f>
        <v/>
      </c>
      <c r="Q163" s="96" t="str" cm="1">
        <f t="array" aca="1" ref="Q163" ca="1">IF(P58&lt;&gt;"",INDIRECT(P58&amp;"!"&amp;$G$10),"")</f>
        <v/>
      </c>
      <c r="R163" s="96" t="str" cm="1">
        <f t="array" aca="1" ref="R163" ca="1">IF(Q58&lt;&gt;"",INDIRECT(Q58&amp;"!"&amp;$G$10),"")</f>
        <v/>
      </c>
      <c r="S163" s="96" t="str" cm="1">
        <f t="array" aca="1" ref="S163" ca="1">IF(R58&lt;&gt;"",INDIRECT(R58&amp;"!"&amp;$G$10),"")</f>
        <v/>
      </c>
      <c r="T163" s="96" t="str" cm="1">
        <f t="array" aca="1" ref="T163" ca="1">IF(S58&lt;&gt;"",INDIRECT(S58&amp;"!"&amp;$G$10),"")</f>
        <v/>
      </c>
      <c r="U163" s="96" t="str" cm="1">
        <f t="array" aca="1" ref="U163" ca="1">IF(T58&lt;&gt;"",INDIRECT(T58&amp;"!"&amp;$G$10),"")</f>
        <v/>
      </c>
    </row>
  </sheetData>
  <sheetProtection algorithmName="SHA-512" hashValue="mTWGJBggHLVTCTDnVAdChkXdVmwB7X+2Y9qsegoqXbmURLVj+Y7xzHtTASLMN+P1RCYYSFJQAJgN5jDlvjkGDQ==" saltValue="lLHsQQTCRfZjd4Timci6JQ==" spinCount="100000" sheet="1" objects="1" scenarios="1" formatRows="0"/>
  <mergeCells count="68">
    <mergeCell ref="E4:I4"/>
    <mergeCell ref="E12:S12"/>
    <mergeCell ref="B122:B127"/>
    <mergeCell ref="C122:C127"/>
    <mergeCell ref="B140:B145"/>
    <mergeCell ref="C140:C145"/>
    <mergeCell ref="B69:B74"/>
    <mergeCell ref="C69:C74"/>
    <mergeCell ref="E69:E74"/>
    <mergeCell ref="B75:B80"/>
    <mergeCell ref="C75:C80"/>
    <mergeCell ref="B4:C4"/>
    <mergeCell ref="B5:C7"/>
    <mergeCell ref="B39:B43"/>
    <mergeCell ref="C39:C43"/>
    <mergeCell ref="B44:B48"/>
    <mergeCell ref="C44:C48"/>
    <mergeCell ref="B49:B53"/>
    <mergeCell ref="C49:C53"/>
    <mergeCell ref="B19:B23"/>
    <mergeCell ref="C19:C23"/>
    <mergeCell ref="B24:B28"/>
    <mergeCell ref="B29:B33"/>
    <mergeCell ref="B34:B38"/>
    <mergeCell ref="C34:C38"/>
    <mergeCell ref="C24:C28"/>
    <mergeCell ref="C29:C33"/>
    <mergeCell ref="B54:B58"/>
    <mergeCell ref="C54:C58"/>
    <mergeCell ref="B63:B68"/>
    <mergeCell ref="C63:C68"/>
    <mergeCell ref="E63:E68"/>
    <mergeCell ref="E75:E80"/>
    <mergeCell ref="B81:B86"/>
    <mergeCell ref="C81:C86"/>
    <mergeCell ref="E81:E86"/>
    <mergeCell ref="B87:B92"/>
    <mergeCell ref="C87:C92"/>
    <mergeCell ref="E87:E92"/>
    <mergeCell ref="B93:B98"/>
    <mergeCell ref="C93:C98"/>
    <mergeCell ref="E93:E98"/>
    <mergeCell ref="B99:B104"/>
    <mergeCell ref="C99:C104"/>
    <mergeCell ref="E99:E104"/>
    <mergeCell ref="B105:B110"/>
    <mergeCell ref="C105:C110"/>
    <mergeCell ref="E105:E110"/>
    <mergeCell ref="B116:B121"/>
    <mergeCell ref="C116:C121"/>
    <mergeCell ref="E116:E121"/>
    <mergeCell ref="E122:E127"/>
    <mergeCell ref="B128:B133"/>
    <mergeCell ref="C128:C133"/>
    <mergeCell ref="E128:E133"/>
    <mergeCell ref="B134:B139"/>
    <mergeCell ref="C134:C139"/>
    <mergeCell ref="E134:E139"/>
    <mergeCell ref="B158:B163"/>
    <mergeCell ref="C158:C163"/>
    <mergeCell ref="E158:E163"/>
    <mergeCell ref="E140:E145"/>
    <mergeCell ref="B146:B151"/>
    <mergeCell ref="C146:C151"/>
    <mergeCell ref="E146:E151"/>
    <mergeCell ref="B152:B157"/>
    <mergeCell ref="C152:C157"/>
    <mergeCell ref="E152:E157"/>
  </mergeCells>
  <phoneticPr fontId="19" type="noConversion"/>
  <conditionalFormatting sqref="B19:C19">
    <cfRule type="expression" priority="21">
      <formula>IF($C$19="Industrie",1,0)</formula>
    </cfRule>
  </conditionalFormatting>
  <conditionalFormatting sqref="B24:C24">
    <cfRule type="expression" priority="20">
      <formula>IF($C$19="Industrie",1,0)</formula>
    </cfRule>
  </conditionalFormatting>
  <conditionalFormatting sqref="B29:C29">
    <cfRule type="expression" priority="19">
      <formula>IF($C$19="Industrie",1,0)</formula>
    </cfRule>
  </conditionalFormatting>
  <conditionalFormatting sqref="B34:C34">
    <cfRule type="expression" priority="24">
      <formula>IF($C$19="Industrie",1,0)</formula>
    </cfRule>
  </conditionalFormatting>
  <conditionalFormatting sqref="B39:C39">
    <cfRule type="expression" priority="23">
      <formula>IF($C$19="Industrie",1,0)</formula>
    </cfRule>
  </conditionalFormatting>
  <conditionalFormatting sqref="B44:C44">
    <cfRule type="expression" priority="22">
      <formula>IF($C$19="Industrie",1,0)</formula>
    </cfRule>
  </conditionalFormatting>
  <conditionalFormatting sqref="B49:C49">
    <cfRule type="expression" priority="18">
      <formula>IF($C$19="Industrie",1,0)</formula>
    </cfRule>
  </conditionalFormatting>
  <conditionalFormatting sqref="B54:C54">
    <cfRule type="expression" priority="17">
      <formula>IF($C$19="Industrie",1,0)</formula>
    </cfRule>
  </conditionalFormatting>
  <conditionalFormatting sqref="B63:C63">
    <cfRule type="expression" priority="13">
      <formula>IF($C$19="Industrie",1,0)</formula>
    </cfRule>
  </conditionalFormatting>
  <conditionalFormatting sqref="B69:C69">
    <cfRule type="expression" priority="12">
      <formula>IF($C$19="Industrie",1,0)</formula>
    </cfRule>
  </conditionalFormatting>
  <conditionalFormatting sqref="B75:C75">
    <cfRule type="expression" priority="11">
      <formula>IF($C$19="Industrie",1,0)</formula>
    </cfRule>
  </conditionalFormatting>
  <conditionalFormatting sqref="B81:C81">
    <cfRule type="expression" priority="16">
      <formula>IF($C$19="Industrie",1,0)</formula>
    </cfRule>
  </conditionalFormatting>
  <conditionalFormatting sqref="B87:C87">
    <cfRule type="expression" priority="15">
      <formula>IF($C$19="Industrie",1,0)</formula>
    </cfRule>
  </conditionalFormatting>
  <conditionalFormatting sqref="B93:C93">
    <cfRule type="expression" priority="14">
      <formula>IF($C$19="Industrie",1,0)</formula>
    </cfRule>
  </conditionalFormatting>
  <conditionalFormatting sqref="B99:C99">
    <cfRule type="expression" priority="10">
      <formula>IF($C$19="Industrie",1,0)</formula>
    </cfRule>
  </conditionalFormatting>
  <conditionalFormatting sqref="B105:C105">
    <cfRule type="expression" priority="9">
      <formula>IF($C$19="Industrie",1,0)</formula>
    </cfRule>
  </conditionalFormatting>
  <conditionalFormatting sqref="B116:C116">
    <cfRule type="expression" priority="5">
      <formula>IF($C$19="Industrie",1,0)</formula>
    </cfRule>
  </conditionalFormatting>
  <conditionalFormatting sqref="B122:C122">
    <cfRule type="expression" priority="4">
      <formula>IF($C$19="Industrie",1,0)</formula>
    </cfRule>
  </conditionalFormatting>
  <conditionalFormatting sqref="B128:C128">
    <cfRule type="expression" priority="3">
      <formula>IF($C$19="Industrie",1,0)</formula>
    </cfRule>
  </conditionalFormatting>
  <conditionalFormatting sqref="B134:C134">
    <cfRule type="expression" priority="8">
      <formula>IF($C$19="Industrie",1,0)</formula>
    </cfRule>
  </conditionalFormatting>
  <conditionalFormatting sqref="B140:C140">
    <cfRule type="expression" priority="7">
      <formula>IF($C$19="Industrie",1,0)</formula>
    </cfRule>
  </conditionalFormatting>
  <conditionalFormatting sqref="B146:C146">
    <cfRule type="expression" priority="6">
      <formula>IF($C$19="Industrie",1,0)</formula>
    </cfRule>
  </conditionalFormatting>
  <conditionalFormatting sqref="B152:C152">
    <cfRule type="expression" priority="2">
      <formula>IF($C$19="Industrie",1,0)</formula>
    </cfRule>
  </conditionalFormatting>
  <conditionalFormatting sqref="B158:C158">
    <cfRule type="expression" priority="1">
      <formula>IF($C$19="Industrie",1,0)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5DB7C-915A-410F-B7C1-FFBC1F674347}">
  <sheetPr codeName="Feuil6"/>
  <dimension ref="A1:AV72"/>
  <sheetViews>
    <sheetView workbookViewId="0">
      <selection activeCell="A16" sqref="A16"/>
    </sheetView>
  </sheetViews>
  <sheetFormatPr baseColWidth="10" defaultRowHeight="12.7" x14ac:dyDescent="0.4"/>
  <cols>
    <col min="1" max="1" width="25.41015625" customWidth="1"/>
    <col min="2" max="2" width="19.41015625" customWidth="1"/>
    <col min="3" max="3" width="16.1171875" customWidth="1"/>
    <col min="4" max="4" width="12.87890625" customWidth="1"/>
    <col min="5" max="5" width="19.41015625" customWidth="1"/>
    <col min="6" max="7" width="12.29296875" customWidth="1"/>
    <col min="8" max="8" width="19.5859375" customWidth="1"/>
    <col min="9" max="9" width="6.703125" customWidth="1"/>
    <col min="10" max="10" width="19.1171875" customWidth="1"/>
    <col min="11" max="14" width="16" customWidth="1"/>
  </cols>
  <sheetData>
    <row r="1" spans="1:48" x14ac:dyDescent="0.4">
      <c r="A1" s="129" t="s">
        <v>321</v>
      </c>
      <c r="B1" s="1">
        <f>Descriptif!$AD$2</f>
        <v>14</v>
      </c>
      <c r="C1" s="1">
        <f>Descriptif!$AF$2</f>
        <v>14</v>
      </c>
      <c r="D1" s="1"/>
      <c r="E1" s="1"/>
      <c r="F1" s="1"/>
      <c r="G1" s="1"/>
    </row>
    <row r="2" spans="1:48" x14ac:dyDescent="0.4">
      <c r="A2" t="s">
        <v>397</v>
      </c>
      <c r="B2" s="1">
        <f>Descriptif!$AH$2</f>
        <v>23</v>
      </c>
      <c r="C2" s="1">
        <f>Descriptif!$AI$2</f>
        <v>23</v>
      </c>
      <c r="D2" s="1"/>
      <c r="E2" s="1"/>
      <c r="F2" s="1"/>
      <c r="G2" s="1"/>
    </row>
    <row r="3" spans="1:48" x14ac:dyDescent="0.4">
      <c r="A3" s="102" t="s">
        <v>295</v>
      </c>
      <c r="B3" s="1186" t="s">
        <v>167</v>
      </c>
      <c r="C3" s="1186"/>
      <c r="D3" s="1186"/>
      <c r="E3" s="1186"/>
      <c r="F3" s="1186"/>
      <c r="G3" s="315"/>
    </row>
    <row r="4" spans="1:48" x14ac:dyDescent="0.4">
      <c r="A4" s="82"/>
      <c r="B4" s="82" t="s">
        <v>296</v>
      </c>
      <c r="C4" s="82" t="s">
        <v>335</v>
      </c>
      <c r="D4" s="82" t="s">
        <v>336</v>
      </c>
      <c r="E4" s="82" t="s">
        <v>298</v>
      </c>
      <c r="F4" s="82" t="s">
        <v>299</v>
      </c>
      <c r="G4" s="1"/>
    </row>
    <row r="5" spans="1:48" x14ac:dyDescent="0.4">
      <c r="A5" s="82" t="s">
        <v>12</v>
      </c>
      <c r="B5" s="83" t="s">
        <v>521</v>
      </c>
      <c r="C5" s="83" t="s">
        <v>359</v>
      </c>
      <c r="D5" s="83" t="s">
        <v>360</v>
      </c>
      <c r="E5" s="83" t="s">
        <v>300</v>
      </c>
      <c r="F5" s="83" t="s">
        <v>361</v>
      </c>
      <c r="G5" s="316"/>
    </row>
    <row r="6" spans="1:48" x14ac:dyDescent="0.4">
      <c r="A6" s="82" t="str">
        <f>PARAM!$C4</f>
        <v>Débitmètre en charge</v>
      </c>
      <c r="B6" s="81" t="s">
        <v>357</v>
      </c>
      <c r="C6" s="81" t="s">
        <v>367</v>
      </c>
      <c r="D6" s="81" t="s">
        <v>368</v>
      </c>
      <c r="E6" s="81" t="s">
        <v>369</v>
      </c>
      <c r="F6" s="81" t="s">
        <v>370</v>
      </c>
    </row>
    <row r="7" spans="1:48" x14ac:dyDescent="0.4">
      <c r="A7" s="82" t="str">
        <f>PARAM!$C5</f>
        <v>Débitmètre gravitaire</v>
      </c>
      <c r="B7" s="81" t="s">
        <v>371</v>
      </c>
      <c r="C7" s="81" t="s">
        <v>490</v>
      </c>
      <c r="D7" s="81" t="s">
        <v>372</v>
      </c>
      <c r="E7" s="81" t="s">
        <v>297</v>
      </c>
      <c r="F7" s="81" t="s">
        <v>373</v>
      </c>
    </row>
    <row r="8" spans="1:48" x14ac:dyDescent="0.4">
      <c r="A8" s="82" t="str">
        <f>PARAM!$C6</f>
        <v>Préleveur</v>
      </c>
      <c r="B8" s="81" t="s">
        <v>362</v>
      </c>
      <c r="C8" s="81" t="s">
        <v>363</v>
      </c>
      <c r="D8" s="81" t="s">
        <v>364</v>
      </c>
      <c r="E8" s="81" t="s">
        <v>365</v>
      </c>
      <c r="F8" s="81" t="s">
        <v>366</v>
      </c>
    </row>
    <row r="9" spans="1:48" x14ac:dyDescent="0.4">
      <c r="A9" s="82" t="str">
        <f>PARAM!$C7</f>
        <v>Sonde de température</v>
      </c>
      <c r="B9" s="81" t="s">
        <v>358</v>
      </c>
      <c r="C9" s="81" t="s">
        <v>359</v>
      </c>
      <c r="D9" s="81" t="s">
        <v>360</v>
      </c>
      <c r="E9" s="81" t="s">
        <v>300</v>
      </c>
      <c r="F9" s="81" t="s">
        <v>361</v>
      </c>
    </row>
    <row r="10" spans="1:48" x14ac:dyDescent="0.4">
      <c r="C10" s="98"/>
    </row>
    <row r="11" spans="1:48" x14ac:dyDescent="0.4">
      <c r="C11" s="98"/>
    </row>
    <row r="12" spans="1:48" x14ac:dyDescent="0.4">
      <c r="B12">
        <f>$B$2+A42-1</f>
        <v>49</v>
      </c>
      <c r="C12" s="98"/>
    </row>
    <row r="13" spans="1:48" s="132" customFormat="1" ht="13" thickBot="1" x14ac:dyDescent="0.45">
      <c r="A13" s="131" t="s">
        <v>319</v>
      </c>
      <c r="C13" s="133"/>
    </row>
    <row r="14" spans="1:48" s="84" customFormat="1" ht="17.45" customHeight="1" x14ac:dyDescent="0.4">
      <c r="A14" s="1199" t="s">
        <v>312</v>
      </c>
      <c r="B14" s="1200"/>
      <c r="C14" s="312" t="s">
        <v>329</v>
      </c>
      <c r="D14" s="313"/>
      <c r="E14" s="313"/>
      <c r="F14" s="314"/>
      <c r="G14" s="313"/>
      <c r="H14" s="312" t="s">
        <v>330</v>
      </c>
      <c r="I14" s="313"/>
      <c r="J14" s="313"/>
      <c r="K14" s="313"/>
      <c r="L14" s="276"/>
      <c r="M14" s="276"/>
      <c r="N14" s="135" t="s">
        <v>339</v>
      </c>
      <c r="O14" s="1197" t="s">
        <v>29</v>
      </c>
      <c r="P14" s="1197"/>
      <c r="Q14" s="1197" t="s">
        <v>164</v>
      </c>
      <c r="R14" s="1197"/>
      <c r="S14" s="1197" t="s">
        <v>331</v>
      </c>
      <c r="T14" s="1197"/>
      <c r="U14" s="1197" t="s">
        <v>334</v>
      </c>
      <c r="V14" s="1198"/>
      <c r="W14" s="1196" t="s">
        <v>413</v>
      </c>
      <c r="X14" s="1197"/>
      <c r="Y14" s="1197"/>
      <c r="Z14" s="1197"/>
      <c r="AA14" s="1197"/>
      <c r="AB14" s="1197"/>
      <c r="AC14" s="1197"/>
      <c r="AD14" s="1197"/>
      <c r="AE14" s="1197"/>
      <c r="AF14" s="1197"/>
      <c r="AG14" s="1197"/>
      <c r="AH14" s="1198"/>
      <c r="AI14" s="1196" t="s">
        <v>412</v>
      </c>
      <c r="AJ14" s="1197"/>
      <c r="AK14" s="1197"/>
      <c r="AL14" s="1197"/>
      <c r="AM14" s="1197"/>
      <c r="AN14" s="1197"/>
      <c r="AO14" s="1197"/>
      <c r="AP14" s="1197"/>
      <c r="AQ14" s="1197"/>
      <c r="AR14" s="1197"/>
      <c r="AS14" s="1197"/>
      <c r="AT14" s="1198"/>
      <c r="AU14" s="411" t="s">
        <v>572</v>
      </c>
      <c r="AV14" s="413" t="s">
        <v>573</v>
      </c>
    </row>
    <row r="15" spans="1:48" s="129" customFormat="1" x14ac:dyDescent="0.4">
      <c r="A15" s="136" t="s">
        <v>327</v>
      </c>
      <c r="B15" s="137" t="s">
        <v>328</v>
      </c>
      <c r="C15" s="138" t="s">
        <v>374</v>
      </c>
      <c r="D15" s="130" t="s">
        <v>320</v>
      </c>
      <c r="E15" s="130" t="s">
        <v>375</v>
      </c>
      <c r="F15" s="242" t="s">
        <v>376</v>
      </c>
      <c r="G15" s="130" t="s">
        <v>435</v>
      </c>
      <c r="H15" s="138" t="s">
        <v>323</v>
      </c>
      <c r="I15" s="130" t="s">
        <v>324</v>
      </c>
      <c r="J15" s="130" t="s">
        <v>325</v>
      </c>
      <c r="K15" s="130" t="s">
        <v>326</v>
      </c>
      <c r="L15" s="130" t="s">
        <v>399</v>
      </c>
      <c r="M15" s="130" t="s">
        <v>436</v>
      </c>
      <c r="N15" s="143" t="s">
        <v>332</v>
      </c>
      <c r="O15" s="142" t="s">
        <v>332</v>
      </c>
      <c r="P15" s="142" t="s">
        <v>333</v>
      </c>
      <c r="Q15" s="142" t="s">
        <v>332</v>
      </c>
      <c r="R15" s="142" t="s">
        <v>333</v>
      </c>
      <c r="S15" s="142" t="s">
        <v>332</v>
      </c>
      <c r="T15" s="142" t="s">
        <v>333</v>
      </c>
      <c r="U15" s="142" t="s">
        <v>332</v>
      </c>
      <c r="V15" s="144" t="s">
        <v>333</v>
      </c>
      <c r="W15" s="291" t="s">
        <v>337</v>
      </c>
      <c r="X15" s="292" t="s">
        <v>338</v>
      </c>
      <c r="Y15" s="292">
        <v>1</v>
      </c>
      <c r="Z15" s="292">
        <v>2</v>
      </c>
      <c r="AA15" s="292">
        <v>3</v>
      </c>
      <c r="AB15" s="292">
        <v>4</v>
      </c>
      <c r="AC15" s="292">
        <v>5</v>
      </c>
      <c r="AD15" s="292">
        <v>6</v>
      </c>
      <c r="AE15" s="292">
        <v>7</v>
      </c>
      <c r="AF15" s="292">
        <v>8</v>
      </c>
      <c r="AG15" s="292">
        <v>9</v>
      </c>
      <c r="AH15" s="293">
        <v>10</v>
      </c>
      <c r="AI15" s="291" t="s">
        <v>337</v>
      </c>
      <c r="AJ15" s="292" t="s">
        <v>338</v>
      </c>
      <c r="AK15" s="292">
        <v>1</v>
      </c>
      <c r="AL15" s="292">
        <v>2</v>
      </c>
      <c r="AM15" s="292">
        <v>3</v>
      </c>
      <c r="AN15" s="292">
        <v>4</v>
      </c>
      <c r="AO15" s="292">
        <v>5</v>
      </c>
      <c r="AP15" s="292">
        <v>6</v>
      </c>
      <c r="AQ15" s="292">
        <v>7</v>
      </c>
      <c r="AR15" s="292">
        <v>8</v>
      </c>
      <c r="AS15" s="292">
        <v>9</v>
      </c>
      <c r="AT15" s="293">
        <v>10</v>
      </c>
      <c r="AU15" s="411"/>
      <c r="AV15" s="413"/>
    </row>
    <row r="16" spans="1:48" x14ac:dyDescent="0.4">
      <c r="A16" s="80">
        <v>1</v>
      </c>
      <c r="B16" s="134" t="b">
        <f>IF(OR(AND(($B$1+A16-1)&gt;=$B$1,($B$1+A16-1)&lt;$C$1),AND(($B$1+A16-1)&gt;=$B$2,($B$1+A16-1)&lt;$C$2)),TRUE,FALSE)</f>
        <v>0</v>
      </c>
      <c r="C16" s="139" t="str" cm="1">
        <f t="array" aca="1" ref="C16" ca="1">IF(
    AND(
        $B16,
        OR(
            INDIRECT("Descriptif!$M"&amp;($B$1+$A16-1))="Préleveur",
            LEFT(INDIRECT("Descriptif!$M"&amp;($B$1+$A16-1)),5)="Sonde",
            LEFT(INDIRECT("Descriptif!$M"&amp;($B$1+$A16-1)),10)="Débitmètre",
            LEFT(INDIRECT("Descriptif!$F"&amp;($B$1+$A16-1)),6)="PLUVIO"        )
    ),
    INDIRECT("Descriptif!$"&amp;C$15&amp;($B$1 +$A16 -1)),
    ""
)</f>
        <v/>
      </c>
      <c r="D16" s="277" t="str" cm="1">
        <f t="array" aca="1" ref="D16" ca="1">IF(
    AND(
        $B16,
        OR(
            INDIRECT("Descriptif!$M"&amp;($B$1+$A16-1))="Préleveur",
            LEFT(INDIRECT("Descriptif!$M"&amp;($B$1+$A16-1)),5)="Sonde",
            LEFT(INDIRECT("Descriptif!$M"&amp;($B$1+$A16-1)),10)="Débitmètre",
            LEFT(INDIRECT("Descriptif!$F"&amp;($B$1+$A16-1)),6)="PLUVIO"       )
    ),
    IF(
        LEFT(INDIRECT("Descriptif!$F"&amp;($B$1+$A16-1)),11)="PLUVIO_STEU",
        "A3",
        IF(
            LEFT(INDIRECT("Descriptif!$F"&amp;($B$1+$A16-1)),10)="PLUVIO_SCL",
            "A1",
            INDIRECT("Descriptif!$"&amp;D$15&amp;($B$1 +$A16 -1))
        )
    ),
    ""
)</f>
        <v/>
      </c>
      <c r="E16" s="277" t="str" cm="1">
        <f t="array" aca="1" ref="E16" ca="1">IF(
    AND(
        $B16,
        OR(
            INDIRECT("Descriptif!$M"&amp;($B$1+$A16-1))="Préleveur",
            LEFT(INDIRECT("Descriptif!$M"&amp;($B$1+$A16-1)),5)="Sonde",
            LEFT(INDIRECT("Descriptif!$M"&amp;($B$1+$A16-1)),10)="Débitmètre",
            LEFT(INDIRECT("Descriptif!$F"&amp;($B$1+$A16-1)),6)="PLUVIO"
        )
    ),
    IF(LEFT(INDIRECT("Descriptif!$F"&amp;($B$1+$A16-1)),6)="PLUVIO","Pluviomètre",INDIRECT("Descriptif!$"&amp;E$15&amp;($B$1 +$A16 -1))),
    ""
)</f>
        <v/>
      </c>
      <c r="F16" s="19" t="str" cm="1">
        <f t="array" aca="1" ref="F16" ca="1">IF(
    AND(
        $B16,
        OR(
            INDIRECT("Descriptif!$M"&amp;($B$1+$A16-1))="Préleveur",
            LEFT(INDIRECT("Descriptif!$M"&amp;($B$1+$A16-1)),5)="Sonde",
            LEFT(INDIRECT("Descriptif!$M"&amp;($B$1+$A16-1)),10)="Débitmètre",
            LEFT(INDIRECT("Descriptif!$F"&amp;($B$1+$A16-1)),6)="PLUVIO"
        )
    ),
    IF(LEFT(INDIRECT("Descriptif!$F"&amp;($B$1+$A16-1)),6)="PLUVIO","Pluviomètre",INDIRECT("Descriptif!$"&amp;F$15&amp;($B$1 +$A16 -1))),
    ""
)</f>
        <v/>
      </c>
      <c r="G16" s="19" t="str" cm="1">
        <f t="array" aca="1" ref="G16" ca="1">IF(
    AND(
        $B16,
        OR(
            INDIRECT("Descriptif!$M"&amp;($B$1+$A16-1))="Préleveur",
            LEFT(INDIRECT("Descriptif!$M"&amp;($B$1+$A16-1)),5)="Sonde",
            LEFT(INDIRECT("Descriptif!$M"&amp;($B$1+$A16-1)),10)="Débitmètre",
            LEFT(INDIRECT("Descriptif!$F"&amp;($B$1+$A16-1)),6)="PLUVIO"
        )
    ),
    IF(LEFT(INDIRECT("Descriptif!$F"&amp;($B$1+$A16-1)),6)="PLUVIO","",INDIRECT("Descriptif!$"&amp;G$15&amp;($B$1 +$A16 -1))),
    ""
)</f>
        <v/>
      </c>
      <c r="H16" s="141" t="str" cm="1">
        <f t="array" aca="1" ref="H16" ca="1">IFERROR(INDEX($C$16:$C$116,SMALL(IF($C$16:$C$116&lt;&gt;"",ROW($C$16:$C$116)-ROW($C$16)+1),ROW(A1))),"")</f>
        <v/>
      </c>
      <c r="I16" s="140" t="str" cm="1">
        <f t="array" aca="1" ref="I16" ca="1">IFERROR(INDEX($D$16:$D$116,SMALL(IF($D$16:$D$116&lt;&gt;"",ROW($D$16:$D$116)-ROW($D$16)+1),ROW(A1))),"")</f>
        <v/>
      </c>
      <c r="J16" s="140" t="str" cm="1">
        <f t="array" aca="1" ref="J16" ca="1">IFERROR(INDEX($E$16:$E$116,SMALL(IF($E$16:$E$116&lt;&gt;"",ROW($E$16:$E$116)-ROW($E$16)+1),ROW(A1))),"")</f>
        <v/>
      </c>
      <c r="K16" s="140" t="str" cm="1">
        <f t="array" aca="1" ref="K16" ca="1">IFERROR(INDEX($F$16:$F$116,SMALL(IF($F$16:$F$116&lt;&gt;"",ROW($F$16:$F$116)-ROW($F$16)+1),ROW(A1))),"")</f>
        <v/>
      </c>
      <c r="L16" s="140" t="str">
        <f t="shared" ref="L16:L72" ca="1" si="0">H16</f>
        <v/>
      </c>
      <c r="M16" s="140" t="str" cm="1">
        <f t="array" aca="1" ref="M16" ca="1">IFERROR(INDEX($G$16:$G$116,SMALL(IF($G$16:$G$116&lt;&gt;"",ROW($G$16:$G$116)-ROW($G$16)+1),ROW(A1))),"")</f>
        <v/>
      </c>
      <c r="N16" s="145" t="str">
        <f t="shared" ref="N16:N47" ca="1" si="1">IF($J16&lt;&gt;"",VLOOKUP($J16,$A$5:$F$9,2,FALSE),"")</f>
        <v/>
      </c>
      <c r="O16" s="146" t="str">
        <f t="shared" ref="O16:O47" ca="1" si="2">IF($J16&lt;&gt;"",VLOOKUP($J16,$A$5:$F$9,3,FALSE),"")</f>
        <v/>
      </c>
      <c r="P16" s="146" t="str" cm="1">
        <f t="array" aca="1" ref="P16" ca="1">IF($J16&lt;&gt;"",IF(INDIRECT($H16&amp;"!"&amp;$O16)&lt;&gt;"",INDIRECT($H16&amp;"!"&amp;$O16),""),"")</f>
        <v/>
      </c>
      <c r="Q16" s="146" t="str">
        <f t="shared" ref="Q16:Q47" ca="1" si="3">IF($J16&lt;&gt;"",VLOOKUP($J16,$A$5:$F$9,4,FALSE),"")</f>
        <v/>
      </c>
      <c r="R16" s="146" t="str" cm="1">
        <f t="array" aca="1" ref="R16" ca="1">IF($J16&lt;&gt;"",IF(INDIRECT($H16&amp;"!"&amp;$Q16)&lt;&gt;"",INDIRECT($H16&amp;"!"&amp;$Q16),""),"")</f>
        <v/>
      </c>
      <c r="S16" s="146" t="str">
        <f t="shared" ref="S16:S47" ca="1" si="4">IF($J16&lt;&gt;"",VLOOKUP($J16,$A$5:$F$9,5,FALSE),"")</f>
        <v/>
      </c>
      <c r="T16" s="146" t="str" cm="1">
        <f t="array" aca="1" ref="T16" ca="1">IF($J16&lt;&gt;"",IF(INDIRECT($H16&amp;"!"&amp;$S16)&lt;&gt;"",INDIRECT($H16&amp;"!"&amp;$S16),""),"")</f>
        <v/>
      </c>
      <c r="U16" s="146" t="str">
        <f t="shared" ref="U16:U47" ca="1" si="5">IF($J16&lt;&gt;"",VLOOKUP($J16,$A$5:$F$9,6,FALSE),"")</f>
        <v/>
      </c>
      <c r="V16" s="147" t="str" cm="1">
        <f t="array" aca="1" ref="V16" ca="1">IF($J16&lt;&gt;"",IF(INDIRECT($H16&amp;"!"&amp;$U16)&lt;&gt;"",INDIRECT($H16&amp;"!"&amp;$U16),""),"")</f>
        <v/>
      </c>
      <c r="W16" s="294" t="str">
        <f ca="1">LEFT($Q16,1)</f>
        <v/>
      </c>
      <c r="X16" s="295" t="str">
        <f ca="1">RIGHT($N16,2)</f>
        <v/>
      </c>
      <c r="Y16" s="296" t="str" cm="1">
        <f t="array" aca="1" ref="Y16" ca="1">IF($H16&lt;&gt;"",IF(INDIRECT($H16&amp;"!"&amp;$W16&amp;($X16+Y$15+1))&lt;&gt;"",INDIRECT($H16&amp;"!"&amp;$W16&amp;($X16+Y$15+1)),""),"")</f>
        <v/>
      </c>
      <c r="Z16" s="296" t="str" cm="1">
        <f t="array" aca="1" ref="Z16" ca="1">IF($H16&lt;&gt;"",IF(INDIRECT($H16&amp;"!"&amp;$W16&amp;($X16+Z$15+1))&lt;&gt;"",INDIRECT($H16&amp;"!"&amp;$W16&amp;($X16+Z$15+1)),""),"")</f>
        <v/>
      </c>
      <c r="AA16" s="296" t="str" cm="1">
        <f t="array" aca="1" ref="AA16" ca="1">IF($H16&lt;&gt;"",IF(INDIRECT($H16&amp;"!"&amp;$W16&amp;($X16+AA$15+1))&lt;&gt;"",INDIRECT($H16&amp;"!"&amp;$W16&amp;($X16+AA$15+1)),""),"")</f>
        <v/>
      </c>
      <c r="AB16" s="296" t="str" cm="1">
        <f t="array" aca="1" ref="AB16" ca="1">IF($H16&lt;&gt;"",IF(INDIRECT($H16&amp;"!"&amp;$W16&amp;($X16+AB$15+1))&lt;&gt;"",INDIRECT($H16&amp;"!"&amp;$W16&amp;($X16+AB$15+1)),""),"")</f>
        <v/>
      </c>
      <c r="AC16" s="296" t="str" cm="1">
        <f t="array" aca="1" ref="AC16" ca="1">IF(LEFT($J16,5)="Sonde","",IF($H16&lt;&gt;"",IF(INDIRECT($H16&amp;"!"&amp;$W16&amp;($X16+AC$15+1))&lt;&gt;"",INDIRECT($H16&amp;"!"&amp;$W16&amp;($X16+AC$15+1)),""),""))</f>
        <v/>
      </c>
      <c r="AD16" s="296" t="str" cm="1">
        <f t="array" aca="1" ref="AD16" ca="1">IF(OR($J16="Pluviomètre",LEFT($J16,5)="Sonde"),"",IF($H16&lt;&gt;"",IF(INDIRECT($H16&amp;"!"&amp;$W16&amp;($X16+AD$15+1))&lt;&gt;"",INDIRECT($H16&amp;"!"&amp;$W16&amp;($X16+AD$15+1)),""),""))</f>
        <v/>
      </c>
      <c r="AE16" s="296" t="str" cm="1">
        <f t="array" aca="1" ref="AE16" ca="1">IF(OR($J16="Pluviomètre",LEFT($J16,5)="Sonde"),"",IF($H16&lt;&gt;"",IF(INDIRECT($H16&amp;"!"&amp;$W16&amp;($X16+AE$15+1))&lt;&gt;"",INDIRECT($H16&amp;"!"&amp;$W16&amp;($X16+AE$15+1)),""),""))</f>
        <v/>
      </c>
      <c r="AF16" s="296" t="str" cm="1">
        <f t="array" aca="1" ref="AF16" ca="1">IF(OR($J16="Pluviomètre",LEFT($J16,5)="Sonde"),"",IF($H16&lt;&gt;"",IF(INDIRECT($H16&amp;"!"&amp;$W16&amp;($X16+AF$15+1))&lt;&gt;"",INDIRECT($H16&amp;"!"&amp;$W16&amp;($X16+AF$15+1)),""),""))</f>
        <v/>
      </c>
      <c r="AG16" s="296" t="str" cm="1">
        <f t="array" aca="1" ref="AG16" ca="1">IF(OR($J16="Pluviomètre",LEFT($J16,5)="Sonde"),"",IF($H16&lt;&gt;"",IF(INDIRECT($H16&amp;"!"&amp;$W16&amp;($X16+AG$15+1))&lt;&gt;"",INDIRECT($H16&amp;"!"&amp;$W16&amp;($X16+AG$15+1)),""),""))</f>
        <v/>
      </c>
      <c r="AH16" s="296" t="str" cm="1">
        <f t="array" aca="1" ref="AH16" ca="1">IF(OR($J16="Pluviomètre",LEFT($J16,5)="Sonde"),"",IF($H16&lt;&gt;"",IF(INDIRECT($H16&amp;"!"&amp;$W16&amp;($X16+AH$15+1))&lt;&gt;"",INDIRECT($H16&amp;"!"&amp;$W16&amp;($X16+AH$15+1)),""),""))</f>
        <v/>
      </c>
      <c r="AI16" s="294" t="str">
        <f ca="1">LEFT($O16,1)</f>
        <v/>
      </c>
      <c r="AJ16" s="295" t="str">
        <f ca="1">RIGHT($N16,2)</f>
        <v/>
      </c>
      <c r="AK16" s="296" t="str" cm="1">
        <f t="array" aca="1" ref="AK16" ca="1">IF($H16&lt;&gt;"",IF(INDIRECT($H16&amp;"!"&amp;$AI16&amp;($AJ16+AK$15+1))&lt;&gt;"",INDIRECT($H16&amp;"!"&amp;$AI16&amp;($AJ16+AK$15+1)),""),"")</f>
        <v/>
      </c>
      <c r="AL16" s="296" t="str" cm="1">
        <f t="array" aca="1" ref="AL16" ca="1">IF($H16&lt;&gt;"",IF(INDIRECT($H16&amp;"!"&amp;$AI16&amp;($AJ16+AL$15+1))&lt;&gt;"",INDIRECT($H16&amp;"!"&amp;$AI16&amp;($AJ16+AL$15+1)),""),"")</f>
        <v/>
      </c>
      <c r="AM16" s="296" t="str" cm="1">
        <f t="array" aca="1" ref="AM16" ca="1">IF($H16&lt;&gt;"",IF(INDIRECT($H16&amp;"!"&amp;$AI16&amp;($AJ16+AM$15+1))&lt;&gt;"",INDIRECT($H16&amp;"!"&amp;$AI16&amp;($AJ16+AM$15+1)),""),"")</f>
        <v/>
      </c>
      <c r="AN16" s="296" t="str" cm="1">
        <f t="array" aca="1" ref="AN16" ca="1">IF($H16&lt;&gt;"",IF(INDIRECT($H16&amp;"!"&amp;$AI16&amp;($AJ16+AN$15+1))&lt;&gt;"",INDIRECT($H16&amp;"!"&amp;$AI16&amp;($AJ16+AN$15+1)),""),"")</f>
        <v/>
      </c>
      <c r="AO16" s="296" t="str" cm="1">
        <f t="array" aca="1" ref="AO16" ca="1">IF(LEFT($J16,5)="Sonde","",IF($H16&lt;&gt;"",IF(INDIRECT($H16&amp;"!"&amp;$AI16&amp;($AJ16+AO$15+1))&lt;&gt;"",INDIRECT($H16&amp;"!"&amp;$AI16&amp;($AJ16+AO$15+1)),""),""))</f>
        <v/>
      </c>
      <c r="AP16" s="296" t="str" cm="1">
        <f t="array" aca="1" ref="AP16" ca="1">IF(OR($J16="Pluviomètre",LEFT($J16,5)="Sonde"),"",IF($H16&lt;&gt;"",IF(INDIRECT($H16&amp;"!"&amp;$AI16&amp;($AJ16+AP$15+1))&lt;&gt;"",INDIRECT($H16&amp;"!"&amp;$AI16&amp;($AJ16+AP$15+1)),""),""))</f>
        <v/>
      </c>
      <c r="AQ16" s="296" t="str" cm="1">
        <f t="array" aca="1" ref="AQ16" ca="1">IF(OR($J16="Pluviomètre",LEFT($J16,5)="Sonde"),"",IF($H16&lt;&gt;"",IF(INDIRECT($H16&amp;"!"&amp;$AI16&amp;($AJ16+AQ$15+1))&lt;&gt;"",INDIRECT($H16&amp;"!"&amp;$AI16&amp;($AJ16+AQ$15+1)),""),""))</f>
        <v/>
      </c>
      <c r="AR16" s="296" t="str" cm="1">
        <f t="array" aca="1" ref="AR16" ca="1">IF(OR($J16="Pluviomètre",LEFT($J16,5)="Sonde"),"",IF($H16&lt;&gt;"",IF(INDIRECT($H16&amp;"!"&amp;$AI16&amp;($AJ16+AR$15+1))&lt;&gt;"",INDIRECT($H16&amp;"!"&amp;$AI16&amp;($AJ16+AR$15+1)),""),""))</f>
        <v/>
      </c>
      <c r="AS16" s="296" t="str" cm="1">
        <f t="array" aca="1" ref="AS16" ca="1">IF(OR($J16="Pluviomètre",LEFT($J16,5)="Sonde"),"",IF($H16&lt;&gt;"",IF(INDIRECT($H16&amp;"!"&amp;$AI16&amp;($AJ16+AS$15+1))&lt;&gt;"",INDIRECT($H16&amp;"!"&amp;$AI16&amp;($AJ16+AS$15+1)),""),""))</f>
        <v/>
      </c>
      <c r="AT16" s="296" t="str" cm="1">
        <f t="array" aca="1" ref="AT16" ca="1">IF(OR($J16="Pluviomètre",LEFT($J16,5)="Sonde"),"",IF($H16&lt;&gt;"",IF(INDIRECT($H16&amp;"!"&amp;$AI16&amp;($AJ16+AT$15+1))&lt;&gt;"",INDIRECT($H16&amp;"!"&amp;$AI16&amp;($AJ16+AT$15+1)),""),""))</f>
        <v/>
      </c>
      <c r="AU16" s="412" cm="1">
        <f t="array" aca="1" ref="AU16" ca="1">SUMPRODUCT((Y16:AH16&lt;&gt;"")*(Y16:AH16&lt;&gt;"Non contrôlé")*(Y16:AH16&lt;&gt;"Non applicable"))</f>
        <v>0</v>
      </c>
      <c r="AV16" s="414">
        <f ca="1">IF(AND(P16&lt;&gt;"",AU16&gt;0),P16,-1)</f>
        <v>-1</v>
      </c>
    </row>
    <row r="17" spans="1:48" x14ac:dyDescent="0.4">
      <c r="A17" s="80">
        <v>2</v>
      </c>
      <c r="B17" s="134" t="b">
        <f t="shared" ref="B17:B72" si="6">IF(OR(AND(($B$1+A17-1)&gt;=$B$1,($B$1+A17-1)&lt;$C$1),AND(($B$1+A17-1)&gt;=$B$2,($B$1+A17-1)&lt;$C$2)),TRUE,FALSE)</f>
        <v>0</v>
      </c>
      <c r="C17" s="139" t="str" cm="1">
        <f t="array" aca="1" ref="C17" ca="1">IF(
    AND(
        $B17,
        OR(
            INDIRECT("Descriptif!$M"&amp;($B$1+$A17-1))="Préleveur",
            LEFT(INDIRECT("Descriptif!$M"&amp;($B$1+$A17-1)),5)="Sonde",
            LEFT(INDIRECT("Descriptif!$M"&amp;($B$1+$A17-1)),10)="Débitmètre",
            LEFT(INDIRECT("Descriptif!$F"&amp;($B$1+$A17-1)),6)="PLUVIO"        )
    ),
    INDIRECT("Descriptif!$"&amp;C$15&amp;($B$1 +$A17 -1)),
    ""
)</f>
        <v/>
      </c>
      <c r="D17" s="277" t="str" cm="1">
        <f t="array" aca="1" ref="D17" ca="1">IF(
    AND(
        $B17,
        OR(
            INDIRECT("Descriptif!$M"&amp;($B$1+$A17-1))="Préleveur",
            LEFT(INDIRECT("Descriptif!$M"&amp;($B$1+$A17-1)),5)="Sonde",
            LEFT(INDIRECT("Descriptif!$M"&amp;($B$1+$A17-1)),10)="Débitmètre",
            LEFT(INDIRECT("Descriptif!$F"&amp;($B$1+$A17-1)),6)="PLUVIO"       )
    ),
    IF(
        LEFT(INDIRECT("Descriptif!$F"&amp;($B$1+$A17-1)),11)="PLUVIO_STEU",
        "A3",
        IF(
            LEFT(INDIRECT("Descriptif!$F"&amp;($B$1+$A17-1)),10)="PLUVIO_SCL",
            "A1",
            INDIRECT("Descriptif!$"&amp;D$15&amp;($B$1 +$A17 -1))
        )
    ),
    ""
)</f>
        <v/>
      </c>
      <c r="E17" s="277" t="str" cm="1">
        <f t="array" aca="1" ref="E17" ca="1">IF(
    AND(
        $B17,
        OR(
            INDIRECT("Descriptif!$M"&amp;($B$1+$A17-1))="Préleveur",
            LEFT(INDIRECT("Descriptif!$M"&amp;($B$1+$A17-1)),5)="Sonde",
            LEFT(INDIRECT("Descriptif!$M"&amp;($B$1+$A17-1)),10)="Débitmètre",
            LEFT(INDIRECT("Descriptif!$F"&amp;($B$1+$A17-1)),6)="PLUVIO"
        )
    ),
    IF(LEFT(INDIRECT("Descriptif!$F"&amp;($B$1+$A17-1)),6)="PLUVIO","Pluviomètre",INDIRECT("Descriptif!$"&amp;E$15&amp;($B$1 +$A17 -1))),
    ""
)</f>
        <v/>
      </c>
      <c r="F17" s="19" t="str" cm="1">
        <f t="array" aca="1" ref="F17" ca="1">IF(
    AND(
        $B17,
        OR(
            INDIRECT("Descriptif!$M"&amp;($B$1+$A17-1))="Préleveur",
            LEFT(INDIRECT("Descriptif!$M"&amp;($B$1+$A17-1)),5)="Sonde",
            LEFT(INDIRECT("Descriptif!$M"&amp;($B$1+$A17-1)),10)="Débitmètre",
            LEFT(INDIRECT("Descriptif!$F"&amp;($B$1+$A17-1)),6)="PLUVIO"
        )
    ),
    IF(LEFT(INDIRECT("Descriptif!$F"&amp;($B$1+$A17-1)),6)="PLUVIO","Pluviomètre",INDIRECT("Descriptif!$"&amp;F$15&amp;($B$1 +$A17 -1))),
    ""
)</f>
        <v/>
      </c>
      <c r="G17" s="19" t="str" cm="1">
        <f t="array" aca="1" ref="G17" ca="1">IF(
    AND(
        $B17,
        OR(
            INDIRECT("Descriptif!$M"&amp;($B$1+$A17-1))="Préleveur",
            LEFT(INDIRECT("Descriptif!$M"&amp;($B$1+$A17-1)),5)="Sonde",
            LEFT(INDIRECT("Descriptif!$M"&amp;($B$1+$A17-1)),10)="Débitmètre",
            LEFT(INDIRECT("Descriptif!$F"&amp;($B$1+$A17-1)),6)="PLUVIO"
        )
    ),
    IF(LEFT(INDIRECT("Descriptif!$F"&amp;($B$1+$A17-1)),6)="PLUVIO","",INDIRECT("Descriptif!$"&amp;G$15&amp;($B$1 +$A17 -1))),
    ""
)</f>
        <v/>
      </c>
      <c r="H17" s="141" t="str" cm="1">
        <f t="array" aca="1" ref="H17" ca="1">IFERROR(INDEX($C$16:$C$116,SMALL(IF($C$16:$C$116&lt;&gt;"",ROW($C$16:$C$116)-ROW($C$16)+1),ROW(A2))),"")</f>
        <v/>
      </c>
      <c r="I17" s="140" t="str" cm="1">
        <f t="array" aca="1" ref="I17" ca="1">IFERROR(INDEX($D$16:$D$116,SMALL(IF($D$16:$D$116&lt;&gt;"",ROW($D$16:$D$116)-ROW($D$16)+1),ROW(A2))),"")</f>
        <v/>
      </c>
      <c r="J17" s="140" t="str" cm="1">
        <f t="array" aca="1" ref="J17" ca="1">IFERROR(INDEX($E$16:$E$116,SMALL(IF($E$16:$E$116&lt;&gt;"",ROW($E$16:$E$116)-ROW($E$16)+1),ROW(A2))),"")</f>
        <v/>
      </c>
      <c r="K17" s="140" t="str" cm="1">
        <f t="array" aca="1" ref="K17" ca="1">IFERROR(INDEX($F$16:$F$116,SMALL(IF($F$16:$F$116&lt;&gt;"",ROW($F$16:$F$116)-ROW($F$16)+1),ROW(A2))),"")</f>
        <v/>
      </c>
      <c r="L17" s="140" t="str">
        <f t="shared" ca="1" si="0"/>
        <v/>
      </c>
      <c r="M17" s="140" t="str" cm="1">
        <f t="array" aca="1" ref="M17" ca="1">IFERROR(INDEX($G$16:$G$116,SMALL(IF($G$16:$G$116&lt;&gt;"",ROW($G$16:$G$116)-ROW($G$16)+1),ROW(A2))),"")</f>
        <v/>
      </c>
      <c r="N17" s="145" t="str">
        <f t="shared" ca="1" si="1"/>
        <v/>
      </c>
      <c r="O17" s="146" t="str">
        <f t="shared" ca="1" si="2"/>
        <v/>
      </c>
      <c r="P17" s="146" t="str" cm="1">
        <f t="array" aca="1" ref="P17" ca="1">IF($J17&lt;&gt;"",IF(INDIRECT($H17&amp;"!"&amp;$O17)&lt;&gt;"",INDIRECT($H17&amp;"!"&amp;$O17),""),"")</f>
        <v/>
      </c>
      <c r="Q17" s="146" t="str">
        <f t="shared" ca="1" si="3"/>
        <v/>
      </c>
      <c r="R17" s="146" t="str" cm="1">
        <f t="array" aca="1" ref="R17" ca="1">IF($J17&lt;&gt;"",IF(INDIRECT($H17&amp;"!"&amp;$Q17)&lt;&gt;"",INDIRECT($H17&amp;"!"&amp;$Q17),""),"")</f>
        <v/>
      </c>
      <c r="S17" s="146" t="str">
        <f t="shared" ca="1" si="4"/>
        <v/>
      </c>
      <c r="T17" s="146" t="str" cm="1">
        <f t="array" aca="1" ref="T17" ca="1">IF($J17&lt;&gt;"",IF(INDIRECT($H17&amp;"!"&amp;$S17)&lt;&gt;"",INDIRECT($H17&amp;"!"&amp;$S17),""),"")</f>
        <v/>
      </c>
      <c r="U17" s="146" t="str">
        <f t="shared" ca="1" si="5"/>
        <v/>
      </c>
      <c r="V17" s="147" t="str" cm="1">
        <f t="array" aca="1" ref="V17" ca="1">IF($J17&lt;&gt;"",IF(INDIRECT($H17&amp;"!"&amp;$U17)&lt;&gt;"",INDIRECT($H17&amp;"!"&amp;$U17),""),"")</f>
        <v/>
      </c>
      <c r="W17" s="294" t="str">
        <f t="shared" ref="W17:W72" ca="1" si="7">LEFT($Q17,1)</f>
        <v/>
      </c>
      <c r="X17" s="295" t="str">
        <f t="shared" ref="X17:X72" ca="1" si="8">RIGHT($N17,2)</f>
        <v/>
      </c>
      <c r="Y17" s="296" t="str" cm="1">
        <f t="array" aca="1" ref="Y17" ca="1">IF($H17&lt;&gt;"",IF(INDIRECT($H17&amp;"!"&amp;$W17&amp;($X17+Y$15+1))&lt;&gt;"",INDIRECT($H17&amp;"!"&amp;$W17&amp;($X17+Y$15+1)),""),"")</f>
        <v/>
      </c>
      <c r="Z17" s="296" t="str" cm="1">
        <f t="array" aca="1" ref="Z17" ca="1">IF($H17&lt;&gt;"",IF(INDIRECT($H17&amp;"!"&amp;$W17&amp;($X17+Z$15+1))&lt;&gt;"",INDIRECT($H17&amp;"!"&amp;$W17&amp;($X17+Z$15+1)),""),"")</f>
        <v/>
      </c>
      <c r="AA17" s="296" t="str" cm="1">
        <f t="array" aca="1" ref="AA17" ca="1">IF($H17&lt;&gt;"",IF(INDIRECT($H17&amp;"!"&amp;$W17&amp;($X17+AA$15+1))&lt;&gt;"",INDIRECT($H17&amp;"!"&amp;$W17&amp;($X17+AA$15+1)),""),"")</f>
        <v/>
      </c>
      <c r="AB17" s="296" t="str" cm="1">
        <f t="array" aca="1" ref="AB17" ca="1">IF($H17&lt;&gt;"",IF(INDIRECT($H17&amp;"!"&amp;$W17&amp;($X17+AB$15+1))&lt;&gt;"",INDIRECT($H17&amp;"!"&amp;$W17&amp;($X17+AB$15+1)),""),"")</f>
        <v/>
      </c>
      <c r="AC17" s="296" t="str" cm="1">
        <f t="array" aca="1" ref="AC17" ca="1">IF(LEFT($J17,5)="Sonde","",IF($H17&lt;&gt;"",IF(INDIRECT($H17&amp;"!"&amp;$W17&amp;($X17+AC$15+1))&lt;&gt;"",INDIRECT($H17&amp;"!"&amp;$W17&amp;($X17+AC$15+1)),""),""))</f>
        <v/>
      </c>
      <c r="AD17" s="296" t="str" cm="1">
        <f t="array" aca="1" ref="AD17" ca="1">IF(OR($J17="Pluviomètre",LEFT($J17,5)="Sonde"),"",IF($H17&lt;&gt;"",IF(INDIRECT($H17&amp;"!"&amp;$W17&amp;($X17+AD$15+1))&lt;&gt;"",INDIRECT($H17&amp;"!"&amp;$W17&amp;($X17+AD$15+1)),""),""))</f>
        <v/>
      </c>
      <c r="AE17" s="296" t="str" cm="1">
        <f t="array" aca="1" ref="AE17" ca="1">IF(OR($J17="Pluviomètre",LEFT($J17,5)="Sonde"),"",IF($H17&lt;&gt;"",IF(INDIRECT($H17&amp;"!"&amp;$W17&amp;($X17+AE$15+1))&lt;&gt;"",INDIRECT($H17&amp;"!"&amp;$W17&amp;($X17+AE$15+1)),""),""))</f>
        <v/>
      </c>
      <c r="AF17" s="296" t="str" cm="1">
        <f t="array" aca="1" ref="AF17" ca="1">IF(OR($J17="Pluviomètre",LEFT($J17,5)="Sonde"),"",IF($H17&lt;&gt;"",IF(INDIRECT($H17&amp;"!"&amp;$W17&amp;($X17+AF$15+1))&lt;&gt;"",INDIRECT($H17&amp;"!"&amp;$W17&amp;($X17+AF$15+1)),""),""))</f>
        <v/>
      </c>
      <c r="AG17" s="296" t="str" cm="1">
        <f t="array" aca="1" ref="AG17" ca="1">IF(OR($J17="Pluviomètre",LEFT($J17,5)="Sonde"),"",IF($H17&lt;&gt;"",IF(INDIRECT($H17&amp;"!"&amp;$W17&amp;($X17+AG$15+1))&lt;&gt;"",INDIRECT($H17&amp;"!"&amp;$W17&amp;($X17+AG$15+1)),""),""))</f>
        <v/>
      </c>
      <c r="AH17" s="296" t="str" cm="1">
        <f t="array" aca="1" ref="AH17" ca="1">IF(OR($J17="Pluviomètre",LEFT($J17,5)="Sonde"),"",IF($H17&lt;&gt;"",IF(INDIRECT($H17&amp;"!"&amp;$W17&amp;($X17+AH$15+1))&lt;&gt;"",INDIRECT($H17&amp;"!"&amp;$W17&amp;($X17+AH$15+1)),""),""))</f>
        <v/>
      </c>
      <c r="AI17" s="294" t="str">
        <f t="shared" ref="AI17:AI72" ca="1" si="9">LEFT($O17,1)</f>
        <v/>
      </c>
      <c r="AJ17" s="295" t="str">
        <f t="shared" ref="AJ17:AJ72" ca="1" si="10">RIGHT($N17,2)</f>
        <v/>
      </c>
      <c r="AK17" s="296" t="str" cm="1">
        <f t="array" aca="1" ref="AK17" ca="1">IF($H17&lt;&gt;"",IF(INDIRECT($H17&amp;"!"&amp;$AI17&amp;($AJ17+AK$15+1))&lt;&gt;"",INDIRECT($H17&amp;"!"&amp;$AI17&amp;($AJ17+AK$15+1)),""),"")</f>
        <v/>
      </c>
      <c r="AL17" s="296" t="str" cm="1">
        <f t="array" aca="1" ref="AL17" ca="1">IF($H17&lt;&gt;"",IF(INDIRECT($H17&amp;"!"&amp;$AI17&amp;($AJ17+AL$15+1))&lt;&gt;"",INDIRECT($H17&amp;"!"&amp;$AI17&amp;($AJ17+AL$15+1)),""),"")</f>
        <v/>
      </c>
      <c r="AM17" s="296" t="str" cm="1">
        <f t="array" aca="1" ref="AM17" ca="1">IF($H17&lt;&gt;"",IF(INDIRECT($H17&amp;"!"&amp;$AI17&amp;($AJ17+AM$15+1))&lt;&gt;"",INDIRECT($H17&amp;"!"&amp;$AI17&amp;($AJ17+AM$15+1)),""),"")</f>
        <v/>
      </c>
      <c r="AN17" s="296" t="str" cm="1">
        <f t="array" aca="1" ref="AN17" ca="1">IF($H17&lt;&gt;"",IF(INDIRECT($H17&amp;"!"&amp;$AI17&amp;($AJ17+AN$15+1))&lt;&gt;"",INDIRECT($H17&amp;"!"&amp;$AI17&amp;($AJ17+AN$15+1)),""),"")</f>
        <v/>
      </c>
      <c r="AO17" s="296" t="str" cm="1">
        <f t="array" aca="1" ref="AO17" ca="1">IF(LEFT($J17,5)="Sonde","",IF($H17&lt;&gt;"",IF(INDIRECT($H17&amp;"!"&amp;$AI17&amp;($AJ17+AO$15+1))&lt;&gt;"",INDIRECT($H17&amp;"!"&amp;$AI17&amp;($AJ17+AO$15+1)),""),""))</f>
        <v/>
      </c>
      <c r="AP17" s="296" t="str" cm="1">
        <f t="array" aca="1" ref="AP17" ca="1">IF(OR($J17="Pluviomètre",LEFT($J17,5)="Sonde"),"",IF($H17&lt;&gt;"",IF(INDIRECT($H17&amp;"!"&amp;$AI17&amp;($AJ17+AP$15+1))&lt;&gt;"",INDIRECT($H17&amp;"!"&amp;$AI17&amp;($AJ17+AP$15+1)),""),""))</f>
        <v/>
      </c>
      <c r="AQ17" s="296" t="str" cm="1">
        <f t="array" aca="1" ref="AQ17" ca="1">IF(OR($J17="Pluviomètre",LEFT($J17,5)="Sonde"),"",IF($H17&lt;&gt;"",IF(INDIRECT($H17&amp;"!"&amp;$AI17&amp;($AJ17+AQ$15+1))&lt;&gt;"",INDIRECT($H17&amp;"!"&amp;$AI17&amp;($AJ17+AQ$15+1)),""),""))</f>
        <v/>
      </c>
      <c r="AR17" s="296" t="str" cm="1">
        <f t="array" aca="1" ref="AR17" ca="1">IF(OR($J17="Pluviomètre",LEFT($J17,5)="Sonde"),"",IF($H17&lt;&gt;"",IF(INDIRECT($H17&amp;"!"&amp;$AI17&amp;($AJ17+AR$15+1))&lt;&gt;"",INDIRECT($H17&amp;"!"&amp;$AI17&amp;($AJ17+AR$15+1)),""),""))</f>
        <v/>
      </c>
      <c r="AS17" s="296" t="str" cm="1">
        <f t="array" aca="1" ref="AS17" ca="1">IF(OR($J17="Pluviomètre",LEFT($J17,5)="Sonde"),"",IF($H17&lt;&gt;"",IF(INDIRECT($H17&amp;"!"&amp;$AI17&amp;($AJ17+AS$15+1))&lt;&gt;"",INDIRECT($H17&amp;"!"&amp;$AI17&amp;($AJ17+AS$15+1)),""),""))</f>
        <v/>
      </c>
      <c r="AT17" s="296" t="str" cm="1">
        <f t="array" aca="1" ref="AT17" ca="1">IF(OR($J17="Pluviomètre",LEFT($J17,5)="Sonde"),"",IF($H17&lt;&gt;"",IF(INDIRECT($H17&amp;"!"&amp;$AI17&amp;($AJ17+AT$15+1))&lt;&gt;"",INDIRECT($H17&amp;"!"&amp;$AI17&amp;($AJ17+AT$15+1)),""),""))</f>
        <v/>
      </c>
      <c r="AU17" s="412" cm="1">
        <f t="array" aca="1" ref="AU17" ca="1">SUMPRODUCT((Y17:AH17&lt;&gt;"")*(Y17:AH17&lt;&gt;"Non contrôlé")*(Y17:AH17&lt;&gt;"Non applicable"))</f>
        <v>0</v>
      </c>
      <c r="AV17" s="414">
        <f t="shared" ref="AV17:AV72" ca="1" si="11">IF(AND(P17&lt;&gt;"",AU17&gt;0),P17,-1)</f>
        <v>-1</v>
      </c>
    </row>
    <row r="18" spans="1:48" x14ac:dyDescent="0.4">
      <c r="A18" s="80">
        <v>3</v>
      </c>
      <c r="B18" s="134" t="b">
        <f t="shared" si="6"/>
        <v>0</v>
      </c>
      <c r="C18" s="139" t="str" cm="1">
        <f t="array" aca="1" ref="C18" ca="1">IF(
    AND(
        $B18,
        OR(
            INDIRECT("Descriptif!$M"&amp;($B$1+$A18-1))="Préleveur",
            LEFT(INDIRECT("Descriptif!$M"&amp;($B$1+$A18-1)),5)="Sonde",
            LEFT(INDIRECT("Descriptif!$M"&amp;($B$1+$A18-1)),10)="Débitmètre",
            LEFT(INDIRECT("Descriptif!$F"&amp;($B$1+$A18-1)),6)="PLUVIO"        )
    ),
    INDIRECT("Descriptif!$"&amp;C$15&amp;($B$1 +$A18 -1)),
    ""
)</f>
        <v/>
      </c>
      <c r="D18" s="277" t="str" cm="1">
        <f t="array" aca="1" ref="D18" ca="1">IF(
    AND(
        $B18,
        OR(
            INDIRECT("Descriptif!$M"&amp;($B$1+$A18-1))="Préleveur",
            LEFT(INDIRECT("Descriptif!$M"&amp;($B$1+$A18-1)),5)="Sonde",
            LEFT(INDIRECT("Descriptif!$M"&amp;($B$1+$A18-1)),10)="Débitmètre",
            LEFT(INDIRECT("Descriptif!$F"&amp;($B$1+$A18-1)),6)="PLUVIO"       )
    ),
    IF(
        LEFT(INDIRECT("Descriptif!$F"&amp;($B$1+$A18-1)),11)="PLUVIO_STEU",
        "A3",
        IF(
            LEFT(INDIRECT("Descriptif!$F"&amp;($B$1+$A18-1)),10)="PLUVIO_SCL",
            "A1",
            INDIRECT("Descriptif!$"&amp;D$15&amp;($B$1 +$A18 -1))
        )
    ),
    ""
)</f>
        <v/>
      </c>
      <c r="E18" s="277" t="str" cm="1">
        <f t="array" aca="1" ref="E18" ca="1">IF(
    AND(
        $B18,
        OR(
            INDIRECT("Descriptif!$M"&amp;($B$1+$A18-1))="Préleveur",
            LEFT(INDIRECT("Descriptif!$M"&amp;($B$1+$A18-1)),5)="Sonde",
            LEFT(INDIRECT("Descriptif!$M"&amp;($B$1+$A18-1)),10)="Débitmètre",
            LEFT(INDIRECT("Descriptif!$F"&amp;($B$1+$A18-1)),6)="PLUVIO"
        )
    ),
    IF(LEFT(INDIRECT("Descriptif!$F"&amp;($B$1+$A18-1)),6)="PLUVIO","Pluviomètre",INDIRECT("Descriptif!$"&amp;E$15&amp;($B$1 +$A18 -1))),
    ""
)</f>
        <v/>
      </c>
      <c r="F18" s="19" t="str" cm="1">
        <f t="array" aca="1" ref="F18" ca="1">IF(
    AND(
        $B18,
        OR(
            INDIRECT("Descriptif!$M"&amp;($B$1+$A18-1))="Préleveur",
            LEFT(INDIRECT("Descriptif!$M"&amp;($B$1+$A18-1)),5)="Sonde",
            LEFT(INDIRECT("Descriptif!$M"&amp;($B$1+$A18-1)),10)="Débitmètre",
            LEFT(INDIRECT("Descriptif!$F"&amp;($B$1+$A18-1)),6)="PLUVIO"
        )
    ),
    IF(LEFT(INDIRECT("Descriptif!$F"&amp;($B$1+$A18-1)),6)="PLUVIO","Pluviomètre",INDIRECT("Descriptif!$"&amp;F$15&amp;($B$1 +$A18 -1))),
    ""
)</f>
        <v/>
      </c>
      <c r="G18" s="19" t="str" cm="1">
        <f t="array" aca="1" ref="G18" ca="1">IF(
    AND(
        $B18,
        OR(
            INDIRECT("Descriptif!$M"&amp;($B$1+$A18-1))="Préleveur",
            LEFT(INDIRECT("Descriptif!$M"&amp;($B$1+$A18-1)),5)="Sonde",
            LEFT(INDIRECT("Descriptif!$M"&amp;($B$1+$A18-1)),10)="Débitmètre",
            LEFT(INDIRECT("Descriptif!$F"&amp;($B$1+$A18-1)),6)="PLUVIO"
        )
    ),
    IF(LEFT(INDIRECT("Descriptif!$F"&amp;($B$1+$A18-1)),6)="PLUVIO","",INDIRECT("Descriptif!$"&amp;G$15&amp;($B$1 +$A18 -1))),
    ""
)</f>
        <v/>
      </c>
      <c r="H18" s="141" t="str" cm="1">
        <f t="array" aca="1" ref="H18" ca="1">IFERROR(INDEX($C$16:$C$116,SMALL(IF($C$16:$C$116&lt;&gt;"",ROW($C$16:$C$116)-ROW($C$16)+1),ROW(A3))),"")</f>
        <v/>
      </c>
      <c r="I18" s="140" t="str" cm="1">
        <f t="array" aca="1" ref="I18" ca="1">IFERROR(INDEX($D$16:$D$116,SMALL(IF($D$16:$D$116&lt;&gt;"",ROW($D$16:$D$116)-ROW($D$16)+1),ROW(A3))),"")</f>
        <v/>
      </c>
      <c r="J18" s="140" t="str" cm="1">
        <f t="array" aca="1" ref="J18" ca="1">IFERROR(INDEX($E$16:$E$116,SMALL(IF($E$16:$E$116&lt;&gt;"",ROW($E$16:$E$116)-ROW($E$16)+1),ROW(A3))),"")</f>
        <v/>
      </c>
      <c r="K18" s="140" t="str" cm="1">
        <f t="array" aca="1" ref="K18" ca="1">IFERROR(INDEX($F$16:$F$116,SMALL(IF($F$16:$F$116&lt;&gt;"",ROW($F$16:$F$116)-ROW($F$16)+1),ROW(A3))),"")</f>
        <v/>
      </c>
      <c r="L18" s="140" t="str">
        <f t="shared" ca="1" si="0"/>
        <v/>
      </c>
      <c r="M18" s="140" t="str" cm="1">
        <f t="array" aca="1" ref="M18" ca="1">IFERROR(INDEX($G$16:$G$116,SMALL(IF($G$16:$G$116&lt;&gt;"",ROW($G$16:$G$116)-ROW($G$16)+1),ROW(A3))),"")</f>
        <v/>
      </c>
      <c r="N18" s="145" t="str">
        <f t="shared" ca="1" si="1"/>
        <v/>
      </c>
      <c r="O18" s="146" t="str">
        <f t="shared" ca="1" si="2"/>
        <v/>
      </c>
      <c r="P18" s="146" t="str" cm="1">
        <f t="array" aca="1" ref="P18" ca="1">IF($J18&lt;&gt;"",IF(INDIRECT($H18&amp;"!"&amp;$O18)&lt;&gt;"",INDIRECT($H18&amp;"!"&amp;$O18),""),"")</f>
        <v/>
      </c>
      <c r="Q18" s="146" t="str">
        <f t="shared" ca="1" si="3"/>
        <v/>
      </c>
      <c r="R18" s="146" t="str" cm="1">
        <f t="array" aca="1" ref="R18" ca="1">IF($J18&lt;&gt;"",IF(INDIRECT($H18&amp;"!"&amp;$Q18)&lt;&gt;"",INDIRECT($H18&amp;"!"&amp;$Q18),""),"")</f>
        <v/>
      </c>
      <c r="S18" s="146" t="str">
        <f t="shared" ca="1" si="4"/>
        <v/>
      </c>
      <c r="T18" s="146" t="str" cm="1">
        <f t="array" aca="1" ref="T18" ca="1">IF($J18&lt;&gt;"",IF(INDIRECT($H18&amp;"!"&amp;$S18)&lt;&gt;"",INDIRECT($H18&amp;"!"&amp;$S18),""),"")</f>
        <v/>
      </c>
      <c r="U18" s="146" t="str">
        <f t="shared" ca="1" si="5"/>
        <v/>
      </c>
      <c r="V18" s="147" t="str" cm="1">
        <f t="array" aca="1" ref="V18" ca="1">IF($J18&lt;&gt;"",IF(INDIRECT($H18&amp;"!"&amp;$U18)&lt;&gt;"",INDIRECT($H18&amp;"!"&amp;$U18),""),"")</f>
        <v/>
      </c>
      <c r="W18" s="294" t="str">
        <f t="shared" ca="1" si="7"/>
        <v/>
      </c>
      <c r="X18" s="295" t="str">
        <f t="shared" ca="1" si="8"/>
        <v/>
      </c>
      <c r="Y18" s="296" t="str" cm="1">
        <f t="array" aca="1" ref="Y18" ca="1">IF($H18&lt;&gt;"",IF(INDIRECT($H18&amp;"!"&amp;$W18&amp;($X18+Y$15+1))&lt;&gt;"",INDIRECT($H18&amp;"!"&amp;$W18&amp;($X18+Y$15+1)),""),"")</f>
        <v/>
      </c>
      <c r="Z18" s="296" t="str" cm="1">
        <f t="array" aca="1" ref="Z18" ca="1">IF($H18&lt;&gt;"",IF(INDIRECT($H18&amp;"!"&amp;$W18&amp;($X18+Z$15+1))&lt;&gt;"",INDIRECT($H18&amp;"!"&amp;$W18&amp;($X18+Z$15+1)),""),"")</f>
        <v/>
      </c>
      <c r="AA18" s="296" t="str" cm="1">
        <f t="array" aca="1" ref="AA18" ca="1">IF($H18&lt;&gt;"",IF(INDIRECT($H18&amp;"!"&amp;$W18&amp;($X18+AA$15+1))&lt;&gt;"",INDIRECT($H18&amp;"!"&amp;$W18&amp;($X18+AA$15+1)),""),"")</f>
        <v/>
      </c>
      <c r="AB18" s="296" t="str" cm="1">
        <f t="array" aca="1" ref="AB18" ca="1">IF($H18&lt;&gt;"",IF(INDIRECT($H18&amp;"!"&amp;$W18&amp;($X18+AB$15+1))&lt;&gt;"",INDIRECT($H18&amp;"!"&amp;$W18&amp;($X18+AB$15+1)),""),"")</f>
        <v/>
      </c>
      <c r="AC18" s="296" t="str" cm="1">
        <f t="array" aca="1" ref="AC18" ca="1">IF(LEFT($J18,5)="Sonde","",IF($H18&lt;&gt;"",IF(INDIRECT($H18&amp;"!"&amp;$W18&amp;($X18+AC$15+1))&lt;&gt;"",INDIRECT($H18&amp;"!"&amp;$W18&amp;($X18+AC$15+1)),""),""))</f>
        <v/>
      </c>
      <c r="AD18" s="296" t="str" cm="1">
        <f t="array" aca="1" ref="AD18" ca="1">IF(OR($J18="Pluviomètre",LEFT($J18,5)="Sonde"),"",IF($H18&lt;&gt;"",IF(INDIRECT($H18&amp;"!"&amp;$W18&amp;($X18+AD$15+1))&lt;&gt;"",INDIRECT($H18&amp;"!"&amp;$W18&amp;($X18+AD$15+1)),""),""))</f>
        <v/>
      </c>
      <c r="AE18" s="296" t="str" cm="1">
        <f t="array" aca="1" ref="AE18" ca="1">IF(OR($J18="Pluviomètre",LEFT($J18,5)="Sonde"),"",IF($H18&lt;&gt;"",IF(INDIRECT($H18&amp;"!"&amp;$W18&amp;($X18+AE$15+1))&lt;&gt;"",INDIRECT($H18&amp;"!"&amp;$W18&amp;($X18+AE$15+1)),""),""))</f>
        <v/>
      </c>
      <c r="AF18" s="296" t="str" cm="1">
        <f t="array" aca="1" ref="AF18" ca="1">IF(OR($J18="Pluviomètre",LEFT($J18,5)="Sonde"),"",IF($H18&lt;&gt;"",IF(INDIRECT($H18&amp;"!"&amp;$W18&amp;($X18+AF$15+1))&lt;&gt;"",INDIRECT($H18&amp;"!"&amp;$W18&amp;($X18+AF$15+1)),""),""))</f>
        <v/>
      </c>
      <c r="AG18" s="296" t="str" cm="1">
        <f t="array" aca="1" ref="AG18" ca="1">IF(OR($J18="Pluviomètre",LEFT($J18,5)="Sonde"),"",IF($H18&lt;&gt;"",IF(INDIRECT($H18&amp;"!"&amp;$W18&amp;($X18+AG$15+1))&lt;&gt;"",INDIRECT($H18&amp;"!"&amp;$W18&amp;($X18+AG$15+1)),""),""))</f>
        <v/>
      </c>
      <c r="AH18" s="296" t="str" cm="1">
        <f t="array" aca="1" ref="AH18" ca="1">IF(OR($J18="Pluviomètre",LEFT($J18,5)="Sonde"),"",IF($H18&lt;&gt;"",IF(INDIRECT($H18&amp;"!"&amp;$W18&amp;($X18+AH$15+1))&lt;&gt;"",INDIRECT($H18&amp;"!"&amp;$W18&amp;($X18+AH$15+1)),""),""))</f>
        <v/>
      </c>
      <c r="AI18" s="294" t="str">
        <f t="shared" ca="1" si="9"/>
        <v/>
      </c>
      <c r="AJ18" s="295" t="str">
        <f t="shared" ca="1" si="10"/>
        <v/>
      </c>
      <c r="AK18" s="296" t="str" cm="1">
        <f t="array" aca="1" ref="AK18" ca="1">IF($H18&lt;&gt;"",IF(INDIRECT($H18&amp;"!"&amp;$AI18&amp;($AJ18+AK$15+1))&lt;&gt;"",INDIRECT($H18&amp;"!"&amp;$AI18&amp;($AJ18+AK$15+1)),""),"")</f>
        <v/>
      </c>
      <c r="AL18" s="296" t="str" cm="1">
        <f t="array" aca="1" ref="AL18" ca="1">IF($H18&lt;&gt;"",IF(INDIRECT($H18&amp;"!"&amp;$AI18&amp;($AJ18+AL$15+1))&lt;&gt;"",INDIRECT($H18&amp;"!"&amp;$AI18&amp;($AJ18+AL$15+1)),""),"")</f>
        <v/>
      </c>
      <c r="AM18" s="296" t="str" cm="1">
        <f t="array" aca="1" ref="AM18" ca="1">IF($H18&lt;&gt;"",IF(INDIRECT($H18&amp;"!"&amp;$AI18&amp;($AJ18+AM$15+1))&lt;&gt;"",INDIRECT($H18&amp;"!"&amp;$AI18&amp;($AJ18+AM$15+1)),""),"")</f>
        <v/>
      </c>
      <c r="AN18" s="296" t="str" cm="1">
        <f t="array" aca="1" ref="AN18" ca="1">IF($H18&lt;&gt;"",IF(INDIRECT($H18&amp;"!"&amp;$AI18&amp;($AJ18+AN$15+1))&lt;&gt;"",INDIRECT($H18&amp;"!"&amp;$AI18&amp;($AJ18+AN$15+1)),""),"")</f>
        <v/>
      </c>
      <c r="AO18" s="296" t="str" cm="1">
        <f t="array" aca="1" ref="AO18" ca="1">IF(LEFT($J18,5)="Sonde","",IF($H18&lt;&gt;"",IF(INDIRECT($H18&amp;"!"&amp;$AI18&amp;($AJ18+AO$15+1))&lt;&gt;"",INDIRECT($H18&amp;"!"&amp;$AI18&amp;($AJ18+AO$15+1)),""),""))</f>
        <v/>
      </c>
      <c r="AP18" s="296" t="str" cm="1">
        <f t="array" aca="1" ref="AP18" ca="1">IF(OR($J18="Pluviomètre",LEFT($J18,5)="Sonde"),"",IF($H18&lt;&gt;"",IF(INDIRECT($H18&amp;"!"&amp;$AI18&amp;($AJ18+AP$15+1))&lt;&gt;"",INDIRECT($H18&amp;"!"&amp;$AI18&amp;($AJ18+AP$15+1)),""),""))</f>
        <v/>
      </c>
      <c r="AQ18" s="296" t="str" cm="1">
        <f t="array" aca="1" ref="AQ18" ca="1">IF(OR($J18="Pluviomètre",LEFT($J18,5)="Sonde"),"",IF($H18&lt;&gt;"",IF(INDIRECT($H18&amp;"!"&amp;$AI18&amp;($AJ18+AQ$15+1))&lt;&gt;"",INDIRECT($H18&amp;"!"&amp;$AI18&amp;($AJ18+AQ$15+1)),""),""))</f>
        <v/>
      </c>
      <c r="AR18" s="296" t="str" cm="1">
        <f t="array" aca="1" ref="AR18" ca="1">IF(OR($J18="Pluviomètre",LEFT($J18,5)="Sonde"),"",IF($H18&lt;&gt;"",IF(INDIRECT($H18&amp;"!"&amp;$AI18&amp;($AJ18+AR$15+1))&lt;&gt;"",INDIRECT($H18&amp;"!"&amp;$AI18&amp;($AJ18+AR$15+1)),""),""))</f>
        <v/>
      </c>
      <c r="AS18" s="296" t="str" cm="1">
        <f t="array" aca="1" ref="AS18" ca="1">IF(OR($J18="Pluviomètre",LEFT($J18,5)="Sonde"),"",IF($H18&lt;&gt;"",IF(INDIRECT($H18&amp;"!"&amp;$AI18&amp;($AJ18+AS$15+1))&lt;&gt;"",INDIRECT($H18&amp;"!"&amp;$AI18&amp;($AJ18+AS$15+1)),""),""))</f>
        <v/>
      </c>
      <c r="AT18" s="296" t="str" cm="1">
        <f t="array" aca="1" ref="AT18" ca="1">IF(OR($J18="Pluviomètre",LEFT($J18,5)="Sonde"),"",IF($H18&lt;&gt;"",IF(INDIRECT($H18&amp;"!"&amp;$AI18&amp;($AJ18+AT$15+1))&lt;&gt;"",INDIRECT($H18&amp;"!"&amp;$AI18&amp;($AJ18+AT$15+1)),""),""))</f>
        <v/>
      </c>
      <c r="AU18" s="412" cm="1">
        <f t="array" aca="1" ref="AU18" ca="1">SUMPRODUCT((Y18:AH18&lt;&gt;"")*(Y18:AH18&lt;&gt;"Non contrôlé")*(Y18:AH18&lt;&gt;"Non applicable"))</f>
        <v>0</v>
      </c>
      <c r="AV18" s="414">
        <f t="shared" ca="1" si="11"/>
        <v>-1</v>
      </c>
    </row>
    <row r="19" spans="1:48" x14ac:dyDescent="0.4">
      <c r="A19" s="80">
        <v>4</v>
      </c>
      <c r="B19" s="134" t="b">
        <f t="shared" si="6"/>
        <v>0</v>
      </c>
      <c r="C19" s="139" t="str" cm="1">
        <f t="array" aca="1" ref="C19" ca="1">IF(
    AND(
        $B19,
        OR(
            INDIRECT("Descriptif!$M"&amp;($B$1+$A19-1))="Préleveur",
            LEFT(INDIRECT("Descriptif!$M"&amp;($B$1+$A19-1)),5)="Sonde",
            LEFT(INDIRECT("Descriptif!$M"&amp;($B$1+$A19-1)),10)="Débitmètre",
            LEFT(INDIRECT("Descriptif!$F"&amp;($B$1+$A19-1)),6)="PLUVIO"        )
    ),
    INDIRECT("Descriptif!$"&amp;C$15&amp;($B$1 +$A19 -1)),
    ""
)</f>
        <v/>
      </c>
      <c r="D19" s="277" t="str" cm="1">
        <f t="array" aca="1" ref="D19" ca="1">IF(
    AND(
        $B19,
        OR(
            INDIRECT("Descriptif!$M"&amp;($B$1+$A19-1))="Préleveur",
            LEFT(INDIRECT("Descriptif!$M"&amp;($B$1+$A19-1)),5)="Sonde",
            LEFT(INDIRECT("Descriptif!$M"&amp;($B$1+$A19-1)),10)="Débitmètre",
            LEFT(INDIRECT("Descriptif!$F"&amp;($B$1+$A19-1)),6)="PLUVIO"       )
    ),
    IF(
        LEFT(INDIRECT("Descriptif!$F"&amp;($B$1+$A19-1)),11)="PLUVIO_STEU",
        "A3",
        IF(
            LEFT(INDIRECT("Descriptif!$F"&amp;($B$1+$A19-1)),10)="PLUVIO_SCL",
            "A1",
            INDIRECT("Descriptif!$"&amp;D$15&amp;($B$1 +$A19 -1))
        )
    ),
    ""
)</f>
        <v/>
      </c>
      <c r="E19" s="277" t="str" cm="1">
        <f t="array" aca="1" ref="E19" ca="1">IF(
    AND(
        $B19,
        OR(
            INDIRECT("Descriptif!$M"&amp;($B$1+$A19-1))="Préleveur",
            LEFT(INDIRECT("Descriptif!$M"&amp;($B$1+$A19-1)),5)="Sonde",
            LEFT(INDIRECT("Descriptif!$M"&amp;($B$1+$A19-1)),10)="Débitmètre",
            LEFT(INDIRECT("Descriptif!$F"&amp;($B$1+$A19-1)),6)="PLUVIO"
        )
    ),
    IF(LEFT(INDIRECT("Descriptif!$F"&amp;($B$1+$A19-1)),6)="PLUVIO","Pluviomètre",INDIRECT("Descriptif!$"&amp;E$15&amp;($B$1 +$A19 -1))),
    ""
)</f>
        <v/>
      </c>
      <c r="F19" s="19" t="str" cm="1">
        <f t="array" aca="1" ref="F19" ca="1">IF(
    AND(
        $B19,
        OR(
            INDIRECT("Descriptif!$M"&amp;($B$1+$A19-1))="Préleveur",
            LEFT(INDIRECT("Descriptif!$M"&amp;($B$1+$A19-1)),5)="Sonde",
            LEFT(INDIRECT("Descriptif!$M"&amp;($B$1+$A19-1)),10)="Débitmètre",
            LEFT(INDIRECT("Descriptif!$F"&amp;($B$1+$A19-1)),6)="PLUVIO"
        )
    ),
    IF(LEFT(INDIRECT("Descriptif!$F"&amp;($B$1+$A19-1)),6)="PLUVIO","Pluviomètre",INDIRECT("Descriptif!$"&amp;F$15&amp;($B$1 +$A19 -1))),
    ""
)</f>
        <v/>
      </c>
      <c r="G19" s="19" t="str" cm="1">
        <f t="array" aca="1" ref="G19" ca="1">IF(
    AND(
        $B19,
        OR(
            INDIRECT("Descriptif!$M"&amp;($B$1+$A19-1))="Préleveur",
            LEFT(INDIRECT("Descriptif!$M"&amp;($B$1+$A19-1)),5)="Sonde",
            LEFT(INDIRECT("Descriptif!$M"&amp;($B$1+$A19-1)),10)="Débitmètre",
            LEFT(INDIRECT("Descriptif!$F"&amp;($B$1+$A19-1)),6)="PLUVIO"
        )
    ),
    IF(LEFT(INDIRECT("Descriptif!$F"&amp;($B$1+$A19-1)),6)="PLUVIO","",INDIRECT("Descriptif!$"&amp;G$15&amp;($B$1 +$A19 -1))),
    ""
)</f>
        <v/>
      </c>
      <c r="H19" s="141" t="str" cm="1">
        <f t="array" aca="1" ref="H19" ca="1">IFERROR(INDEX($C$16:$C$116,SMALL(IF($C$16:$C$116&lt;&gt;"",ROW($C$16:$C$116)-ROW($C$16)+1),ROW(A4))),"")</f>
        <v/>
      </c>
      <c r="I19" s="140" t="str" cm="1">
        <f t="array" aca="1" ref="I19" ca="1">IFERROR(INDEX($D$16:$D$116,SMALL(IF($D$16:$D$116&lt;&gt;"",ROW($D$16:$D$116)-ROW($D$16)+1),ROW(A4))),"")</f>
        <v/>
      </c>
      <c r="J19" s="140" t="str" cm="1">
        <f t="array" aca="1" ref="J19" ca="1">IFERROR(INDEX($E$16:$E$116,SMALL(IF($E$16:$E$116&lt;&gt;"",ROW($E$16:$E$116)-ROW($E$16)+1),ROW(A4))),"")</f>
        <v/>
      </c>
      <c r="K19" s="140" t="str" cm="1">
        <f t="array" aca="1" ref="K19" ca="1">IFERROR(INDEX($F$16:$F$116,SMALL(IF($F$16:$F$116&lt;&gt;"",ROW($F$16:$F$116)-ROW($F$16)+1),ROW(A4))),"")</f>
        <v/>
      </c>
      <c r="L19" s="140" t="str">
        <f t="shared" ca="1" si="0"/>
        <v/>
      </c>
      <c r="M19" s="140" t="str" cm="1">
        <f t="array" aca="1" ref="M19" ca="1">IFERROR(INDEX($G$16:$G$116,SMALL(IF($G$16:$G$116&lt;&gt;"",ROW($G$16:$G$116)-ROW($G$16)+1),ROW(A4))),"")</f>
        <v/>
      </c>
      <c r="N19" s="145" t="str">
        <f t="shared" ca="1" si="1"/>
        <v/>
      </c>
      <c r="O19" s="146" t="str">
        <f t="shared" ca="1" si="2"/>
        <v/>
      </c>
      <c r="P19" s="146" t="str" cm="1">
        <f t="array" aca="1" ref="P19" ca="1">IF($J19&lt;&gt;"",IF(INDIRECT($H19&amp;"!"&amp;$O19)&lt;&gt;"",INDIRECT($H19&amp;"!"&amp;$O19),""),"")</f>
        <v/>
      </c>
      <c r="Q19" s="146" t="str">
        <f t="shared" ca="1" si="3"/>
        <v/>
      </c>
      <c r="R19" s="146" t="str" cm="1">
        <f t="array" aca="1" ref="R19" ca="1">IF($J19&lt;&gt;"",IF(INDIRECT($H19&amp;"!"&amp;$Q19)&lt;&gt;"",INDIRECT($H19&amp;"!"&amp;$Q19),""),"")</f>
        <v/>
      </c>
      <c r="S19" s="146" t="str">
        <f t="shared" ca="1" si="4"/>
        <v/>
      </c>
      <c r="T19" s="146" t="str" cm="1">
        <f t="array" aca="1" ref="T19" ca="1">IF($J19&lt;&gt;"",IF(INDIRECT($H19&amp;"!"&amp;$S19)&lt;&gt;"",INDIRECT($H19&amp;"!"&amp;$S19),""),"")</f>
        <v/>
      </c>
      <c r="U19" s="146" t="str">
        <f t="shared" ca="1" si="5"/>
        <v/>
      </c>
      <c r="V19" s="147" t="str" cm="1">
        <f t="array" aca="1" ref="V19" ca="1">IF($J19&lt;&gt;"",IF(INDIRECT($H19&amp;"!"&amp;$U19)&lt;&gt;"",INDIRECT($H19&amp;"!"&amp;$U19),""),"")</f>
        <v/>
      </c>
      <c r="W19" s="294" t="str">
        <f t="shared" ca="1" si="7"/>
        <v/>
      </c>
      <c r="X19" s="295" t="str">
        <f t="shared" ca="1" si="8"/>
        <v/>
      </c>
      <c r="Y19" s="296" t="str" cm="1">
        <f t="array" aca="1" ref="Y19" ca="1">IF($H19&lt;&gt;"",IF(INDIRECT($H19&amp;"!"&amp;$W19&amp;($X19+Y$15+1))&lt;&gt;"",INDIRECT($H19&amp;"!"&amp;$W19&amp;($X19+Y$15+1)),""),"")</f>
        <v/>
      </c>
      <c r="Z19" s="296" t="str" cm="1">
        <f t="array" aca="1" ref="Z19" ca="1">IF($H19&lt;&gt;"",IF(INDIRECT($H19&amp;"!"&amp;$W19&amp;($X19+Z$15+1))&lt;&gt;"",INDIRECT($H19&amp;"!"&amp;$W19&amp;($X19+Z$15+1)),""),"")</f>
        <v/>
      </c>
      <c r="AA19" s="296" t="str" cm="1">
        <f t="array" aca="1" ref="AA19" ca="1">IF($H19&lt;&gt;"",IF(INDIRECT($H19&amp;"!"&amp;$W19&amp;($X19+AA$15+1))&lt;&gt;"",INDIRECT($H19&amp;"!"&amp;$W19&amp;($X19+AA$15+1)),""),"")</f>
        <v/>
      </c>
      <c r="AB19" s="296" t="str" cm="1">
        <f t="array" aca="1" ref="AB19" ca="1">IF($H19&lt;&gt;"",IF(INDIRECT($H19&amp;"!"&amp;$W19&amp;($X19+AB$15+1))&lt;&gt;"",INDIRECT($H19&amp;"!"&amp;$W19&amp;($X19+AB$15+1)),""),"")</f>
        <v/>
      </c>
      <c r="AC19" s="296" t="str" cm="1">
        <f t="array" aca="1" ref="AC19" ca="1">IF(LEFT($J19,5)="Sonde","",IF($H19&lt;&gt;"",IF(INDIRECT($H19&amp;"!"&amp;$W19&amp;($X19+AC$15+1))&lt;&gt;"",INDIRECT($H19&amp;"!"&amp;$W19&amp;($X19+AC$15+1)),""),""))</f>
        <v/>
      </c>
      <c r="AD19" s="296" t="str" cm="1">
        <f t="array" aca="1" ref="AD19" ca="1">IF(OR($J19="Pluviomètre",LEFT($J19,5)="Sonde"),"",IF($H19&lt;&gt;"",IF(INDIRECT($H19&amp;"!"&amp;$W19&amp;($X19+AD$15+1))&lt;&gt;"",INDIRECT($H19&amp;"!"&amp;$W19&amp;($X19+AD$15+1)),""),""))</f>
        <v/>
      </c>
      <c r="AE19" s="296" t="str" cm="1">
        <f t="array" aca="1" ref="AE19" ca="1">IF(OR($J19="Pluviomètre",LEFT($J19,5)="Sonde"),"",IF($H19&lt;&gt;"",IF(INDIRECT($H19&amp;"!"&amp;$W19&amp;($X19+AE$15+1))&lt;&gt;"",INDIRECT($H19&amp;"!"&amp;$W19&amp;($X19+AE$15+1)),""),""))</f>
        <v/>
      </c>
      <c r="AF19" s="296" t="str" cm="1">
        <f t="array" aca="1" ref="AF19" ca="1">IF(OR($J19="Pluviomètre",LEFT($J19,5)="Sonde"),"",IF($H19&lt;&gt;"",IF(INDIRECT($H19&amp;"!"&amp;$W19&amp;($X19+AF$15+1))&lt;&gt;"",INDIRECT($H19&amp;"!"&amp;$W19&amp;($X19+AF$15+1)),""),""))</f>
        <v/>
      </c>
      <c r="AG19" s="296" t="str" cm="1">
        <f t="array" aca="1" ref="AG19" ca="1">IF(OR($J19="Pluviomètre",LEFT($J19,5)="Sonde"),"",IF($H19&lt;&gt;"",IF(INDIRECT($H19&amp;"!"&amp;$W19&amp;($X19+AG$15+1))&lt;&gt;"",INDIRECT($H19&amp;"!"&amp;$W19&amp;($X19+AG$15+1)),""),""))</f>
        <v/>
      </c>
      <c r="AH19" s="296" t="str" cm="1">
        <f t="array" aca="1" ref="AH19" ca="1">IF(OR($J19="Pluviomètre",LEFT($J19,5)="Sonde"),"",IF($H19&lt;&gt;"",IF(INDIRECT($H19&amp;"!"&amp;$W19&amp;($X19+AH$15+1))&lt;&gt;"",INDIRECT($H19&amp;"!"&amp;$W19&amp;($X19+AH$15+1)),""),""))</f>
        <v/>
      </c>
      <c r="AI19" s="294" t="str">
        <f t="shared" ca="1" si="9"/>
        <v/>
      </c>
      <c r="AJ19" s="295" t="str">
        <f t="shared" ca="1" si="10"/>
        <v/>
      </c>
      <c r="AK19" s="296" t="str" cm="1">
        <f t="array" aca="1" ref="AK19" ca="1">IF($H19&lt;&gt;"",IF(INDIRECT($H19&amp;"!"&amp;$AI19&amp;($AJ19+AK$15+1))&lt;&gt;"",INDIRECT($H19&amp;"!"&amp;$AI19&amp;($AJ19+AK$15+1)),""),"")</f>
        <v/>
      </c>
      <c r="AL19" s="296" t="str" cm="1">
        <f t="array" aca="1" ref="AL19" ca="1">IF($H19&lt;&gt;"",IF(INDIRECT($H19&amp;"!"&amp;$AI19&amp;($AJ19+AL$15+1))&lt;&gt;"",INDIRECT($H19&amp;"!"&amp;$AI19&amp;($AJ19+AL$15+1)),""),"")</f>
        <v/>
      </c>
      <c r="AM19" s="296" t="str" cm="1">
        <f t="array" aca="1" ref="AM19" ca="1">IF($H19&lt;&gt;"",IF(INDIRECT($H19&amp;"!"&amp;$AI19&amp;($AJ19+AM$15+1))&lt;&gt;"",INDIRECT($H19&amp;"!"&amp;$AI19&amp;($AJ19+AM$15+1)),""),"")</f>
        <v/>
      </c>
      <c r="AN19" s="296" t="str" cm="1">
        <f t="array" aca="1" ref="AN19" ca="1">IF($H19&lt;&gt;"",IF(INDIRECT($H19&amp;"!"&amp;$AI19&amp;($AJ19+AN$15+1))&lt;&gt;"",INDIRECT($H19&amp;"!"&amp;$AI19&amp;($AJ19+AN$15+1)),""),"")</f>
        <v/>
      </c>
      <c r="AO19" s="296" t="str" cm="1">
        <f t="array" aca="1" ref="AO19" ca="1">IF(LEFT($J19,5)="Sonde","",IF($H19&lt;&gt;"",IF(INDIRECT($H19&amp;"!"&amp;$AI19&amp;($AJ19+AO$15+1))&lt;&gt;"",INDIRECT($H19&amp;"!"&amp;$AI19&amp;($AJ19+AO$15+1)),""),""))</f>
        <v/>
      </c>
      <c r="AP19" s="296" t="str" cm="1">
        <f t="array" aca="1" ref="AP19" ca="1">IF(OR($J19="Pluviomètre",LEFT($J19,5)="Sonde"),"",IF($H19&lt;&gt;"",IF(INDIRECT($H19&amp;"!"&amp;$AI19&amp;($AJ19+AP$15+1))&lt;&gt;"",INDIRECT($H19&amp;"!"&amp;$AI19&amp;($AJ19+AP$15+1)),""),""))</f>
        <v/>
      </c>
      <c r="AQ19" s="296" t="str" cm="1">
        <f t="array" aca="1" ref="AQ19" ca="1">IF(OR($J19="Pluviomètre",LEFT($J19,5)="Sonde"),"",IF($H19&lt;&gt;"",IF(INDIRECT($H19&amp;"!"&amp;$AI19&amp;($AJ19+AQ$15+1))&lt;&gt;"",INDIRECT($H19&amp;"!"&amp;$AI19&amp;($AJ19+AQ$15+1)),""),""))</f>
        <v/>
      </c>
      <c r="AR19" s="296" t="str" cm="1">
        <f t="array" aca="1" ref="AR19" ca="1">IF(OR($J19="Pluviomètre",LEFT($J19,5)="Sonde"),"",IF($H19&lt;&gt;"",IF(INDIRECT($H19&amp;"!"&amp;$AI19&amp;($AJ19+AR$15+1))&lt;&gt;"",INDIRECT($H19&amp;"!"&amp;$AI19&amp;($AJ19+AR$15+1)),""),""))</f>
        <v/>
      </c>
      <c r="AS19" s="296" t="str" cm="1">
        <f t="array" aca="1" ref="AS19" ca="1">IF(OR($J19="Pluviomètre",LEFT($J19,5)="Sonde"),"",IF($H19&lt;&gt;"",IF(INDIRECT($H19&amp;"!"&amp;$AI19&amp;($AJ19+AS$15+1))&lt;&gt;"",INDIRECT($H19&amp;"!"&amp;$AI19&amp;($AJ19+AS$15+1)),""),""))</f>
        <v/>
      </c>
      <c r="AT19" s="296" t="str" cm="1">
        <f t="array" aca="1" ref="AT19" ca="1">IF(OR($J19="Pluviomètre",LEFT($J19,5)="Sonde"),"",IF($H19&lt;&gt;"",IF(INDIRECT($H19&amp;"!"&amp;$AI19&amp;($AJ19+AT$15+1))&lt;&gt;"",INDIRECT($H19&amp;"!"&amp;$AI19&amp;($AJ19+AT$15+1)),""),""))</f>
        <v/>
      </c>
      <c r="AU19" s="412" cm="1">
        <f t="array" aca="1" ref="AU19" ca="1">SUMPRODUCT((Y19:AH19&lt;&gt;"")*(Y19:AH19&lt;&gt;"Non contrôlé")*(Y19:AH19&lt;&gt;"Non applicable"))</f>
        <v>0</v>
      </c>
      <c r="AV19" s="414">
        <f t="shared" ca="1" si="11"/>
        <v>-1</v>
      </c>
    </row>
    <row r="20" spans="1:48" x14ac:dyDescent="0.4">
      <c r="A20" s="80">
        <v>5</v>
      </c>
      <c r="B20" s="134" t="b">
        <f t="shared" si="6"/>
        <v>0</v>
      </c>
      <c r="C20" s="139" t="str" cm="1">
        <f t="array" aca="1" ref="C20" ca="1">IF(
    AND(
        $B20,
        OR(
            INDIRECT("Descriptif!$M"&amp;($B$1+$A20-1))="Préleveur",
            LEFT(INDIRECT("Descriptif!$M"&amp;($B$1+$A20-1)),5)="Sonde",
            LEFT(INDIRECT("Descriptif!$M"&amp;($B$1+$A20-1)),10)="Débitmètre",
            LEFT(INDIRECT("Descriptif!$F"&amp;($B$1+$A20-1)),6)="PLUVIO"        )
    ),
    INDIRECT("Descriptif!$"&amp;C$15&amp;($B$1 +$A20 -1)),
    ""
)</f>
        <v/>
      </c>
      <c r="D20" s="277" t="str" cm="1">
        <f t="array" aca="1" ref="D20" ca="1">IF(
    AND(
        $B20,
        OR(
            INDIRECT("Descriptif!$M"&amp;($B$1+$A20-1))="Préleveur",
            LEFT(INDIRECT("Descriptif!$M"&amp;($B$1+$A20-1)),5)="Sonde",
            LEFT(INDIRECT("Descriptif!$M"&amp;($B$1+$A20-1)),10)="Débitmètre",
            LEFT(INDIRECT("Descriptif!$F"&amp;($B$1+$A20-1)),6)="PLUVIO"       )
    ),
    IF(
        LEFT(INDIRECT("Descriptif!$F"&amp;($B$1+$A20-1)),11)="PLUVIO_STEU",
        "A3",
        IF(
            LEFT(INDIRECT("Descriptif!$F"&amp;($B$1+$A20-1)),10)="PLUVIO_SCL",
            "A1",
            INDIRECT("Descriptif!$"&amp;D$15&amp;($B$1 +$A20 -1))
        )
    ),
    ""
)</f>
        <v/>
      </c>
      <c r="E20" s="277" t="str" cm="1">
        <f t="array" aca="1" ref="E20" ca="1">IF(
    AND(
        $B20,
        OR(
            INDIRECT("Descriptif!$M"&amp;($B$1+$A20-1))="Préleveur",
            LEFT(INDIRECT("Descriptif!$M"&amp;($B$1+$A20-1)),5)="Sonde",
            LEFT(INDIRECT("Descriptif!$M"&amp;($B$1+$A20-1)),10)="Débitmètre",
            LEFT(INDIRECT("Descriptif!$F"&amp;($B$1+$A20-1)),6)="PLUVIO"
        )
    ),
    IF(LEFT(INDIRECT("Descriptif!$F"&amp;($B$1+$A20-1)),6)="PLUVIO","Pluviomètre",INDIRECT("Descriptif!$"&amp;E$15&amp;($B$1 +$A20 -1))),
    ""
)</f>
        <v/>
      </c>
      <c r="F20" s="19" t="str" cm="1">
        <f t="array" aca="1" ref="F20" ca="1">IF(
    AND(
        $B20,
        OR(
            INDIRECT("Descriptif!$M"&amp;($B$1+$A20-1))="Préleveur",
            LEFT(INDIRECT("Descriptif!$M"&amp;($B$1+$A20-1)),5)="Sonde",
            LEFT(INDIRECT("Descriptif!$M"&amp;($B$1+$A20-1)),10)="Débitmètre",
            LEFT(INDIRECT("Descriptif!$F"&amp;($B$1+$A20-1)),6)="PLUVIO"
        )
    ),
    IF(LEFT(INDIRECT("Descriptif!$F"&amp;($B$1+$A20-1)),6)="PLUVIO","Pluviomètre",INDIRECT("Descriptif!$"&amp;F$15&amp;($B$1 +$A20 -1))),
    ""
)</f>
        <v/>
      </c>
      <c r="G20" s="19" t="str" cm="1">
        <f t="array" aca="1" ref="G20" ca="1">IF(
    AND(
        $B20,
        OR(
            INDIRECT("Descriptif!$M"&amp;($B$1+$A20-1))="Préleveur",
            LEFT(INDIRECT("Descriptif!$M"&amp;($B$1+$A20-1)),5)="Sonde",
            LEFT(INDIRECT("Descriptif!$M"&amp;($B$1+$A20-1)),10)="Débitmètre",
            LEFT(INDIRECT("Descriptif!$F"&amp;($B$1+$A20-1)),6)="PLUVIO"
        )
    ),
    IF(LEFT(INDIRECT("Descriptif!$F"&amp;($B$1+$A20-1)),6)="PLUVIO","",INDIRECT("Descriptif!$"&amp;G$15&amp;($B$1 +$A20 -1))),
    ""
)</f>
        <v/>
      </c>
      <c r="H20" s="141" t="str" cm="1">
        <f t="array" aca="1" ref="H20" ca="1">IFERROR(INDEX($C$16:$C$116,SMALL(IF($C$16:$C$116&lt;&gt;"",ROW($C$16:$C$116)-ROW($C$16)+1),ROW(A5))),"")</f>
        <v/>
      </c>
      <c r="I20" s="140" t="str" cm="1">
        <f t="array" aca="1" ref="I20" ca="1">IFERROR(INDEX($D$16:$D$116,SMALL(IF($D$16:$D$116&lt;&gt;"",ROW($D$16:$D$116)-ROW($D$16)+1),ROW(A5))),"")</f>
        <v/>
      </c>
      <c r="J20" s="140" t="str" cm="1">
        <f t="array" aca="1" ref="J20" ca="1">IFERROR(INDEX($E$16:$E$116,SMALL(IF($E$16:$E$116&lt;&gt;"",ROW($E$16:$E$116)-ROW($E$16)+1),ROW(A5))),"")</f>
        <v/>
      </c>
      <c r="K20" s="140" t="str" cm="1">
        <f t="array" aca="1" ref="K20" ca="1">IFERROR(INDEX($F$16:$F$116,SMALL(IF($F$16:$F$116&lt;&gt;"",ROW($F$16:$F$116)-ROW($F$16)+1),ROW(A5))),"")</f>
        <v/>
      </c>
      <c r="L20" s="140" t="str">
        <f t="shared" ca="1" si="0"/>
        <v/>
      </c>
      <c r="M20" s="140" t="str" cm="1">
        <f t="array" aca="1" ref="M20" ca="1">IFERROR(INDEX($G$16:$G$116,SMALL(IF($G$16:$G$116&lt;&gt;"",ROW($G$16:$G$116)-ROW($G$16)+1),ROW(A5))),"")</f>
        <v/>
      </c>
      <c r="N20" s="145" t="str">
        <f t="shared" ca="1" si="1"/>
        <v/>
      </c>
      <c r="O20" s="146" t="str">
        <f t="shared" ca="1" si="2"/>
        <v/>
      </c>
      <c r="P20" s="146" t="str" cm="1">
        <f t="array" aca="1" ref="P20" ca="1">IF($J20&lt;&gt;"",IF(INDIRECT($H20&amp;"!"&amp;$O20)&lt;&gt;"",INDIRECT($H20&amp;"!"&amp;$O20),""),"")</f>
        <v/>
      </c>
      <c r="Q20" s="146" t="str">
        <f t="shared" ca="1" si="3"/>
        <v/>
      </c>
      <c r="R20" s="146" t="str" cm="1">
        <f t="array" aca="1" ref="R20" ca="1">IF($J20&lt;&gt;"",IF(INDIRECT($H20&amp;"!"&amp;$Q20)&lt;&gt;"",INDIRECT($H20&amp;"!"&amp;$Q20),""),"")</f>
        <v/>
      </c>
      <c r="S20" s="146" t="str">
        <f t="shared" ca="1" si="4"/>
        <v/>
      </c>
      <c r="T20" s="146" t="str" cm="1">
        <f t="array" aca="1" ref="T20" ca="1">IF($J20&lt;&gt;"",IF(INDIRECT($H20&amp;"!"&amp;$S20)&lt;&gt;"",INDIRECT($H20&amp;"!"&amp;$S20),""),"")</f>
        <v/>
      </c>
      <c r="U20" s="146" t="str">
        <f t="shared" ca="1" si="5"/>
        <v/>
      </c>
      <c r="V20" s="147" t="str" cm="1">
        <f t="array" aca="1" ref="V20" ca="1">IF($J20&lt;&gt;"",IF(INDIRECT($H20&amp;"!"&amp;$U20)&lt;&gt;"",INDIRECT($H20&amp;"!"&amp;$U20),""),"")</f>
        <v/>
      </c>
      <c r="W20" s="294" t="str">
        <f t="shared" ca="1" si="7"/>
        <v/>
      </c>
      <c r="X20" s="295" t="str">
        <f t="shared" ca="1" si="8"/>
        <v/>
      </c>
      <c r="Y20" s="296" t="str" cm="1">
        <f t="array" aca="1" ref="Y20" ca="1">IF($H20&lt;&gt;"",IF(INDIRECT($H20&amp;"!"&amp;$W20&amp;($X20+Y$15+1))&lt;&gt;"",INDIRECT($H20&amp;"!"&amp;$W20&amp;($X20+Y$15+1)),""),"")</f>
        <v/>
      </c>
      <c r="Z20" s="296" t="str" cm="1">
        <f t="array" aca="1" ref="Z20" ca="1">IF($H20&lt;&gt;"",IF(INDIRECT($H20&amp;"!"&amp;$W20&amp;($X20+Z$15+1))&lt;&gt;"",INDIRECT($H20&amp;"!"&amp;$W20&amp;($X20+Z$15+1)),""),"")</f>
        <v/>
      </c>
      <c r="AA20" s="296" t="str" cm="1">
        <f t="array" aca="1" ref="AA20" ca="1">IF($H20&lt;&gt;"",IF(INDIRECT($H20&amp;"!"&amp;$W20&amp;($X20+AA$15+1))&lt;&gt;"",INDIRECT($H20&amp;"!"&amp;$W20&amp;($X20+AA$15+1)),""),"")</f>
        <v/>
      </c>
      <c r="AB20" s="296" t="str" cm="1">
        <f t="array" aca="1" ref="AB20" ca="1">IF($H20&lt;&gt;"",IF(INDIRECT($H20&amp;"!"&amp;$W20&amp;($X20+AB$15+1))&lt;&gt;"",INDIRECT($H20&amp;"!"&amp;$W20&amp;($X20+AB$15+1)),""),"")</f>
        <v/>
      </c>
      <c r="AC20" s="296" t="str" cm="1">
        <f t="array" aca="1" ref="AC20" ca="1">IF(LEFT($J20,5)="Sonde","",IF($H20&lt;&gt;"",IF(INDIRECT($H20&amp;"!"&amp;$W20&amp;($X20+AC$15+1))&lt;&gt;"",INDIRECT($H20&amp;"!"&amp;$W20&amp;($X20+AC$15+1)),""),""))</f>
        <v/>
      </c>
      <c r="AD20" s="296" t="str" cm="1">
        <f t="array" aca="1" ref="AD20" ca="1">IF(OR($J20="Pluviomètre",LEFT($J20,5)="Sonde"),"",IF($H20&lt;&gt;"",IF(INDIRECT($H20&amp;"!"&amp;$W20&amp;($X20+AD$15+1))&lt;&gt;"",INDIRECT($H20&amp;"!"&amp;$W20&amp;($X20+AD$15+1)),""),""))</f>
        <v/>
      </c>
      <c r="AE20" s="296" t="str" cm="1">
        <f t="array" aca="1" ref="AE20" ca="1">IF(OR($J20="Pluviomètre",LEFT($J20,5)="Sonde"),"",IF($H20&lt;&gt;"",IF(INDIRECT($H20&amp;"!"&amp;$W20&amp;($X20+AE$15+1))&lt;&gt;"",INDIRECT($H20&amp;"!"&amp;$W20&amp;($X20+AE$15+1)),""),""))</f>
        <v/>
      </c>
      <c r="AF20" s="296" t="str" cm="1">
        <f t="array" aca="1" ref="AF20" ca="1">IF(OR($J20="Pluviomètre",LEFT($J20,5)="Sonde"),"",IF($H20&lt;&gt;"",IF(INDIRECT($H20&amp;"!"&amp;$W20&amp;($X20+AF$15+1))&lt;&gt;"",INDIRECT($H20&amp;"!"&amp;$W20&amp;($X20+AF$15+1)),""),""))</f>
        <v/>
      </c>
      <c r="AG20" s="296" t="str" cm="1">
        <f t="array" aca="1" ref="AG20" ca="1">IF(OR($J20="Pluviomètre",LEFT($J20,5)="Sonde"),"",IF($H20&lt;&gt;"",IF(INDIRECT($H20&amp;"!"&amp;$W20&amp;($X20+AG$15+1))&lt;&gt;"",INDIRECT($H20&amp;"!"&amp;$W20&amp;($X20+AG$15+1)),""),""))</f>
        <v/>
      </c>
      <c r="AH20" s="296" t="str" cm="1">
        <f t="array" aca="1" ref="AH20" ca="1">IF(OR($J20="Pluviomètre",LEFT($J20,5)="Sonde"),"",IF($H20&lt;&gt;"",IF(INDIRECT($H20&amp;"!"&amp;$W20&amp;($X20+AH$15+1))&lt;&gt;"",INDIRECT($H20&amp;"!"&amp;$W20&amp;($X20+AH$15+1)),""),""))</f>
        <v/>
      </c>
      <c r="AI20" s="294" t="str">
        <f t="shared" ca="1" si="9"/>
        <v/>
      </c>
      <c r="AJ20" s="295" t="str">
        <f t="shared" ca="1" si="10"/>
        <v/>
      </c>
      <c r="AK20" s="296" t="str" cm="1">
        <f t="array" aca="1" ref="AK20" ca="1">IF($H20&lt;&gt;"",IF(INDIRECT($H20&amp;"!"&amp;$AI20&amp;($AJ20+AK$15+1))&lt;&gt;"",INDIRECT($H20&amp;"!"&amp;$AI20&amp;($AJ20+AK$15+1)),""),"")</f>
        <v/>
      </c>
      <c r="AL20" s="296" t="str" cm="1">
        <f t="array" aca="1" ref="AL20" ca="1">IF($H20&lt;&gt;"",IF(INDIRECT($H20&amp;"!"&amp;$AI20&amp;($AJ20+AL$15+1))&lt;&gt;"",INDIRECT($H20&amp;"!"&amp;$AI20&amp;($AJ20+AL$15+1)),""),"")</f>
        <v/>
      </c>
      <c r="AM20" s="296" t="str" cm="1">
        <f t="array" aca="1" ref="AM20" ca="1">IF($H20&lt;&gt;"",IF(INDIRECT($H20&amp;"!"&amp;$AI20&amp;($AJ20+AM$15+1))&lt;&gt;"",INDIRECT($H20&amp;"!"&amp;$AI20&amp;($AJ20+AM$15+1)),""),"")</f>
        <v/>
      </c>
      <c r="AN20" s="296" t="str" cm="1">
        <f t="array" aca="1" ref="AN20" ca="1">IF($H20&lt;&gt;"",IF(INDIRECT($H20&amp;"!"&amp;$AI20&amp;($AJ20+AN$15+1))&lt;&gt;"",INDIRECT($H20&amp;"!"&amp;$AI20&amp;($AJ20+AN$15+1)),""),"")</f>
        <v/>
      </c>
      <c r="AO20" s="296" t="str" cm="1">
        <f t="array" aca="1" ref="AO20" ca="1">IF(LEFT($J20,5)="Sonde","",IF($H20&lt;&gt;"",IF(INDIRECT($H20&amp;"!"&amp;$AI20&amp;($AJ20+AO$15+1))&lt;&gt;"",INDIRECT($H20&amp;"!"&amp;$AI20&amp;($AJ20+AO$15+1)),""),""))</f>
        <v/>
      </c>
      <c r="AP20" s="296" t="str" cm="1">
        <f t="array" aca="1" ref="AP20" ca="1">IF(OR($J20="Pluviomètre",LEFT($J20,5)="Sonde"),"",IF($H20&lt;&gt;"",IF(INDIRECT($H20&amp;"!"&amp;$AI20&amp;($AJ20+AP$15+1))&lt;&gt;"",INDIRECT($H20&amp;"!"&amp;$AI20&amp;($AJ20+AP$15+1)),""),""))</f>
        <v/>
      </c>
      <c r="AQ20" s="296" t="str" cm="1">
        <f t="array" aca="1" ref="AQ20" ca="1">IF(OR($J20="Pluviomètre",LEFT($J20,5)="Sonde"),"",IF($H20&lt;&gt;"",IF(INDIRECT($H20&amp;"!"&amp;$AI20&amp;($AJ20+AQ$15+1))&lt;&gt;"",INDIRECT($H20&amp;"!"&amp;$AI20&amp;($AJ20+AQ$15+1)),""),""))</f>
        <v/>
      </c>
      <c r="AR20" s="296" t="str" cm="1">
        <f t="array" aca="1" ref="AR20" ca="1">IF(OR($J20="Pluviomètre",LEFT($J20,5)="Sonde"),"",IF($H20&lt;&gt;"",IF(INDIRECT($H20&amp;"!"&amp;$AI20&amp;($AJ20+AR$15+1))&lt;&gt;"",INDIRECT($H20&amp;"!"&amp;$AI20&amp;($AJ20+AR$15+1)),""),""))</f>
        <v/>
      </c>
      <c r="AS20" s="296" t="str" cm="1">
        <f t="array" aca="1" ref="AS20" ca="1">IF(OR($J20="Pluviomètre",LEFT($J20,5)="Sonde"),"",IF($H20&lt;&gt;"",IF(INDIRECT($H20&amp;"!"&amp;$AI20&amp;($AJ20+AS$15+1))&lt;&gt;"",INDIRECT($H20&amp;"!"&amp;$AI20&amp;($AJ20+AS$15+1)),""),""))</f>
        <v/>
      </c>
      <c r="AT20" s="296" t="str" cm="1">
        <f t="array" aca="1" ref="AT20" ca="1">IF(OR($J20="Pluviomètre",LEFT($J20,5)="Sonde"),"",IF($H20&lt;&gt;"",IF(INDIRECT($H20&amp;"!"&amp;$AI20&amp;($AJ20+AT$15+1))&lt;&gt;"",INDIRECT($H20&amp;"!"&amp;$AI20&amp;($AJ20+AT$15+1)),""),""))</f>
        <v/>
      </c>
      <c r="AU20" s="412" cm="1">
        <f t="array" aca="1" ref="AU20" ca="1">SUMPRODUCT((Y20:AH20&lt;&gt;"")*(Y20:AH20&lt;&gt;"Non contrôlé")*(Y20:AH20&lt;&gt;"Non applicable"))</f>
        <v>0</v>
      </c>
      <c r="AV20" s="414">
        <f t="shared" ca="1" si="11"/>
        <v>-1</v>
      </c>
    </row>
    <row r="21" spans="1:48" x14ac:dyDescent="0.4">
      <c r="A21" s="80">
        <v>6</v>
      </c>
      <c r="B21" s="134" t="b">
        <f t="shared" si="6"/>
        <v>0</v>
      </c>
      <c r="C21" s="139" t="str" cm="1">
        <f t="array" aca="1" ref="C21" ca="1">IF(
    AND(
        $B21,
        OR(
            INDIRECT("Descriptif!$M"&amp;($B$1+$A21-1))="Préleveur",
            LEFT(INDIRECT("Descriptif!$M"&amp;($B$1+$A21-1)),5)="Sonde",
            LEFT(INDIRECT("Descriptif!$M"&amp;($B$1+$A21-1)),10)="Débitmètre",
            LEFT(INDIRECT("Descriptif!$F"&amp;($B$1+$A21-1)),6)="PLUVIO"        )
    ),
    INDIRECT("Descriptif!$"&amp;C$15&amp;($B$1 +$A21 -1)),
    ""
)</f>
        <v/>
      </c>
      <c r="D21" s="277" t="str" cm="1">
        <f t="array" aca="1" ref="D21" ca="1">IF(
    AND(
        $B21,
        OR(
            INDIRECT("Descriptif!$M"&amp;($B$1+$A21-1))="Préleveur",
            LEFT(INDIRECT("Descriptif!$M"&amp;($B$1+$A21-1)),5)="Sonde",
            LEFT(INDIRECT("Descriptif!$M"&amp;($B$1+$A21-1)),10)="Débitmètre",
            LEFT(INDIRECT("Descriptif!$F"&amp;($B$1+$A21-1)),6)="PLUVIO"       )
    ),
    IF(
        LEFT(INDIRECT("Descriptif!$F"&amp;($B$1+$A21-1)),11)="PLUVIO_STEU",
        "A3",
        IF(
            LEFT(INDIRECT("Descriptif!$F"&amp;($B$1+$A21-1)),10)="PLUVIO_SCL",
            "A1",
            INDIRECT("Descriptif!$"&amp;D$15&amp;($B$1 +$A21 -1))
        )
    ),
    ""
)</f>
        <v/>
      </c>
      <c r="E21" s="277" t="str" cm="1">
        <f t="array" aca="1" ref="E21" ca="1">IF(
    AND(
        $B21,
        OR(
            INDIRECT("Descriptif!$M"&amp;($B$1+$A21-1))="Préleveur",
            LEFT(INDIRECT("Descriptif!$M"&amp;($B$1+$A21-1)),5)="Sonde",
            LEFT(INDIRECT("Descriptif!$M"&amp;($B$1+$A21-1)),10)="Débitmètre",
            LEFT(INDIRECT("Descriptif!$F"&amp;($B$1+$A21-1)),6)="PLUVIO"
        )
    ),
    IF(LEFT(INDIRECT("Descriptif!$F"&amp;($B$1+$A21-1)),6)="PLUVIO","Pluviomètre",INDIRECT("Descriptif!$"&amp;E$15&amp;($B$1 +$A21 -1))),
    ""
)</f>
        <v/>
      </c>
      <c r="F21" s="19" t="str" cm="1">
        <f t="array" aca="1" ref="F21" ca="1">IF(
    AND(
        $B21,
        OR(
            INDIRECT("Descriptif!$M"&amp;($B$1+$A21-1))="Préleveur",
            LEFT(INDIRECT("Descriptif!$M"&amp;($B$1+$A21-1)),5)="Sonde",
            LEFT(INDIRECT("Descriptif!$M"&amp;($B$1+$A21-1)),10)="Débitmètre",
            LEFT(INDIRECT("Descriptif!$F"&amp;($B$1+$A21-1)),6)="PLUVIO"
        )
    ),
    IF(LEFT(INDIRECT("Descriptif!$F"&amp;($B$1+$A21-1)),6)="PLUVIO","Pluviomètre",INDIRECT("Descriptif!$"&amp;F$15&amp;($B$1 +$A21 -1))),
    ""
)</f>
        <v/>
      </c>
      <c r="G21" s="19" t="str" cm="1">
        <f t="array" aca="1" ref="G21" ca="1">IF(
    AND(
        $B21,
        OR(
            INDIRECT("Descriptif!$M"&amp;($B$1+$A21-1))="Préleveur",
            LEFT(INDIRECT("Descriptif!$M"&amp;($B$1+$A21-1)),5)="Sonde",
            LEFT(INDIRECT("Descriptif!$M"&amp;($B$1+$A21-1)),10)="Débitmètre",
            LEFT(INDIRECT("Descriptif!$F"&amp;($B$1+$A21-1)),6)="PLUVIO"
        )
    ),
    IF(LEFT(INDIRECT("Descriptif!$F"&amp;($B$1+$A21-1)),6)="PLUVIO","",INDIRECT("Descriptif!$"&amp;G$15&amp;($B$1 +$A21 -1))),
    ""
)</f>
        <v/>
      </c>
      <c r="H21" s="141" t="str" cm="1">
        <f t="array" aca="1" ref="H21" ca="1">IFERROR(INDEX($C$16:$C$116,SMALL(IF($C$16:$C$116&lt;&gt;"",ROW($C$16:$C$116)-ROW($C$16)+1),ROW(A6))),"")</f>
        <v/>
      </c>
      <c r="I21" s="140" t="str" cm="1">
        <f t="array" aca="1" ref="I21" ca="1">IFERROR(INDEX($D$16:$D$116,SMALL(IF($D$16:$D$116&lt;&gt;"",ROW($D$16:$D$116)-ROW($D$16)+1),ROW(A6))),"")</f>
        <v/>
      </c>
      <c r="J21" s="140" t="str" cm="1">
        <f t="array" aca="1" ref="J21" ca="1">IFERROR(INDEX($E$16:$E$116,SMALL(IF($E$16:$E$116&lt;&gt;"",ROW($E$16:$E$116)-ROW($E$16)+1),ROW(A6))),"")</f>
        <v/>
      </c>
      <c r="K21" s="140" t="str" cm="1">
        <f t="array" aca="1" ref="K21" ca="1">IFERROR(INDEX($F$16:$F$116,SMALL(IF($F$16:$F$116&lt;&gt;"",ROW($F$16:$F$116)-ROW($F$16)+1),ROW(A6))),"")</f>
        <v/>
      </c>
      <c r="L21" s="140" t="str">
        <f t="shared" ca="1" si="0"/>
        <v/>
      </c>
      <c r="M21" s="140" t="str" cm="1">
        <f t="array" aca="1" ref="M21" ca="1">IFERROR(INDEX($G$16:$G$116,SMALL(IF($G$16:$G$116&lt;&gt;"",ROW($G$16:$G$116)-ROW($G$16)+1),ROW(A6))),"")</f>
        <v/>
      </c>
      <c r="N21" s="145" t="str">
        <f t="shared" ca="1" si="1"/>
        <v/>
      </c>
      <c r="O21" s="146" t="str">
        <f t="shared" ca="1" si="2"/>
        <v/>
      </c>
      <c r="P21" s="146" t="str" cm="1">
        <f t="array" aca="1" ref="P21" ca="1">IF($J21&lt;&gt;"",IF(INDIRECT($H21&amp;"!"&amp;$O21)&lt;&gt;"",INDIRECT($H21&amp;"!"&amp;$O21),""),"")</f>
        <v/>
      </c>
      <c r="Q21" s="146" t="str">
        <f t="shared" ca="1" si="3"/>
        <v/>
      </c>
      <c r="R21" s="146" t="str" cm="1">
        <f t="array" aca="1" ref="R21" ca="1">IF($J21&lt;&gt;"",IF(INDIRECT($H21&amp;"!"&amp;$Q21)&lt;&gt;"",INDIRECT($H21&amp;"!"&amp;$Q21),""),"")</f>
        <v/>
      </c>
      <c r="S21" s="146" t="str">
        <f t="shared" ca="1" si="4"/>
        <v/>
      </c>
      <c r="T21" s="146" t="str" cm="1">
        <f t="array" aca="1" ref="T21" ca="1">IF($J21&lt;&gt;"",IF(INDIRECT($H21&amp;"!"&amp;$S21)&lt;&gt;"",INDIRECT($H21&amp;"!"&amp;$S21),""),"")</f>
        <v/>
      </c>
      <c r="U21" s="146" t="str">
        <f t="shared" ca="1" si="5"/>
        <v/>
      </c>
      <c r="V21" s="147" t="str" cm="1">
        <f t="array" aca="1" ref="V21" ca="1">IF($J21&lt;&gt;"",IF(INDIRECT($H21&amp;"!"&amp;$U21)&lt;&gt;"",INDIRECT($H21&amp;"!"&amp;$U21),""),"")</f>
        <v/>
      </c>
      <c r="W21" s="294" t="str">
        <f t="shared" ca="1" si="7"/>
        <v/>
      </c>
      <c r="X21" s="295" t="str">
        <f t="shared" ca="1" si="8"/>
        <v/>
      </c>
      <c r="Y21" s="296" t="str" cm="1">
        <f t="array" aca="1" ref="Y21" ca="1">IF($H21&lt;&gt;"",IF(INDIRECT($H21&amp;"!"&amp;$W21&amp;($X21+Y$15+1))&lt;&gt;"",INDIRECT($H21&amp;"!"&amp;$W21&amp;($X21+Y$15+1)),""),"")</f>
        <v/>
      </c>
      <c r="Z21" s="296" t="str" cm="1">
        <f t="array" aca="1" ref="Z21" ca="1">IF($H21&lt;&gt;"",IF(INDIRECT($H21&amp;"!"&amp;$W21&amp;($X21+Z$15+1))&lt;&gt;"",INDIRECT($H21&amp;"!"&amp;$W21&amp;($X21+Z$15+1)),""),"")</f>
        <v/>
      </c>
      <c r="AA21" s="296" t="str" cm="1">
        <f t="array" aca="1" ref="AA21" ca="1">IF($H21&lt;&gt;"",IF(INDIRECT($H21&amp;"!"&amp;$W21&amp;($X21+AA$15+1))&lt;&gt;"",INDIRECT($H21&amp;"!"&amp;$W21&amp;($X21+AA$15+1)),""),"")</f>
        <v/>
      </c>
      <c r="AB21" s="296" t="str" cm="1">
        <f t="array" aca="1" ref="AB21" ca="1">IF($H21&lt;&gt;"",IF(INDIRECT($H21&amp;"!"&amp;$W21&amp;($X21+AB$15+1))&lt;&gt;"",INDIRECT($H21&amp;"!"&amp;$W21&amp;($X21+AB$15+1)),""),"")</f>
        <v/>
      </c>
      <c r="AC21" s="296" t="str" cm="1">
        <f t="array" aca="1" ref="AC21" ca="1">IF(LEFT($J21,5)="Sonde","",IF($H21&lt;&gt;"",IF(INDIRECT($H21&amp;"!"&amp;$W21&amp;($X21+AC$15+1))&lt;&gt;"",INDIRECT($H21&amp;"!"&amp;$W21&amp;($X21+AC$15+1)),""),""))</f>
        <v/>
      </c>
      <c r="AD21" s="296" t="str" cm="1">
        <f t="array" aca="1" ref="AD21" ca="1">IF(OR($J21="Pluviomètre",LEFT($J21,5)="Sonde"),"",IF($H21&lt;&gt;"",IF(INDIRECT($H21&amp;"!"&amp;$W21&amp;($X21+AD$15+1))&lt;&gt;"",INDIRECT($H21&amp;"!"&amp;$W21&amp;($X21+AD$15+1)),""),""))</f>
        <v/>
      </c>
      <c r="AE21" s="296" t="str" cm="1">
        <f t="array" aca="1" ref="AE21" ca="1">IF(OR($J21="Pluviomètre",LEFT($J21,5)="Sonde"),"",IF($H21&lt;&gt;"",IF(INDIRECT($H21&amp;"!"&amp;$W21&amp;($X21+AE$15+1))&lt;&gt;"",INDIRECT($H21&amp;"!"&amp;$W21&amp;($X21+AE$15+1)),""),""))</f>
        <v/>
      </c>
      <c r="AF21" s="296" t="str" cm="1">
        <f t="array" aca="1" ref="AF21" ca="1">IF(OR($J21="Pluviomètre",LEFT($J21,5)="Sonde"),"",IF($H21&lt;&gt;"",IF(INDIRECT($H21&amp;"!"&amp;$W21&amp;($X21+AF$15+1))&lt;&gt;"",INDIRECT($H21&amp;"!"&amp;$W21&amp;($X21+AF$15+1)),""),""))</f>
        <v/>
      </c>
      <c r="AG21" s="296" t="str" cm="1">
        <f t="array" aca="1" ref="AG21" ca="1">IF(OR($J21="Pluviomètre",LEFT($J21,5)="Sonde"),"",IF($H21&lt;&gt;"",IF(INDIRECT($H21&amp;"!"&amp;$W21&amp;($X21+AG$15+1))&lt;&gt;"",INDIRECT($H21&amp;"!"&amp;$W21&amp;($X21+AG$15+1)),""),""))</f>
        <v/>
      </c>
      <c r="AH21" s="296" t="str" cm="1">
        <f t="array" aca="1" ref="AH21" ca="1">IF(OR($J21="Pluviomètre",LEFT($J21,5)="Sonde"),"",IF($H21&lt;&gt;"",IF(INDIRECT($H21&amp;"!"&amp;$W21&amp;($X21+AH$15+1))&lt;&gt;"",INDIRECT($H21&amp;"!"&amp;$W21&amp;($X21+AH$15+1)),""),""))</f>
        <v/>
      </c>
      <c r="AI21" s="294" t="str">
        <f t="shared" ca="1" si="9"/>
        <v/>
      </c>
      <c r="AJ21" s="295" t="str">
        <f t="shared" ca="1" si="10"/>
        <v/>
      </c>
      <c r="AK21" s="296" t="str" cm="1">
        <f t="array" aca="1" ref="AK21" ca="1">IF($H21&lt;&gt;"",IF(INDIRECT($H21&amp;"!"&amp;$AI21&amp;($AJ21+AK$15+1))&lt;&gt;"",INDIRECT($H21&amp;"!"&amp;$AI21&amp;($AJ21+AK$15+1)),""),"")</f>
        <v/>
      </c>
      <c r="AL21" s="296" t="str" cm="1">
        <f t="array" aca="1" ref="AL21" ca="1">IF($H21&lt;&gt;"",IF(INDIRECT($H21&amp;"!"&amp;$AI21&amp;($AJ21+AL$15+1))&lt;&gt;"",INDIRECT($H21&amp;"!"&amp;$AI21&amp;($AJ21+AL$15+1)),""),"")</f>
        <v/>
      </c>
      <c r="AM21" s="296" t="str" cm="1">
        <f t="array" aca="1" ref="AM21" ca="1">IF($H21&lt;&gt;"",IF(INDIRECT($H21&amp;"!"&amp;$AI21&amp;($AJ21+AM$15+1))&lt;&gt;"",INDIRECT($H21&amp;"!"&amp;$AI21&amp;($AJ21+AM$15+1)),""),"")</f>
        <v/>
      </c>
      <c r="AN21" s="296" t="str" cm="1">
        <f t="array" aca="1" ref="AN21" ca="1">IF($H21&lt;&gt;"",IF(INDIRECT($H21&amp;"!"&amp;$AI21&amp;($AJ21+AN$15+1))&lt;&gt;"",INDIRECT($H21&amp;"!"&amp;$AI21&amp;($AJ21+AN$15+1)),""),"")</f>
        <v/>
      </c>
      <c r="AO21" s="296" t="str" cm="1">
        <f t="array" aca="1" ref="AO21" ca="1">IF(LEFT($J21,5)="Sonde","",IF($H21&lt;&gt;"",IF(INDIRECT($H21&amp;"!"&amp;$AI21&amp;($AJ21+AO$15+1))&lt;&gt;"",INDIRECT($H21&amp;"!"&amp;$AI21&amp;($AJ21+AO$15+1)),""),""))</f>
        <v/>
      </c>
      <c r="AP21" s="296" t="str" cm="1">
        <f t="array" aca="1" ref="AP21" ca="1">IF(OR($J21="Pluviomètre",LEFT($J21,5)="Sonde"),"",IF($H21&lt;&gt;"",IF(INDIRECT($H21&amp;"!"&amp;$AI21&amp;($AJ21+AP$15+1))&lt;&gt;"",INDIRECT($H21&amp;"!"&amp;$AI21&amp;($AJ21+AP$15+1)),""),""))</f>
        <v/>
      </c>
      <c r="AQ21" s="296" t="str" cm="1">
        <f t="array" aca="1" ref="AQ21" ca="1">IF(OR($J21="Pluviomètre",LEFT($J21,5)="Sonde"),"",IF($H21&lt;&gt;"",IF(INDIRECT($H21&amp;"!"&amp;$AI21&amp;($AJ21+AQ$15+1))&lt;&gt;"",INDIRECT($H21&amp;"!"&amp;$AI21&amp;($AJ21+AQ$15+1)),""),""))</f>
        <v/>
      </c>
      <c r="AR21" s="296" t="str" cm="1">
        <f t="array" aca="1" ref="AR21" ca="1">IF(OR($J21="Pluviomètre",LEFT($J21,5)="Sonde"),"",IF($H21&lt;&gt;"",IF(INDIRECT($H21&amp;"!"&amp;$AI21&amp;($AJ21+AR$15+1))&lt;&gt;"",INDIRECT($H21&amp;"!"&amp;$AI21&amp;($AJ21+AR$15+1)),""),""))</f>
        <v/>
      </c>
      <c r="AS21" s="296" t="str" cm="1">
        <f t="array" aca="1" ref="AS21" ca="1">IF(OR($J21="Pluviomètre",LEFT($J21,5)="Sonde"),"",IF($H21&lt;&gt;"",IF(INDIRECT($H21&amp;"!"&amp;$AI21&amp;($AJ21+AS$15+1))&lt;&gt;"",INDIRECT($H21&amp;"!"&amp;$AI21&amp;($AJ21+AS$15+1)),""),""))</f>
        <v/>
      </c>
      <c r="AT21" s="296" t="str" cm="1">
        <f t="array" aca="1" ref="AT21" ca="1">IF(OR($J21="Pluviomètre",LEFT($J21,5)="Sonde"),"",IF($H21&lt;&gt;"",IF(INDIRECT($H21&amp;"!"&amp;$AI21&amp;($AJ21+AT$15+1))&lt;&gt;"",INDIRECT($H21&amp;"!"&amp;$AI21&amp;($AJ21+AT$15+1)),""),""))</f>
        <v/>
      </c>
      <c r="AU21" s="412" cm="1">
        <f t="array" aca="1" ref="AU21" ca="1">SUMPRODUCT((Y21:AH21&lt;&gt;"")*(Y21:AH21&lt;&gt;"Non contrôlé")*(Y21:AH21&lt;&gt;"Non applicable"))</f>
        <v>0</v>
      </c>
      <c r="AV21" s="414">
        <f t="shared" ca="1" si="11"/>
        <v>-1</v>
      </c>
    </row>
    <row r="22" spans="1:48" x14ac:dyDescent="0.4">
      <c r="A22" s="80">
        <v>7</v>
      </c>
      <c r="B22" s="134" t="b">
        <f t="shared" si="6"/>
        <v>0</v>
      </c>
      <c r="C22" s="139" t="str" cm="1">
        <f t="array" aca="1" ref="C22" ca="1">IF(
    AND(
        $B22,
        OR(
            INDIRECT("Descriptif!$M"&amp;($B$1+$A22-1))="Préleveur",
            LEFT(INDIRECT("Descriptif!$M"&amp;($B$1+$A22-1)),5)="Sonde",
            LEFT(INDIRECT("Descriptif!$M"&amp;($B$1+$A22-1)),10)="Débitmètre",
            LEFT(INDIRECT("Descriptif!$F"&amp;($B$1+$A22-1)),6)="PLUVIO"        )
    ),
    INDIRECT("Descriptif!$"&amp;C$15&amp;($B$1 +$A22 -1)),
    ""
)</f>
        <v/>
      </c>
      <c r="D22" s="277" t="str" cm="1">
        <f t="array" aca="1" ref="D22" ca="1">IF(
    AND(
        $B22,
        OR(
            INDIRECT("Descriptif!$M"&amp;($B$1+$A22-1))="Préleveur",
            LEFT(INDIRECT("Descriptif!$M"&amp;($B$1+$A22-1)),5)="Sonde",
            LEFT(INDIRECT("Descriptif!$M"&amp;($B$1+$A22-1)),10)="Débitmètre",
            LEFT(INDIRECT("Descriptif!$F"&amp;($B$1+$A22-1)),6)="PLUVIO"       )
    ),
    IF(
        LEFT(INDIRECT("Descriptif!$F"&amp;($B$1+$A22-1)),11)="PLUVIO_STEU",
        "A3",
        IF(
            LEFT(INDIRECT("Descriptif!$F"&amp;($B$1+$A22-1)),10)="PLUVIO_SCL",
            "A1",
            INDIRECT("Descriptif!$"&amp;D$15&amp;($B$1 +$A22 -1))
        )
    ),
    ""
)</f>
        <v/>
      </c>
      <c r="E22" s="277" t="str" cm="1">
        <f t="array" aca="1" ref="E22" ca="1">IF(
    AND(
        $B22,
        OR(
            INDIRECT("Descriptif!$M"&amp;($B$1+$A22-1))="Préleveur",
            LEFT(INDIRECT("Descriptif!$M"&amp;($B$1+$A22-1)),5)="Sonde",
            LEFT(INDIRECT("Descriptif!$M"&amp;($B$1+$A22-1)),10)="Débitmètre",
            LEFT(INDIRECT("Descriptif!$F"&amp;($B$1+$A22-1)),6)="PLUVIO"
        )
    ),
    IF(LEFT(INDIRECT("Descriptif!$F"&amp;($B$1+$A22-1)),6)="PLUVIO","Pluviomètre",INDIRECT("Descriptif!$"&amp;E$15&amp;($B$1 +$A22 -1))),
    ""
)</f>
        <v/>
      </c>
      <c r="F22" s="19" t="str" cm="1">
        <f t="array" aca="1" ref="F22" ca="1">IF(
    AND(
        $B22,
        OR(
            INDIRECT("Descriptif!$M"&amp;($B$1+$A22-1))="Préleveur",
            LEFT(INDIRECT("Descriptif!$M"&amp;($B$1+$A22-1)),5)="Sonde",
            LEFT(INDIRECT("Descriptif!$M"&amp;($B$1+$A22-1)),10)="Débitmètre",
            LEFT(INDIRECT("Descriptif!$F"&amp;($B$1+$A22-1)),6)="PLUVIO"
        )
    ),
    IF(LEFT(INDIRECT("Descriptif!$F"&amp;($B$1+$A22-1)),6)="PLUVIO","Pluviomètre",INDIRECT("Descriptif!$"&amp;F$15&amp;($B$1 +$A22 -1))),
    ""
)</f>
        <v/>
      </c>
      <c r="G22" s="19" t="str" cm="1">
        <f t="array" aca="1" ref="G22" ca="1">IF(
    AND(
        $B22,
        OR(
            INDIRECT("Descriptif!$M"&amp;($B$1+$A22-1))="Préleveur",
            LEFT(INDIRECT("Descriptif!$M"&amp;($B$1+$A22-1)),5)="Sonde",
            LEFT(INDIRECT("Descriptif!$M"&amp;($B$1+$A22-1)),10)="Débitmètre",
            LEFT(INDIRECT("Descriptif!$F"&amp;($B$1+$A22-1)),6)="PLUVIO"
        )
    ),
    IF(LEFT(INDIRECT("Descriptif!$F"&amp;($B$1+$A22-1)),6)="PLUVIO","",INDIRECT("Descriptif!$"&amp;G$15&amp;($B$1 +$A22 -1))),
    ""
)</f>
        <v/>
      </c>
      <c r="H22" s="141" t="str" cm="1">
        <f t="array" aca="1" ref="H22" ca="1">IFERROR(INDEX($C$16:$C$116,SMALL(IF($C$16:$C$116&lt;&gt;"",ROW($C$16:$C$116)-ROW($C$16)+1),ROW(A7))),"")</f>
        <v/>
      </c>
      <c r="I22" s="140" t="str" cm="1">
        <f t="array" aca="1" ref="I22" ca="1">IFERROR(INDEX($D$16:$D$116,SMALL(IF($D$16:$D$116&lt;&gt;"",ROW($D$16:$D$116)-ROW($D$16)+1),ROW(A7))),"")</f>
        <v/>
      </c>
      <c r="J22" s="140" t="str" cm="1">
        <f t="array" aca="1" ref="J22" ca="1">IFERROR(INDEX($E$16:$E$116,SMALL(IF($E$16:$E$116&lt;&gt;"",ROW($E$16:$E$116)-ROW($E$16)+1),ROW(A7))),"")</f>
        <v/>
      </c>
      <c r="K22" s="140" t="str" cm="1">
        <f t="array" aca="1" ref="K22" ca="1">IFERROR(INDEX($F$16:$F$116,SMALL(IF($F$16:$F$116&lt;&gt;"",ROW($F$16:$F$116)-ROW($F$16)+1),ROW(A7))),"")</f>
        <v/>
      </c>
      <c r="L22" s="140" t="str">
        <f t="shared" ca="1" si="0"/>
        <v/>
      </c>
      <c r="M22" s="140" t="str" cm="1">
        <f t="array" aca="1" ref="M22" ca="1">IFERROR(INDEX($G$16:$G$116,SMALL(IF($G$16:$G$116&lt;&gt;"",ROW($G$16:$G$116)-ROW($G$16)+1),ROW(A7))),"")</f>
        <v/>
      </c>
      <c r="N22" s="145" t="str">
        <f t="shared" ca="1" si="1"/>
        <v/>
      </c>
      <c r="O22" s="146" t="str">
        <f t="shared" ca="1" si="2"/>
        <v/>
      </c>
      <c r="P22" s="146" t="str" cm="1">
        <f t="array" aca="1" ref="P22" ca="1">IF($J22&lt;&gt;"",IF(INDIRECT($H22&amp;"!"&amp;$O22)&lt;&gt;"",INDIRECT($H22&amp;"!"&amp;$O22),""),"")</f>
        <v/>
      </c>
      <c r="Q22" s="146" t="str">
        <f t="shared" ca="1" si="3"/>
        <v/>
      </c>
      <c r="R22" s="146" t="str" cm="1">
        <f t="array" aca="1" ref="R22" ca="1">IF($J22&lt;&gt;"",IF(INDIRECT($H22&amp;"!"&amp;$Q22)&lt;&gt;"",INDIRECT($H22&amp;"!"&amp;$Q22),""),"")</f>
        <v/>
      </c>
      <c r="S22" s="146" t="str">
        <f t="shared" ca="1" si="4"/>
        <v/>
      </c>
      <c r="T22" s="146" t="str" cm="1">
        <f t="array" aca="1" ref="T22" ca="1">IF($J22&lt;&gt;"",IF(INDIRECT($H22&amp;"!"&amp;$S22)&lt;&gt;"",INDIRECT($H22&amp;"!"&amp;$S22),""),"")</f>
        <v/>
      </c>
      <c r="U22" s="146" t="str">
        <f t="shared" ca="1" si="5"/>
        <v/>
      </c>
      <c r="V22" s="147" t="str" cm="1">
        <f t="array" aca="1" ref="V22" ca="1">IF($J22&lt;&gt;"",IF(INDIRECT($H22&amp;"!"&amp;$U22)&lt;&gt;"",INDIRECT($H22&amp;"!"&amp;$U22),""),"")</f>
        <v/>
      </c>
      <c r="W22" s="294" t="str">
        <f t="shared" ca="1" si="7"/>
        <v/>
      </c>
      <c r="X22" s="295" t="str">
        <f t="shared" ca="1" si="8"/>
        <v/>
      </c>
      <c r="Y22" s="296" t="str" cm="1">
        <f t="array" aca="1" ref="Y22" ca="1">IF($H22&lt;&gt;"",IF(INDIRECT($H22&amp;"!"&amp;$W22&amp;($X22+Y$15+1))&lt;&gt;"",INDIRECT($H22&amp;"!"&amp;$W22&amp;($X22+Y$15+1)),""),"")</f>
        <v/>
      </c>
      <c r="Z22" s="296" t="str" cm="1">
        <f t="array" aca="1" ref="Z22" ca="1">IF($H22&lt;&gt;"",IF(INDIRECT($H22&amp;"!"&amp;$W22&amp;($X22+Z$15+1))&lt;&gt;"",INDIRECT($H22&amp;"!"&amp;$W22&amp;($X22+Z$15+1)),""),"")</f>
        <v/>
      </c>
      <c r="AA22" s="296" t="str" cm="1">
        <f t="array" aca="1" ref="AA22" ca="1">IF($H22&lt;&gt;"",IF(INDIRECT($H22&amp;"!"&amp;$W22&amp;($X22+AA$15+1))&lt;&gt;"",INDIRECT($H22&amp;"!"&amp;$W22&amp;($X22+AA$15+1)),""),"")</f>
        <v/>
      </c>
      <c r="AB22" s="296" t="str" cm="1">
        <f t="array" aca="1" ref="AB22" ca="1">IF($H22&lt;&gt;"",IF(INDIRECT($H22&amp;"!"&amp;$W22&amp;($X22+AB$15+1))&lt;&gt;"",INDIRECT($H22&amp;"!"&amp;$W22&amp;($X22+AB$15+1)),""),"")</f>
        <v/>
      </c>
      <c r="AC22" s="296" t="str" cm="1">
        <f t="array" aca="1" ref="AC22" ca="1">IF(LEFT($J22,5)="Sonde","",IF($H22&lt;&gt;"",IF(INDIRECT($H22&amp;"!"&amp;$W22&amp;($X22+AC$15+1))&lt;&gt;"",INDIRECT($H22&amp;"!"&amp;$W22&amp;($X22+AC$15+1)),""),""))</f>
        <v/>
      </c>
      <c r="AD22" s="296" t="str" cm="1">
        <f t="array" aca="1" ref="AD22" ca="1">IF(OR($J22="Pluviomètre",LEFT($J22,5)="Sonde"),"",IF($H22&lt;&gt;"",IF(INDIRECT($H22&amp;"!"&amp;$W22&amp;($X22+AD$15+1))&lt;&gt;"",INDIRECT($H22&amp;"!"&amp;$W22&amp;($X22+AD$15+1)),""),""))</f>
        <v/>
      </c>
      <c r="AE22" s="296" t="str" cm="1">
        <f t="array" aca="1" ref="AE22" ca="1">IF(OR($J22="Pluviomètre",LEFT($J22,5)="Sonde"),"",IF($H22&lt;&gt;"",IF(INDIRECT($H22&amp;"!"&amp;$W22&amp;($X22+AE$15+1))&lt;&gt;"",INDIRECT($H22&amp;"!"&amp;$W22&amp;($X22+AE$15+1)),""),""))</f>
        <v/>
      </c>
      <c r="AF22" s="296" t="str" cm="1">
        <f t="array" aca="1" ref="AF22" ca="1">IF(OR($J22="Pluviomètre",LEFT($J22,5)="Sonde"),"",IF($H22&lt;&gt;"",IF(INDIRECT($H22&amp;"!"&amp;$W22&amp;($X22+AF$15+1))&lt;&gt;"",INDIRECT($H22&amp;"!"&amp;$W22&amp;($X22+AF$15+1)),""),""))</f>
        <v/>
      </c>
      <c r="AG22" s="296" t="str" cm="1">
        <f t="array" aca="1" ref="AG22" ca="1">IF(OR($J22="Pluviomètre",LEFT($J22,5)="Sonde"),"",IF($H22&lt;&gt;"",IF(INDIRECT($H22&amp;"!"&amp;$W22&amp;($X22+AG$15+1))&lt;&gt;"",INDIRECT($H22&amp;"!"&amp;$W22&amp;($X22+AG$15+1)),""),""))</f>
        <v/>
      </c>
      <c r="AH22" s="296" t="str" cm="1">
        <f t="array" aca="1" ref="AH22" ca="1">IF(OR($J22="Pluviomètre",LEFT($J22,5)="Sonde"),"",IF($H22&lt;&gt;"",IF(INDIRECT($H22&amp;"!"&amp;$W22&amp;($X22+AH$15+1))&lt;&gt;"",INDIRECT($H22&amp;"!"&amp;$W22&amp;($X22+AH$15+1)),""),""))</f>
        <v/>
      </c>
      <c r="AI22" s="294" t="str">
        <f t="shared" ca="1" si="9"/>
        <v/>
      </c>
      <c r="AJ22" s="295" t="str">
        <f t="shared" ca="1" si="10"/>
        <v/>
      </c>
      <c r="AK22" s="296" t="str" cm="1">
        <f t="array" aca="1" ref="AK22" ca="1">IF($H22&lt;&gt;"",IF(INDIRECT($H22&amp;"!"&amp;$AI22&amp;($AJ22+AK$15+1))&lt;&gt;"",INDIRECT($H22&amp;"!"&amp;$AI22&amp;($AJ22+AK$15+1)),""),"")</f>
        <v/>
      </c>
      <c r="AL22" s="296" t="str" cm="1">
        <f t="array" aca="1" ref="AL22" ca="1">IF($H22&lt;&gt;"",IF(INDIRECT($H22&amp;"!"&amp;$AI22&amp;($AJ22+AL$15+1))&lt;&gt;"",INDIRECT($H22&amp;"!"&amp;$AI22&amp;($AJ22+AL$15+1)),""),"")</f>
        <v/>
      </c>
      <c r="AM22" s="296" t="str" cm="1">
        <f t="array" aca="1" ref="AM22" ca="1">IF($H22&lt;&gt;"",IF(INDIRECT($H22&amp;"!"&amp;$AI22&amp;($AJ22+AM$15+1))&lt;&gt;"",INDIRECT($H22&amp;"!"&amp;$AI22&amp;($AJ22+AM$15+1)),""),"")</f>
        <v/>
      </c>
      <c r="AN22" s="296" t="str" cm="1">
        <f t="array" aca="1" ref="AN22" ca="1">IF($H22&lt;&gt;"",IF(INDIRECT($H22&amp;"!"&amp;$AI22&amp;($AJ22+AN$15+1))&lt;&gt;"",INDIRECT($H22&amp;"!"&amp;$AI22&amp;($AJ22+AN$15+1)),""),"")</f>
        <v/>
      </c>
      <c r="AO22" s="296" t="str" cm="1">
        <f t="array" aca="1" ref="AO22" ca="1">IF(LEFT($J22,5)="Sonde","",IF($H22&lt;&gt;"",IF(INDIRECT($H22&amp;"!"&amp;$AI22&amp;($AJ22+AO$15+1))&lt;&gt;"",INDIRECT($H22&amp;"!"&amp;$AI22&amp;($AJ22+AO$15+1)),""),""))</f>
        <v/>
      </c>
      <c r="AP22" s="296" t="str" cm="1">
        <f t="array" aca="1" ref="AP22" ca="1">IF(OR($J22="Pluviomètre",LEFT($J22,5)="Sonde"),"",IF($H22&lt;&gt;"",IF(INDIRECT($H22&amp;"!"&amp;$AI22&amp;($AJ22+AP$15+1))&lt;&gt;"",INDIRECT($H22&amp;"!"&amp;$AI22&amp;($AJ22+AP$15+1)),""),""))</f>
        <v/>
      </c>
      <c r="AQ22" s="296" t="str" cm="1">
        <f t="array" aca="1" ref="AQ22" ca="1">IF(OR($J22="Pluviomètre",LEFT($J22,5)="Sonde"),"",IF($H22&lt;&gt;"",IF(INDIRECT($H22&amp;"!"&amp;$AI22&amp;($AJ22+AQ$15+1))&lt;&gt;"",INDIRECT($H22&amp;"!"&amp;$AI22&amp;($AJ22+AQ$15+1)),""),""))</f>
        <v/>
      </c>
      <c r="AR22" s="296" t="str" cm="1">
        <f t="array" aca="1" ref="AR22" ca="1">IF(OR($J22="Pluviomètre",LEFT($J22,5)="Sonde"),"",IF($H22&lt;&gt;"",IF(INDIRECT($H22&amp;"!"&amp;$AI22&amp;($AJ22+AR$15+1))&lt;&gt;"",INDIRECT($H22&amp;"!"&amp;$AI22&amp;($AJ22+AR$15+1)),""),""))</f>
        <v/>
      </c>
      <c r="AS22" s="296" t="str" cm="1">
        <f t="array" aca="1" ref="AS22" ca="1">IF(OR($J22="Pluviomètre",LEFT($J22,5)="Sonde"),"",IF($H22&lt;&gt;"",IF(INDIRECT($H22&amp;"!"&amp;$AI22&amp;($AJ22+AS$15+1))&lt;&gt;"",INDIRECT($H22&amp;"!"&amp;$AI22&amp;($AJ22+AS$15+1)),""),""))</f>
        <v/>
      </c>
      <c r="AT22" s="296" t="str" cm="1">
        <f t="array" aca="1" ref="AT22" ca="1">IF(OR($J22="Pluviomètre",LEFT($J22,5)="Sonde"),"",IF($H22&lt;&gt;"",IF(INDIRECT($H22&amp;"!"&amp;$AI22&amp;($AJ22+AT$15+1))&lt;&gt;"",INDIRECT($H22&amp;"!"&amp;$AI22&amp;($AJ22+AT$15+1)),""),""))</f>
        <v/>
      </c>
      <c r="AU22" s="412" cm="1">
        <f t="array" aca="1" ref="AU22" ca="1">SUMPRODUCT((Y22:AH22&lt;&gt;"")*(Y22:AH22&lt;&gt;"Non contrôlé")*(Y22:AH22&lt;&gt;"Non applicable"))</f>
        <v>0</v>
      </c>
      <c r="AV22" s="414">
        <f t="shared" ca="1" si="11"/>
        <v>-1</v>
      </c>
    </row>
    <row r="23" spans="1:48" x14ac:dyDescent="0.4">
      <c r="A23" s="80">
        <v>8</v>
      </c>
      <c r="B23" s="134" t="b">
        <f t="shared" si="6"/>
        <v>0</v>
      </c>
      <c r="C23" s="139" t="str" cm="1">
        <f t="array" aca="1" ref="C23" ca="1">IF(
    AND(
        $B23,
        OR(
            INDIRECT("Descriptif!$M"&amp;($B$1+$A23-1))="Préleveur",
            LEFT(INDIRECT("Descriptif!$M"&amp;($B$1+$A23-1)),5)="Sonde",
            LEFT(INDIRECT("Descriptif!$M"&amp;($B$1+$A23-1)),10)="Débitmètre",
            LEFT(INDIRECT("Descriptif!$F"&amp;($B$1+$A23-1)),6)="PLUVIO"        )
    ),
    INDIRECT("Descriptif!$"&amp;C$15&amp;($B$1 +$A23 -1)),
    ""
)</f>
        <v/>
      </c>
      <c r="D23" s="277" t="str" cm="1">
        <f t="array" aca="1" ref="D23" ca="1">IF(
    AND(
        $B23,
        OR(
            INDIRECT("Descriptif!$M"&amp;($B$1+$A23-1))="Préleveur",
            LEFT(INDIRECT("Descriptif!$M"&amp;($B$1+$A23-1)),5)="Sonde",
            LEFT(INDIRECT("Descriptif!$M"&amp;($B$1+$A23-1)),10)="Débitmètre",
            LEFT(INDIRECT("Descriptif!$F"&amp;($B$1+$A23-1)),6)="PLUVIO"       )
    ),
    IF(
        LEFT(INDIRECT("Descriptif!$F"&amp;($B$1+$A23-1)),11)="PLUVIO_STEU",
        "A3",
        IF(
            LEFT(INDIRECT("Descriptif!$F"&amp;($B$1+$A23-1)),10)="PLUVIO_SCL",
            "A1",
            INDIRECT("Descriptif!$"&amp;D$15&amp;($B$1 +$A23 -1))
        )
    ),
    ""
)</f>
        <v/>
      </c>
      <c r="E23" s="277" t="str" cm="1">
        <f t="array" aca="1" ref="E23" ca="1">IF(
    AND(
        $B23,
        OR(
            INDIRECT("Descriptif!$M"&amp;($B$1+$A23-1))="Préleveur",
            LEFT(INDIRECT("Descriptif!$M"&amp;($B$1+$A23-1)),5)="Sonde",
            LEFT(INDIRECT("Descriptif!$M"&amp;($B$1+$A23-1)),10)="Débitmètre",
            LEFT(INDIRECT("Descriptif!$F"&amp;($B$1+$A23-1)),6)="PLUVIO"
        )
    ),
    IF(LEFT(INDIRECT("Descriptif!$F"&amp;($B$1+$A23-1)),6)="PLUVIO","Pluviomètre",INDIRECT("Descriptif!$"&amp;E$15&amp;($B$1 +$A23 -1))),
    ""
)</f>
        <v/>
      </c>
      <c r="F23" s="19" t="str" cm="1">
        <f t="array" aca="1" ref="F23" ca="1">IF(
    AND(
        $B23,
        OR(
            INDIRECT("Descriptif!$M"&amp;($B$1+$A23-1))="Préleveur",
            LEFT(INDIRECT("Descriptif!$M"&amp;($B$1+$A23-1)),5)="Sonde",
            LEFT(INDIRECT("Descriptif!$M"&amp;($B$1+$A23-1)),10)="Débitmètre",
            LEFT(INDIRECT("Descriptif!$F"&amp;($B$1+$A23-1)),6)="PLUVIO"
        )
    ),
    IF(LEFT(INDIRECT("Descriptif!$F"&amp;($B$1+$A23-1)),6)="PLUVIO","Pluviomètre",INDIRECT("Descriptif!$"&amp;F$15&amp;($B$1 +$A23 -1))),
    ""
)</f>
        <v/>
      </c>
      <c r="G23" s="19" t="str" cm="1">
        <f t="array" aca="1" ref="G23" ca="1">IF(
    AND(
        $B23,
        OR(
            INDIRECT("Descriptif!$M"&amp;($B$1+$A23-1))="Préleveur",
            LEFT(INDIRECT("Descriptif!$M"&amp;($B$1+$A23-1)),5)="Sonde",
            LEFT(INDIRECT("Descriptif!$M"&amp;($B$1+$A23-1)),10)="Débitmètre",
            LEFT(INDIRECT("Descriptif!$F"&amp;($B$1+$A23-1)),6)="PLUVIO"
        )
    ),
    IF(LEFT(INDIRECT("Descriptif!$F"&amp;($B$1+$A23-1)),6)="PLUVIO","",INDIRECT("Descriptif!$"&amp;G$15&amp;($B$1 +$A23 -1))),
    ""
)</f>
        <v/>
      </c>
      <c r="H23" s="141" t="str" cm="1">
        <f t="array" aca="1" ref="H23" ca="1">IFERROR(INDEX($C$16:$C$116,SMALL(IF($C$16:$C$116&lt;&gt;"",ROW($C$16:$C$116)-ROW($C$16)+1),ROW(A8))),"")</f>
        <v/>
      </c>
      <c r="I23" s="140" t="str" cm="1">
        <f t="array" aca="1" ref="I23" ca="1">IFERROR(INDEX($D$16:$D$116,SMALL(IF($D$16:$D$116&lt;&gt;"",ROW($D$16:$D$116)-ROW($D$16)+1),ROW(A8))),"")</f>
        <v/>
      </c>
      <c r="J23" s="140" t="str" cm="1">
        <f t="array" aca="1" ref="J23" ca="1">IFERROR(INDEX($E$16:$E$116,SMALL(IF($E$16:$E$116&lt;&gt;"",ROW($E$16:$E$116)-ROW($E$16)+1),ROW(A8))),"")</f>
        <v/>
      </c>
      <c r="K23" s="140" t="str" cm="1">
        <f t="array" aca="1" ref="K23" ca="1">IFERROR(INDEX($F$16:$F$116,SMALL(IF($F$16:$F$116&lt;&gt;"",ROW($F$16:$F$116)-ROW($F$16)+1),ROW(A8))),"")</f>
        <v/>
      </c>
      <c r="L23" s="140" t="str">
        <f t="shared" ca="1" si="0"/>
        <v/>
      </c>
      <c r="M23" s="140" t="str" cm="1">
        <f t="array" aca="1" ref="M23" ca="1">IFERROR(INDEX($G$16:$G$116,SMALL(IF($G$16:$G$116&lt;&gt;"",ROW($G$16:$G$116)-ROW($G$16)+1),ROW(A8))),"")</f>
        <v/>
      </c>
      <c r="N23" s="145" t="str">
        <f t="shared" ca="1" si="1"/>
        <v/>
      </c>
      <c r="O23" s="146" t="str">
        <f t="shared" ca="1" si="2"/>
        <v/>
      </c>
      <c r="P23" s="146" t="str" cm="1">
        <f t="array" aca="1" ref="P23" ca="1">IF($J23&lt;&gt;"",IF(INDIRECT($H23&amp;"!"&amp;$O23)&lt;&gt;"",INDIRECT($H23&amp;"!"&amp;$O23),""),"")</f>
        <v/>
      </c>
      <c r="Q23" s="146" t="str">
        <f t="shared" ca="1" si="3"/>
        <v/>
      </c>
      <c r="R23" s="146" t="str" cm="1">
        <f t="array" aca="1" ref="R23" ca="1">IF($J23&lt;&gt;"",IF(INDIRECT($H23&amp;"!"&amp;$Q23)&lt;&gt;"",INDIRECT($H23&amp;"!"&amp;$Q23),""),"")</f>
        <v/>
      </c>
      <c r="S23" s="146" t="str">
        <f t="shared" ca="1" si="4"/>
        <v/>
      </c>
      <c r="T23" s="146" t="str" cm="1">
        <f t="array" aca="1" ref="T23" ca="1">IF($J23&lt;&gt;"",IF(INDIRECT($H23&amp;"!"&amp;$S23)&lt;&gt;"",INDIRECT($H23&amp;"!"&amp;$S23),""),"")</f>
        <v/>
      </c>
      <c r="U23" s="146" t="str">
        <f t="shared" ca="1" si="5"/>
        <v/>
      </c>
      <c r="V23" s="147" t="str" cm="1">
        <f t="array" aca="1" ref="V23" ca="1">IF($J23&lt;&gt;"",IF(INDIRECT($H23&amp;"!"&amp;$U23)&lt;&gt;"",INDIRECT($H23&amp;"!"&amp;$U23),""),"")</f>
        <v/>
      </c>
      <c r="W23" s="294" t="str">
        <f t="shared" ca="1" si="7"/>
        <v/>
      </c>
      <c r="X23" s="295" t="str">
        <f t="shared" ca="1" si="8"/>
        <v/>
      </c>
      <c r="Y23" s="296" t="str" cm="1">
        <f t="array" aca="1" ref="Y23" ca="1">IF($H23&lt;&gt;"",IF(INDIRECT($H23&amp;"!"&amp;$W23&amp;($X23+Y$15+1))&lt;&gt;"",INDIRECT($H23&amp;"!"&amp;$W23&amp;($X23+Y$15+1)),""),"")</f>
        <v/>
      </c>
      <c r="Z23" s="296" t="str" cm="1">
        <f t="array" aca="1" ref="Z23" ca="1">IF($H23&lt;&gt;"",IF(INDIRECT($H23&amp;"!"&amp;$W23&amp;($X23+Z$15+1))&lt;&gt;"",INDIRECT($H23&amp;"!"&amp;$W23&amp;($X23+Z$15+1)),""),"")</f>
        <v/>
      </c>
      <c r="AA23" s="296" t="str" cm="1">
        <f t="array" aca="1" ref="AA23" ca="1">IF($H23&lt;&gt;"",IF(INDIRECT($H23&amp;"!"&amp;$W23&amp;($X23+AA$15+1))&lt;&gt;"",INDIRECT($H23&amp;"!"&amp;$W23&amp;($X23+AA$15+1)),""),"")</f>
        <v/>
      </c>
      <c r="AB23" s="296" t="str" cm="1">
        <f t="array" aca="1" ref="AB23" ca="1">IF($H23&lt;&gt;"",IF(INDIRECT($H23&amp;"!"&amp;$W23&amp;($X23+AB$15+1))&lt;&gt;"",INDIRECT($H23&amp;"!"&amp;$W23&amp;($X23+AB$15+1)),""),"")</f>
        <v/>
      </c>
      <c r="AC23" s="296" t="str" cm="1">
        <f t="array" aca="1" ref="AC23" ca="1">IF(LEFT($J23,5)="Sonde","",IF($H23&lt;&gt;"",IF(INDIRECT($H23&amp;"!"&amp;$W23&amp;($X23+AC$15+1))&lt;&gt;"",INDIRECT($H23&amp;"!"&amp;$W23&amp;($X23+AC$15+1)),""),""))</f>
        <v/>
      </c>
      <c r="AD23" s="296" t="str" cm="1">
        <f t="array" aca="1" ref="AD23" ca="1">IF(OR($J23="Pluviomètre",LEFT($J23,5)="Sonde"),"",IF($H23&lt;&gt;"",IF(INDIRECT($H23&amp;"!"&amp;$W23&amp;($X23+AD$15+1))&lt;&gt;"",INDIRECT($H23&amp;"!"&amp;$W23&amp;($X23+AD$15+1)),""),""))</f>
        <v/>
      </c>
      <c r="AE23" s="296" t="str" cm="1">
        <f t="array" aca="1" ref="AE23" ca="1">IF(OR($J23="Pluviomètre",LEFT($J23,5)="Sonde"),"",IF($H23&lt;&gt;"",IF(INDIRECT($H23&amp;"!"&amp;$W23&amp;($X23+AE$15+1))&lt;&gt;"",INDIRECT($H23&amp;"!"&amp;$W23&amp;($X23+AE$15+1)),""),""))</f>
        <v/>
      </c>
      <c r="AF23" s="296" t="str" cm="1">
        <f t="array" aca="1" ref="AF23" ca="1">IF(OR($J23="Pluviomètre",LEFT($J23,5)="Sonde"),"",IF($H23&lt;&gt;"",IF(INDIRECT($H23&amp;"!"&amp;$W23&amp;($X23+AF$15+1))&lt;&gt;"",INDIRECT($H23&amp;"!"&amp;$W23&amp;($X23+AF$15+1)),""),""))</f>
        <v/>
      </c>
      <c r="AG23" s="296" t="str" cm="1">
        <f t="array" aca="1" ref="AG23" ca="1">IF(OR($J23="Pluviomètre",LEFT($J23,5)="Sonde"),"",IF($H23&lt;&gt;"",IF(INDIRECT($H23&amp;"!"&amp;$W23&amp;($X23+AG$15+1))&lt;&gt;"",INDIRECT($H23&amp;"!"&amp;$W23&amp;($X23+AG$15+1)),""),""))</f>
        <v/>
      </c>
      <c r="AH23" s="296" t="str" cm="1">
        <f t="array" aca="1" ref="AH23" ca="1">IF(OR($J23="Pluviomètre",LEFT($J23,5)="Sonde"),"",IF($H23&lt;&gt;"",IF(INDIRECT($H23&amp;"!"&amp;$W23&amp;($X23+AH$15+1))&lt;&gt;"",INDIRECT($H23&amp;"!"&amp;$W23&amp;($X23+AH$15+1)),""),""))</f>
        <v/>
      </c>
      <c r="AI23" s="294" t="str">
        <f t="shared" ca="1" si="9"/>
        <v/>
      </c>
      <c r="AJ23" s="295" t="str">
        <f t="shared" ca="1" si="10"/>
        <v/>
      </c>
      <c r="AK23" s="296" t="str" cm="1">
        <f t="array" aca="1" ref="AK23" ca="1">IF($H23&lt;&gt;"",IF(INDIRECT($H23&amp;"!"&amp;$AI23&amp;($AJ23+AK$15+1))&lt;&gt;"",INDIRECT($H23&amp;"!"&amp;$AI23&amp;($AJ23+AK$15+1)),""),"")</f>
        <v/>
      </c>
      <c r="AL23" s="296" t="str" cm="1">
        <f t="array" aca="1" ref="AL23" ca="1">IF($H23&lt;&gt;"",IF(INDIRECT($H23&amp;"!"&amp;$AI23&amp;($AJ23+AL$15+1))&lt;&gt;"",INDIRECT($H23&amp;"!"&amp;$AI23&amp;($AJ23+AL$15+1)),""),"")</f>
        <v/>
      </c>
      <c r="AM23" s="296" t="str" cm="1">
        <f t="array" aca="1" ref="AM23" ca="1">IF($H23&lt;&gt;"",IF(INDIRECT($H23&amp;"!"&amp;$AI23&amp;($AJ23+AM$15+1))&lt;&gt;"",INDIRECT($H23&amp;"!"&amp;$AI23&amp;($AJ23+AM$15+1)),""),"")</f>
        <v/>
      </c>
      <c r="AN23" s="296" t="str" cm="1">
        <f t="array" aca="1" ref="AN23" ca="1">IF($H23&lt;&gt;"",IF(INDIRECT($H23&amp;"!"&amp;$AI23&amp;($AJ23+AN$15+1))&lt;&gt;"",INDIRECT($H23&amp;"!"&amp;$AI23&amp;($AJ23+AN$15+1)),""),"")</f>
        <v/>
      </c>
      <c r="AO23" s="296" t="str" cm="1">
        <f t="array" aca="1" ref="AO23" ca="1">IF(LEFT($J23,5)="Sonde","",IF($H23&lt;&gt;"",IF(INDIRECT($H23&amp;"!"&amp;$AI23&amp;($AJ23+AO$15+1))&lt;&gt;"",INDIRECT($H23&amp;"!"&amp;$AI23&amp;($AJ23+AO$15+1)),""),""))</f>
        <v/>
      </c>
      <c r="AP23" s="296" t="str" cm="1">
        <f t="array" aca="1" ref="AP23" ca="1">IF(OR($J23="Pluviomètre",LEFT($J23,5)="Sonde"),"",IF($H23&lt;&gt;"",IF(INDIRECT($H23&amp;"!"&amp;$AI23&amp;($AJ23+AP$15+1))&lt;&gt;"",INDIRECT($H23&amp;"!"&amp;$AI23&amp;($AJ23+AP$15+1)),""),""))</f>
        <v/>
      </c>
      <c r="AQ23" s="296" t="str" cm="1">
        <f t="array" aca="1" ref="AQ23" ca="1">IF(OR($J23="Pluviomètre",LEFT($J23,5)="Sonde"),"",IF($H23&lt;&gt;"",IF(INDIRECT($H23&amp;"!"&amp;$AI23&amp;($AJ23+AQ$15+1))&lt;&gt;"",INDIRECT($H23&amp;"!"&amp;$AI23&amp;($AJ23+AQ$15+1)),""),""))</f>
        <v/>
      </c>
      <c r="AR23" s="296" t="str" cm="1">
        <f t="array" aca="1" ref="AR23" ca="1">IF(OR($J23="Pluviomètre",LEFT($J23,5)="Sonde"),"",IF($H23&lt;&gt;"",IF(INDIRECT($H23&amp;"!"&amp;$AI23&amp;($AJ23+AR$15+1))&lt;&gt;"",INDIRECT($H23&amp;"!"&amp;$AI23&amp;($AJ23+AR$15+1)),""),""))</f>
        <v/>
      </c>
      <c r="AS23" s="296" t="str" cm="1">
        <f t="array" aca="1" ref="AS23" ca="1">IF(OR($J23="Pluviomètre",LEFT($J23,5)="Sonde"),"",IF($H23&lt;&gt;"",IF(INDIRECT($H23&amp;"!"&amp;$AI23&amp;($AJ23+AS$15+1))&lt;&gt;"",INDIRECT($H23&amp;"!"&amp;$AI23&amp;($AJ23+AS$15+1)),""),""))</f>
        <v/>
      </c>
      <c r="AT23" s="296" t="str" cm="1">
        <f t="array" aca="1" ref="AT23" ca="1">IF(OR($J23="Pluviomètre",LEFT($J23,5)="Sonde"),"",IF($H23&lt;&gt;"",IF(INDIRECT($H23&amp;"!"&amp;$AI23&amp;($AJ23+AT$15+1))&lt;&gt;"",INDIRECT($H23&amp;"!"&amp;$AI23&amp;($AJ23+AT$15+1)),""),""))</f>
        <v/>
      </c>
      <c r="AU23" s="412" cm="1">
        <f t="array" aca="1" ref="AU23" ca="1">SUMPRODUCT((Y23:AH23&lt;&gt;"")*(Y23:AH23&lt;&gt;"Non contrôlé")*(Y23:AH23&lt;&gt;"Non applicable"))</f>
        <v>0</v>
      </c>
      <c r="AV23" s="414">
        <f t="shared" ca="1" si="11"/>
        <v>-1</v>
      </c>
    </row>
    <row r="24" spans="1:48" x14ac:dyDescent="0.4">
      <c r="A24" s="80">
        <v>9</v>
      </c>
      <c r="B24" s="134" t="b">
        <f t="shared" si="6"/>
        <v>0</v>
      </c>
      <c r="C24" s="139" t="str" cm="1">
        <f t="array" aca="1" ref="C24" ca="1">IF(
    AND(
        $B24,
        OR(
            INDIRECT("Descriptif!$M"&amp;($B$1+$A24-1))="Préleveur",
            LEFT(INDIRECT("Descriptif!$M"&amp;($B$1+$A24-1)),5)="Sonde",
            LEFT(INDIRECT("Descriptif!$M"&amp;($B$1+$A24-1)),10)="Débitmètre",
            LEFT(INDIRECT("Descriptif!$F"&amp;($B$1+$A24-1)),6)="PLUVIO"        )
    ),
    INDIRECT("Descriptif!$"&amp;C$15&amp;($B$1 +$A24 -1)),
    ""
)</f>
        <v/>
      </c>
      <c r="D24" s="277" t="str" cm="1">
        <f t="array" aca="1" ref="D24" ca="1">IF(
    AND(
        $B24,
        OR(
            INDIRECT("Descriptif!$M"&amp;($B$1+$A24-1))="Préleveur",
            LEFT(INDIRECT("Descriptif!$M"&amp;($B$1+$A24-1)),5)="Sonde",
            LEFT(INDIRECT("Descriptif!$M"&amp;($B$1+$A24-1)),10)="Débitmètre",
            LEFT(INDIRECT("Descriptif!$F"&amp;($B$1+$A24-1)),6)="PLUVIO"       )
    ),
    IF(
        LEFT(INDIRECT("Descriptif!$F"&amp;($B$1+$A24-1)),11)="PLUVIO_STEU",
        "A3",
        IF(
            LEFT(INDIRECT("Descriptif!$F"&amp;($B$1+$A24-1)),10)="PLUVIO_SCL",
            "A1",
            INDIRECT("Descriptif!$"&amp;D$15&amp;($B$1 +$A24 -1))
        )
    ),
    ""
)</f>
        <v/>
      </c>
      <c r="E24" s="277" t="str" cm="1">
        <f t="array" aca="1" ref="E24" ca="1">IF(
    AND(
        $B24,
        OR(
            INDIRECT("Descriptif!$M"&amp;($B$1+$A24-1))="Préleveur",
            LEFT(INDIRECT("Descriptif!$M"&amp;($B$1+$A24-1)),5)="Sonde",
            LEFT(INDIRECT("Descriptif!$M"&amp;($B$1+$A24-1)),10)="Débitmètre",
            LEFT(INDIRECT("Descriptif!$F"&amp;($B$1+$A24-1)),6)="PLUVIO"
        )
    ),
    IF(LEFT(INDIRECT("Descriptif!$F"&amp;($B$1+$A24-1)),6)="PLUVIO","Pluviomètre",INDIRECT("Descriptif!$"&amp;E$15&amp;($B$1 +$A24 -1))),
    ""
)</f>
        <v/>
      </c>
      <c r="F24" s="19" t="str" cm="1">
        <f t="array" aca="1" ref="F24" ca="1">IF(
    AND(
        $B24,
        OR(
            INDIRECT("Descriptif!$M"&amp;($B$1+$A24-1))="Préleveur",
            LEFT(INDIRECT("Descriptif!$M"&amp;($B$1+$A24-1)),5)="Sonde",
            LEFT(INDIRECT("Descriptif!$M"&amp;($B$1+$A24-1)),10)="Débitmètre",
            LEFT(INDIRECT("Descriptif!$F"&amp;($B$1+$A24-1)),6)="PLUVIO"
        )
    ),
    IF(LEFT(INDIRECT("Descriptif!$F"&amp;($B$1+$A24-1)),6)="PLUVIO","Pluviomètre",INDIRECT("Descriptif!$"&amp;F$15&amp;($B$1 +$A24 -1))),
    ""
)</f>
        <v/>
      </c>
      <c r="G24" s="19" t="str" cm="1">
        <f t="array" aca="1" ref="G24" ca="1">IF(
    AND(
        $B24,
        OR(
            INDIRECT("Descriptif!$M"&amp;($B$1+$A24-1))="Préleveur",
            LEFT(INDIRECT("Descriptif!$M"&amp;($B$1+$A24-1)),5)="Sonde",
            LEFT(INDIRECT("Descriptif!$M"&amp;($B$1+$A24-1)),10)="Débitmètre",
            LEFT(INDIRECT("Descriptif!$F"&amp;($B$1+$A24-1)),6)="PLUVIO"
        )
    ),
    IF(LEFT(INDIRECT("Descriptif!$F"&amp;($B$1+$A24-1)),6)="PLUVIO","",INDIRECT("Descriptif!$"&amp;G$15&amp;($B$1 +$A24 -1))),
    ""
)</f>
        <v/>
      </c>
      <c r="H24" s="141" t="str" cm="1">
        <f t="array" aca="1" ref="H24" ca="1">IFERROR(INDEX($C$16:$C$116,SMALL(IF($C$16:$C$116&lt;&gt;"",ROW($C$16:$C$116)-ROW($C$16)+1),ROW(A9))),"")</f>
        <v/>
      </c>
      <c r="I24" s="140" t="str" cm="1">
        <f t="array" aca="1" ref="I24" ca="1">IFERROR(INDEX($D$16:$D$116,SMALL(IF($D$16:$D$116&lt;&gt;"",ROW($D$16:$D$116)-ROW($D$16)+1),ROW(A9))),"")</f>
        <v/>
      </c>
      <c r="J24" s="140" t="str" cm="1">
        <f t="array" aca="1" ref="J24" ca="1">IFERROR(INDEX($E$16:$E$116,SMALL(IF($E$16:$E$116&lt;&gt;"",ROW($E$16:$E$116)-ROW($E$16)+1),ROW(A9))),"")</f>
        <v/>
      </c>
      <c r="K24" s="140" t="str" cm="1">
        <f t="array" aca="1" ref="K24" ca="1">IFERROR(INDEX($F$16:$F$116,SMALL(IF($F$16:$F$116&lt;&gt;"",ROW($F$16:$F$116)-ROW($F$16)+1),ROW(A9))),"")</f>
        <v/>
      </c>
      <c r="L24" s="140" t="str">
        <f t="shared" ca="1" si="0"/>
        <v/>
      </c>
      <c r="M24" s="140" t="str" cm="1">
        <f t="array" aca="1" ref="M24" ca="1">IFERROR(INDEX($G$16:$G$116,SMALL(IF($G$16:$G$116&lt;&gt;"",ROW($G$16:$G$116)-ROW($G$16)+1),ROW(A9))),"")</f>
        <v/>
      </c>
      <c r="N24" s="145" t="str">
        <f t="shared" ca="1" si="1"/>
        <v/>
      </c>
      <c r="O24" s="146" t="str">
        <f t="shared" ca="1" si="2"/>
        <v/>
      </c>
      <c r="P24" s="146" t="str" cm="1">
        <f t="array" aca="1" ref="P24" ca="1">IF($J24&lt;&gt;"",IF(INDIRECT($H24&amp;"!"&amp;$O24)&lt;&gt;"",INDIRECT($H24&amp;"!"&amp;$O24),""),"")</f>
        <v/>
      </c>
      <c r="Q24" s="146" t="str">
        <f t="shared" ca="1" si="3"/>
        <v/>
      </c>
      <c r="R24" s="146" t="str" cm="1">
        <f t="array" aca="1" ref="R24" ca="1">IF($J24&lt;&gt;"",IF(INDIRECT($H24&amp;"!"&amp;$Q24)&lt;&gt;"",INDIRECT($H24&amp;"!"&amp;$Q24),""),"")</f>
        <v/>
      </c>
      <c r="S24" s="146" t="str">
        <f t="shared" ca="1" si="4"/>
        <v/>
      </c>
      <c r="T24" s="146" t="str" cm="1">
        <f t="array" aca="1" ref="T24" ca="1">IF($J24&lt;&gt;"",IF(INDIRECT($H24&amp;"!"&amp;$S24)&lt;&gt;"",INDIRECT($H24&amp;"!"&amp;$S24),""),"")</f>
        <v/>
      </c>
      <c r="U24" s="146" t="str">
        <f t="shared" ca="1" si="5"/>
        <v/>
      </c>
      <c r="V24" s="147" t="str" cm="1">
        <f t="array" aca="1" ref="V24" ca="1">IF($J24&lt;&gt;"",IF(INDIRECT($H24&amp;"!"&amp;$U24)&lt;&gt;"",INDIRECT($H24&amp;"!"&amp;$U24),""),"")</f>
        <v/>
      </c>
      <c r="W24" s="294" t="str">
        <f t="shared" ca="1" si="7"/>
        <v/>
      </c>
      <c r="X24" s="295" t="str">
        <f t="shared" ca="1" si="8"/>
        <v/>
      </c>
      <c r="Y24" s="296" t="str" cm="1">
        <f t="array" aca="1" ref="Y24" ca="1">IF($H24&lt;&gt;"",IF(INDIRECT($H24&amp;"!"&amp;$W24&amp;($X24+Y$15+1))&lt;&gt;"",INDIRECT($H24&amp;"!"&amp;$W24&amp;($X24+Y$15+1)),""),"")</f>
        <v/>
      </c>
      <c r="Z24" s="296" t="str" cm="1">
        <f t="array" aca="1" ref="Z24" ca="1">IF($H24&lt;&gt;"",IF(INDIRECT($H24&amp;"!"&amp;$W24&amp;($X24+Z$15+1))&lt;&gt;"",INDIRECT($H24&amp;"!"&amp;$W24&amp;($X24+Z$15+1)),""),"")</f>
        <v/>
      </c>
      <c r="AA24" s="296" t="str" cm="1">
        <f t="array" aca="1" ref="AA24" ca="1">IF($H24&lt;&gt;"",IF(INDIRECT($H24&amp;"!"&amp;$W24&amp;($X24+AA$15+1))&lt;&gt;"",INDIRECT($H24&amp;"!"&amp;$W24&amp;($X24+AA$15+1)),""),"")</f>
        <v/>
      </c>
      <c r="AB24" s="296" t="str" cm="1">
        <f t="array" aca="1" ref="AB24" ca="1">IF($H24&lt;&gt;"",IF(INDIRECT($H24&amp;"!"&amp;$W24&amp;($X24+AB$15+1))&lt;&gt;"",INDIRECT($H24&amp;"!"&amp;$W24&amp;($X24+AB$15+1)),""),"")</f>
        <v/>
      </c>
      <c r="AC24" s="296" t="str" cm="1">
        <f t="array" aca="1" ref="AC24" ca="1">IF(LEFT($J24,5)="Sonde","",IF($H24&lt;&gt;"",IF(INDIRECT($H24&amp;"!"&amp;$W24&amp;($X24+AC$15+1))&lt;&gt;"",INDIRECT($H24&amp;"!"&amp;$W24&amp;($X24+AC$15+1)),""),""))</f>
        <v/>
      </c>
      <c r="AD24" s="296" t="str" cm="1">
        <f t="array" aca="1" ref="AD24" ca="1">IF(OR($J24="Pluviomètre",LEFT($J24,5)="Sonde"),"",IF($H24&lt;&gt;"",IF(INDIRECT($H24&amp;"!"&amp;$W24&amp;($X24+AD$15+1))&lt;&gt;"",INDIRECT($H24&amp;"!"&amp;$W24&amp;($X24+AD$15+1)),""),""))</f>
        <v/>
      </c>
      <c r="AE24" s="296" t="str" cm="1">
        <f t="array" aca="1" ref="AE24" ca="1">IF(OR($J24="Pluviomètre",LEFT($J24,5)="Sonde"),"",IF($H24&lt;&gt;"",IF(INDIRECT($H24&amp;"!"&amp;$W24&amp;($X24+AE$15+1))&lt;&gt;"",INDIRECT($H24&amp;"!"&amp;$W24&amp;($X24+AE$15+1)),""),""))</f>
        <v/>
      </c>
      <c r="AF24" s="296" t="str" cm="1">
        <f t="array" aca="1" ref="AF24" ca="1">IF(OR($J24="Pluviomètre",LEFT($J24,5)="Sonde"),"",IF($H24&lt;&gt;"",IF(INDIRECT($H24&amp;"!"&amp;$W24&amp;($X24+AF$15+1))&lt;&gt;"",INDIRECT($H24&amp;"!"&amp;$W24&amp;($X24+AF$15+1)),""),""))</f>
        <v/>
      </c>
      <c r="AG24" s="296" t="str" cm="1">
        <f t="array" aca="1" ref="AG24" ca="1">IF(OR($J24="Pluviomètre",LEFT($J24,5)="Sonde"),"",IF($H24&lt;&gt;"",IF(INDIRECT($H24&amp;"!"&amp;$W24&amp;($X24+AG$15+1))&lt;&gt;"",INDIRECT($H24&amp;"!"&amp;$W24&amp;($X24+AG$15+1)),""),""))</f>
        <v/>
      </c>
      <c r="AH24" s="296" t="str" cm="1">
        <f t="array" aca="1" ref="AH24" ca="1">IF(OR($J24="Pluviomètre",LEFT($J24,5)="Sonde"),"",IF($H24&lt;&gt;"",IF(INDIRECT($H24&amp;"!"&amp;$W24&amp;($X24+AH$15+1))&lt;&gt;"",INDIRECT($H24&amp;"!"&amp;$W24&amp;($X24+AH$15+1)),""),""))</f>
        <v/>
      </c>
      <c r="AI24" s="294" t="str">
        <f t="shared" ca="1" si="9"/>
        <v/>
      </c>
      <c r="AJ24" s="295" t="str">
        <f t="shared" ca="1" si="10"/>
        <v/>
      </c>
      <c r="AK24" s="296" t="str" cm="1">
        <f t="array" aca="1" ref="AK24" ca="1">IF($H24&lt;&gt;"",IF(INDIRECT($H24&amp;"!"&amp;$AI24&amp;($AJ24+AK$15+1))&lt;&gt;"",INDIRECT($H24&amp;"!"&amp;$AI24&amp;($AJ24+AK$15+1)),""),"")</f>
        <v/>
      </c>
      <c r="AL24" s="296" t="str" cm="1">
        <f t="array" aca="1" ref="AL24" ca="1">IF($H24&lt;&gt;"",IF(INDIRECT($H24&amp;"!"&amp;$AI24&amp;($AJ24+AL$15+1))&lt;&gt;"",INDIRECT($H24&amp;"!"&amp;$AI24&amp;($AJ24+AL$15+1)),""),"")</f>
        <v/>
      </c>
      <c r="AM24" s="296" t="str" cm="1">
        <f t="array" aca="1" ref="AM24" ca="1">IF($H24&lt;&gt;"",IF(INDIRECT($H24&amp;"!"&amp;$AI24&amp;($AJ24+AM$15+1))&lt;&gt;"",INDIRECT($H24&amp;"!"&amp;$AI24&amp;($AJ24+AM$15+1)),""),"")</f>
        <v/>
      </c>
      <c r="AN24" s="296" t="str" cm="1">
        <f t="array" aca="1" ref="AN24" ca="1">IF($H24&lt;&gt;"",IF(INDIRECT($H24&amp;"!"&amp;$AI24&amp;($AJ24+AN$15+1))&lt;&gt;"",INDIRECT($H24&amp;"!"&amp;$AI24&amp;($AJ24+AN$15+1)),""),"")</f>
        <v/>
      </c>
      <c r="AO24" s="296" t="str" cm="1">
        <f t="array" aca="1" ref="AO24" ca="1">IF(LEFT($J24,5)="Sonde","",IF($H24&lt;&gt;"",IF(INDIRECT($H24&amp;"!"&amp;$AI24&amp;($AJ24+AO$15+1))&lt;&gt;"",INDIRECT($H24&amp;"!"&amp;$AI24&amp;($AJ24+AO$15+1)),""),""))</f>
        <v/>
      </c>
      <c r="AP24" s="296" t="str" cm="1">
        <f t="array" aca="1" ref="AP24" ca="1">IF(OR($J24="Pluviomètre",LEFT($J24,5)="Sonde"),"",IF($H24&lt;&gt;"",IF(INDIRECT($H24&amp;"!"&amp;$AI24&amp;($AJ24+AP$15+1))&lt;&gt;"",INDIRECT($H24&amp;"!"&amp;$AI24&amp;($AJ24+AP$15+1)),""),""))</f>
        <v/>
      </c>
      <c r="AQ24" s="296" t="str" cm="1">
        <f t="array" aca="1" ref="AQ24" ca="1">IF(OR($J24="Pluviomètre",LEFT($J24,5)="Sonde"),"",IF($H24&lt;&gt;"",IF(INDIRECT($H24&amp;"!"&amp;$AI24&amp;($AJ24+AQ$15+1))&lt;&gt;"",INDIRECT($H24&amp;"!"&amp;$AI24&amp;($AJ24+AQ$15+1)),""),""))</f>
        <v/>
      </c>
      <c r="AR24" s="296" t="str" cm="1">
        <f t="array" aca="1" ref="AR24" ca="1">IF(OR($J24="Pluviomètre",LEFT($J24,5)="Sonde"),"",IF($H24&lt;&gt;"",IF(INDIRECT($H24&amp;"!"&amp;$AI24&amp;($AJ24+AR$15+1))&lt;&gt;"",INDIRECT($H24&amp;"!"&amp;$AI24&amp;($AJ24+AR$15+1)),""),""))</f>
        <v/>
      </c>
      <c r="AS24" s="296" t="str" cm="1">
        <f t="array" aca="1" ref="AS24" ca="1">IF(OR($J24="Pluviomètre",LEFT($J24,5)="Sonde"),"",IF($H24&lt;&gt;"",IF(INDIRECT($H24&amp;"!"&amp;$AI24&amp;($AJ24+AS$15+1))&lt;&gt;"",INDIRECT($H24&amp;"!"&amp;$AI24&amp;($AJ24+AS$15+1)),""),""))</f>
        <v/>
      </c>
      <c r="AT24" s="296" t="str" cm="1">
        <f t="array" aca="1" ref="AT24" ca="1">IF(OR($J24="Pluviomètre",LEFT($J24,5)="Sonde"),"",IF($H24&lt;&gt;"",IF(INDIRECT($H24&amp;"!"&amp;$AI24&amp;($AJ24+AT$15+1))&lt;&gt;"",INDIRECT($H24&amp;"!"&amp;$AI24&amp;($AJ24+AT$15+1)),""),""))</f>
        <v/>
      </c>
      <c r="AU24" s="412" cm="1">
        <f t="array" aca="1" ref="AU24" ca="1">SUMPRODUCT((Y24:AH24&lt;&gt;"")*(Y24:AH24&lt;&gt;"Non contrôlé")*(Y24:AH24&lt;&gt;"Non applicable"))</f>
        <v>0</v>
      </c>
      <c r="AV24" s="414">
        <f t="shared" ca="1" si="11"/>
        <v>-1</v>
      </c>
    </row>
    <row r="25" spans="1:48" x14ac:dyDescent="0.4">
      <c r="A25" s="80">
        <v>10</v>
      </c>
      <c r="B25" s="134" t="b">
        <f t="shared" si="6"/>
        <v>0</v>
      </c>
      <c r="C25" s="139" t="str" cm="1">
        <f t="array" aca="1" ref="C25" ca="1">IF(
    AND(
        $B25,
        OR(
            INDIRECT("Descriptif!$M"&amp;($B$1+$A25-1))="Préleveur",
            LEFT(INDIRECT("Descriptif!$M"&amp;($B$1+$A25-1)),5)="Sonde",
            LEFT(INDIRECT("Descriptif!$M"&amp;($B$1+$A25-1)),10)="Débitmètre",
            LEFT(INDIRECT("Descriptif!$F"&amp;($B$1+$A25-1)),6)="PLUVIO"        )
    ),
    INDIRECT("Descriptif!$"&amp;C$15&amp;($B$1 +$A25 -1)),
    ""
)</f>
        <v/>
      </c>
      <c r="D25" s="277" t="str" cm="1">
        <f t="array" aca="1" ref="D25" ca="1">IF(
    AND(
        $B25,
        OR(
            INDIRECT("Descriptif!$M"&amp;($B$1+$A25-1))="Préleveur",
            LEFT(INDIRECT("Descriptif!$M"&amp;($B$1+$A25-1)),5)="Sonde",
            LEFT(INDIRECT("Descriptif!$M"&amp;($B$1+$A25-1)),10)="Débitmètre",
            LEFT(INDIRECT("Descriptif!$F"&amp;($B$1+$A25-1)),6)="PLUVIO"       )
    ),
    IF(
        LEFT(INDIRECT("Descriptif!$F"&amp;($B$1+$A25-1)),11)="PLUVIO_STEU",
        "A3",
        IF(
            LEFT(INDIRECT("Descriptif!$F"&amp;($B$1+$A25-1)),10)="PLUVIO_SCL",
            "A1",
            INDIRECT("Descriptif!$"&amp;D$15&amp;($B$1 +$A25 -1))
        )
    ),
    ""
)</f>
        <v/>
      </c>
      <c r="E25" s="277" t="str" cm="1">
        <f t="array" aca="1" ref="E25" ca="1">IF(
    AND(
        $B25,
        OR(
            INDIRECT("Descriptif!$M"&amp;($B$1+$A25-1))="Préleveur",
            LEFT(INDIRECT("Descriptif!$M"&amp;($B$1+$A25-1)),5)="Sonde",
            LEFT(INDIRECT("Descriptif!$M"&amp;($B$1+$A25-1)),10)="Débitmètre",
            LEFT(INDIRECT("Descriptif!$F"&amp;($B$1+$A25-1)),6)="PLUVIO"
        )
    ),
    IF(LEFT(INDIRECT("Descriptif!$F"&amp;($B$1+$A25-1)),6)="PLUVIO","Pluviomètre",INDIRECT("Descriptif!$"&amp;E$15&amp;($B$1 +$A25 -1))),
    ""
)</f>
        <v/>
      </c>
      <c r="F25" s="19" t="str" cm="1">
        <f t="array" aca="1" ref="F25" ca="1">IF(
    AND(
        $B25,
        OR(
            INDIRECT("Descriptif!$M"&amp;($B$1+$A25-1))="Préleveur",
            LEFT(INDIRECT("Descriptif!$M"&amp;($B$1+$A25-1)),5)="Sonde",
            LEFT(INDIRECT("Descriptif!$M"&amp;($B$1+$A25-1)),10)="Débitmètre",
            LEFT(INDIRECT("Descriptif!$F"&amp;($B$1+$A25-1)),6)="PLUVIO"
        )
    ),
    IF(LEFT(INDIRECT("Descriptif!$F"&amp;($B$1+$A25-1)),6)="PLUVIO","Pluviomètre",INDIRECT("Descriptif!$"&amp;F$15&amp;($B$1 +$A25 -1))),
    ""
)</f>
        <v/>
      </c>
      <c r="G25" s="19" t="str" cm="1">
        <f t="array" aca="1" ref="G25" ca="1">IF(
    AND(
        $B25,
        OR(
            INDIRECT("Descriptif!$M"&amp;($B$1+$A25-1))="Préleveur",
            LEFT(INDIRECT("Descriptif!$M"&amp;($B$1+$A25-1)),5)="Sonde",
            LEFT(INDIRECT("Descriptif!$M"&amp;($B$1+$A25-1)),10)="Débitmètre",
            LEFT(INDIRECT("Descriptif!$F"&amp;($B$1+$A25-1)),6)="PLUVIO"
        )
    ),
    IF(LEFT(INDIRECT("Descriptif!$F"&amp;($B$1+$A25-1)),6)="PLUVIO","",INDIRECT("Descriptif!$"&amp;G$15&amp;($B$1 +$A25 -1))),
    ""
)</f>
        <v/>
      </c>
      <c r="H25" s="141" t="str" cm="1">
        <f t="array" aca="1" ref="H25" ca="1">IFERROR(INDEX($C$16:$C$116,SMALL(IF($C$16:$C$116&lt;&gt;"",ROW($C$16:$C$116)-ROW($C$16)+1),ROW(A10))),"")</f>
        <v/>
      </c>
      <c r="I25" s="140" t="str" cm="1">
        <f t="array" aca="1" ref="I25" ca="1">IFERROR(INDEX($D$16:$D$116,SMALL(IF($D$16:$D$116&lt;&gt;"",ROW($D$16:$D$116)-ROW($D$16)+1),ROW(A10))),"")</f>
        <v/>
      </c>
      <c r="J25" s="140" t="str" cm="1">
        <f t="array" aca="1" ref="J25" ca="1">IFERROR(INDEX($E$16:$E$116,SMALL(IF($E$16:$E$116&lt;&gt;"",ROW($E$16:$E$116)-ROW($E$16)+1),ROW(A10))),"")</f>
        <v/>
      </c>
      <c r="K25" s="140" t="str" cm="1">
        <f t="array" aca="1" ref="K25" ca="1">IFERROR(INDEX($F$16:$F$116,SMALL(IF($F$16:$F$116&lt;&gt;"",ROW($F$16:$F$116)-ROW($F$16)+1),ROW(A10))),"")</f>
        <v/>
      </c>
      <c r="L25" s="140" t="str">
        <f t="shared" ca="1" si="0"/>
        <v/>
      </c>
      <c r="M25" s="140" t="str" cm="1">
        <f t="array" aca="1" ref="M25" ca="1">IFERROR(INDEX($G$16:$G$116,SMALL(IF($G$16:$G$116&lt;&gt;"",ROW($G$16:$G$116)-ROW($G$16)+1),ROW(A10))),"")</f>
        <v/>
      </c>
      <c r="N25" s="145" t="str">
        <f t="shared" ca="1" si="1"/>
        <v/>
      </c>
      <c r="O25" s="146" t="str">
        <f t="shared" ca="1" si="2"/>
        <v/>
      </c>
      <c r="P25" s="146" t="str" cm="1">
        <f t="array" aca="1" ref="P25" ca="1">IF($J25&lt;&gt;"",IF(INDIRECT($H25&amp;"!"&amp;$O25)&lt;&gt;"",INDIRECT($H25&amp;"!"&amp;$O25),""),"")</f>
        <v/>
      </c>
      <c r="Q25" s="146" t="str">
        <f t="shared" ca="1" si="3"/>
        <v/>
      </c>
      <c r="R25" s="146" t="str" cm="1">
        <f t="array" aca="1" ref="R25" ca="1">IF($J25&lt;&gt;"",IF(INDIRECT($H25&amp;"!"&amp;$Q25)&lt;&gt;"",INDIRECT($H25&amp;"!"&amp;$Q25),""),"")</f>
        <v/>
      </c>
      <c r="S25" s="146" t="str">
        <f t="shared" ca="1" si="4"/>
        <v/>
      </c>
      <c r="T25" s="146" t="str" cm="1">
        <f t="array" aca="1" ref="T25" ca="1">IF($J25&lt;&gt;"",IF(INDIRECT($H25&amp;"!"&amp;$S25)&lt;&gt;"",INDIRECT($H25&amp;"!"&amp;$S25),""),"")</f>
        <v/>
      </c>
      <c r="U25" s="146" t="str">
        <f t="shared" ca="1" si="5"/>
        <v/>
      </c>
      <c r="V25" s="147" t="str" cm="1">
        <f t="array" aca="1" ref="V25" ca="1">IF($J25&lt;&gt;"",IF(INDIRECT($H25&amp;"!"&amp;$U25)&lt;&gt;"",INDIRECT($H25&amp;"!"&amp;$U25),""),"")</f>
        <v/>
      </c>
      <c r="W25" s="294" t="str">
        <f t="shared" ca="1" si="7"/>
        <v/>
      </c>
      <c r="X25" s="295" t="str">
        <f t="shared" ca="1" si="8"/>
        <v/>
      </c>
      <c r="Y25" s="296" t="str" cm="1">
        <f t="array" aca="1" ref="Y25" ca="1">IF($H25&lt;&gt;"",IF(INDIRECT($H25&amp;"!"&amp;$W25&amp;($X25+Y$15+1))&lt;&gt;"",INDIRECT($H25&amp;"!"&amp;$W25&amp;($X25+Y$15+1)),""),"")</f>
        <v/>
      </c>
      <c r="Z25" s="296" t="str" cm="1">
        <f t="array" aca="1" ref="Z25" ca="1">IF($H25&lt;&gt;"",IF(INDIRECT($H25&amp;"!"&amp;$W25&amp;($X25+Z$15+1))&lt;&gt;"",INDIRECT($H25&amp;"!"&amp;$W25&amp;($X25+Z$15+1)),""),"")</f>
        <v/>
      </c>
      <c r="AA25" s="296" t="str" cm="1">
        <f t="array" aca="1" ref="AA25" ca="1">IF($H25&lt;&gt;"",IF(INDIRECT($H25&amp;"!"&amp;$W25&amp;($X25+AA$15+1))&lt;&gt;"",INDIRECT($H25&amp;"!"&amp;$W25&amp;($X25+AA$15+1)),""),"")</f>
        <v/>
      </c>
      <c r="AB25" s="296" t="str" cm="1">
        <f t="array" aca="1" ref="AB25" ca="1">IF($H25&lt;&gt;"",IF(INDIRECT($H25&amp;"!"&amp;$W25&amp;($X25+AB$15+1))&lt;&gt;"",INDIRECT($H25&amp;"!"&amp;$W25&amp;($X25+AB$15+1)),""),"")</f>
        <v/>
      </c>
      <c r="AC25" s="296" t="str" cm="1">
        <f t="array" aca="1" ref="AC25" ca="1">IF(LEFT($J25,5)="Sonde","",IF($H25&lt;&gt;"",IF(INDIRECT($H25&amp;"!"&amp;$W25&amp;($X25+AC$15+1))&lt;&gt;"",INDIRECT($H25&amp;"!"&amp;$W25&amp;($X25+AC$15+1)),""),""))</f>
        <v/>
      </c>
      <c r="AD25" s="296" t="str" cm="1">
        <f t="array" aca="1" ref="AD25" ca="1">IF(OR($J25="Pluviomètre",LEFT($J25,5)="Sonde"),"",IF($H25&lt;&gt;"",IF(INDIRECT($H25&amp;"!"&amp;$W25&amp;($X25+AD$15+1))&lt;&gt;"",INDIRECT($H25&amp;"!"&amp;$W25&amp;($X25+AD$15+1)),""),""))</f>
        <v/>
      </c>
      <c r="AE25" s="296" t="str" cm="1">
        <f t="array" aca="1" ref="AE25" ca="1">IF(OR($J25="Pluviomètre",LEFT($J25,5)="Sonde"),"",IF($H25&lt;&gt;"",IF(INDIRECT($H25&amp;"!"&amp;$W25&amp;($X25+AE$15+1))&lt;&gt;"",INDIRECT($H25&amp;"!"&amp;$W25&amp;($X25+AE$15+1)),""),""))</f>
        <v/>
      </c>
      <c r="AF25" s="296" t="str" cm="1">
        <f t="array" aca="1" ref="AF25" ca="1">IF(OR($J25="Pluviomètre",LEFT($J25,5)="Sonde"),"",IF($H25&lt;&gt;"",IF(INDIRECT($H25&amp;"!"&amp;$W25&amp;($X25+AF$15+1))&lt;&gt;"",INDIRECT($H25&amp;"!"&amp;$W25&amp;($X25+AF$15+1)),""),""))</f>
        <v/>
      </c>
      <c r="AG25" s="296" t="str" cm="1">
        <f t="array" aca="1" ref="AG25" ca="1">IF(OR($J25="Pluviomètre",LEFT($J25,5)="Sonde"),"",IF($H25&lt;&gt;"",IF(INDIRECT($H25&amp;"!"&amp;$W25&amp;($X25+AG$15+1))&lt;&gt;"",INDIRECT($H25&amp;"!"&amp;$W25&amp;($X25+AG$15+1)),""),""))</f>
        <v/>
      </c>
      <c r="AH25" s="296" t="str" cm="1">
        <f t="array" aca="1" ref="AH25" ca="1">IF(OR($J25="Pluviomètre",LEFT($J25,5)="Sonde"),"",IF($H25&lt;&gt;"",IF(INDIRECT($H25&amp;"!"&amp;$W25&amp;($X25+AH$15+1))&lt;&gt;"",INDIRECT($H25&amp;"!"&amp;$W25&amp;($X25+AH$15+1)),""),""))</f>
        <v/>
      </c>
      <c r="AI25" s="294" t="str">
        <f t="shared" ca="1" si="9"/>
        <v/>
      </c>
      <c r="AJ25" s="295" t="str">
        <f t="shared" ca="1" si="10"/>
        <v/>
      </c>
      <c r="AK25" s="296" t="str" cm="1">
        <f t="array" aca="1" ref="AK25" ca="1">IF($H25&lt;&gt;"",IF(INDIRECT($H25&amp;"!"&amp;$AI25&amp;($AJ25+AK$15+1))&lt;&gt;"",INDIRECT($H25&amp;"!"&amp;$AI25&amp;($AJ25+AK$15+1)),""),"")</f>
        <v/>
      </c>
      <c r="AL25" s="296" t="str" cm="1">
        <f t="array" aca="1" ref="AL25" ca="1">IF($H25&lt;&gt;"",IF(INDIRECT($H25&amp;"!"&amp;$AI25&amp;($AJ25+AL$15+1))&lt;&gt;"",INDIRECT($H25&amp;"!"&amp;$AI25&amp;($AJ25+AL$15+1)),""),"")</f>
        <v/>
      </c>
      <c r="AM25" s="296" t="str" cm="1">
        <f t="array" aca="1" ref="AM25" ca="1">IF($H25&lt;&gt;"",IF(INDIRECT($H25&amp;"!"&amp;$AI25&amp;($AJ25+AM$15+1))&lt;&gt;"",INDIRECT($H25&amp;"!"&amp;$AI25&amp;($AJ25+AM$15+1)),""),"")</f>
        <v/>
      </c>
      <c r="AN25" s="296" t="str" cm="1">
        <f t="array" aca="1" ref="AN25" ca="1">IF($H25&lt;&gt;"",IF(INDIRECT($H25&amp;"!"&amp;$AI25&amp;($AJ25+AN$15+1))&lt;&gt;"",INDIRECT($H25&amp;"!"&amp;$AI25&amp;($AJ25+AN$15+1)),""),"")</f>
        <v/>
      </c>
      <c r="AO25" s="296" t="str" cm="1">
        <f t="array" aca="1" ref="AO25" ca="1">IF(LEFT($J25,5)="Sonde","",IF($H25&lt;&gt;"",IF(INDIRECT($H25&amp;"!"&amp;$AI25&amp;($AJ25+AO$15+1))&lt;&gt;"",INDIRECT($H25&amp;"!"&amp;$AI25&amp;($AJ25+AO$15+1)),""),""))</f>
        <v/>
      </c>
      <c r="AP25" s="296" t="str" cm="1">
        <f t="array" aca="1" ref="AP25" ca="1">IF(OR($J25="Pluviomètre",LEFT($J25,5)="Sonde"),"",IF($H25&lt;&gt;"",IF(INDIRECT($H25&amp;"!"&amp;$AI25&amp;($AJ25+AP$15+1))&lt;&gt;"",INDIRECT($H25&amp;"!"&amp;$AI25&amp;($AJ25+AP$15+1)),""),""))</f>
        <v/>
      </c>
      <c r="AQ25" s="296" t="str" cm="1">
        <f t="array" aca="1" ref="AQ25" ca="1">IF(OR($J25="Pluviomètre",LEFT($J25,5)="Sonde"),"",IF($H25&lt;&gt;"",IF(INDIRECT($H25&amp;"!"&amp;$AI25&amp;($AJ25+AQ$15+1))&lt;&gt;"",INDIRECT($H25&amp;"!"&amp;$AI25&amp;($AJ25+AQ$15+1)),""),""))</f>
        <v/>
      </c>
      <c r="AR25" s="296" t="str" cm="1">
        <f t="array" aca="1" ref="AR25" ca="1">IF(OR($J25="Pluviomètre",LEFT($J25,5)="Sonde"),"",IF($H25&lt;&gt;"",IF(INDIRECT($H25&amp;"!"&amp;$AI25&amp;($AJ25+AR$15+1))&lt;&gt;"",INDIRECT($H25&amp;"!"&amp;$AI25&amp;($AJ25+AR$15+1)),""),""))</f>
        <v/>
      </c>
      <c r="AS25" s="296" t="str" cm="1">
        <f t="array" aca="1" ref="AS25" ca="1">IF(OR($J25="Pluviomètre",LEFT($J25,5)="Sonde"),"",IF($H25&lt;&gt;"",IF(INDIRECT($H25&amp;"!"&amp;$AI25&amp;($AJ25+AS$15+1))&lt;&gt;"",INDIRECT($H25&amp;"!"&amp;$AI25&amp;($AJ25+AS$15+1)),""),""))</f>
        <v/>
      </c>
      <c r="AT25" s="296" t="str" cm="1">
        <f t="array" aca="1" ref="AT25" ca="1">IF(OR($J25="Pluviomètre",LEFT($J25,5)="Sonde"),"",IF($H25&lt;&gt;"",IF(INDIRECT($H25&amp;"!"&amp;$AI25&amp;($AJ25+AT$15+1))&lt;&gt;"",INDIRECT($H25&amp;"!"&amp;$AI25&amp;($AJ25+AT$15+1)),""),""))</f>
        <v/>
      </c>
      <c r="AU25" s="412" cm="1">
        <f t="array" aca="1" ref="AU25" ca="1">SUMPRODUCT((Y25:AH25&lt;&gt;"")*(Y25:AH25&lt;&gt;"Non contrôlé")*(Y25:AH25&lt;&gt;"Non applicable"))</f>
        <v>0</v>
      </c>
      <c r="AV25" s="414">
        <f t="shared" ca="1" si="11"/>
        <v>-1</v>
      </c>
    </row>
    <row r="26" spans="1:48" x14ac:dyDescent="0.4">
      <c r="A26" s="80">
        <v>11</v>
      </c>
      <c r="B26" s="134" t="b">
        <f t="shared" si="6"/>
        <v>0</v>
      </c>
      <c r="C26" s="139" t="str" cm="1">
        <f t="array" aca="1" ref="C26" ca="1">IF(
    AND(
        $B26,
        OR(
            INDIRECT("Descriptif!$M"&amp;($B$1+$A26-1))="Préleveur",
            LEFT(INDIRECT("Descriptif!$M"&amp;($B$1+$A26-1)),5)="Sonde",
            LEFT(INDIRECT("Descriptif!$M"&amp;($B$1+$A26-1)),10)="Débitmètre",
            LEFT(INDIRECT("Descriptif!$F"&amp;($B$1+$A26-1)),6)="PLUVIO"        )
    ),
    INDIRECT("Descriptif!$"&amp;C$15&amp;($B$1 +$A26 -1)),
    ""
)</f>
        <v/>
      </c>
      <c r="D26" s="277" t="str" cm="1">
        <f t="array" aca="1" ref="D26" ca="1">IF(
    AND(
        $B26,
        OR(
            INDIRECT("Descriptif!$M"&amp;($B$1+$A26-1))="Préleveur",
            LEFT(INDIRECT("Descriptif!$M"&amp;($B$1+$A26-1)),5)="Sonde",
            LEFT(INDIRECT("Descriptif!$M"&amp;($B$1+$A26-1)),10)="Débitmètre",
            LEFT(INDIRECT("Descriptif!$F"&amp;($B$1+$A26-1)),6)="PLUVIO"       )
    ),
    IF(
        LEFT(INDIRECT("Descriptif!$F"&amp;($B$1+$A26-1)),11)="PLUVIO_STEU",
        "A3",
        IF(
            LEFT(INDIRECT("Descriptif!$F"&amp;($B$1+$A26-1)),10)="PLUVIO_SCL",
            "A1",
            INDIRECT("Descriptif!$"&amp;D$15&amp;($B$1 +$A26 -1))
        )
    ),
    ""
)</f>
        <v/>
      </c>
      <c r="E26" s="277" t="str" cm="1">
        <f t="array" aca="1" ref="E26" ca="1">IF(
    AND(
        $B26,
        OR(
            INDIRECT("Descriptif!$M"&amp;($B$1+$A26-1))="Préleveur",
            LEFT(INDIRECT("Descriptif!$M"&amp;($B$1+$A26-1)),5)="Sonde",
            LEFT(INDIRECT("Descriptif!$M"&amp;($B$1+$A26-1)),10)="Débitmètre",
            LEFT(INDIRECT("Descriptif!$F"&amp;($B$1+$A26-1)),6)="PLUVIO"
        )
    ),
    IF(LEFT(INDIRECT("Descriptif!$F"&amp;($B$1+$A26-1)),6)="PLUVIO","Pluviomètre",INDIRECT("Descriptif!$"&amp;E$15&amp;($B$1 +$A26 -1))),
    ""
)</f>
        <v/>
      </c>
      <c r="F26" s="19" t="str" cm="1">
        <f t="array" aca="1" ref="F26" ca="1">IF(
    AND(
        $B26,
        OR(
            INDIRECT("Descriptif!$M"&amp;($B$1+$A26-1))="Préleveur",
            LEFT(INDIRECT("Descriptif!$M"&amp;($B$1+$A26-1)),5)="Sonde",
            LEFT(INDIRECT("Descriptif!$M"&amp;($B$1+$A26-1)),10)="Débitmètre",
            LEFT(INDIRECT("Descriptif!$F"&amp;($B$1+$A26-1)),6)="PLUVIO"
        )
    ),
    IF(LEFT(INDIRECT("Descriptif!$F"&amp;($B$1+$A26-1)),6)="PLUVIO","Pluviomètre",INDIRECT("Descriptif!$"&amp;F$15&amp;($B$1 +$A26 -1))),
    ""
)</f>
        <v/>
      </c>
      <c r="G26" s="19" t="str" cm="1">
        <f t="array" aca="1" ref="G26" ca="1">IF(
    AND(
        $B26,
        OR(
            INDIRECT("Descriptif!$M"&amp;($B$1+$A26-1))="Préleveur",
            LEFT(INDIRECT("Descriptif!$M"&amp;($B$1+$A26-1)),5)="Sonde",
            LEFT(INDIRECT("Descriptif!$M"&amp;($B$1+$A26-1)),10)="Débitmètre",
            LEFT(INDIRECT("Descriptif!$F"&amp;($B$1+$A26-1)),6)="PLUVIO"
        )
    ),
    IF(LEFT(INDIRECT("Descriptif!$F"&amp;($B$1+$A26-1)),6)="PLUVIO","",INDIRECT("Descriptif!$"&amp;G$15&amp;($B$1 +$A26 -1))),
    ""
)</f>
        <v/>
      </c>
      <c r="H26" s="141" t="str" cm="1">
        <f t="array" aca="1" ref="H26" ca="1">IFERROR(INDEX($C$16:$C$116,SMALL(IF($C$16:$C$116&lt;&gt;"",ROW($C$16:$C$116)-ROW($C$16)+1),ROW(A11))),"")</f>
        <v/>
      </c>
      <c r="I26" s="140" t="str" cm="1">
        <f t="array" aca="1" ref="I26" ca="1">IFERROR(INDEX($D$16:$D$116,SMALL(IF($D$16:$D$116&lt;&gt;"",ROW($D$16:$D$116)-ROW($D$16)+1),ROW(A11))),"")</f>
        <v/>
      </c>
      <c r="J26" s="140" t="str" cm="1">
        <f t="array" aca="1" ref="J26" ca="1">IFERROR(INDEX($E$16:$E$116,SMALL(IF($E$16:$E$116&lt;&gt;"",ROW($E$16:$E$116)-ROW($E$16)+1),ROW(A11))),"")</f>
        <v/>
      </c>
      <c r="K26" s="140" t="str" cm="1">
        <f t="array" aca="1" ref="K26" ca="1">IFERROR(INDEX($F$16:$F$116,SMALL(IF($F$16:$F$116&lt;&gt;"",ROW($F$16:$F$116)-ROW($F$16)+1),ROW(A11))),"")</f>
        <v/>
      </c>
      <c r="L26" s="140" t="str">
        <f t="shared" ca="1" si="0"/>
        <v/>
      </c>
      <c r="M26" s="140" t="str" cm="1">
        <f t="array" aca="1" ref="M26" ca="1">IFERROR(INDEX($G$16:$G$116,SMALL(IF($G$16:$G$116&lt;&gt;"",ROW($G$16:$G$116)-ROW($G$16)+1),ROW(A11))),"")</f>
        <v/>
      </c>
      <c r="N26" s="145" t="str">
        <f t="shared" ca="1" si="1"/>
        <v/>
      </c>
      <c r="O26" s="146" t="str">
        <f t="shared" ca="1" si="2"/>
        <v/>
      </c>
      <c r="P26" s="146" t="str" cm="1">
        <f t="array" aca="1" ref="P26" ca="1">IF($J26&lt;&gt;"",IF(INDIRECT($H26&amp;"!"&amp;$O26)&lt;&gt;"",INDIRECT($H26&amp;"!"&amp;$O26),""),"")</f>
        <v/>
      </c>
      <c r="Q26" s="146" t="str">
        <f t="shared" ca="1" si="3"/>
        <v/>
      </c>
      <c r="R26" s="146" t="str" cm="1">
        <f t="array" aca="1" ref="R26" ca="1">IF($J26&lt;&gt;"",IF(INDIRECT($H26&amp;"!"&amp;$Q26)&lt;&gt;"",INDIRECT($H26&amp;"!"&amp;$Q26),""),"")</f>
        <v/>
      </c>
      <c r="S26" s="146" t="str">
        <f t="shared" ca="1" si="4"/>
        <v/>
      </c>
      <c r="T26" s="146" t="str" cm="1">
        <f t="array" aca="1" ref="T26" ca="1">IF($J26&lt;&gt;"",IF(INDIRECT($H26&amp;"!"&amp;$S26)&lt;&gt;"",INDIRECT($H26&amp;"!"&amp;$S26),""),"")</f>
        <v/>
      </c>
      <c r="U26" s="146" t="str">
        <f t="shared" ca="1" si="5"/>
        <v/>
      </c>
      <c r="V26" s="147" t="str" cm="1">
        <f t="array" aca="1" ref="V26" ca="1">IF($J26&lt;&gt;"",IF(INDIRECT($H26&amp;"!"&amp;$U26)&lt;&gt;"",INDIRECT($H26&amp;"!"&amp;$U26),""),"")</f>
        <v/>
      </c>
      <c r="W26" s="294" t="str">
        <f t="shared" ca="1" si="7"/>
        <v/>
      </c>
      <c r="X26" s="295" t="str">
        <f t="shared" ca="1" si="8"/>
        <v/>
      </c>
      <c r="Y26" s="296" t="str" cm="1">
        <f t="array" aca="1" ref="Y26" ca="1">IF($H26&lt;&gt;"",IF(INDIRECT($H26&amp;"!"&amp;$W26&amp;($X26+Y$15+1))&lt;&gt;"",INDIRECT($H26&amp;"!"&amp;$W26&amp;($X26+Y$15+1)),""),"")</f>
        <v/>
      </c>
      <c r="Z26" s="296" t="str" cm="1">
        <f t="array" aca="1" ref="Z26" ca="1">IF($H26&lt;&gt;"",IF(INDIRECT($H26&amp;"!"&amp;$W26&amp;($X26+Z$15+1))&lt;&gt;"",INDIRECT($H26&amp;"!"&amp;$W26&amp;($X26+Z$15+1)),""),"")</f>
        <v/>
      </c>
      <c r="AA26" s="296" t="str" cm="1">
        <f t="array" aca="1" ref="AA26" ca="1">IF($H26&lt;&gt;"",IF(INDIRECT($H26&amp;"!"&amp;$W26&amp;($X26+AA$15+1))&lt;&gt;"",INDIRECT($H26&amp;"!"&amp;$W26&amp;($X26+AA$15+1)),""),"")</f>
        <v/>
      </c>
      <c r="AB26" s="296" t="str" cm="1">
        <f t="array" aca="1" ref="AB26" ca="1">IF($H26&lt;&gt;"",IF(INDIRECT($H26&amp;"!"&amp;$W26&amp;($X26+AB$15+1))&lt;&gt;"",INDIRECT($H26&amp;"!"&amp;$W26&amp;($X26+AB$15+1)),""),"")</f>
        <v/>
      </c>
      <c r="AC26" s="296" t="str" cm="1">
        <f t="array" aca="1" ref="AC26" ca="1">IF(LEFT($J26,5)="Sonde","",IF($H26&lt;&gt;"",IF(INDIRECT($H26&amp;"!"&amp;$W26&amp;($X26+AC$15+1))&lt;&gt;"",INDIRECT($H26&amp;"!"&amp;$W26&amp;($X26+AC$15+1)),""),""))</f>
        <v/>
      </c>
      <c r="AD26" s="296" t="str" cm="1">
        <f t="array" aca="1" ref="AD26" ca="1">IF(OR($J26="Pluviomètre",LEFT($J26,5)="Sonde"),"",IF($H26&lt;&gt;"",IF(INDIRECT($H26&amp;"!"&amp;$W26&amp;($X26+AD$15+1))&lt;&gt;"",INDIRECT($H26&amp;"!"&amp;$W26&amp;($X26+AD$15+1)),""),""))</f>
        <v/>
      </c>
      <c r="AE26" s="296" t="str" cm="1">
        <f t="array" aca="1" ref="AE26" ca="1">IF(OR($J26="Pluviomètre",LEFT($J26,5)="Sonde"),"",IF($H26&lt;&gt;"",IF(INDIRECT($H26&amp;"!"&amp;$W26&amp;($X26+AE$15+1))&lt;&gt;"",INDIRECT($H26&amp;"!"&amp;$W26&amp;($X26+AE$15+1)),""),""))</f>
        <v/>
      </c>
      <c r="AF26" s="296" t="str" cm="1">
        <f t="array" aca="1" ref="AF26" ca="1">IF(OR($J26="Pluviomètre",LEFT($J26,5)="Sonde"),"",IF($H26&lt;&gt;"",IF(INDIRECT($H26&amp;"!"&amp;$W26&amp;($X26+AF$15+1))&lt;&gt;"",INDIRECT($H26&amp;"!"&amp;$W26&amp;($X26+AF$15+1)),""),""))</f>
        <v/>
      </c>
      <c r="AG26" s="296" t="str" cm="1">
        <f t="array" aca="1" ref="AG26" ca="1">IF(OR($J26="Pluviomètre",LEFT($J26,5)="Sonde"),"",IF($H26&lt;&gt;"",IF(INDIRECT($H26&amp;"!"&amp;$W26&amp;($X26+AG$15+1))&lt;&gt;"",INDIRECT($H26&amp;"!"&amp;$W26&amp;($X26+AG$15+1)),""),""))</f>
        <v/>
      </c>
      <c r="AH26" s="296" t="str" cm="1">
        <f t="array" aca="1" ref="AH26" ca="1">IF(OR($J26="Pluviomètre",LEFT($J26,5)="Sonde"),"",IF($H26&lt;&gt;"",IF(INDIRECT($H26&amp;"!"&amp;$W26&amp;($X26+AH$15+1))&lt;&gt;"",INDIRECT($H26&amp;"!"&amp;$W26&amp;($X26+AH$15+1)),""),""))</f>
        <v/>
      </c>
      <c r="AI26" s="294" t="str">
        <f t="shared" ca="1" si="9"/>
        <v/>
      </c>
      <c r="AJ26" s="295" t="str">
        <f t="shared" ca="1" si="10"/>
        <v/>
      </c>
      <c r="AK26" s="296" t="str" cm="1">
        <f t="array" aca="1" ref="AK26" ca="1">IF($H26&lt;&gt;"",IF(INDIRECT($H26&amp;"!"&amp;$AI26&amp;($AJ26+AK$15+1))&lt;&gt;"",INDIRECT($H26&amp;"!"&amp;$AI26&amp;($AJ26+AK$15+1)),""),"")</f>
        <v/>
      </c>
      <c r="AL26" s="296" t="str" cm="1">
        <f t="array" aca="1" ref="AL26" ca="1">IF($H26&lt;&gt;"",IF(INDIRECT($H26&amp;"!"&amp;$AI26&amp;($AJ26+AL$15+1))&lt;&gt;"",INDIRECT($H26&amp;"!"&amp;$AI26&amp;($AJ26+AL$15+1)),""),"")</f>
        <v/>
      </c>
      <c r="AM26" s="296" t="str" cm="1">
        <f t="array" aca="1" ref="AM26" ca="1">IF($H26&lt;&gt;"",IF(INDIRECT($H26&amp;"!"&amp;$AI26&amp;($AJ26+AM$15+1))&lt;&gt;"",INDIRECT($H26&amp;"!"&amp;$AI26&amp;($AJ26+AM$15+1)),""),"")</f>
        <v/>
      </c>
      <c r="AN26" s="296" t="str" cm="1">
        <f t="array" aca="1" ref="AN26" ca="1">IF($H26&lt;&gt;"",IF(INDIRECT($H26&amp;"!"&amp;$AI26&amp;($AJ26+AN$15+1))&lt;&gt;"",INDIRECT($H26&amp;"!"&amp;$AI26&amp;($AJ26+AN$15+1)),""),"")</f>
        <v/>
      </c>
      <c r="AO26" s="296" t="str" cm="1">
        <f t="array" aca="1" ref="AO26" ca="1">IF(LEFT($J26,5)="Sonde","",IF($H26&lt;&gt;"",IF(INDIRECT($H26&amp;"!"&amp;$AI26&amp;($AJ26+AO$15+1))&lt;&gt;"",INDIRECT($H26&amp;"!"&amp;$AI26&amp;($AJ26+AO$15+1)),""),""))</f>
        <v/>
      </c>
      <c r="AP26" s="296" t="str" cm="1">
        <f t="array" aca="1" ref="AP26" ca="1">IF(OR($J26="Pluviomètre",LEFT($J26,5)="Sonde"),"",IF($H26&lt;&gt;"",IF(INDIRECT($H26&amp;"!"&amp;$AI26&amp;($AJ26+AP$15+1))&lt;&gt;"",INDIRECT($H26&amp;"!"&amp;$AI26&amp;($AJ26+AP$15+1)),""),""))</f>
        <v/>
      </c>
      <c r="AQ26" s="296" t="str" cm="1">
        <f t="array" aca="1" ref="AQ26" ca="1">IF(OR($J26="Pluviomètre",LEFT($J26,5)="Sonde"),"",IF($H26&lt;&gt;"",IF(INDIRECT($H26&amp;"!"&amp;$AI26&amp;($AJ26+AQ$15+1))&lt;&gt;"",INDIRECT($H26&amp;"!"&amp;$AI26&amp;($AJ26+AQ$15+1)),""),""))</f>
        <v/>
      </c>
      <c r="AR26" s="296" t="str" cm="1">
        <f t="array" aca="1" ref="AR26" ca="1">IF(OR($J26="Pluviomètre",LEFT($J26,5)="Sonde"),"",IF($H26&lt;&gt;"",IF(INDIRECT($H26&amp;"!"&amp;$AI26&amp;($AJ26+AR$15+1))&lt;&gt;"",INDIRECT($H26&amp;"!"&amp;$AI26&amp;($AJ26+AR$15+1)),""),""))</f>
        <v/>
      </c>
      <c r="AS26" s="296" t="str" cm="1">
        <f t="array" aca="1" ref="AS26" ca="1">IF(OR($J26="Pluviomètre",LEFT($J26,5)="Sonde"),"",IF($H26&lt;&gt;"",IF(INDIRECT($H26&amp;"!"&amp;$AI26&amp;($AJ26+AS$15+1))&lt;&gt;"",INDIRECT($H26&amp;"!"&amp;$AI26&amp;($AJ26+AS$15+1)),""),""))</f>
        <v/>
      </c>
      <c r="AT26" s="296" t="str" cm="1">
        <f t="array" aca="1" ref="AT26" ca="1">IF(OR($J26="Pluviomètre",LEFT($J26,5)="Sonde"),"",IF($H26&lt;&gt;"",IF(INDIRECT($H26&amp;"!"&amp;$AI26&amp;($AJ26+AT$15+1))&lt;&gt;"",INDIRECT($H26&amp;"!"&amp;$AI26&amp;($AJ26+AT$15+1)),""),""))</f>
        <v/>
      </c>
      <c r="AU26" s="412" cm="1">
        <f t="array" aca="1" ref="AU26" ca="1">SUMPRODUCT((Y26:AH26&lt;&gt;"")*(Y26:AH26&lt;&gt;"Non contrôlé")*(Y26:AH26&lt;&gt;"Non applicable"))</f>
        <v>0</v>
      </c>
      <c r="AV26" s="414">
        <f t="shared" ca="1" si="11"/>
        <v>-1</v>
      </c>
    </row>
    <row r="27" spans="1:48" x14ac:dyDescent="0.4">
      <c r="A27" s="80">
        <v>12</v>
      </c>
      <c r="B27" s="134" t="b">
        <f t="shared" si="6"/>
        <v>0</v>
      </c>
      <c r="C27" s="139" t="str" cm="1">
        <f t="array" aca="1" ref="C27" ca="1">IF(
    AND(
        $B27,
        OR(
            INDIRECT("Descriptif!$M"&amp;($B$1+$A27-1))="Préleveur",
            LEFT(INDIRECT("Descriptif!$M"&amp;($B$1+$A27-1)),5)="Sonde",
            LEFT(INDIRECT("Descriptif!$M"&amp;($B$1+$A27-1)),10)="Débitmètre",
            LEFT(INDIRECT("Descriptif!$F"&amp;($B$1+$A27-1)),6)="PLUVIO"        )
    ),
    INDIRECT("Descriptif!$"&amp;C$15&amp;($B$1 +$A27 -1)),
    ""
)</f>
        <v/>
      </c>
      <c r="D27" s="277" t="str" cm="1">
        <f t="array" aca="1" ref="D27" ca="1">IF(
    AND(
        $B27,
        OR(
            INDIRECT("Descriptif!$M"&amp;($B$1+$A27-1))="Préleveur",
            LEFT(INDIRECT("Descriptif!$M"&amp;($B$1+$A27-1)),5)="Sonde",
            LEFT(INDIRECT("Descriptif!$M"&amp;($B$1+$A27-1)),10)="Débitmètre",
            LEFT(INDIRECT("Descriptif!$F"&amp;($B$1+$A27-1)),6)="PLUVIO"       )
    ),
    IF(
        LEFT(INDIRECT("Descriptif!$F"&amp;($B$1+$A27-1)),11)="PLUVIO_STEU",
        "A3",
        IF(
            LEFT(INDIRECT("Descriptif!$F"&amp;($B$1+$A27-1)),10)="PLUVIO_SCL",
            "A1",
            INDIRECT("Descriptif!$"&amp;D$15&amp;($B$1 +$A27 -1))
        )
    ),
    ""
)</f>
        <v/>
      </c>
      <c r="E27" s="277" t="str" cm="1">
        <f t="array" aca="1" ref="E27" ca="1">IF(
    AND(
        $B27,
        OR(
            INDIRECT("Descriptif!$M"&amp;($B$1+$A27-1))="Préleveur",
            LEFT(INDIRECT("Descriptif!$M"&amp;($B$1+$A27-1)),5)="Sonde",
            LEFT(INDIRECT("Descriptif!$M"&amp;($B$1+$A27-1)),10)="Débitmètre",
            LEFT(INDIRECT("Descriptif!$F"&amp;($B$1+$A27-1)),6)="PLUVIO"
        )
    ),
    IF(LEFT(INDIRECT("Descriptif!$F"&amp;($B$1+$A27-1)),6)="PLUVIO","Pluviomètre",INDIRECT("Descriptif!$"&amp;E$15&amp;($B$1 +$A27 -1))),
    ""
)</f>
        <v/>
      </c>
      <c r="F27" s="19" t="str" cm="1">
        <f t="array" aca="1" ref="F27" ca="1">IF(
    AND(
        $B27,
        OR(
            INDIRECT("Descriptif!$M"&amp;($B$1+$A27-1))="Préleveur",
            LEFT(INDIRECT("Descriptif!$M"&amp;($B$1+$A27-1)),5)="Sonde",
            LEFT(INDIRECT("Descriptif!$M"&amp;($B$1+$A27-1)),10)="Débitmètre",
            LEFT(INDIRECT("Descriptif!$F"&amp;($B$1+$A27-1)),6)="PLUVIO"
        )
    ),
    IF(LEFT(INDIRECT("Descriptif!$F"&amp;($B$1+$A27-1)),6)="PLUVIO","Pluviomètre",INDIRECT("Descriptif!$"&amp;F$15&amp;($B$1 +$A27 -1))),
    ""
)</f>
        <v/>
      </c>
      <c r="G27" s="19" t="str" cm="1">
        <f t="array" aca="1" ref="G27" ca="1">IF(
    AND(
        $B27,
        OR(
            INDIRECT("Descriptif!$M"&amp;($B$1+$A27-1))="Préleveur",
            LEFT(INDIRECT("Descriptif!$M"&amp;($B$1+$A27-1)),5)="Sonde",
            LEFT(INDIRECT("Descriptif!$M"&amp;($B$1+$A27-1)),10)="Débitmètre",
            LEFT(INDIRECT("Descriptif!$F"&amp;($B$1+$A27-1)),6)="PLUVIO"
        )
    ),
    IF(LEFT(INDIRECT("Descriptif!$F"&amp;($B$1+$A27-1)),6)="PLUVIO","",INDIRECT("Descriptif!$"&amp;G$15&amp;($B$1 +$A27 -1))),
    ""
)</f>
        <v/>
      </c>
      <c r="H27" s="141" t="str" cm="1">
        <f t="array" aca="1" ref="H27" ca="1">IFERROR(INDEX($C$16:$C$116,SMALL(IF($C$16:$C$116&lt;&gt;"",ROW($C$16:$C$116)-ROW($C$16)+1),ROW(A12))),"")</f>
        <v/>
      </c>
      <c r="I27" s="140" t="str" cm="1">
        <f t="array" aca="1" ref="I27" ca="1">IFERROR(INDEX($D$16:$D$116,SMALL(IF($D$16:$D$116&lt;&gt;"",ROW($D$16:$D$116)-ROW($D$16)+1),ROW(A12))),"")</f>
        <v/>
      </c>
      <c r="J27" s="140" t="str" cm="1">
        <f t="array" aca="1" ref="J27" ca="1">IFERROR(INDEX($E$16:$E$116,SMALL(IF($E$16:$E$116&lt;&gt;"",ROW($E$16:$E$116)-ROW($E$16)+1),ROW(A12))),"")</f>
        <v/>
      </c>
      <c r="K27" s="140" t="str" cm="1">
        <f t="array" aca="1" ref="K27" ca="1">IFERROR(INDEX($F$16:$F$116,SMALL(IF($F$16:$F$116&lt;&gt;"",ROW($F$16:$F$116)-ROW($F$16)+1),ROW(A12))),"")</f>
        <v/>
      </c>
      <c r="L27" s="140" t="str">
        <f t="shared" ca="1" si="0"/>
        <v/>
      </c>
      <c r="M27" s="140" t="str" cm="1">
        <f t="array" aca="1" ref="M27" ca="1">IFERROR(INDEX($G$16:$G$116,SMALL(IF($G$16:$G$116&lt;&gt;"",ROW($G$16:$G$116)-ROW($G$16)+1),ROW(A12))),"")</f>
        <v/>
      </c>
      <c r="N27" s="145" t="str">
        <f t="shared" ca="1" si="1"/>
        <v/>
      </c>
      <c r="O27" s="146" t="str">
        <f t="shared" ca="1" si="2"/>
        <v/>
      </c>
      <c r="P27" s="146" t="str" cm="1">
        <f t="array" aca="1" ref="P27" ca="1">IF($J27&lt;&gt;"",IF(INDIRECT($H27&amp;"!"&amp;$O27)&lt;&gt;"",INDIRECT($H27&amp;"!"&amp;$O27),""),"")</f>
        <v/>
      </c>
      <c r="Q27" s="146" t="str">
        <f t="shared" ca="1" si="3"/>
        <v/>
      </c>
      <c r="R27" s="146" t="str" cm="1">
        <f t="array" aca="1" ref="R27" ca="1">IF($J27&lt;&gt;"",IF(INDIRECT($H27&amp;"!"&amp;$Q27)&lt;&gt;"",INDIRECT($H27&amp;"!"&amp;$Q27),""),"")</f>
        <v/>
      </c>
      <c r="S27" s="146" t="str">
        <f t="shared" ca="1" si="4"/>
        <v/>
      </c>
      <c r="T27" s="146" t="str" cm="1">
        <f t="array" aca="1" ref="T27" ca="1">IF($J27&lt;&gt;"",IF(INDIRECT($H27&amp;"!"&amp;$S27)&lt;&gt;"",INDIRECT($H27&amp;"!"&amp;$S27),""),"")</f>
        <v/>
      </c>
      <c r="U27" s="146" t="str">
        <f t="shared" ca="1" si="5"/>
        <v/>
      </c>
      <c r="V27" s="147" t="str" cm="1">
        <f t="array" aca="1" ref="V27" ca="1">IF($J27&lt;&gt;"",IF(INDIRECT($H27&amp;"!"&amp;$U27)&lt;&gt;"",INDIRECT($H27&amp;"!"&amp;$U27),""),"")</f>
        <v/>
      </c>
      <c r="W27" s="294" t="str">
        <f t="shared" ca="1" si="7"/>
        <v/>
      </c>
      <c r="X27" s="295" t="str">
        <f t="shared" ca="1" si="8"/>
        <v/>
      </c>
      <c r="Y27" s="296" t="str" cm="1">
        <f t="array" aca="1" ref="Y27" ca="1">IF($H27&lt;&gt;"",IF(INDIRECT($H27&amp;"!"&amp;$W27&amp;($X27+Y$15+1))&lt;&gt;"",INDIRECT($H27&amp;"!"&amp;$W27&amp;($X27+Y$15+1)),""),"")</f>
        <v/>
      </c>
      <c r="Z27" s="296" t="str" cm="1">
        <f t="array" aca="1" ref="Z27" ca="1">IF($H27&lt;&gt;"",IF(INDIRECT($H27&amp;"!"&amp;$W27&amp;($X27+Z$15+1))&lt;&gt;"",INDIRECT($H27&amp;"!"&amp;$W27&amp;($X27+Z$15+1)),""),"")</f>
        <v/>
      </c>
      <c r="AA27" s="296" t="str" cm="1">
        <f t="array" aca="1" ref="AA27" ca="1">IF($H27&lt;&gt;"",IF(INDIRECT($H27&amp;"!"&amp;$W27&amp;($X27+AA$15+1))&lt;&gt;"",INDIRECT($H27&amp;"!"&amp;$W27&amp;($X27+AA$15+1)),""),"")</f>
        <v/>
      </c>
      <c r="AB27" s="296" t="str" cm="1">
        <f t="array" aca="1" ref="AB27" ca="1">IF($H27&lt;&gt;"",IF(INDIRECT($H27&amp;"!"&amp;$W27&amp;($X27+AB$15+1))&lt;&gt;"",INDIRECT($H27&amp;"!"&amp;$W27&amp;($X27+AB$15+1)),""),"")</f>
        <v/>
      </c>
      <c r="AC27" s="296" t="str" cm="1">
        <f t="array" aca="1" ref="AC27" ca="1">IF(LEFT($J27,5)="Sonde","",IF($H27&lt;&gt;"",IF(INDIRECT($H27&amp;"!"&amp;$W27&amp;($X27+AC$15+1))&lt;&gt;"",INDIRECT($H27&amp;"!"&amp;$W27&amp;($X27+AC$15+1)),""),""))</f>
        <v/>
      </c>
      <c r="AD27" s="296" t="str" cm="1">
        <f t="array" aca="1" ref="AD27" ca="1">IF(OR($J27="Pluviomètre",LEFT($J27,5)="Sonde"),"",IF($H27&lt;&gt;"",IF(INDIRECT($H27&amp;"!"&amp;$W27&amp;($X27+AD$15+1))&lt;&gt;"",INDIRECT($H27&amp;"!"&amp;$W27&amp;($X27+AD$15+1)),""),""))</f>
        <v/>
      </c>
      <c r="AE27" s="296" t="str" cm="1">
        <f t="array" aca="1" ref="AE27" ca="1">IF(OR($J27="Pluviomètre",LEFT($J27,5)="Sonde"),"",IF($H27&lt;&gt;"",IF(INDIRECT($H27&amp;"!"&amp;$W27&amp;($X27+AE$15+1))&lt;&gt;"",INDIRECT($H27&amp;"!"&amp;$W27&amp;($X27+AE$15+1)),""),""))</f>
        <v/>
      </c>
      <c r="AF27" s="296" t="str" cm="1">
        <f t="array" aca="1" ref="AF27" ca="1">IF(OR($J27="Pluviomètre",LEFT($J27,5)="Sonde"),"",IF($H27&lt;&gt;"",IF(INDIRECT($H27&amp;"!"&amp;$W27&amp;($X27+AF$15+1))&lt;&gt;"",INDIRECT($H27&amp;"!"&amp;$W27&amp;($X27+AF$15+1)),""),""))</f>
        <v/>
      </c>
      <c r="AG27" s="296" t="str" cm="1">
        <f t="array" aca="1" ref="AG27" ca="1">IF(OR($J27="Pluviomètre",LEFT($J27,5)="Sonde"),"",IF($H27&lt;&gt;"",IF(INDIRECT($H27&amp;"!"&amp;$W27&amp;($X27+AG$15+1))&lt;&gt;"",INDIRECT($H27&amp;"!"&amp;$W27&amp;($X27+AG$15+1)),""),""))</f>
        <v/>
      </c>
      <c r="AH27" s="296" t="str" cm="1">
        <f t="array" aca="1" ref="AH27" ca="1">IF(OR($J27="Pluviomètre",LEFT($J27,5)="Sonde"),"",IF($H27&lt;&gt;"",IF(INDIRECT($H27&amp;"!"&amp;$W27&amp;($X27+AH$15+1))&lt;&gt;"",INDIRECT($H27&amp;"!"&amp;$W27&amp;($X27+AH$15+1)),""),""))</f>
        <v/>
      </c>
      <c r="AI27" s="294" t="str">
        <f t="shared" ca="1" si="9"/>
        <v/>
      </c>
      <c r="AJ27" s="295" t="str">
        <f t="shared" ca="1" si="10"/>
        <v/>
      </c>
      <c r="AK27" s="296" t="str" cm="1">
        <f t="array" aca="1" ref="AK27" ca="1">IF($H27&lt;&gt;"",IF(INDIRECT($H27&amp;"!"&amp;$AI27&amp;($AJ27+AK$15+1))&lt;&gt;"",INDIRECT($H27&amp;"!"&amp;$AI27&amp;($AJ27+AK$15+1)),""),"")</f>
        <v/>
      </c>
      <c r="AL27" s="296" t="str" cm="1">
        <f t="array" aca="1" ref="AL27" ca="1">IF($H27&lt;&gt;"",IF(INDIRECT($H27&amp;"!"&amp;$AI27&amp;($AJ27+AL$15+1))&lt;&gt;"",INDIRECT($H27&amp;"!"&amp;$AI27&amp;($AJ27+AL$15+1)),""),"")</f>
        <v/>
      </c>
      <c r="AM27" s="296" t="str" cm="1">
        <f t="array" aca="1" ref="AM27" ca="1">IF($H27&lt;&gt;"",IF(INDIRECT($H27&amp;"!"&amp;$AI27&amp;($AJ27+AM$15+1))&lt;&gt;"",INDIRECT($H27&amp;"!"&amp;$AI27&amp;($AJ27+AM$15+1)),""),"")</f>
        <v/>
      </c>
      <c r="AN27" s="296" t="str" cm="1">
        <f t="array" aca="1" ref="AN27" ca="1">IF($H27&lt;&gt;"",IF(INDIRECT($H27&amp;"!"&amp;$AI27&amp;($AJ27+AN$15+1))&lt;&gt;"",INDIRECT($H27&amp;"!"&amp;$AI27&amp;($AJ27+AN$15+1)),""),"")</f>
        <v/>
      </c>
      <c r="AO27" s="296" t="str" cm="1">
        <f t="array" aca="1" ref="AO27" ca="1">IF(LEFT($J27,5)="Sonde","",IF($H27&lt;&gt;"",IF(INDIRECT($H27&amp;"!"&amp;$AI27&amp;($AJ27+AO$15+1))&lt;&gt;"",INDIRECT($H27&amp;"!"&amp;$AI27&amp;($AJ27+AO$15+1)),""),""))</f>
        <v/>
      </c>
      <c r="AP27" s="296" t="str" cm="1">
        <f t="array" aca="1" ref="AP27" ca="1">IF(OR($J27="Pluviomètre",LEFT($J27,5)="Sonde"),"",IF($H27&lt;&gt;"",IF(INDIRECT($H27&amp;"!"&amp;$AI27&amp;($AJ27+AP$15+1))&lt;&gt;"",INDIRECT($H27&amp;"!"&amp;$AI27&amp;($AJ27+AP$15+1)),""),""))</f>
        <v/>
      </c>
      <c r="AQ27" s="296" t="str" cm="1">
        <f t="array" aca="1" ref="AQ27" ca="1">IF(OR($J27="Pluviomètre",LEFT($J27,5)="Sonde"),"",IF($H27&lt;&gt;"",IF(INDIRECT($H27&amp;"!"&amp;$AI27&amp;($AJ27+AQ$15+1))&lt;&gt;"",INDIRECT($H27&amp;"!"&amp;$AI27&amp;($AJ27+AQ$15+1)),""),""))</f>
        <v/>
      </c>
      <c r="AR27" s="296" t="str" cm="1">
        <f t="array" aca="1" ref="AR27" ca="1">IF(OR($J27="Pluviomètre",LEFT($J27,5)="Sonde"),"",IF($H27&lt;&gt;"",IF(INDIRECT($H27&amp;"!"&amp;$AI27&amp;($AJ27+AR$15+1))&lt;&gt;"",INDIRECT($H27&amp;"!"&amp;$AI27&amp;($AJ27+AR$15+1)),""),""))</f>
        <v/>
      </c>
      <c r="AS27" s="296" t="str" cm="1">
        <f t="array" aca="1" ref="AS27" ca="1">IF(OR($J27="Pluviomètre",LEFT($J27,5)="Sonde"),"",IF($H27&lt;&gt;"",IF(INDIRECT($H27&amp;"!"&amp;$AI27&amp;($AJ27+AS$15+1))&lt;&gt;"",INDIRECT($H27&amp;"!"&amp;$AI27&amp;($AJ27+AS$15+1)),""),""))</f>
        <v/>
      </c>
      <c r="AT27" s="296" t="str" cm="1">
        <f t="array" aca="1" ref="AT27" ca="1">IF(OR($J27="Pluviomètre",LEFT($J27,5)="Sonde"),"",IF($H27&lt;&gt;"",IF(INDIRECT($H27&amp;"!"&amp;$AI27&amp;($AJ27+AT$15+1))&lt;&gt;"",INDIRECT($H27&amp;"!"&amp;$AI27&amp;($AJ27+AT$15+1)),""),""))</f>
        <v/>
      </c>
      <c r="AU27" s="412" cm="1">
        <f t="array" aca="1" ref="AU27" ca="1">SUMPRODUCT((Y27:AH27&lt;&gt;"")*(Y27:AH27&lt;&gt;"Non contrôlé")*(Y27:AH27&lt;&gt;"Non applicable"))</f>
        <v>0</v>
      </c>
      <c r="AV27" s="414">
        <f t="shared" ca="1" si="11"/>
        <v>-1</v>
      </c>
    </row>
    <row r="28" spans="1:48" x14ac:dyDescent="0.4">
      <c r="A28" s="80">
        <v>13</v>
      </c>
      <c r="B28" s="134" t="b">
        <f t="shared" si="6"/>
        <v>0</v>
      </c>
      <c r="C28" s="139" t="str" cm="1">
        <f t="array" aca="1" ref="C28" ca="1">IF(
    AND(
        $B28,
        OR(
            INDIRECT("Descriptif!$M"&amp;($B$1+$A28-1))="Préleveur",
            LEFT(INDIRECT("Descriptif!$M"&amp;($B$1+$A28-1)),5)="Sonde",
            LEFT(INDIRECT("Descriptif!$M"&amp;($B$1+$A28-1)),10)="Débitmètre",
            LEFT(INDIRECT("Descriptif!$F"&amp;($B$1+$A28-1)),6)="PLUVIO"        )
    ),
    INDIRECT("Descriptif!$"&amp;C$15&amp;($B$1 +$A28 -1)),
    ""
)</f>
        <v/>
      </c>
      <c r="D28" s="277" t="str" cm="1">
        <f t="array" aca="1" ref="D28" ca="1">IF(
    AND(
        $B28,
        OR(
            INDIRECT("Descriptif!$M"&amp;($B$1+$A28-1))="Préleveur",
            LEFT(INDIRECT("Descriptif!$M"&amp;($B$1+$A28-1)),5)="Sonde",
            LEFT(INDIRECT("Descriptif!$M"&amp;($B$1+$A28-1)),10)="Débitmètre",
            LEFT(INDIRECT("Descriptif!$F"&amp;($B$1+$A28-1)),6)="PLUVIO"       )
    ),
    IF(
        LEFT(INDIRECT("Descriptif!$F"&amp;($B$1+$A28-1)),11)="PLUVIO_STEU",
        "A3",
        IF(
            LEFT(INDIRECT("Descriptif!$F"&amp;($B$1+$A28-1)),10)="PLUVIO_SCL",
            "A1",
            INDIRECT("Descriptif!$"&amp;D$15&amp;($B$1 +$A28 -1))
        )
    ),
    ""
)</f>
        <v/>
      </c>
      <c r="E28" s="277" t="str" cm="1">
        <f t="array" aca="1" ref="E28" ca="1">IF(
    AND(
        $B28,
        OR(
            INDIRECT("Descriptif!$M"&amp;($B$1+$A28-1))="Préleveur",
            LEFT(INDIRECT("Descriptif!$M"&amp;($B$1+$A28-1)),5)="Sonde",
            LEFT(INDIRECT("Descriptif!$M"&amp;($B$1+$A28-1)),10)="Débitmètre",
            LEFT(INDIRECT("Descriptif!$F"&amp;($B$1+$A28-1)),6)="PLUVIO"
        )
    ),
    IF(LEFT(INDIRECT("Descriptif!$F"&amp;($B$1+$A28-1)),6)="PLUVIO","Pluviomètre",INDIRECT("Descriptif!$"&amp;E$15&amp;($B$1 +$A28 -1))),
    ""
)</f>
        <v/>
      </c>
      <c r="F28" s="19" t="str" cm="1">
        <f t="array" aca="1" ref="F28" ca="1">IF(
    AND(
        $B28,
        OR(
            INDIRECT("Descriptif!$M"&amp;($B$1+$A28-1))="Préleveur",
            LEFT(INDIRECT("Descriptif!$M"&amp;($B$1+$A28-1)),5)="Sonde",
            LEFT(INDIRECT("Descriptif!$M"&amp;($B$1+$A28-1)),10)="Débitmètre",
            LEFT(INDIRECT("Descriptif!$F"&amp;($B$1+$A28-1)),6)="PLUVIO"
        )
    ),
    IF(LEFT(INDIRECT("Descriptif!$F"&amp;($B$1+$A28-1)),6)="PLUVIO","Pluviomètre",INDIRECT("Descriptif!$"&amp;F$15&amp;($B$1 +$A28 -1))),
    ""
)</f>
        <v/>
      </c>
      <c r="G28" s="19" t="str" cm="1">
        <f t="array" aca="1" ref="G28" ca="1">IF(
    AND(
        $B28,
        OR(
            INDIRECT("Descriptif!$M"&amp;($B$1+$A28-1))="Préleveur",
            LEFT(INDIRECT("Descriptif!$M"&amp;($B$1+$A28-1)),5)="Sonde",
            LEFT(INDIRECT("Descriptif!$M"&amp;($B$1+$A28-1)),10)="Débitmètre",
            LEFT(INDIRECT("Descriptif!$F"&amp;($B$1+$A28-1)),6)="PLUVIO"
        )
    ),
    IF(LEFT(INDIRECT("Descriptif!$F"&amp;($B$1+$A28-1)),6)="PLUVIO","",INDIRECT("Descriptif!$"&amp;G$15&amp;($B$1 +$A28 -1))),
    ""
)</f>
        <v/>
      </c>
      <c r="H28" s="141" t="str" cm="1">
        <f t="array" aca="1" ref="H28" ca="1">IFERROR(INDEX($C$16:$C$116,SMALL(IF($C$16:$C$116&lt;&gt;"",ROW($C$16:$C$116)-ROW($C$16)+1),ROW(A13))),"")</f>
        <v/>
      </c>
      <c r="I28" s="140" t="str" cm="1">
        <f t="array" aca="1" ref="I28" ca="1">IFERROR(INDEX($D$16:$D$116,SMALL(IF($D$16:$D$116&lt;&gt;"",ROW($D$16:$D$116)-ROW($D$16)+1),ROW(A13))),"")</f>
        <v/>
      </c>
      <c r="J28" s="140" t="str" cm="1">
        <f t="array" aca="1" ref="J28" ca="1">IFERROR(INDEX($E$16:$E$116,SMALL(IF($E$16:$E$116&lt;&gt;"",ROW($E$16:$E$116)-ROW($E$16)+1),ROW(A13))),"")</f>
        <v/>
      </c>
      <c r="K28" s="140" t="str" cm="1">
        <f t="array" aca="1" ref="K28" ca="1">IFERROR(INDEX($F$16:$F$116,SMALL(IF($F$16:$F$116&lt;&gt;"",ROW($F$16:$F$116)-ROW($F$16)+1),ROW(A13))),"")</f>
        <v/>
      </c>
      <c r="L28" s="140" t="str">
        <f t="shared" ca="1" si="0"/>
        <v/>
      </c>
      <c r="M28" s="140" t="str" cm="1">
        <f t="array" aca="1" ref="M28" ca="1">IFERROR(INDEX($G$16:$G$116,SMALL(IF($G$16:$G$116&lt;&gt;"",ROW($G$16:$G$116)-ROW($G$16)+1),ROW(A13))),"")</f>
        <v/>
      </c>
      <c r="N28" s="145" t="str">
        <f t="shared" ca="1" si="1"/>
        <v/>
      </c>
      <c r="O28" s="146" t="str">
        <f t="shared" ca="1" si="2"/>
        <v/>
      </c>
      <c r="P28" s="146" t="str" cm="1">
        <f t="array" aca="1" ref="P28" ca="1">IF($J28&lt;&gt;"",IF(INDIRECT($H28&amp;"!"&amp;$O28)&lt;&gt;"",INDIRECT($H28&amp;"!"&amp;$O28),""),"")</f>
        <v/>
      </c>
      <c r="Q28" s="146" t="str">
        <f t="shared" ca="1" si="3"/>
        <v/>
      </c>
      <c r="R28" s="146" t="str" cm="1">
        <f t="array" aca="1" ref="R28" ca="1">IF($J28&lt;&gt;"",IF(INDIRECT($H28&amp;"!"&amp;$Q28)&lt;&gt;"",INDIRECT($H28&amp;"!"&amp;$Q28),""),"")</f>
        <v/>
      </c>
      <c r="S28" s="146" t="str">
        <f t="shared" ca="1" si="4"/>
        <v/>
      </c>
      <c r="T28" s="146" t="str" cm="1">
        <f t="array" aca="1" ref="T28" ca="1">IF($J28&lt;&gt;"",IF(INDIRECT($H28&amp;"!"&amp;$S28)&lt;&gt;"",INDIRECT($H28&amp;"!"&amp;$S28),""),"")</f>
        <v/>
      </c>
      <c r="U28" s="146" t="str">
        <f t="shared" ca="1" si="5"/>
        <v/>
      </c>
      <c r="V28" s="147" t="str" cm="1">
        <f t="array" aca="1" ref="V28" ca="1">IF($J28&lt;&gt;"",IF(INDIRECT($H28&amp;"!"&amp;$U28)&lt;&gt;"",INDIRECT($H28&amp;"!"&amp;$U28),""),"")</f>
        <v/>
      </c>
      <c r="W28" s="294" t="str">
        <f t="shared" ca="1" si="7"/>
        <v/>
      </c>
      <c r="X28" s="295" t="str">
        <f t="shared" ca="1" si="8"/>
        <v/>
      </c>
      <c r="Y28" s="296" t="str" cm="1">
        <f t="array" aca="1" ref="Y28" ca="1">IF($H28&lt;&gt;"",IF(INDIRECT($H28&amp;"!"&amp;$W28&amp;($X28+Y$15+1))&lt;&gt;"",INDIRECT($H28&amp;"!"&amp;$W28&amp;($X28+Y$15+1)),""),"")</f>
        <v/>
      </c>
      <c r="Z28" s="296" t="str" cm="1">
        <f t="array" aca="1" ref="Z28" ca="1">IF($H28&lt;&gt;"",IF(INDIRECT($H28&amp;"!"&amp;$W28&amp;($X28+Z$15+1))&lt;&gt;"",INDIRECT($H28&amp;"!"&amp;$W28&amp;($X28+Z$15+1)),""),"")</f>
        <v/>
      </c>
      <c r="AA28" s="296" t="str" cm="1">
        <f t="array" aca="1" ref="AA28" ca="1">IF($H28&lt;&gt;"",IF(INDIRECT($H28&amp;"!"&amp;$W28&amp;($X28+AA$15+1))&lt;&gt;"",INDIRECT($H28&amp;"!"&amp;$W28&amp;($X28+AA$15+1)),""),"")</f>
        <v/>
      </c>
      <c r="AB28" s="296" t="str" cm="1">
        <f t="array" aca="1" ref="AB28" ca="1">IF($H28&lt;&gt;"",IF(INDIRECT($H28&amp;"!"&amp;$W28&amp;($X28+AB$15+1))&lt;&gt;"",INDIRECT($H28&amp;"!"&amp;$W28&amp;($X28+AB$15+1)),""),"")</f>
        <v/>
      </c>
      <c r="AC28" s="296" t="str" cm="1">
        <f t="array" aca="1" ref="AC28" ca="1">IF(LEFT($J28,5)="Sonde","",IF($H28&lt;&gt;"",IF(INDIRECT($H28&amp;"!"&amp;$W28&amp;($X28+AC$15+1))&lt;&gt;"",INDIRECT($H28&amp;"!"&amp;$W28&amp;($X28+AC$15+1)),""),""))</f>
        <v/>
      </c>
      <c r="AD28" s="296" t="str" cm="1">
        <f t="array" aca="1" ref="AD28" ca="1">IF(OR($J28="Pluviomètre",LEFT($J28,5)="Sonde"),"",IF($H28&lt;&gt;"",IF(INDIRECT($H28&amp;"!"&amp;$W28&amp;($X28+AD$15+1))&lt;&gt;"",INDIRECT($H28&amp;"!"&amp;$W28&amp;($X28+AD$15+1)),""),""))</f>
        <v/>
      </c>
      <c r="AE28" s="296" t="str" cm="1">
        <f t="array" aca="1" ref="AE28" ca="1">IF(OR($J28="Pluviomètre",LEFT($J28,5)="Sonde"),"",IF($H28&lt;&gt;"",IF(INDIRECT($H28&amp;"!"&amp;$W28&amp;($X28+AE$15+1))&lt;&gt;"",INDIRECT($H28&amp;"!"&amp;$W28&amp;($X28+AE$15+1)),""),""))</f>
        <v/>
      </c>
      <c r="AF28" s="296" t="str" cm="1">
        <f t="array" aca="1" ref="AF28" ca="1">IF(OR($J28="Pluviomètre",LEFT($J28,5)="Sonde"),"",IF($H28&lt;&gt;"",IF(INDIRECT($H28&amp;"!"&amp;$W28&amp;($X28+AF$15+1))&lt;&gt;"",INDIRECT($H28&amp;"!"&amp;$W28&amp;($X28+AF$15+1)),""),""))</f>
        <v/>
      </c>
      <c r="AG28" s="296" t="str" cm="1">
        <f t="array" aca="1" ref="AG28" ca="1">IF(OR($J28="Pluviomètre",LEFT($J28,5)="Sonde"),"",IF($H28&lt;&gt;"",IF(INDIRECT($H28&amp;"!"&amp;$W28&amp;($X28+AG$15+1))&lt;&gt;"",INDIRECT($H28&amp;"!"&amp;$W28&amp;($X28+AG$15+1)),""),""))</f>
        <v/>
      </c>
      <c r="AH28" s="296" t="str" cm="1">
        <f t="array" aca="1" ref="AH28" ca="1">IF(OR($J28="Pluviomètre",LEFT($J28,5)="Sonde"),"",IF($H28&lt;&gt;"",IF(INDIRECT($H28&amp;"!"&amp;$W28&amp;($X28+AH$15+1))&lt;&gt;"",INDIRECT($H28&amp;"!"&amp;$W28&amp;($X28+AH$15+1)),""),""))</f>
        <v/>
      </c>
      <c r="AI28" s="294" t="str">
        <f t="shared" ca="1" si="9"/>
        <v/>
      </c>
      <c r="AJ28" s="295" t="str">
        <f t="shared" ca="1" si="10"/>
        <v/>
      </c>
      <c r="AK28" s="296" t="str" cm="1">
        <f t="array" aca="1" ref="AK28" ca="1">IF($H28&lt;&gt;"",IF(INDIRECT($H28&amp;"!"&amp;$AI28&amp;($AJ28+AK$15+1))&lt;&gt;"",INDIRECT($H28&amp;"!"&amp;$AI28&amp;($AJ28+AK$15+1)),""),"")</f>
        <v/>
      </c>
      <c r="AL28" s="296" t="str" cm="1">
        <f t="array" aca="1" ref="AL28" ca="1">IF($H28&lt;&gt;"",IF(INDIRECT($H28&amp;"!"&amp;$AI28&amp;($AJ28+AL$15+1))&lt;&gt;"",INDIRECT($H28&amp;"!"&amp;$AI28&amp;($AJ28+AL$15+1)),""),"")</f>
        <v/>
      </c>
      <c r="AM28" s="296" t="str" cm="1">
        <f t="array" aca="1" ref="AM28" ca="1">IF($H28&lt;&gt;"",IF(INDIRECT($H28&amp;"!"&amp;$AI28&amp;($AJ28+AM$15+1))&lt;&gt;"",INDIRECT($H28&amp;"!"&amp;$AI28&amp;($AJ28+AM$15+1)),""),"")</f>
        <v/>
      </c>
      <c r="AN28" s="296" t="str" cm="1">
        <f t="array" aca="1" ref="AN28" ca="1">IF($H28&lt;&gt;"",IF(INDIRECT($H28&amp;"!"&amp;$AI28&amp;($AJ28+AN$15+1))&lt;&gt;"",INDIRECT($H28&amp;"!"&amp;$AI28&amp;($AJ28+AN$15+1)),""),"")</f>
        <v/>
      </c>
      <c r="AO28" s="296" t="str" cm="1">
        <f t="array" aca="1" ref="AO28" ca="1">IF(LEFT($J28,5)="Sonde","",IF($H28&lt;&gt;"",IF(INDIRECT($H28&amp;"!"&amp;$AI28&amp;($AJ28+AO$15+1))&lt;&gt;"",INDIRECT($H28&amp;"!"&amp;$AI28&amp;($AJ28+AO$15+1)),""),""))</f>
        <v/>
      </c>
      <c r="AP28" s="296" t="str" cm="1">
        <f t="array" aca="1" ref="AP28" ca="1">IF(OR($J28="Pluviomètre",LEFT($J28,5)="Sonde"),"",IF($H28&lt;&gt;"",IF(INDIRECT($H28&amp;"!"&amp;$AI28&amp;($AJ28+AP$15+1))&lt;&gt;"",INDIRECT($H28&amp;"!"&amp;$AI28&amp;($AJ28+AP$15+1)),""),""))</f>
        <v/>
      </c>
      <c r="AQ28" s="296" t="str" cm="1">
        <f t="array" aca="1" ref="AQ28" ca="1">IF(OR($J28="Pluviomètre",LEFT($J28,5)="Sonde"),"",IF($H28&lt;&gt;"",IF(INDIRECT($H28&amp;"!"&amp;$AI28&amp;($AJ28+AQ$15+1))&lt;&gt;"",INDIRECT($H28&amp;"!"&amp;$AI28&amp;($AJ28+AQ$15+1)),""),""))</f>
        <v/>
      </c>
      <c r="AR28" s="296" t="str" cm="1">
        <f t="array" aca="1" ref="AR28" ca="1">IF(OR($J28="Pluviomètre",LEFT($J28,5)="Sonde"),"",IF($H28&lt;&gt;"",IF(INDIRECT($H28&amp;"!"&amp;$AI28&amp;($AJ28+AR$15+1))&lt;&gt;"",INDIRECT($H28&amp;"!"&amp;$AI28&amp;($AJ28+AR$15+1)),""),""))</f>
        <v/>
      </c>
      <c r="AS28" s="296" t="str" cm="1">
        <f t="array" aca="1" ref="AS28" ca="1">IF(OR($J28="Pluviomètre",LEFT($J28,5)="Sonde"),"",IF($H28&lt;&gt;"",IF(INDIRECT($H28&amp;"!"&amp;$AI28&amp;($AJ28+AS$15+1))&lt;&gt;"",INDIRECT($H28&amp;"!"&amp;$AI28&amp;($AJ28+AS$15+1)),""),""))</f>
        <v/>
      </c>
      <c r="AT28" s="296" t="str" cm="1">
        <f t="array" aca="1" ref="AT28" ca="1">IF(OR($J28="Pluviomètre",LEFT($J28,5)="Sonde"),"",IF($H28&lt;&gt;"",IF(INDIRECT($H28&amp;"!"&amp;$AI28&amp;($AJ28+AT$15+1))&lt;&gt;"",INDIRECT($H28&amp;"!"&amp;$AI28&amp;($AJ28+AT$15+1)),""),""))</f>
        <v/>
      </c>
      <c r="AU28" s="412" cm="1">
        <f t="array" aca="1" ref="AU28" ca="1">SUMPRODUCT((Y28:AH28&lt;&gt;"")*(Y28:AH28&lt;&gt;"Non contrôlé")*(Y28:AH28&lt;&gt;"Non applicable"))</f>
        <v>0</v>
      </c>
      <c r="AV28" s="414">
        <f t="shared" ca="1" si="11"/>
        <v>-1</v>
      </c>
    </row>
    <row r="29" spans="1:48" x14ac:dyDescent="0.4">
      <c r="A29" s="80">
        <v>14</v>
      </c>
      <c r="B29" s="134" t="b">
        <f t="shared" si="6"/>
        <v>0</v>
      </c>
      <c r="C29" s="139" t="str" cm="1">
        <f t="array" aca="1" ref="C29" ca="1">IF(
    AND(
        $B29,
        OR(
            INDIRECT("Descriptif!$M"&amp;($B$1+$A29-1))="Préleveur",
            LEFT(INDIRECT("Descriptif!$M"&amp;($B$1+$A29-1)),5)="Sonde",
            LEFT(INDIRECT("Descriptif!$M"&amp;($B$1+$A29-1)),10)="Débitmètre",
            LEFT(INDIRECT("Descriptif!$F"&amp;($B$1+$A29-1)),6)="PLUVIO"        )
    ),
    INDIRECT("Descriptif!$"&amp;C$15&amp;($B$1 +$A29 -1)),
    ""
)</f>
        <v/>
      </c>
      <c r="D29" s="277" t="str" cm="1">
        <f t="array" aca="1" ref="D29" ca="1">IF(
    AND(
        $B29,
        OR(
            INDIRECT("Descriptif!$M"&amp;($B$1+$A29-1))="Préleveur",
            LEFT(INDIRECT("Descriptif!$M"&amp;($B$1+$A29-1)),5)="Sonde",
            LEFT(INDIRECT("Descriptif!$M"&amp;($B$1+$A29-1)),10)="Débitmètre",
            LEFT(INDIRECT("Descriptif!$F"&amp;($B$1+$A29-1)),6)="PLUVIO"       )
    ),
    IF(
        LEFT(INDIRECT("Descriptif!$F"&amp;($B$1+$A29-1)),11)="PLUVIO_STEU",
        "A3",
        IF(
            LEFT(INDIRECT("Descriptif!$F"&amp;($B$1+$A29-1)),10)="PLUVIO_SCL",
            "A1",
            INDIRECT("Descriptif!$"&amp;D$15&amp;($B$1 +$A29 -1))
        )
    ),
    ""
)</f>
        <v/>
      </c>
      <c r="E29" s="277" t="str" cm="1">
        <f t="array" aca="1" ref="E29" ca="1">IF(
    AND(
        $B29,
        OR(
            INDIRECT("Descriptif!$M"&amp;($B$1+$A29-1))="Préleveur",
            LEFT(INDIRECT("Descriptif!$M"&amp;($B$1+$A29-1)),5)="Sonde",
            LEFT(INDIRECT("Descriptif!$M"&amp;($B$1+$A29-1)),10)="Débitmètre",
            LEFT(INDIRECT("Descriptif!$F"&amp;($B$1+$A29-1)),6)="PLUVIO"
        )
    ),
    IF(LEFT(INDIRECT("Descriptif!$F"&amp;($B$1+$A29-1)),6)="PLUVIO","Pluviomètre",INDIRECT("Descriptif!$"&amp;E$15&amp;($B$1 +$A29 -1))),
    ""
)</f>
        <v/>
      </c>
      <c r="F29" s="19" t="str" cm="1">
        <f t="array" aca="1" ref="F29" ca="1">IF(
    AND(
        $B29,
        OR(
            INDIRECT("Descriptif!$M"&amp;($B$1+$A29-1))="Préleveur",
            LEFT(INDIRECT("Descriptif!$M"&amp;($B$1+$A29-1)),5)="Sonde",
            LEFT(INDIRECT("Descriptif!$M"&amp;($B$1+$A29-1)),10)="Débitmètre",
            LEFT(INDIRECT("Descriptif!$F"&amp;($B$1+$A29-1)),6)="PLUVIO"
        )
    ),
    IF(LEFT(INDIRECT("Descriptif!$F"&amp;($B$1+$A29-1)),6)="PLUVIO","Pluviomètre",INDIRECT("Descriptif!$"&amp;F$15&amp;($B$1 +$A29 -1))),
    ""
)</f>
        <v/>
      </c>
      <c r="G29" s="19" t="str" cm="1">
        <f t="array" aca="1" ref="G29" ca="1">IF(
    AND(
        $B29,
        OR(
            INDIRECT("Descriptif!$M"&amp;($B$1+$A29-1))="Préleveur",
            LEFT(INDIRECT("Descriptif!$M"&amp;($B$1+$A29-1)),5)="Sonde",
            LEFT(INDIRECT("Descriptif!$M"&amp;($B$1+$A29-1)),10)="Débitmètre",
            LEFT(INDIRECT("Descriptif!$F"&amp;($B$1+$A29-1)),6)="PLUVIO"
        )
    ),
    IF(LEFT(INDIRECT("Descriptif!$F"&amp;($B$1+$A29-1)),6)="PLUVIO","",INDIRECT("Descriptif!$"&amp;G$15&amp;($B$1 +$A29 -1))),
    ""
)</f>
        <v/>
      </c>
      <c r="H29" s="141" t="str" cm="1">
        <f t="array" aca="1" ref="H29" ca="1">IFERROR(INDEX($C$16:$C$116,SMALL(IF($C$16:$C$116&lt;&gt;"",ROW($C$16:$C$116)-ROW($C$16)+1),ROW(A14))),"")</f>
        <v/>
      </c>
      <c r="I29" s="140" t="str" cm="1">
        <f t="array" aca="1" ref="I29" ca="1">IFERROR(INDEX($D$16:$D$116,SMALL(IF($D$16:$D$116&lt;&gt;"",ROW($D$16:$D$116)-ROW($D$16)+1),ROW(A14))),"")</f>
        <v/>
      </c>
      <c r="J29" s="140" t="str" cm="1">
        <f t="array" aca="1" ref="J29" ca="1">IFERROR(INDEX($E$16:$E$116,SMALL(IF($E$16:$E$116&lt;&gt;"",ROW($E$16:$E$116)-ROW($E$16)+1),ROW(A14))),"")</f>
        <v/>
      </c>
      <c r="K29" s="140" t="str" cm="1">
        <f t="array" aca="1" ref="K29" ca="1">IFERROR(INDEX($F$16:$F$116,SMALL(IF($F$16:$F$116&lt;&gt;"",ROW($F$16:$F$116)-ROW($F$16)+1),ROW(A14))),"")</f>
        <v/>
      </c>
      <c r="L29" s="140" t="str">
        <f t="shared" ca="1" si="0"/>
        <v/>
      </c>
      <c r="M29" s="140" t="str" cm="1">
        <f t="array" aca="1" ref="M29" ca="1">IFERROR(INDEX($G$16:$G$116,SMALL(IF($G$16:$G$116&lt;&gt;"",ROW($G$16:$G$116)-ROW($G$16)+1),ROW(A14))),"")</f>
        <v/>
      </c>
      <c r="N29" s="145" t="str">
        <f t="shared" ca="1" si="1"/>
        <v/>
      </c>
      <c r="O29" s="146" t="str">
        <f t="shared" ca="1" si="2"/>
        <v/>
      </c>
      <c r="P29" s="146" t="str" cm="1">
        <f t="array" aca="1" ref="P29" ca="1">IF($J29&lt;&gt;"",IF(INDIRECT($H29&amp;"!"&amp;$O29)&lt;&gt;"",INDIRECT($H29&amp;"!"&amp;$O29),""),"")</f>
        <v/>
      </c>
      <c r="Q29" s="146" t="str">
        <f t="shared" ca="1" si="3"/>
        <v/>
      </c>
      <c r="R29" s="146" t="str" cm="1">
        <f t="array" aca="1" ref="R29" ca="1">IF($J29&lt;&gt;"",IF(INDIRECT($H29&amp;"!"&amp;$Q29)&lt;&gt;"",INDIRECT($H29&amp;"!"&amp;$Q29),""),"")</f>
        <v/>
      </c>
      <c r="S29" s="146" t="str">
        <f t="shared" ca="1" si="4"/>
        <v/>
      </c>
      <c r="T29" s="146" t="str" cm="1">
        <f t="array" aca="1" ref="T29" ca="1">IF($J29&lt;&gt;"",IF(INDIRECT($H29&amp;"!"&amp;$S29)&lt;&gt;"",INDIRECT($H29&amp;"!"&amp;$S29),""),"")</f>
        <v/>
      </c>
      <c r="U29" s="146" t="str">
        <f t="shared" ca="1" si="5"/>
        <v/>
      </c>
      <c r="V29" s="147" t="str" cm="1">
        <f t="array" aca="1" ref="V29" ca="1">IF($J29&lt;&gt;"",IF(INDIRECT($H29&amp;"!"&amp;$U29)&lt;&gt;"",INDIRECT($H29&amp;"!"&amp;$U29),""),"")</f>
        <v/>
      </c>
      <c r="W29" s="294" t="str">
        <f t="shared" ca="1" si="7"/>
        <v/>
      </c>
      <c r="X29" s="295" t="str">
        <f t="shared" ca="1" si="8"/>
        <v/>
      </c>
      <c r="Y29" s="296" t="str" cm="1">
        <f t="array" aca="1" ref="Y29" ca="1">IF($H29&lt;&gt;"",IF(INDIRECT($H29&amp;"!"&amp;$W29&amp;($X29+Y$15+1))&lt;&gt;"",INDIRECT($H29&amp;"!"&amp;$W29&amp;($X29+Y$15+1)),""),"")</f>
        <v/>
      </c>
      <c r="Z29" s="296" t="str" cm="1">
        <f t="array" aca="1" ref="Z29" ca="1">IF($H29&lt;&gt;"",IF(INDIRECT($H29&amp;"!"&amp;$W29&amp;($X29+Z$15+1))&lt;&gt;"",INDIRECT($H29&amp;"!"&amp;$W29&amp;($X29+Z$15+1)),""),"")</f>
        <v/>
      </c>
      <c r="AA29" s="296" t="str" cm="1">
        <f t="array" aca="1" ref="AA29" ca="1">IF($H29&lt;&gt;"",IF(INDIRECT($H29&amp;"!"&amp;$W29&amp;($X29+AA$15+1))&lt;&gt;"",INDIRECT($H29&amp;"!"&amp;$W29&amp;($X29+AA$15+1)),""),"")</f>
        <v/>
      </c>
      <c r="AB29" s="296" t="str" cm="1">
        <f t="array" aca="1" ref="AB29" ca="1">IF($H29&lt;&gt;"",IF(INDIRECT($H29&amp;"!"&amp;$W29&amp;($X29+AB$15+1))&lt;&gt;"",INDIRECT($H29&amp;"!"&amp;$W29&amp;($X29+AB$15+1)),""),"")</f>
        <v/>
      </c>
      <c r="AC29" s="296" t="str" cm="1">
        <f t="array" aca="1" ref="AC29" ca="1">IF(LEFT($J29,5)="Sonde","",IF($H29&lt;&gt;"",IF(INDIRECT($H29&amp;"!"&amp;$W29&amp;($X29+AC$15+1))&lt;&gt;"",INDIRECT($H29&amp;"!"&amp;$W29&amp;($X29+AC$15+1)),""),""))</f>
        <v/>
      </c>
      <c r="AD29" s="296" t="str" cm="1">
        <f t="array" aca="1" ref="AD29" ca="1">IF(OR($J29="Pluviomètre",LEFT($J29,5)="Sonde"),"",IF($H29&lt;&gt;"",IF(INDIRECT($H29&amp;"!"&amp;$W29&amp;($X29+AD$15+1))&lt;&gt;"",INDIRECT($H29&amp;"!"&amp;$W29&amp;($X29+AD$15+1)),""),""))</f>
        <v/>
      </c>
      <c r="AE29" s="296" t="str" cm="1">
        <f t="array" aca="1" ref="AE29" ca="1">IF(OR($J29="Pluviomètre",LEFT($J29,5)="Sonde"),"",IF($H29&lt;&gt;"",IF(INDIRECT($H29&amp;"!"&amp;$W29&amp;($X29+AE$15+1))&lt;&gt;"",INDIRECT($H29&amp;"!"&amp;$W29&amp;($X29+AE$15+1)),""),""))</f>
        <v/>
      </c>
      <c r="AF29" s="296" t="str" cm="1">
        <f t="array" aca="1" ref="AF29" ca="1">IF(OR($J29="Pluviomètre",LEFT($J29,5)="Sonde"),"",IF($H29&lt;&gt;"",IF(INDIRECT($H29&amp;"!"&amp;$W29&amp;($X29+AF$15+1))&lt;&gt;"",INDIRECT($H29&amp;"!"&amp;$W29&amp;($X29+AF$15+1)),""),""))</f>
        <v/>
      </c>
      <c r="AG29" s="296" t="str" cm="1">
        <f t="array" aca="1" ref="AG29" ca="1">IF(OR($J29="Pluviomètre",LEFT($J29,5)="Sonde"),"",IF($H29&lt;&gt;"",IF(INDIRECT($H29&amp;"!"&amp;$W29&amp;($X29+AG$15+1))&lt;&gt;"",INDIRECT($H29&amp;"!"&amp;$W29&amp;($X29+AG$15+1)),""),""))</f>
        <v/>
      </c>
      <c r="AH29" s="296" t="str" cm="1">
        <f t="array" aca="1" ref="AH29" ca="1">IF(OR($J29="Pluviomètre",LEFT($J29,5)="Sonde"),"",IF($H29&lt;&gt;"",IF(INDIRECT($H29&amp;"!"&amp;$W29&amp;($X29+AH$15+1))&lt;&gt;"",INDIRECT($H29&amp;"!"&amp;$W29&amp;($X29+AH$15+1)),""),""))</f>
        <v/>
      </c>
      <c r="AI29" s="294" t="str">
        <f t="shared" ca="1" si="9"/>
        <v/>
      </c>
      <c r="AJ29" s="295" t="str">
        <f t="shared" ca="1" si="10"/>
        <v/>
      </c>
      <c r="AK29" s="296" t="str" cm="1">
        <f t="array" aca="1" ref="AK29" ca="1">IF($H29&lt;&gt;"",IF(INDIRECT($H29&amp;"!"&amp;$AI29&amp;($AJ29+AK$15+1))&lt;&gt;"",INDIRECT($H29&amp;"!"&amp;$AI29&amp;($AJ29+AK$15+1)),""),"")</f>
        <v/>
      </c>
      <c r="AL29" s="296" t="str" cm="1">
        <f t="array" aca="1" ref="AL29" ca="1">IF($H29&lt;&gt;"",IF(INDIRECT($H29&amp;"!"&amp;$AI29&amp;($AJ29+AL$15+1))&lt;&gt;"",INDIRECT($H29&amp;"!"&amp;$AI29&amp;($AJ29+AL$15+1)),""),"")</f>
        <v/>
      </c>
      <c r="AM29" s="296" t="str" cm="1">
        <f t="array" aca="1" ref="AM29" ca="1">IF($H29&lt;&gt;"",IF(INDIRECT($H29&amp;"!"&amp;$AI29&amp;($AJ29+AM$15+1))&lt;&gt;"",INDIRECT($H29&amp;"!"&amp;$AI29&amp;($AJ29+AM$15+1)),""),"")</f>
        <v/>
      </c>
      <c r="AN29" s="296" t="str" cm="1">
        <f t="array" aca="1" ref="AN29" ca="1">IF($H29&lt;&gt;"",IF(INDIRECT($H29&amp;"!"&amp;$AI29&amp;($AJ29+AN$15+1))&lt;&gt;"",INDIRECT($H29&amp;"!"&amp;$AI29&amp;($AJ29+AN$15+1)),""),"")</f>
        <v/>
      </c>
      <c r="AO29" s="296" t="str" cm="1">
        <f t="array" aca="1" ref="AO29" ca="1">IF(LEFT($J29,5)="Sonde","",IF($H29&lt;&gt;"",IF(INDIRECT($H29&amp;"!"&amp;$AI29&amp;($AJ29+AO$15+1))&lt;&gt;"",INDIRECT($H29&amp;"!"&amp;$AI29&amp;($AJ29+AO$15+1)),""),""))</f>
        <v/>
      </c>
      <c r="AP29" s="296" t="str" cm="1">
        <f t="array" aca="1" ref="AP29" ca="1">IF(OR($J29="Pluviomètre",LEFT($J29,5)="Sonde"),"",IF($H29&lt;&gt;"",IF(INDIRECT($H29&amp;"!"&amp;$AI29&amp;($AJ29+AP$15+1))&lt;&gt;"",INDIRECT($H29&amp;"!"&amp;$AI29&amp;($AJ29+AP$15+1)),""),""))</f>
        <v/>
      </c>
      <c r="AQ29" s="296" t="str" cm="1">
        <f t="array" aca="1" ref="AQ29" ca="1">IF(OR($J29="Pluviomètre",LEFT($J29,5)="Sonde"),"",IF($H29&lt;&gt;"",IF(INDIRECT($H29&amp;"!"&amp;$AI29&amp;($AJ29+AQ$15+1))&lt;&gt;"",INDIRECT($H29&amp;"!"&amp;$AI29&amp;($AJ29+AQ$15+1)),""),""))</f>
        <v/>
      </c>
      <c r="AR29" s="296" t="str" cm="1">
        <f t="array" aca="1" ref="AR29" ca="1">IF(OR($J29="Pluviomètre",LEFT($J29,5)="Sonde"),"",IF($H29&lt;&gt;"",IF(INDIRECT($H29&amp;"!"&amp;$AI29&amp;($AJ29+AR$15+1))&lt;&gt;"",INDIRECT($H29&amp;"!"&amp;$AI29&amp;($AJ29+AR$15+1)),""),""))</f>
        <v/>
      </c>
      <c r="AS29" s="296" t="str" cm="1">
        <f t="array" aca="1" ref="AS29" ca="1">IF(OR($J29="Pluviomètre",LEFT($J29,5)="Sonde"),"",IF($H29&lt;&gt;"",IF(INDIRECT($H29&amp;"!"&amp;$AI29&amp;($AJ29+AS$15+1))&lt;&gt;"",INDIRECT($H29&amp;"!"&amp;$AI29&amp;($AJ29+AS$15+1)),""),""))</f>
        <v/>
      </c>
      <c r="AT29" s="296" t="str" cm="1">
        <f t="array" aca="1" ref="AT29" ca="1">IF(OR($J29="Pluviomètre",LEFT($J29,5)="Sonde"),"",IF($H29&lt;&gt;"",IF(INDIRECT($H29&amp;"!"&amp;$AI29&amp;($AJ29+AT$15+1))&lt;&gt;"",INDIRECT($H29&amp;"!"&amp;$AI29&amp;($AJ29+AT$15+1)),""),""))</f>
        <v/>
      </c>
      <c r="AU29" s="412" cm="1">
        <f t="array" aca="1" ref="AU29" ca="1">SUMPRODUCT((Y29:AH29&lt;&gt;"")*(Y29:AH29&lt;&gt;"Non contrôlé")*(Y29:AH29&lt;&gt;"Non applicable"))</f>
        <v>0</v>
      </c>
      <c r="AV29" s="414">
        <f t="shared" ca="1" si="11"/>
        <v>-1</v>
      </c>
    </row>
    <row r="30" spans="1:48" x14ac:dyDescent="0.4">
      <c r="A30" s="80">
        <v>15</v>
      </c>
      <c r="B30" s="134" t="b">
        <f t="shared" si="6"/>
        <v>0</v>
      </c>
      <c r="C30" s="139" t="str" cm="1">
        <f t="array" aca="1" ref="C30" ca="1">IF(
    AND(
        $B30,
        OR(
            INDIRECT("Descriptif!$M"&amp;($B$1+$A30-1))="Préleveur",
            LEFT(INDIRECT("Descriptif!$M"&amp;($B$1+$A30-1)),5)="Sonde",
            LEFT(INDIRECT("Descriptif!$M"&amp;($B$1+$A30-1)),10)="Débitmètre",
            LEFT(INDIRECT("Descriptif!$F"&amp;($B$1+$A30-1)),6)="PLUVIO"        )
    ),
    INDIRECT("Descriptif!$"&amp;C$15&amp;($B$1 +$A30 -1)),
    ""
)</f>
        <v/>
      </c>
      <c r="D30" s="277" t="str" cm="1">
        <f t="array" aca="1" ref="D30" ca="1">IF(
    AND(
        $B30,
        OR(
            INDIRECT("Descriptif!$M"&amp;($B$1+$A30-1))="Préleveur",
            LEFT(INDIRECT("Descriptif!$M"&amp;($B$1+$A30-1)),5)="Sonde",
            LEFT(INDIRECT("Descriptif!$M"&amp;($B$1+$A30-1)),10)="Débitmètre",
            LEFT(INDIRECT("Descriptif!$F"&amp;($B$1+$A30-1)),6)="PLUVIO"       )
    ),
    IF(
        LEFT(INDIRECT("Descriptif!$F"&amp;($B$1+$A30-1)),11)="PLUVIO_STEU",
        "A3",
        IF(
            LEFT(INDIRECT("Descriptif!$F"&amp;($B$1+$A30-1)),10)="PLUVIO_SCL",
            "A1",
            INDIRECT("Descriptif!$"&amp;D$15&amp;($B$1 +$A30 -1))
        )
    ),
    ""
)</f>
        <v/>
      </c>
      <c r="E30" s="277" t="str" cm="1">
        <f t="array" aca="1" ref="E30" ca="1">IF(
    AND(
        $B30,
        OR(
            INDIRECT("Descriptif!$M"&amp;($B$1+$A30-1))="Préleveur",
            LEFT(INDIRECT("Descriptif!$M"&amp;($B$1+$A30-1)),5)="Sonde",
            LEFT(INDIRECT("Descriptif!$M"&amp;($B$1+$A30-1)),10)="Débitmètre",
            LEFT(INDIRECT("Descriptif!$F"&amp;($B$1+$A30-1)),6)="PLUVIO"
        )
    ),
    IF(LEFT(INDIRECT("Descriptif!$F"&amp;($B$1+$A30-1)),6)="PLUVIO","Pluviomètre",INDIRECT("Descriptif!$"&amp;E$15&amp;($B$1 +$A30 -1))),
    ""
)</f>
        <v/>
      </c>
      <c r="F30" s="19" t="str" cm="1">
        <f t="array" aca="1" ref="F30" ca="1">IF(
    AND(
        $B30,
        OR(
            INDIRECT("Descriptif!$M"&amp;($B$1+$A30-1))="Préleveur",
            LEFT(INDIRECT("Descriptif!$M"&amp;($B$1+$A30-1)),5)="Sonde",
            LEFT(INDIRECT("Descriptif!$M"&amp;($B$1+$A30-1)),10)="Débitmètre",
            LEFT(INDIRECT("Descriptif!$F"&amp;($B$1+$A30-1)),6)="PLUVIO"
        )
    ),
    IF(LEFT(INDIRECT("Descriptif!$F"&amp;($B$1+$A30-1)),6)="PLUVIO","Pluviomètre",INDIRECT("Descriptif!$"&amp;F$15&amp;($B$1 +$A30 -1))),
    ""
)</f>
        <v/>
      </c>
      <c r="G30" s="19" t="str" cm="1">
        <f t="array" aca="1" ref="G30" ca="1">IF(
    AND(
        $B30,
        OR(
            INDIRECT("Descriptif!$M"&amp;($B$1+$A30-1))="Préleveur",
            LEFT(INDIRECT("Descriptif!$M"&amp;($B$1+$A30-1)),5)="Sonde",
            LEFT(INDIRECT("Descriptif!$M"&amp;($B$1+$A30-1)),10)="Débitmètre",
            LEFT(INDIRECT("Descriptif!$F"&amp;($B$1+$A30-1)),6)="PLUVIO"
        )
    ),
    IF(LEFT(INDIRECT("Descriptif!$F"&amp;($B$1+$A30-1)),6)="PLUVIO","",INDIRECT("Descriptif!$"&amp;G$15&amp;($B$1 +$A30 -1))),
    ""
)</f>
        <v/>
      </c>
      <c r="H30" s="141" t="str" cm="1">
        <f t="array" aca="1" ref="H30" ca="1">IFERROR(INDEX($C$16:$C$116,SMALL(IF($C$16:$C$116&lt;&gt;"",ROW($C$16:$C$116)-ROW($C$16)+1),ROW(A15))),"")</f>
        <v/>
      </c>
      <c r="I30" s="140" t="str" cm="1">
        <f t="array" aca="1" ref="I30" ca="1">IFERROR(INDEX($D$16:$D$116,SMALL(IF($D$16:$D$116&lt;&gt;"",ROW($D$16:$D$116)-ROW($D$16)+1),ROW(A15))),"")</f>
        <v/>
      </c>
      <c r="J30" s="140" t="str" cm="1">
        <f t="array" aca="1" ref="J30" ca="1">IFERROR(INDEX($E$16:$E$116,SMALL(IF($E$16:$E$116&lt;&gt;"",ROW($E$16:$E$116)-ROW($E$16)+1),ROW(A15))),"")</f>
        <v/>
      </c>
      <c r="K30" s="140" t="str" cm="1">
        <f t="array" aca="1" ref="K30" ca="1">IFERROR(INDEX($F$16:$F$116,SMALL(IF($F$16:$F$116&lt;&gt;"",ROW($F$16:$F$116)-ROW($F$16)+1),ROW(A15))),"")</f>
        <v/>
      </c>
      <c r="L30" s="140" t="str">
        <f t="shared" ca="1" si="0"/>
        <v/>
      </c>
      <c r="M30" s="140" t="str" cm="1">
        <f t="array" aca="1" ref="M30" ca="1">IFERROR(INDEX($G$16:$G$116,SMALL(IF($G$16:$G$116&lt;&gt;"",ROW($G$16:$G$116)-ROW($G$16)+1),ROW(A15))),"")</f>
        <v/>
      </c>
      <c r="N30" s="145" t="str">
        <f t="shared" ca="1" si="1"/>
        <v/>
      </c>
      <c r="O30" s="146" t="str">
        <f t="shared" ca="1" si="2"/>
        <v/>
      </c>
      <c r="P30" s="146" t="str" cm="1">
        <f t="array" aca="1" ref="P30" ca="1">IF($J30&lt;&gt;"",IF(INDIRECT($H30&amp;"!"&amp;$O30)&lt;&gt;"",INDIRECT($H30&amp;"!"&amp;$O30),""),"")</f>
        <v/>
      </c>
      <c r="Q30" s="146" t="str">
        <f t="shared" ca="1" si="3"/>
        <v/>
      </c>
      <c r="R30" s="146" t="str" cm="1">
        <f t="array" aca="1" ref="R30" ca="1">IF($J30&lt;&gt;"",IF(INDIRECT($H30&amp;"!"&amp;$Q30)&lt;&gt;"",INDIRECT($H30&amp;"!"&amp;$Q30),""),"")</f>
        <v/>
      </c>
      <c r="S30" s="146" t="str">
        <f t="shared" ca="1" si="4"/>
        <v/>
      </c>
      <c r="T30" s="146" t="str" cm="1">
        <f t="array" aca="1" ref="T30" ca="1">IF($J30&lt;&gt;"",IF(INDIRECT($H30&amp;"!"&amp;$S30)&lt;&gt;"",INDIRECT($H30&amp;"!"&amp;$S30),""),"")</f>
        <v/>
      </c>
      <c r="U30" s="146" t="str">
        <f t="shared" ca="1" si="5"/>
        <v/>
      </c>
      <c r="V30" s="147" t="str" cm="1">
        <f t="array" aca="1" ref="V30" ca="1">IF($J30&lt;&gt;"",IF(INDIRECT($H30&amp;"!"&amp;$U30)&lt;&gt;"",INDIRECT($H30&amp;"!"&amp;$U30),""),"")</f>
        <v/>
      </c>
      <c r="W30" s="294" t="str">
        <f t="shared" ca="1" si="7"/>
        <v/>
      </c>
      <c r="X30" s="295" t="str">
        <f t="shared" ca="1" si="8"/>
        <v/>
      </c>
      <c r="Y30" s="296" t="str" cm="1">
        <f t="array" aca="1" ref="Y30" ca="1">IF($H30&lt;&gt;"",IF(INDIRECT($H30&amp;"!"&amp;$W30&amp;($X30+Y$15+1))&lt;&gt;"",INDIRECT($H30&amp;"!"&amp;$W30&amp;($X30+Y$15+1)),""),"")</f>
        <v/>
      </c>
      <c r="Z30" s="296" t="str" cm="1">
        <f t="array" aca="1" ref="Z30" ca="1">IF($H30&lt;&gt;"",IF(INDIRECT($H30&amp;"!"&amp;$W30&amp;($X30+Z$15+1))&lt;&gt;"",INDIRECT($H30&amp;"!"&amp;$W30&amp;($X30+Z$15+1)),""),"")</f>
        <v/>
      </c>
      <c r="AA30" s="296" t="str" cm="1">
        <f t="array" aca="1" ref="AA30" ca="1">IF($H30&lt;&gt;"",IF(INDIRECT($H30&amp;"!"&amp;$W30&amp;($X30+AA$15+1))&lt;&gt;"",INDIRECT($H30&amp;"!"&amp;$W30&amp;($X30+AA$15+1)),""),"")</f>
        <v/>
      </c>
      <c r="AB30" s="296" t="str" cm="1">
        <f t="array" aca="1" ref="AB30" ca="1">IF($H30&lt;&gt;"",IF(INDIRECT($H30&amp;"!"&amp;$W30&amp;($X30+AB$15+1))&lt;&gt;"",INDIRECT($H30&amp;"!"&amp;$W30&amp;($X30+AB$15+1)),""),"")</f>
        <v/>
      </c>
      <c r="AC30" s="296" t="str" cm="1">
        <f t="array" aca="1" ref="AC30" ca="1">IF(LEFT($J30,5)="Sonde","",IF($H30&lt;&gt;"",IF(INDIRECT($H30&amp;"!"&amp;$W30&amp;($X30+AC$15+1))&lt;&gt;"",INDIRECT($H30&amp;"!"&amp;$W30&amp;($X30+AC$15+1)),""),""))</f>
        <v/>
      </c>
      <c r="AD30" s="296" t="str" cm="1">
        <f t="array" aca="1" ref="AD30" ca="1">IF(OR($J30="Pluviomètre",LEFT($J30,5)="Sonde"),"",IF($H30&lt;&gt;"",IF(INDIRECT($H30&amp;"!"&amp;$W30&amp;($X30+AD$15+1))&lt;&gt;"",INDIRECT($H30&amp;"!"&amp;$W30&amp;($X30+AD$15+1)),""),""))</f>
        <v/>
      </c>
      <c r="AE30" s="296" t="str" cm="1">
        <f t="array" aca="1" ref="AE30" ca="1">IF(OR($J30="Pluviomètre",LEFT($J30,5)="Sonde"),"",IF($H30&lt;&gt;"",IF(INDIRECT($H30&amp;"!"&amp;$W30&amp;($X30+AE$15+1))&lt;&gt;"",INDIRECT($H30&amp;"!"&amp;$W30&amp;($X30+AE$15+1)),""),""))</f>
        <v/>
      </c>
      <c r="AF30" s="296" t="str" cm="1">
        <f t="array" aca="1" ref="AF30" ca="1">IF(OR($J30="Pluviomètre",LEFT($J30,5)="Sonde"),"",IF($H30&lt;&gt;"",IF(INDIRECT($H30&amp;"!"&amp;$W30&amp;($X30+AF$15+1))&lt;&gt;"",INDIRECT($H30&amp;"!"&amp;$W30&amp;($X30+AF$15+1)),""),""))</f>
        <v/>
      </c>
      <c r="AG30" s="296" t="str" cm="1">
        <f t="array" aca="1" ref="AG30" ca="1">IF(OR($J30="Pluviomètre",LEFT($J30,5)="Sonde"),"",IF($H30&lt;&gt;"",IF(INDIRECT($H30&amp;"!"&amp;$W30&amp;($X30+AG$15+1))&lt;&gt;"",INDIRECT($H30&amp;"!"&amp;$W30&amp;($X30+AG$15+1)),""),""))</f>
        <v/>
      </c>
      <c r="AH30" s="296" t="str" cm="1">
        <f t="array" aca="1" ref="AH30" ca="1">IF(OR($J30="Pluviomètre",LEFT($J30,5)="Sonde"),"",IF($H30&lt;&gt;"",IF(INDIRECT($H30&amp;"!"&amp;$W30&amp;($X30+AH$15+1))&lt;&gt;"",INDIRECT($H30&amp;"!"&amp;$W30&amp;($X30+AH$15+1)),""),""))</f>
        <v/>
      </c>
      <c r="AI30" s="294" t="str">
        <f t="shared" ca="1" si="9"/>
        <v/>
      </c>
      <c r="AJ30" s="295" t="str">
        <f t="shared" ca="1" si="10"/>
        <v/>
      </c>
      <c r="AK30" s="296" t="str" cm="1">
        <f t="array" aca="1" ref="AK30" ca="1">IF($H30&lt;&gt;"",IF(INDIRECT($H30&amp;"!"&amp;$AI30&amp;($AJ30+AK$15+1))&lt;&gt;"",INDIRECT($H30&amp;"!"&amp;$AI30&amp;($AJ30+AK$15+1)),""),"")</f>
        <v/>
      </c>
      <c r="AL30" s="296" t="str" cm="1">
        <f t="array" aca="1" ref="AL30" ca="1">IF($H30&lt;&gt;"",IF(INDIRECT($H30&amp;"!"&amp;$AI30&amp;($AJ30+AL$15+1))&lt;&gt;"",INDIRECT($H30&amp;"!"&amp;$AI30&amp;($AJ30+AL$15+1)),""),"")</f>
        <v/>
      </c>
      <c r="AM30" s="296" t="str" cm="1">
        <f t="array" aca="1" ref="AM30" ca="1">IF($H30&lt;&gt;"",IF(INDIRECT($H30&amp;"!"&amp;$AI30&amp;($AJ30+AM$15+1))&lt;&gt;"",INDIRECT($H30&amp;"!"&amp;$AI30&amp;($AJ30+AM$15+1)),""),"")</f>
        <v/>
      </c>
      <c r="AN30" s="296" t="str" cm="1">
        <f t="array" aca="1" ref="AN30" ca="1">IF($H30&lt;&gt;"",IF(INDIRECT($H30&amp;"!"&amp;$AI30&amp;($AJ30+AN$15+1))&lt;&gt;"",INDIRECT($H30&amp;"!"&amp;$AI30&amp;($AJ30+AN$15+1)),""),"")</f>
        <v/>
      </c>
      <c r="AO30" s="296" t="str" cm="1">
        <f t="array" aca="1" ref="AO30" ca="1">IF(LEFT($J30,5)="Sonde","",IF($H30&lt;&gt;"",IF(INDIRECT($H30&amp;"!"&amp;$AI30&amp;($AJ30+AO$15+1))&lt;&gt;"",INDIRECT($H30&amp;"!"&amp;$AI30&amp;($AJ30+AO$15+1)),""),""))</f>
        <v/>
      </c>
      <c r="AP30" s="296" t="str" cm="1">
        <f t="array" aca="1" ref="AP30" ca="1">IF(OR($J30="Pluviomètre",LEFT($J30,5)="Sonde"),"",IF($H30&lt;&gt;"",IF(INDIRECT($H30&amp;"!"&amp;$AI30&amp;($AJ30+AP$15+1))&lt;&gt;"",INDIRECT($H30&amp;"!"&amp;$AI30&amp;($AJ30+AP$15+1)),""),""))</f>
        <v/>
      </c>
      <c r="AQ30" s="296" t="str" cm="1">
        <f t="array" aca="1" ref="AQ30" ca="1">IF(OR($J30="Pluviomètre",LEFT($J30,5)="Sonde"),"",IF($H30&lt;&gt;"",IF(INDIRECT($H30&amp;"!"&amp;$AI30&amp;($AJ30+AQ$15+1))&lt;&gt;"",INDIRECT($H30&amp;"!"&amp;$AI30&amp;($AJ30+AQ$15+1)),""),""))</f>
        <v/>
      </c>
      <c r="AR30" s="296" t="str" cm="1">
        <f t="array" aca="1" ref="AR30" ca="1">IF(OR($J30="Pluviomètre",LEFT($J30,5)="Sonde"),"",IF($H30&lt;&gt;"",IF(INDIRECT($H30&amp;"!"&amp;$AI30&amp;($AJ30+AR$15+1))&lt;&gt;"",INDIRECT($H30&amp;"!"&amp;$AI30&amp;($AJ30+AR$15+1)),""),""))</f>
        <v/>
      </c>
      <c r="AS30" s="296" t="str" cm="1">
        <f t="array" aca="1" ref="AS30" ca="1">IF(OR($J30="Pluviomètre",LEFT($J30,5)="Sonde"),"",IF($H30&lt;&gt;"",IF(INDIRECT($H30&amp;"!"&amp;$AI30&amp;($AJ30+AS$15+1))&lt;&gt;"",INDIRECT($H30&amp;"!"&amp;$AI30&amp;($AJ30+AS$15+1)),""),""))</f>
        <v/>
      </c>
      <c r="AT30" s="296" t="str" cm="1">
        <f t="array" aca="1" ref="AT30" ca="1">IF(OR($J30="Pluviomètre",LEFT($J30,5)="Sonde"),"",IF($H30&lt;&gt;"",IF(INDIRECT($H30&amp;"!"&amp;$AI30&amp;($AJ30+AT$15+1))&lt;&gt;"",INDIRECT($H30&amp;"!"&amp;$AI30&amp;($AJ30+AT$15+1)),""),""))</f>
        <v/>
      </c>
      <c r="AU30" s="412" cm="1">
        <f t="array" aca="1" ref="AU30" ca="1">SUMPRODUCT((Y30:AH30&lt;&gt;"")*(Y30:AH30&lt;&gt;"Non contrôlé")*(Y30:AH30&lt;&gt;"Non applicable"))</f>
        <v>0</v>
      </c>
      <c r="AV30" s="414">
        <f t="shared" ca="1" si="11"/>
        <v>-1</v>
      </c>
    </row>
    <row r="31" spans="1:48" x14ac:dyDescent="0.4">
      <c r="A31" s="80">
        <v>16</v>
      </c>
      <c r="B31" s="134" t="b">
        <f t="shared" si="6"/>
        <v>0</v>
      </c>
      <c r="C31" s="139" t="str" cm="1">
        <f t="array" aca="1" ref="C31" ca="1">IF(
    AND(
        $B31,
        OR(
            INDIRECT("Descriptif!$M"&amp;($B$1+$A31-1))="Préleveur",
            LEFT(INDIRECT("Descriptif!$M"&amp;($B$1+$A31-1)),5)="Sonde",
            LEFT(INDIRECT("Descriptif!$M"&amp;($B$1+$A31-1)),10)="Débitmètre",
            LEFT(INDIRECT("Descriptif!$F"&amp;($B$1+$A31-1)),6)="PLUVIO"        )
    ),
    INDIRECT("Descriptif!$"&amp;C$15&amp;($B$1 +$A31 -1)),
    ""
)</f>
        <v/>
      </c>
      <c r="D31" s="277" t="str" cm="1">
        <f t="array" aca="1" ref="D31" ca="1">IF(
    AND(
        $B31,
        OR(
            INDIRECT("Descriptif!$M"&amp;($B$1+$A31-1))="Préleveur",
            LEFT(INDIRECT("Descriptif!$M"&amp;($B$1+$A31-1)),5)="Sonde",
            LEFT(INDIRECT("Descriptif!$M"&amp;($B$1+$A31-1)),10)="Débitmètre",
            LEFT(INDIRECT("Descriptif!$F"&amp;($B$1+$A31-1)),6)="PLUVIO"       )
    ),
    IF(
        LEFT(INDIRECT("Descriptif!$F"&amp;($B$1+$A31-1)),11)="PLUVIO_STEU",
        "A3",
        IF(
            LEFT(INDIRECT("Descriptif!$F"&amp;($B$1+$A31-1)),10)="PLUVIO_SCL",
            "A1",
            INDIRECT("Descriptif!$"&amp;D$15&amp;($B$1 +$A31 -1))
        )
    ),
    ""
)</f>
        <v/>
      </c>
      <c r="E31" s="277" t="str" cm="1">
        <f t="array" aca="1" ref="E31" ca="1">IF(
    AND(
        $B31,
        OR(
            INDIRECT("Descriptif!$M"&amp;($B$1+$A31-1))="Préleveur",
            LEFT(INDIRECT("Descriptif!$M"&amp;($B$1+$A31-1)),5)="Sonde",
            LEFT(INDIRECT("Descriptif!$M"&amp;($B$1+$A31-1)),10)="Débitmètre",
            LEFT(INDIRECT("Descriptif!$F"&amp;($B$1+$A31-1)),6)="PLUVIO"
        )
    ),
    IF(LEFT(INDIRECT("Descriptif!$F"&amp;($B$1+$A31-1)),6)="PLUVIO","Pluviomètre",INDIRECT("Descriptif!$"&amp;E$15&amp;($B$1 +$A31 -1))),
    ""
)</f>
        <v/>
      </c>
      <c r="F31" s="19" t="str" cm="1">
        <f t="array" aca="1" ref="F31" ca="1">IF(
    AND(
        $B31,
        OR(
            INDIRECT("Descriptif!$M"&amp;($B$1+$A31-1))="Préleveur",
            LEFT(INDIRECT("Descriptif!$M"&amp;($B$1+$A31-1)),5)="Sonde",
            LEFT(INDIRECT("Descriptif!$M"&amp;($B$1+$A31-1)),10)="Débitmètre",
            LEFT(INDIRECT("Descriptif!$F"&amp;($B$1+$A31-1)),6)="PLUVIO"
        )
    ),
    IF(LEFT(INDIRECT("Descriptif!$F"&amp;($B$1+$A31-1)),6)="PLUVIO","Pluviomètre",INDIRECT("Descriptif!$"&amp;F$15&amp;($B$1 +$A31 -1))),
    ""
)</f>
        <v/>
      </c>
      <c r="G31" s="19" t="str" cm="1">
        <f t="array" aca="1" ref="G31" ca="1">IF(
    AND(
        $B31,
        OR(
            INDIRECT("Descriptif!$M"&amp;($B$1+$A31-1))="Préleveur",
            LEFT(INDIRECT("Descriptif!$M"&amp;($B$1+$A31-1)),5)="Sonde",
            LEFT(INDIRECT("Descriptif!$M"&amp;($B$1+$A31-1)),10)="Débitmètre",
            LEFT(INDIRECT("Descriptif!$F"&amp;($B$1+$A31-1)),6)="PLUVIO"
        )
    ),
    IF(LEFT(INDIRECT("Descriptif!$F"&amp;($B$1+$A31-1)),6)="PLUVIO","",INDIRECT("Descriptif!$"&amp;G$15&amp;($B$1 +$A31 -1))),
    ""
)</f>
        <v/>
      </c>
      <c r="H31" s="141" t="str" cm="1">
        <f t="array" aca="1" ref="H31" ca="1">IFERROR(INDEX($C$16:$C$116,SMALL(IF($C$16:$C$116&lt;&gt;"",ROW($C$16:$C$116)-ROW($C$16)+1),ROW(A16))),"")</f>
        <v/>
      </c>
      <c r="I31" s="140" t="str" cm="1">
        <f t="array" aca="1" ref="I31" ca="1">IFERROR(INDEX($D$16:$D$116,SMALL(IF($D$16:$D$116&lt;&gt;"",ROW($D$16:$D$116)-ROW($D$16)+1),ROW(A16))),"")</f>
        <v/>
      </c>
      <c r="J31" s="140" t="str" cm="1">
        <f t="array" aca="1" ref="J31" ca="1">IFERROR(INDEX($E$16:$E$116,SMALL(IF($E$16:$E$116&lt;&gt;"",ROW($E$16:$E$116)-ROW($E$16)+1),ROW(A16))),"")</f>
        <v/>
      </c>
      <c r="K31" s="140" t="str" cm="1">
        <f t="array" aca="1" ref="K31" ca="1">IFERROR(INDEX($F$16:$F$116,SMALL(IF($F$16:$F$116&lt;&gt;"",ROW($F$16:$F$116)-ROW($F$16)+1),ROW(A16))),"")</f>
        <v/>
      </c>
      <c r="L31" s="140" t="str">
        <f t="shared" ca="1" si="0"/>
        <v/>
      </c>
      <c r="M31" s="140" t="str" cm="1">
        <f t="array" aca="1" ref="M31" ca="1">IFERROR(INDEX($G$16:$G$116,SMALL(IF($G$16:$G$116&lt;&gt;"",ROW($G$16:$G$116)-ROW($G$16)+1),ROW(A16))),"")</f>
        <v/>
      </c>
      <c r="N31" s="145" t="str">
        <f t="shared" ca="1" si="1"/>
        <v/>
      </c>
      <c r="O31" s="146" t="str">
        <f t="shared" ca="1" si="2"/>
        <v/>
      </c>
      <c r="P31" s="146" t="str" cm="1">
        <f t="array" aca="1" ref="P31" ca="1">IF($J31&lt;&gt;"",IF(INDIRECT($H31&amp;"!"&amp;$O31)&lt;&gt;"",INDIRECT($H31&amp;"!"&amp;$O31),""),"")</f>
        <v/>
      </c>
      <c r="Q31" s="146" t="str">
        <f t="shared" ca="1" si="3"/>
        <v/>
      </c>
      <c r="R31" s="146" t="str" cm="1">
        <f t="array" aca="1" ref="R31" ca="1">IF($J31&lt;&gt;"",IF(INDIRECT($H31&amp;"!"&amp;$Q31)&lt;&gt;"",INDIRECT($H31&amp;"!"&amp;$Q31),""),"")</f>
        <v/>
      </c>
      <c r="S31" s="146" t="str">
        <f t="shared" ca="1" si="4"/>
        <v/>
      </c>
      <c r="T31" s="146" t="str" cm="1">
        <f t="array" aca="1" ref="T31" ca="1">IF($J31&lt;&gt;"",IF(INDIRECT($H31&amp;"!"&amp;$S31)&lt;&gt;"",INDIRECT($H31&amp;"!"&amp;$S31),""),"")</f>
        <v/>
      </c>
      <c r="U31" s="146" t="str">
        <f t="shared" ca="1" si="5"/>
        <v/>
      </c>
      <c r="V31" s="147" t="str" cm="1">
        <f t="array" aca="1" ref="V31" ca="1">IF($J31&lt;&gt;"",IF(INDIRECT($H31&amp;"!"&amp;$U31)&lt;&gt;"",INDIRECT($H31&amp;"!"&amp;$U31),""),"")</f>
        <v/>
      </c>
      <c r="W31" s="294" t="str">
        <f t="shared" ca="1" si="7"/>
        <v/>
      </c>
      <c r="X31" s="295" t="str">
        <f t="shared" ca="1" si="8"/>
        <v/>
      </c>
      <c r="Y31" s="296" t="str" cm="1">
        <f t="array" aca="1" ref="Y31" ca="1">IF($H31&lt;&gt;"",IF(INDIRECT($H31&amp;"!"&amp;$W31&amp;($X31+Y$15+1))&lt;&gt;"",INDIRECT($H31&amp;"!"&amp;$W31&amp;($X31+Y$15+1)),""),"")</f>
        <v/>
      </c>
      <c r="Z31" s="296" t="str" cm="1">
        <f t="array" aca="1" ref="Z31" ca="1">IF($H31&lt;&gt;"",IF(INDIRECT($H31&amp;"!"&amp;$W31&amp;($X31+Z$15+1))&lt;&gt;"",INDIRECT($H31&amp;"!"&amp;$W31&amp;($X31+Z$15+1)),""),"")</f>
        <v/>
      </c>
      <c r="AA31" s="296" t="str" cm="1">
        <f t="array" aca="1" ref="AA31" ca="1">IF($H31&lt;&gt;"",IF(INDIRECT($H31&amp;"!"&amp;$W31&amp;($X31+AA$15+1))&lt;&gt;"",INDIRECT($H31&amp;"!"&amp;$W31&amp;($X31+AA$15+1)),""),"")</f>
        <v/>
      </c>
      <c r="AB31" s="296" t="str" cm="1">
        <f t="array" aca="1" ref="AB31" ca="1">IF($H31&lt;&gt;"",IF(INDIRECT($H31&amp;"!"&amp;$W31&amp;($X31+AB$15+1))&lt;&gt;"",INDIRECT($H31&amp;"!"&amp;$W31&amp;($X31+AB$15+1)),""),"")</f>
        <v/>
      </c>
      <c r="AC31" s="296" t="str" cm="1">
        <f t="array" aca="1" ref="AC31" ca="1">IF(LEFT($J31,5)="Sonde","",IF($H31&lt;&gt;"",IF(INDIRECT($H31&amp;"!"&amp;$W31&amp;($X31+AC$15+1))&lt;&gt;"",INDIRECT($H31&amp;"!"&amp;$W31&amp;($X31+AC$15+1)),""),""))</f>
        <v/>
      </c>
      <c r="AD31" s="296" t="str" cm="1">
        <f t="array" aca="1" ref="AD31" ca="1">IF(OR($J31="Pluviomètre",LEFT($J31,5)="Sonde"),"",IF($H31&lt;&gt;"",IF(INDIRECT($H31&amp;"!"&amp;$W31&amp;($X31+AD$15+1))&lt;&gt;"",INDIRECT($H31&amp;"!"&amp;$W31&amp;($X31+AD$15+1)),""),""))</f>
        <v/>
      </c>
      <c r="AE31" s="296" t="str" cm="1">
        <f t="array" aca="1" ref="AE31" ca="1">IF(OR($J31="Pluviomètre",LEFT($J31,5)="Sonde"),"",IF($H31&lt;&gt;"",IF(INDIRECT($H31&amp;"!"&amp;$W31&amp;($X31+AE$15+1))&lt;&gt;"",INDIRECT($H31&amp;"!"&amp;$W31&amp;($X31+AE$15+1)),""),""))</f>
        <v/>
      </c>
      <c r="AF31" s="296" t="str" cm="1">
        <f t="array" aca="1" ref="AF31" ca="1">IF(OR($J31="Pluviomètre",LEFT($J31,5)="Sonde"),"",IF($H31&lt;&gt;"",IF(INDIRECT($H31&amp;"!"&amp;$W31&amp;($X31+AF$15+1))&lt;&gt;"",INDIRECT($H31&amp;"!"&amp;$W31&amp;($X31+AF$15+1)),""),""))</f>
        <v/>
      </c>
      <c r="AG31" s="296" t="str" cm="1">
        <f t="array" aca="1" ref="AG31" ca="1">IF(OR($J31="Pluviomètre",LEFT($J31,5)="Sonde"),"",IF($H31&lt;&gt;"",IF(INDIRECT($H31&amp;"!"&amp;$W31&amp;($X31+AG$15+1))&lt;&gt;"",INDIRECT($H31&amp;"!"&amp;$W31&amp;($X31+AG$15+1)),""),""))</f>
        <v/>
      </c>
      <c r="AH31" s="296" t="str" cm="1">
        <f t="array" aca="1" ref="AH31" ca="1">IF(OR($J31="Pluviomètre",LEFT($J31,5)="Sonde"),"",IF($H31&lt;&gt;"",IF(INDIRECT($H31&amp;"!"&amp;$W31&amp;($X31+AH$15+1))&lt;&gt;"",INDIRECT($H31&amp;"!"&amp;$W31&amp;($X31+AH$15+1)),""),""))</f>
        <v/>
      </c>
      <c r="AI31" s="294" t="str">
        <f t="shared" ca="1" si="9"/>
        <v/>
      </c>
      <c r="AJ31" s="295" t="str">
        <f t="shared" ca="1" si="10"/>
        <v/>
      </c>
      <c r="AK31" s="296" t="str" cm="1">
        <f t="array" aca="1" ref="AK31" ca="1">IF($H31&lt;&gt;"",IF(INDIRECT($H31&amp;"!"&amp;$AI31&amp;($AJ31+AK$15+1))&lt;&gt;"",INDIRECT($H31&amp;"!"&amp;$AI31&amp;($AJ31+AK$15+1)),""),"")</f>
        <v/>
      </c>
      <c r="AL31" s="296" t="str" cm="1">
        <f t="array" aca="1" ref="AL31" ca="1">IF($H31&lt;&gt;"",IF(INDIRECT($H31&amp;"!"&amp;$AI31&amp;($AJ31+AL$15+1))&lt;&gt;"",INDIRECT($H31&amp;"!"&amp;$AI31&amp;($AJ31+AL$15+1)),""),"")</f>
        <v/>
      </c>
      <c r="AM31" s="296" t="str" cm="1">
        <f t="array" aca="1" ref="AM31" ca="1">IF($H31&lt;&gt;"",IF(INDIRECT($H31&amp;"!"&amp;$AI31&amp;($AJ31+AM$15+1))&lt;&gt;"",INDIRECT($H31&amp;"!"&amp;$AI31&amp;($AJ31+AM$15+1)),""),"")</f>
        <v/>
      </c>
      <c r="AN31" s="296" t="str" cm="1">
        <f t="array" aca="1" ref="AN31" ca="1">IF($H31&lt;&gt;"",IF(INDIRECT($H31&amp;"!"&amp;$AI31&amp;($AJ31+AN$15+1))&lt;&gt;"",INDIRECT($H31&amp;"!"&amp;$AI31&amp;($AJ31+AN$15+1)),""),"")</f>
        <v/>
      </c>
      <c r="AO31" s="296" t="str" cm="1">
        <f t="array" aca="1" ref="AO31" ca="1">IF(LEFT($J31,5)="Sonde","",IF($H31&lt;&gt;"",IF(INDIRECT($H31&amp;"!"&amp;$AI31&amp;($AJ31+AO$15+1))&lt;&gt;"",INDIRECT($H31&amp;"!"&amp;$AI31&amp;($AJ31+AO$15+1)),""),""))</f>
        <v/>
      </c>
      <c r="AP31" s="296" t="str" cm="1">
        <f t="array" aca="1" ref="AP31" ca="1">IF(OR($J31="Pluviomètre",LEFT($J31,5)="Sonde"),"",IF($H31&lt;&gt;"",IF(INDIRECT($H31&amp;"!"&amp;$AI31&amp;($AJ31+AP$15+1))&lt;&gt;"",INDIRECT($H31&amp;"!"&amp;$AI31&amp;($AJ31+AP$15+1)),""),""))</f>
        <v/>
      </c>
      <c r="AQ31" s="296" t="str" cm="1">
        <f t="array" aca="1" ref="AQ31" ca="1">IF(OR($J31="Pluviomètre",LEFT($J31,5)="Sonde"),"",IF($H31&lt;&gt;"",IF(INDIRECT($H31&amp;"!"&amp;$AI31&amp;($AJ31+AQ$15+1))&lt;&gt;"",INDIRECT($H31&amp;"!"&amp;$AI31&amp;($AJ31+AQ$15+1)),""),""))</f>
        <v/>
      </c>
      <c r="AR31" s="296" t="str" cm="1">
        <f t="array" aca="1" ref="AR31" ca="1">IF(OR($J31="Pluviomètre",LEFT($J31,5)="Sonde"),"",IF($H31&lt;&gt;"",IF(INDIRECT($H31&amp;"!"&amp;$AI31&amp;($AJ31+AR$15+1))&lt;&gt;"",INDIRECT($H31&amp;"!"&amp;$AI31&amp;($AJ31+AR$15+1)),""),""))</f>
        <v/>
      </c>
      <c r="AS31" s="296" t="str" cm="1">
        <f t="array" aca="1" ref="AS31" ca="1">IF(OR($J31="Pluviomètre",LEFT($J31,5)="Sonde"),"",IF($H31&lt;&gt;"",IF(INDIRECT($H31&amp;"!"&amp;$AI31&amp;($AJ31+AS$15+1))&lt;&gt;"",INDIRECT($H31&amp;"!"&amp;$AI31&amp;($AJ31+AS$15+1)),""),""))</f>
        <v/>
      </c>
      <c r="AT31" s="296" t="str" cm="1">
        <f t="array" aca="1" ref="AT31" ca="1">IF(OR($J31="Pluviomètre",LEFT($J31,5)="Sonde"),"",IF($H31&lt;&gt;"",IF(INDIRECT($H31&amp;"!"&amp;$AI31&amp;($AJ31+AT$15+1))&lt;&gt;"",INDIRECT($H31&amp;"!"&amp;$AI31&amp;($AJ31+AT$15+1)),""),""))</f>
        <v/>
      </c>
      <c r="AU31" s="412" cm="1">
        <f t="array" aca="1" ref="AU31" ca="1">SUMPRODUCT((Y31:AH31&lt;&gt;"")*(Y31:AH31&lt;&gt;"Non contrôlé")*(Y31:AH31&lt;&gt;"Non applicable"))</f>
        <v>0</v>
      </c>
      <c r="AV31" s="414">
        <f t="shared" ca="1" si="11"/>
        <v>-1</v>
      </c>
    </row>
    <row r="32" spans="1:48" x14ac:dyDescent="0.4">
      <c r="A32" s="80">
        <v>17</v>
      </c>
      <c r="B32" s="134" t="b">
        <f t="shared" si="6"/>
        <v>0</v>
      </c>
      <c r="C32" s="139" t="str" cm="1">
        <f t="array" aca="1" ref="C32" ca="1">IF(
    AND(
        $B32,
        OR(
            INDIRECT("Descriptif!$M"&amp;($B$1+$A32-1))="Préleveur",
            LEFT(INDIRECT("Descriptif!$M"&amp;($B$1+$A32-1)),5)="Sonde",
            LEFT(INDIRECT("Descriptif!$M"&amp;($B$1+$A32-1)),10)="Débitmètre",
            LEFT(INDIRECT("Descriptif!$F"&amp;($B$1+$A32-1)),6)="PLUVIO"        )
    ),
    INDIRECT("Descriptif!$"&amp;C$15&amp;($B$1 +$A32 -1)),
    ""
)</f>
        <v/>
      </c>
      <c r="D32" s="277" t="str" cm="1">
        <f t="array" aca="1" ref="D32" ca="1">IF(
    AND(
        $B32,
        OR(
            INDIRECT("Descriptif!$M"&amp;($B$1+$A32-1))="Préleveur",
            LEFT(INDIRECT("Descriptif!$M"&amp;($B$1+$A32-1)),5)="Sonde",
            LEFT(INDIRECT("Descriptif!$M"&amp;($B$1+$A32-1)),10)="Débitmètre",
            LEFT(INDIRECT("Descriptif!$F"&amp;($B$1+$A32-1)),6)="PLUVIO"       )
    ),
    IF(
        LEFT(INDIRECT("Descriptif!$F"&amp;($B$1+$A32-1)),11)="PLUVIO_STEU",
        "A3",
        IF(
            LEFT(INDIRECT("Descriptif!$F"&amp;($B$1+$A32-1)),10)="PLUVIO_SCL",
            "A1",
            INDIRECT("Descriptif!$"&amp;D$15&amp;($B$1 +$A32 -1))
        )
    ),
    ""
)</f>
        <v/>
      </c>
      <c r="E32" s="277" t="str" cm="1">
        <f t="array" aca="1" ref="E32" ca="1">IF(
    AND(
        $B32,
        OR(
            INDIRECT("Descriptif!$M"&amp;($B$1+$A32-1))="Préleveur",
            LEFT(INDIRECT("Descriptif!$M"&amp;($B$1+$A32-1)),5)="Sonde",
            LEFT(INDIRECT("Descriptif!$M"&amp;($B$1+$A32-1)),10)="Débitmètre",
            LEFT(INDIRECT("Descriptif!$F"&amp;($B$1+$A32-1)),6)="PLUVIO"
        )
    ),
    IF(LEFT(INDIRECT("Descriptif!$F"&amp;($B$1+$A32-1)),6)="PLUVIO","Pluviomètre",INDIRECT("Descriptif!$"&amp;E$15&amp;($B$1 +$A32 -1))),
    ""
)</f>
        <v/>
      </c>
      <c r="F32" s="19" t="str" cm="1">
        <f t="array" aca="1" ref="F32" ca="1">IF(
    AND(
        $B32,
        OR(
            INDIRECT("Descriptif!$M"&amp;($B$1+$A32-1))="Préleveur",
            LEFT(INDIRECT("Descriptif!$M"&amp;($B$1+$A32-1)),5)="Sonde",
            LEFT(INDIRECT("Descriptif!$M"&amp;($B$1+$A32-1)),10)="Débitmètre",
            LEFT(INDIRECT("Descriptif!$F"&amp;($B$1+$A32-1)),6)="PLUVIO"
        )
    ),
    IF(LEFT(INDIRECT("Descriptif!$F"&amp;($B$1+$A32-1)),6)="PLUVIO","Pluviomètre",INDIRECT("Descriptif!$"&amp;F$15&amp;($B$1 +$A32 -1))),
    ""
)</f>
        <v/>
      </c>
      <c r="G32" s="19" t="str" cm="1">
        <f t="array" aca="1" ref="G32" ca="1">IF(
    AND(
        $B32,
        OR(
            INDIRECT("Descriptif!$M"&amp;($B$1+$A32-1))="Préleveur",
            LEFT(INDIRECT("Descriptif!$M"&amp;($B$1+$A32-1)),5)="Sonde",
            LEFT(INDIRECT("Descriptif!$M"&amp;($B$1+$A32-1)),10)="Débitmètre",
            LEFT(INDIRECT("Descriptif!$F"&amp;($B$1+$A32-1)),6)="PLUVIO"
        )
    ),
    IF(LEFT(INDIRECT("Descriptif!$F"&amp;($B$1+$A32-1)),6)="PLUVIO","",INDIRECT("Descriptif!$"&amp;G$15&amp;($B$1 +$A32 -1))),
    ""
)</f>
        <v/>
      </c>
      <c r="H32" s="141" t="str" cm="1">
        <f t="array" aca="1" ref="H32" ca="1">IFERROR(INDEX($C$16:$C$116,SMALL(IF($C$16:$C$116&lt;&gt;"",ROW($C$16:$C$116)-ROW($C$16)+1),ROW(A17))),"")</f>
        <v/>
      </c>
      <c r="I32" s="140" t="str" cm="1">
        <f t="array" aca="1" ref="I32" ca="1">IFERROR(INDEX($D$16:$D$116,SMALL(IF($D$16:$D$116&lt;&gt;"",ROW($D$16:$D$116)-ROW($D$16)+1),ROW(A17))),"")</f>
        <v/>
      </c>
      <c r="J32" s="140" t="str" cm="1">
        <f t="array" aca="1" ref="J32" ca="1">IFERROR(INDEX($E$16:$E$116,SMALL(IF($E$16:$E$116&lt;&gt;"",ROW($E$16:$E$116)-ROW($E$16)+1),ROW(A17))),"")</f>
        <v/>
      </c>
      <c r="K32" s="140" t="str" cm="1">
        <f t="array" aca="1" ref="K32" ca="1">IFERROR(INDEX($F$16:$F$116,SMALL(IF($F$16:$F$116&lt;&gt;"",ROW($F$16:$F$116)-ROW($F$16)+1),ROW(A17))),"")</f>
        <v/>
      </c>
      <c r="L32" s="140" t="str">
        <f t="shared" ca="1" si="0"/>
        <v/>
      </c>
      <c r="M32" s="140" t="str" cm="1">
        <f t="array" aca="1" ref="M32" ca="1">IFERROR(INDEX($G$16:$G$116,SMALL(IF($G$16:$G$116&lt;&gt;"",ROW($G$16:$G$116)-ROW($G$16)+1),ROW(A17))),"")</f>
        <v/>
      </c>
      <c r="N32" s="145" t="str">
        <f t="shared" ca="1" si="1"/>
        <v/>
      </c>
      <c r="O32" s="146" t="str">
        <f t="shared" ca="1" si="2"/>
        <v/>
      </c>
      <c r="P32" s="146" t="str" cm="1">
        <f t="array" aca="1" ref="P32" ca="1">IF($J32&lt;&gt;"",IF(INDIRECT($H32&amp;"!"&amp;$O32)&lt;&gt;"",INDIRECT($H32&amp;"!"&amp;$O32),""),"")</f>
        <v/>
      </c>
      <c r="Q32" s="146" t="str">
        <f t="shared" ca="1" si="3"/>
        <v/>
      </c>
      <c r="R32" s="146" t="str" cm="1">
        <f t="array" aca="1" ref="R32" ca="1">IF($J32&lt;&gt;"",IF(INDIRECT($H32&amp;"!"&amp;$Q32)&lt;&gt;"",INDIRECT($H32&amp;"!"&amp;$Q32),""),"")</f>
        <v/>
      </c>
      <c r="S32" s="146" t="str">
        <f t="shared" ca="1" si="4"/>
        <v/>
      </c>
      <c r="T32" s="146" t="str" cm="1">
        <f t="array" aca="1" ref="T32" ca="1">IF($J32&lt;&gt;"",IF(INDIRECT($H32&amp;"!"&amp;$S32)&lt;&gt;"",INDIRECT($H32&amp;"!"&amp;$S32),""),"")</f>
        <v/>
      </c>
      <c r="U32" s="146" t="str">
        <f t="shared" ca="1" si="5"/>
        <v/>
      </c>
      <c r="V32" s="147" t="str" cm="1">
        <f t="array" aca="1" ref="V32" ca="1">IF($J32&lt;&gt;"",IF(INDIRECT($H32&amp;"!"&amp;$U32)&lt;&gt;"",INDIRECT($H32&amp;"!"&amp;$U32),""),"")</f>
        <v/>
      </c>
      <c r="W32" s="294" t="str">
        <f t="shared" ca="1" si="7"/>
        <v/>
      </c>
      <c r="X32" s="295" t="str">
        <f t="shared" ca="1" si="8"/>
        <v/>
      </c>
      <c r="Y32" s="296" t="str" cm="1">
        <f t="array" aca="1" ref="Y32" ca="1">IF($H32&lt;&gt;"",IF(INDIRECT($H32&amp;"!"&amp;$W32&amp;($X32+Y$15+1))&lt;&gt;"",INDIRECT($H32&amp;"!"&amp;$W32&amp;($X32+Y$15+1)),""),"")</f>
        <v/>
      </c>
      <c r="Z32" s="296" t="str" cm="1">
        <f t="array" aca="1" ref="Z32" ca="1">IF($H32&lt;&gt;"",IF(INDIRECT($H32&amp;"!"&amp;$W32&amp;($X32+Z$15+1))&lt;&gt;"",INDIRECT($H32&amp;"!"&amp;$W32&amp;($X32+Z$15+1)),""),"")</f>
        <v/>
      </c>
      <c r="AA32" s="296" t="str" cm="1">
        <f t="array" aca="1" ref="AA32" ca="1">IF($H32&lt;&gt;"",IF(INDIRECT($H32&amp;"!"&amp;$W32&amp;($X32+AA$15+1))&lt;&gt;"",INDIRECT($H32&amp;"!"&amp;$W32&amp;($X32+AA$15+1)),""),"")</f>
        <v/>
      </c>
      <c r="AB32" s="296" t="str" cm="1">
        <f t="array" aca="1" ref="AB32" ca="1">IF($H32&lt;&gt;"",IF(INDIRECT($H32&amp;"!"&amp;$W32&amp;($X32+AB$15+1))&lt;&gt;"",INDIRECT($H32&amp;"!"&amp;$W32&amp;($X32+AB$15+1)),""),"")</f>
        <v/>
      </c>
      <c r="AC32" s="296" t="str" cm="1">
        <f t="array" aca="1" ref="AC32" ca="1">IF(LEFT($J32,5)="Sonde","",IF($H32&lt;&gt;"",IF(INDIRECT($H32&amp;"!"&amp;$W32&amp;($X32+AC$15+1))&lt;&gt;"",INDIRECT($H32&amp;"!"&amp;$W32&amp;($X32+AC$15+1)),""),""))</f>
        <v/>
      </c>
      <c r="AD32" s="296" t="str" cm="1">
        <f t="array" aca="1" ref="AD32" ca="1">IF(OR($J32="Pluviomètre",LEFT($J32,5)="Sonde"),"",IF($H32&lt;&gt;"",IF(INDIRECT($H32&amp;"!"&amp;$W32&amp;($X32+AD$15+1))&lt;&gt;"",INDIRECT($H32&amp;"!"&amp;$W32&amp;($X32+AD$15+1)),""),""))</f>
        <v/>
      </c>
      <c r="AE32" s="296" t="str" cm="1">
        <f t="array" aca="1" ref="AE32" ca="1">IF(OR($J32="Pluviomètre",LEFT($J32,5)="Sonde"),"",IF($H32&lt;&gt;"",IF(INDIRECT($H32&amp;"!"&amp;$W32&amp;($X32+AE$15+1))&lt;&gt;"",INDIRECT($H32&amp;"!"&amp;$W32&amp;($X32+AE$15+1)),""),""))</f>
        <v/>
      </c>
      <c r="AF32" s="296" t="str" cm="1">
        <f t="array" aca="1" ref="AF32" ca="1">IF(OR($J32="Pluviomètre",LEFT($J32,5)="Sonde"),"",IF($H32&lt;&gt;"",IF(INDIRECT($H32&amp;"!"&amp;$W32&amp;($X32+AF$15+1))&lt;&gt;"",INDIRECT($H32&amp;"!"&amp;$W32&amp;($X32+AF$15+1)),""),""))</f>
        <v/>
      </c>
      <c r="AG32" s="296" t="str" cm="1">
        <f t="array" aca="1" ref="AG32" ca="1">IF(OR($J32="Pluviomètre",LEFT($J32,5)="Sonde"),"",IF($H32&lt;&gt;"",IF(INDIRECT($H32&amp;"!"&amp;$W32&amp;($X32+AG$15+1))&lt;&gt;"",INDIRECT($H32&amp;"!"&amp;$W32&amp;($X32+AG$15+1)),""),""))</f>
        <v/>
      </c>
      <c r="AH32" s="296" t="str" cm="1">
        <f t="array" aca="1" ref="AH32" ca="1">IF(OR($J32="Pluviomètre",LEFT($J32,5)="Sonde"),"",IF($H32&lt;&gt;"",IF(INDIRECT($H32&amp;"!"&amp;$W32&amp;($X32+AH$15+1))&lt;&gt;"",INDIRECT($H32&amp;"!"&amp;$W32&amp;($X32+AH$15+1)),""),""))</f>
        <v/>
      </c>
      <c r="AI32" s="294" t="str">
        <f t="shared" ca="1" si="9"/>
        <v/>
      </c>
      <c r="AJ32" s="295" t="str">
        <f t="shared" ca="1" si="10"/>
        <v/>
      </c>
      <c r="AK32" s="296" t="str" cm="1">
        <f t="array" aca="1" ref="AK32" ca="1">IF($H32&lt;&gt;"",IF(INDIRECT($H32&amp;"!"&amp;$AI32&amp;($AJ32+AK$15+1))&lt;&gt;"",INDIRECT($H32&amp;"!"&amp;$AI32&amp;($AJ32+AK$15+1)),""),"")</f>
        <v/>
      </c>
      <c r="AL32" s="296" t="str" cm="1">
        <f t="array" aca="1" ref="AL32" ca="1">IF($H32&lt;&gt;"",IF(INDIRECT($H32&amp;"!"&amp;$AI32&amp;($AJ32+AL$15+1))&lt;&gt;"",INDIRECT($H32&amp;"!"&amp;$AI32&amp;($AJ32+AL$15+1)),""),"")</f>
        <v/>
      </c>
      <c r="AM32" s="296" t="str" cm="1">
        <f t="array" aca="1" ref="AM32" ca="1">IF($H32&lt;&gt;"",IF(INDIRECT($H32&amp;"!"&amp;$AI32&amp;($AJ32+AM$15+1))&lt;&gt;"",INDIRECT($H32&amp;"!"&amp;$AI32&amp;($AJ32+AM$15+1)),""),"")</f>
        <v/>
      </c>
      <c r="AN32" s="296" t="str" cm="1">
        <f t="array" aca="1" ref="AN32" ca="1">IF($H32&lt;&gt;"",IF(INDIRECT($H32&amp;"!"&amp;$AI32&amp;($AJ32+AN$15+1))&lt;&gt;"",INDIRECT($H32&amp;"!"&amp;$AI32&amp;($AJ32+AN$15+1)),""),"")</f>
        <v/>
      </c>
      <c r="AO32" s="296" t="str" cm="1">
        <f t="array" aca="1" ref="AO32" ca="1">IF(LEFT($J32,5)="Sonde","",IF($H32&lt;&gt;"",IF(INDIRECT($H32&amp;"!"&amp;$AI32&amp;($AJ32+AO$15+1))&lt;&gt;"",INDIRECT($H32&amp;"!"&amp;$AI32&amp;($AJ32+AO$15+1)),""),""))</f>
        <v/>
      </c>
      <c r="AP32" s="296" t="str" cm="1">
        <f t="array" aca="1" ref="AP32" ca="1">IF(OR($J32="Pluviomètre",LEFT($J32,5)="Sonde"),"",IF($H32&lt;&gt;"",IF(INDIRECT($H32&amp;"!"&amp;$AI32&amp;($AJ32+AP$15+1))&lt;&gt;"",INDIRECT($H32&amp;"!"&amp;$AI32&amp;($AJ32+AP$15+1)),""),""))</f>
        <v/>
      </c>
      <c r="AQ32" s="296" t="str" cm="1">
        <f t="array" aca="1" ref="AQ32" ca="1">IF(OR($J32="Pluviomètre",LEFT($J32,5)="Sonde"),"",IF($H32&lt;&gt;"",IF(INDIRECT($H32&amp;"!"&amp;$AI32&amp;($AJ32+AQ$15+1))&lt;&gt;"",INDIRECT($H32&amp;"!"&amp;$AI32&amp;($AJ32+AQ$15+1)),""),""))</f>
        <v/>
      </c>
      <c r="AR32" s="296" t="str" cm="1">
        <f t="array" aca="1" ref="AR32" ca="1">IF(OR($J32="Pluviomètre",LEFT($J32,5)="Sonde"),"",IF($H32&lt;&gt;"",IF(INDIRECT($H32&amp;"!"&amp;$AI32&amp;($AJ32+AR$15+1))&lt;&gt;"",INDIRECT($H32&amp;"!"&amp;$AI32&amp;($AJ32+AR$15+1)),""),""))</f>
        <v/>
      </c>
      <c r="AS32" s="296" t="str" cm="1">
        <f t="array" aca="1" ref="AS32" ca="1">IF(OR($J32="Pluviomètre",LEFT($J32,5)="Sonde"),"",IF($H32&lt;&gt;"",IF(INDIRECT($H32&amp;"!"&amp;$AI32&amp;($AJ32+AS$15+1))&lt;&gt;"",INDIRECT($H32&amp;"!"&amp;$AI32&amp;($AJ32+AS$15+1)),""),""))</f>
        <v/>
      </c>
      <c r="AT32" s="296" t="str" cm="1">
        <f t="array" aca="1" ref="AT32" ca="1">IF(OR($J32="Pluviomètre",LEFT($J32,5)="Sonde"),"",IF($H32&lt;&gt;"",IF(INDIRECT($H32&amp;"!"&amp;$AI32&amp;($AJ32+AT$15+1))&lt;&gt;"",INDIRECT($H32&amp;"!"&amp;$AI32&amp;($AJ32+AT$15+1)),""),""))</f>
        <v/>
      </c>
      <c r="AU32" s="412" cm="1">
        <f t="array" aca="1" ref="AU32" ca="1">SUMPRODUCT((Y32:AH32&lt;&gt;"")*(Y32:AH32&lt;&gt;"Non contrôlé")*(Y32:AH32&lt;&gt;"Non applicable"))</f>
        <v>0</v>
      </c>
      <c r="AV32" s="414">
        <f t="shared" ca="1" si="11"/>
        <v>-1</v>
      </c>
    </row>
    <row r="33" spans="1:48" x14ac:dyDescent="0.4">
      <c r="A33" s="80">
        <v>18</v>
      </c>
      <c r="B33" s="134" t="b">
        <f t="shared" si="6"/>
        <v>0</v>
      </c>
      <c r="C33" s="139" t="str" cm="1">
        <f t="array" aca="1" ref="C33" ca="1">IF(
    AND(
        $B33,
        OR(
            INDIRECT("Descriptif!$M"&amp;($B$1+$A33-1))="Préleveur",
            LEFT(INDIRECT("Descriptif!$M"&amp;($B$1+$A33-1)),5)="Sonde",
            LEFT(INDIRECT("Descriptif!$M"&amp;($B$1+$A33-1)),10)="Débitmètre",
            LEFT(INDIRECT("Descriptif!$F"&amp;($B$1+$A33-1)),6)="PLUVIO"        )
    ),
    INDIRECT("Descriptif!$"&amp;C$15&amp;($B$1 +$A33 -1)),
    ""
)</f>
        <v/>
      </c>
      <c r="D33" s="277" t="str" cm="1">
        <f t="array" aca="1" ref="D33" ca="1">IF(
    AND(
        $B33,
        OR(
            INDIRECT("Descriptif!$M"&amp;($B$1+$A33-1))="Préleveur",
            LEFT(INDIRECT("Descriptif!$M"&amp;($B$1+$A33-1)),5)="Sonde",
            LEFT(INDIRECT("Descriptif!$M"&amp;($B$1+$A33-1)),10)="Débitmètre",
            LEFT(INDIRECT("Descriptif!$F"&amp;($B$1+$A33-1)),6)="PLUVIO"       )
    ),
    IF(
        LEFT(INDIRECT("Descriptif!$F"&amp;($B$1+$A33-1)),11)="PLUVIO_STEU",
        "A3",
        IF(
            LEFT(INDIRECT("Descriptif!$F"&amp;($B$1+$A33-1)),10)="PLUVIO_SCL",
            "A1",
            INDIRECT("Descriptif!$"&amp;D$15&amp;($B$1 +$A33 -1))
        )
    ),
    ""
)</f>
        <v/>
      </c>
      <c r="E33" s="277" t="str" cm="1">
        <f t="array" aca="1" ref="E33" ca="1">IF(
    AND(
        $B33,
        OR(
            INDIRECT("Descriptif!$M"&amp;($B$1+$A33-1))="Préleveur",
            LEFT(INDIRECT("Descriptif!$M"&amp;($B$1+$A33-1)),5)="Sonde",
            LEFT(INDIRECT("Descriptif!$M"&amp;($B$1+$A33-1)),10)="Débitmètre",
            LEFT(INDIRECT("Descriptif!$F"&amp;($B$1+$A33-1)),6)="PLUVIO"
        )
    ),
    IF(LEFT(INDIRECT("Descriptif!$F"&amp;($B$1+$A33-1)),6)="PLUVIO","Pluviomètre",INDIRECT("Descriptif!$"&amp;E$15&amp;($B$1 +$A33 -1))),
    ""
)</f>
        <v/>
      </c>
      <c r="F33" s="19" t="str" cm="1">
        <f t="array" aca="1" ref="F33" ca="1">IF(
    AND(
        $B33,
        OR(
            INDIRECT("Descriptif!$M"&amp;($B$1+$A33-1))="Préleveur",
            LEFT(INDIRECT("Descriptif!$M"&amp;($B$1+$A33-1)),5)="Sonde",
            LEFT(INDIRECT("Descriptif!$M"&amp;($B$1+$A33-1)),10)="Débitmètre",
            LEFT(INDIRECT("Descriptif!$F"&amp;($B$1+$A33-1)),6)="PLUVIO"
        )
    ),
    IF(LEFT(INDIRECT("Descriptif!$F"&amp;($B$1+$A33-1)),6)="PLUVIO","Pluviomètre",INDIRECT("Descriptif!$"&amp;F$15&amp;($B$1 +$A33 -1))),
    ""
)</f>
        <v/>
      </c>
      <c r="G33" s="19" t="str" cm="1">
        <f t="array" aca="1" ref="G33" ca="1">IF(
    AND(
        $B33,
        OR(
            INDIRECT("Descriptif!$M"&amp;($B$1+$A33-1))="Préleveur",
            LEFT(INDIRECT("Descriptif!$M"&amp;($B$1+$A33-1)),5)="Sonde",
            LEFT(INDIRECT("Descriptif!$M"&amp;($B$1+$A33-1)),10)="Débitmètre",
            LEFT(INDIRECT("Descriptif!$F"&amp;($B$1+$A33-1)),6)="PLUVIO"
        )
    ),
    IF(LEFT(INDIRECT("Descriptif!$F"&amp;($B$1+$A33-1)),6)="PLUVIO","",INDIRECT("Descriptif!$"&amp;G$15&amp;($B$1 +$A33 -1))),
    ""
)</f>
        <v/>
      </c>
      <c r="H33" s="141" t="str" cm="1">
        <f t="array" aca="1" ref="H33" ca="1">IFERROR(INDEX($C$16:$C$116,SMALL(IF($C$16:$C$116&lt;&gt;"",ROW($C$16:$C$116)-ROW($C$16)+1),ROW(A18))),"")</f>
        <v/>
      </c>
      <c r="I33" s="140" t="str" cm="1">
        <f t="array" aca="1" ref="I33" ca="1">IFERROR(INDEX($D$16:$D$116,SMALL(IF($D$16:$D$116&lt;&gt;"",ROW($D$16:$D$116)-ROW($D$16)+1),ROW(A18))),"")</f>
        <v/>
      </c>
      <c r="J33" s="140" t="str" cm="1">
        <f t="array" aca="1" ref="J33" ca="1">IFERROR(INDEX($E$16:$E$116,SMALL(IF($E$16:$E$116&lt;&gt;"",ROW($E$16:$E$116)-ROW($E$16)+1),ROW(A18))),"")</f>
        <v/>
      </c>
      <c r="K33" s="140" t="str" cm="1">
        <f t="array" aca="1" ref="K33" ca="1">IFERROR(INDEX($F$16:$F$116,SMALL(IF($F$16:$F$116&lt;&gt;"",ROW($F$16:$F$116)-ROW($F$16)+1),ROW(A18))),"")</f>
        <v/>
      </c>
      <c r="L33" s="140" t="str">
        <f t="shared" ca="1" si="0"/>
        <v/>
      </c>
      <c r="M33" s="140" t="str" cm="1">
        <f t="array" aca="1" ref="M33" ca="1">IFERROR(INDEX($G$16:$G$116,SMALL(IF($G$16:$G$116&lt;&gt;"",ROW($G$16:$G$116)-ROW($G$16)+1),ROW(A18))),"")</f>
        <v/>
      </c>
      <c r="N33" s="145" t="str">
        <f t="shared" ca="1" si="1"/>
        <v/>
      </c>
      <c r="O33" s="146" t="str">
        <f t="shared" ca="1" si="2"/>
        <v/>
      </c>
      <c r="P33" s="146" t="str" cm="1">
        <f t="array" aca="1" ref="P33" ca="1">IF($J33&lt;&gt;"",IF(INDIRECT($H33&amp;"!"&amp;$O33)&lt;&gt;"",INDIRECT($H33&amp;"!"&amp;$O33),""),"")</f>
        <v/>
      </c>
      <c r="Q33" s="146" t="str">
        <f t="shared" ca="1" si="3"/>
        <v/>
      </c>
      <c r="R33" s="146" t="str" cm="1">
        <f t="array" aca="1" ref="R33" ca="1">IF($J33&lt;&gt;"",IF(INDIRECT($H33&amp;"!"&amp;$Q33)&lt;&gt;"",INDIRECT($H33&amp;"!"&amp;$Q33),""),"")</f>
        <v/>
      </c>
      <c r="S33" s="146" t="str">
        <f t="shared" ca="1" si="4"/>
        <v/>
      </c>
      <c r="T33" s="146" t="str" cm="1">
        <f t="array" aca="1" ref="T33" ca="1">IF($J33&lt;&gt;"",IF(INDIRECT($H33&amp;"!"&amp;$S33)&lt;&gt;"",INDIRECT($H33&amp;"!"&amp;$S33),""),"")</f>
        <v/>
      </c>
      <c r="U33" s="146" t="str">
        <f t="shared" ca="1" si="5"/>
        <v/>
      </c>
      <c r="V33" s="147" t="str" cm="1">
        <f t="array" aca="1" ref="V33" ca="1">IF($J33&lt;&gt;"",IF(INDIRECT($H33&amp;"!"&amp;$U33)&lt;&gt;"",INDIRECT($H33&amp;"!"&amp;$U33),""),"")</f>
        <v/>
      </c>
      <c r="W33" s="294" t="str">
        <f t="shared" ca="1" si="7"/>
        <v/>
      </c>
      <c r="X33" s="295" t="str">
        <f t="shared" ca="1" si="8"/>
        <v/>
      </c>
      <c r="Y33" s="296" t="str" cm="1">
        <f t="array" aca="1" ref="Y33" ca="1">IF($H33&lt;&gt;"",IF(INDIRECT($H33&amp;"!"&amp;$W33&amp;($X33+Y$15+1))&lt;&gt;"",INDIRECT($H33&amp;"!"&amp;$W33&amp;($X33+Y$15+1)),""),"")</f>
        <v/>
      </c>
      <c r="Z33" s="296" t="str" cm="1">
        <f t="array" aca="1" ref="Z33" ca="1">IF($H33&lt;&gt;"",IF(INDIRECT($H33&amp;"!"&amp;$W33&amp;($X33+Z$15+1))&lt;&gt;"",INDIRECT($H33&amp;"!"&amp;$W33&amp;($X33+Z$15+1)),""),"")</f>
        <v/>
      </c>
      <c r="AA33" s="296" t="str" cm="1">
        <f t="array" aca="1" ref="AA33" ca="1">IF($H33&lt;&gt;"",IF(INDIRECT($H33&amp;"!"&amp;$W33&amp;($X33+AA$15+1))&lt;&gt;"",INDIRECT($H33&amp;"!"&amp;$W33&amp;($X33+AA$15+1)),""),"")</f>
        <v/>
      </c>
      <c r="AB33" s="296" t="str" cm="1">
        <f t="array" aca="1" ref="AB33" ca="1">IF($H33&lt;&gt;"",IF(INDIRECT($H33&amp;"!"&amp;$W33&amp;($X33+AB$15+1))&lt;&gt;"",INDIRECT($H33&amp;"!"&amp;$W33&amp;($X33+AB$15+1)),""),"")</f>
        <v/>
      </c>
      <c r="AC33" s="296" t="str" cm="1">
        <f t="array" aca="1" ref="AC33" ca="1">IF(LEFT($J33,5)="Sonde","",IF($H33&lt;&gt;"",IF(INDIRECT($H33&amp;"!"&amp;$W33&amp;($X33+AC$15+1))&lt;&gt;"",INDIRECT($H33&amp;"!"&amp;$W33&amp;($X33+AC$15+1)),""),""))</f>
        <v/>
      </c>
      <c r="AD33" s="296" t="str" cm="1">
        <f t="array" aca="1" ref="AD33" ca="1">IF(OR($J33="Pluviomètre",LEFT($J33,5)="Sonde"),"",IF($H33&lt;&gt;"",IF(INDIRECT($H33&amp;"!"&amp;$W33&amp;($X33+AD$15+1))&lt;&gt;"",INDIRECT($H33&amp;"!"&amp;$W33&amp;($X33+AD$15+1)),""),""))</f>
        <v/>
      </c>
      <c r="AE33" s="296" t="str" cm="1">
        <f t="array" aca="1" ref="AE33" ca="1">IF(OR($J33="Pluviomètre",LEFT($J33,5)="Sonde"),"",IF($H33&lt;&gt;"",IF(INDIRECT($H33&amp;"!"&amp;$W33&amp;($X33+AE$15+1))&lt;&gt;"",INDIRECT($H33&amp;"!"&amp;$W33&amp;($X33+AE$15+1)),""),""))</f>
        <v/>
      </c>
      <c r="AF33" s="296" t="str" cm="1">
        <f t="array" aca="1" ref="AF33" ca="1">IF(OR($J33="Pluviomètre",LEFT($J33,5)="Sonde"),"",IF($H33&lt;&gt;"",IF(INDIRECT($H33&amp;"!"&amp;$W33&amp;($X33+AF$15+1))&lt;&gt;"",INDIRECT($H33&amp;"!"&amp;$W33&amp;($X33+AF$15+1)),""),""))</f>
        <v/>
      </c>
      <c r="AG33" s="296" t="str" cm="1">
        <f t="array" aca="1" ref="AG33" ca="1">IF(OR($J33="Pluviomètre",LEFT($J33,5)="Sonde"),"",IF($H33&lt;&gt;"",IF(INDIRECT($H33&amp;"!"&amp;$W33&amp;($X33+AG$15+1))&lt;&gt;"",INDIRECT($H33&amp;"!"&amp;$W33&amp;($X33+AG$15+1)),""),""))</f>
        <v/>
      </c>
      <c r="AH33" s="296" t="str" cm="1">
        <f t="array" aca="1" ref="AH33" ca="1">IF(OR($J33="Pluviomètre",LEFT($J33,5)="Sonde"),"",IF($H33&lt;&gt;"",IF(INDIRECT($H33&amp;"!"&amp;$W33&amp;($X33+AH$15+1))&lt;&gt;"",INDIRECT($H33&amp;"!"&amp;$W33&amp;($X33+AH$15+1)),""),""))</f>
        <v/>
      </c>
      <c r="AI33" s="294" t="str">
        <f t="shared" ca="1" si="9"/>
        <v/>
      </c>
      <c r="AJ33" s="295" t="str">
        <f t="shared" ca="1" si="10"/>
        <v/>
      </c>
      <c r="AK33" s="296" t="str" cm="1">
        <f t="array" aca="1" ref="AK33" ca="1">IF($H33&lt;&gt;"",IF(INDIRECT($H33&amp;"!"&amp;$AI33&amp;($AJ33+AK$15+1))&lt;&gt;"",INDIRECT($H33&amp;"!"&amp;$AI33&amp;($AJ33+AK$15+1)),""),"")</f>
        <v/>
      </c>
      <c r="AL33" s="296" t="str" cm="1">
        <f t="array" aca="1" ref="AL33" ca="1">IF($H33&lt;&gt;"",IF(INDIRECT($H33&amp;"!"&amp;$AI33&amp;($AJ33+AL$15+1))&lt;&gt;"",INDIRECT($H33&amp;"!"&amp;$AI33&amp;($AJ33+AL$15+1)),""),"")</f>
        <v/>
      </c>
      <c r="AM33" s="296" t="str" cm="1">
        <f t="array" aca="1" ref="AM33" ca="1">IF($H33&lt;&gt;"",IF(INDIRECT($H33&amp;"!"&amp;$AI33&amp;($AJ33+AM$15+1))&lt;&gt;"",INDIRECT($H33&amp;"!"&amp;$AI33&amp;($AJ33+AM$15+1)),""),"")</f>
        <v/>
      </c>
      <c r="AN33" s="296" t="str" cm="1">
        <f t="array" aca="1" ref="AN33" ca="1">IF($H33&lt;&gt;"",IF(INDIRECT($H33&amp;"!"&amp;$AI33&amp;($AJ33+AN$15+1))&lt;&gt;"",INDIRECT($H33&amp;"!"&amp;$AI33&amp;($AJ33+AN$15+1)),""),"")</f>
        <v/>
      </c>
      <c r="AO33" s="296" t="str" cm="1">
        <f t="array" aca="1" ref="AO33" ca="1">IF(LEFT($J33,5)="Sonde","",IF($H33&lt;&gt;"",IF(INDIRECT($H33&amp;"!"&amp;$AI33&amp;($AJ33+AO$15+1))&lt;&gt;"",INDIRECT($H33&amp;"!"&amp;$AI33&amp;($AJ33+AO$15+1)),""),""))</f>
        <v/>
      </c>
      <c r="AP33" s="296" t="str" cm="1">
        <f t="array" aca="1" ref="AP33" ca="1">IF(OR($J33="Pluviomètre",LEFT($J33,5)="Sonde"),"",IF($H33&lt;&gt;"",IF(INDIRECT($H33&amp;"!"&amp;$AI33&amp;($AJ33+AP$15+1))&lt;&gt;"",INDIRECT($H33&amp;"!"&amp;$AI33&amp;($AJ33+AP$15+1)),""),""))</f>
        <v/>
      </c>
      <c r="AQ33" s="296" t="str" cm="1">
        <f t="array" aca="1" ref="AQ33" ca="1">IF(OR($J33="Pluviomètre",LEFT($J33,5)="Sonde"),"",IF($H33&lt;&gt;"",IF(INDIRECT($H33&amp;"!"&amp;$AI33&amp;($AJ33+AQ$15+1))&lt;&gt;"",INDIRECT($H33&amp;"!"&amp;$AI33&amp;($AJ33+AQ$15+1)),""),""))</f>
        <v/>
      </c>
      <c r="AR33" s="296" t="str" cm="1">
        <f t="array" aca="1" ref="AR33" ca="1">IF(OR($J33="Pluviomètre",LEFT($J33,5)="Sonde"),"",IF($H33&lt;&gt;"",IF(INDIRECT($H33&amp;"!"&amp;$AI33&amp;($AJ33+AR$15+1))&lt;&gt;"",INDIRECT($H33&amp;"!"&amp;$AI33&amp;($AJ33+AR$15+1)),""),""))</f>
        <v/>
      </c>
      <c r="AS33" s="296" t="str" cm="1">
        <f t="array" aca="1" ref="AS33" ca="1">IF(OR($J33="Pluviomètre",LEFT($J33,5)="Sonde"),"",IF($H33&lt;&gt;"",IF(INDIRECT($H33&amp;"!"&amp;$AI33&amp;($AJ33+AS$15+1))&lt;&gt;"",INDIRECT($H33&amp;"!"&amp;$AI33&amp;($AJ33+AS$15+1)),""),""))</f>
        <v/>
      </c>
      <c r="AT33" s="296" t="str" cm="1">
        <f t="array" aca="1" ref="AT33" ca="1">IF(OR($J33="Pluviomètre",LEFT($J33,5)="Sonde"),"",IF($H33&lt;&gt;"",IF(INDIRECT($H33&amp;"!"&amp;$AI33&amp;($AJ33+AT$15+1))&lt;&gt;"",INDIRECT($H33&amp;"!"&amp;$AI33&amp;($AJ33+AT$15+1)),""),""))</f>
        <v/>
      </c>
      <c r="AU33" s="412" cm="1">
        <f t="array" aca="1" ref="AU33" ca="1">SUMPRODUCT((Y33:AH33&lt;&gt;"")*(Y33:AH33&lt;&gt;"Non contrôlé")*(Y33:AH33&lt;&gt;"Non applicable"))</f>
        <v>0</v>
      </c>
      <c r="AV33" s="414">
        <f t="shared" ca="1" si="11"/>
        <v>-1</v>
      </c>
    </row>
    <row r="34" spans="1:48" x14ac:dyDescent="0.4">
      <c r="A34" s="80">
        <v>19</v>
      </c>
      <c r="B34" s="134" t="b">
        <f t="shared" si="6"/>
        <v>0</v>
      </c>
      <c r="C34" s="139" t="str" cm="1">
        <f t="array" aca="1" ref="C34" ca="1">IF(
    AND(
        $B34,
        OR(
            INDIRECT("Descriptif!$M"&amp;($B$1+$A34-1))="Préleveur",
            LEFT(INDIRECT("Descriptif!$M"&amp;($B$1+$A34-1)),5)="Sonde",
            LEFT(INDIRECT("Descriptif!$M"&amp;($B$1+$A34-1)),10)="Débitmètre",
            LEFT(INDIRECT("Descriptif!$F"&amp;($B$1+$A34-1)),6)="PLUVIO"        )
    ),
    INDIRECT("Descriptif!$"&amp;C$15&amp;($B$1 +$A34 -1)),
    ""
)</f>
        <v/>
      </c>
      <c r="D34" s="277" t="str" cm="1">
        <f t="array" aca="1" ref="D34" ca="1">IF(
    AND(
        $B34,
        OR(
            INDIRECT("Descriptif!$M"&amp;($B$1+$A34-1))="Préleveur",
            LEFT(INDIRECT("Descriptif!$M"&amp;($B$1+$A34-1)),5)="Sonde",
            LEFT(INDIRECT("Descriptif!$M"&amp;($B$1+$A34-1)),10)="Débitmètre",
            LEFT(INDIRECT("Descriptif!$F"&amp;($B$1+$A34-1)),6)="PLUVIO"       )
    ),
    IF(
        LEFT(INDIRECT("Descriptif!$F"&amp;($B$1+$A34-1)),11)="PLUVIO_STEU",
        "A3",
        IF(
            LEFT(INDIRECT("Descriptif!$F"&amp;($B$1+$A34-1)),10)="PLUVIO_SCL",
            "A1",
            INDIRECT("Descriptif!$"&amp;D$15&amp;($B$1 +$A34 -1))
        )
    ),
    ""
)</f>
        <v/>
      </c>
      <c r="E34" s="277" t="str" cm="1">
        <f t="array" aca="1" ref="E34" ca="1">IF(
    AND(
        $B34,
        OR(
            INDIRECT("Descriptif!$M"&amp;($B$1+$A34-1))="Préleveur",
            LEFT(INDIRECT("Descriptif!$M"&amp;($B$1+$A34-1)),5)="Sonde",
            LEFT(INDIRECT("Descriptif!$M"&amp;($B$1+$A34-1)),10)="Débitmètre",
            LEFT(INDIRECT("Descriptif!$F"&amp;($B$1+$A34-1)),6)="PLUVIO"
        )
    ),
    IF(LEFT(INDIRECT("Descriptif!$F"&amp;($B$1+$A34-1)),6)="PLUVIO","Pluviomètre",INDIRECT("Descriptif!$"&amp;E$15&amp;($B$1 +$A34 -1))),
    ""
)</f>
        <v/>
      </c>
      <c r="F34" s="19" t="str" cm="1">
        <f t="array" aca="1" ref="F34" ca="1">IF(
    AND(
        $B34,
        OR(
            INDIRECT("Descriptif!$M"&amp;($B$1+$A34-1))="Préleveur",
            LEFT(INDIRECT("Descriptif!$M"&amp;($B$1+$A34-1)),5)="Sonde",
            LEFT(INDIRECT("Descriptif!$M"&amp;($B$1+$A34-1)),10)="Débitmètre",
            LEFT(INDIRECT("Descriptif!$F"&amp;($B$1+$A34-1)),6)="PLUVIO"
        )
    ),
    IF(LEFT(INDIRECT("Descriptif!$F"&amp;($B$1+$A34-1)),6)="PLUVIO","Pluviomètre",INDIRECT("Descriptif!$"&amp;F$15&amp;($B$1 +$A34 -1))),
    ""
)</f>
        <v/>
      </c>
      <c r="G34" s="19" t="str" cm="1">
        <f t="array" aca="1" ref="G34" ca="1">IF(
    AND(
        $B34,
        OR(
            INDIRECT("Descriptif!$M"&amp;($B$1+$A34-1))="Préleveur",
            LEFT(INDIRECT("Descriptif!$M"&amp;($B$1+$A34-1)),5)="Sonde",
            LEFT(INDIRECT("Descriptif!$M"&amp;($B$1+$A34-1)),10)="Débitmètre",
            LEFT(INDIRECT("Descriptif!$F"&amp;($B$1+$A34-1)),6)="PLUVIO"
        )
    ),
    IF(LEFT(INDIRECT("Descriptif!$F"&amp;($B$1+$A34-1)),6)="PLUVIO","",INDIRECT("Descriptif!$"&amp;G$15&amp;($B$1 +$A34 -1))),
    ""
)</f>
        <v/>
      </c>
      <c r="H34" s="141" t="str" cm="1">
        <f t="array" aca="1" ref="H34" ca="1">IFERROR(INDEX($C$16:$C$116,SMALL(IF($C$16:$C$116&lt;&gt;"",ROW($C$16:$C$116)-ROW($C$16)+1),ROW(A19))),"")</f>
        <v/>
      </c>
      <c r="I34" s="140" t="str" cm="1">
        <f t="array" aca="1" ref="I34" ca="1">IFERROR(INDEX($D$16:$D$116,SMALL(IF($D$16:$D$116&lt;&gt;"",ROW($D$16:$D$116)-ROW($D$16)+1),ROW(A19))),"")</f>
        <v/>
      </c>
      <c r="J34" s="140" t="str" cm="1">
        <f t="array" aca="1" ref="J34" ca="1">IFERROR(INDEX($E$16:$E$116,SMALL(IF($E$16:$E$116&lt;&gt;"",ROW($E$16:$E$116)-ROW($E$16)+1),ROW(A19))),"")</f>
        <v/>
      </c>
      <c r="K34" s="140" t="str" cm="1">
        <f t="array" aca="1" ref="K34" ca="1">IFERROR(INDEX($F$16:$F$116,SMALL(IF($F$16:$F$116&lt;&gt;"",ROW($F$16:$F$116)-ROW($F$16)+1),ROW(A19))),"")</f>
        <v/>
      </c>
      <c r="L34" s="140" t="str">
        <f t="shared" ca="1" si="0"/>
        <v/>
      </c>
      <c r="M34" s="140" t="str" cm="1">
        <f t="array" aca="1" ref="M34" ca="1">IFERROR(INDEX($G$16:$G$116,SMALL(IF($G$16:$G$116&lt;&gt;"",ROW($G$16:$G$116)-ROW($G$16)+1),ROW(A19))),"")</f>
        <v/>
      </c>
      <c r="N34" s="145" t="str">
        <f t="shared" ca="1" si="1"/>
        <v/>
      </c>
      <c r="O34" s="146" t="str">
        <f t="shared" ca="1" si="2"/>
        <v/>
      </c>
      <c r="P34" s="146" t="str" cm="1">
        <f t="array" aca="1" ref="P34" ca="1">IF($J34&lt;&gt;"",IF(INDIRECT($H34&amp;"!"&amp;$O34)&lt;&gt;"",INDIRECT($H34&amp;"!"&amp;$O34),""),"")</f>
        <v/>
      </c>
      <c r="Q34" s="146" t="str">
        <f t="shared" ca="1" si="3"/>
        <v/>
      </c>
      <c r="R34" s="146" t="str" cm="1">
        <f t="array" aca="1" ref="R34" ca="1">IF($J34&lt;&gt;"",IF(INDIRECT($H34&amp;"!"&amp;$Q34)&lt;&gt;"",INDIRECT($H34&amp;"!"&amp;$Q34),""),"")</f>
        <v/>
      </c>
      <c r="S34" s="146" t="str">
        <f t="shared" ca="1" si="4"/>
        <v/>
      </c>
      <c r="T34" s="146" t="str" cm="1">
        <f t="array" aca="1" ref="T34" ca="1">IF($J34&lt;&gt;"",IF(INDIRECT($H34&amp;"!"&amp;$S34)&lt;&gt;"",INDIRECT($H34&amp;"!"&amp;$S34),""),"")</f>
        <v/>
      </c>
      <c r="U34" s="146" t="str">
        <f t="shared" ca="1" si="5"/>
        <v/>
      </c>
      <c r="V34" s="147" t="str" cm="1">
        <f t="array" aca="1" ref="V34" ca="1">IF($J34&lt;&gt;"",IF(INDIRECT($H34&amp;"!"&amp;$U34)&lt;&gt;"",INDIRECT($H34&amp;"!"&amp;$U34),""),"")</f>
        <v/>
      </c>
      <c r="W34" s="294" t="str">
        <f t="shared" ca="1" si="7"/>
        <v/>
      </c>
      <c r="X34" s="295" t="str">
        <f t="shared" ca="1" si="8"/>
        <v/>
      </c>
      <c r="Y34" s="296" t="str" cm="1">
        <f t="array" aca="1" ref="Y34" ca="1">IF($H34&lt;&gt;"",IF(INDIRECT($H34&amp;"!"&amp;$W34&amp;($X34+Y$15+1))&lt;&gt;"",INDIRECT($H34&amp;"!"&amp;$W34&amp;($X34+Y$15+1)),""),"")</f>
        <v/>
      </c>
      <c r="Z34" s="296" t="str" cm="1">
        <f t="array" aca="1" ref="Z34" ca="1">IF($H34&lt;&gt;"",IF(INDIRECT($H34&amp;"!"&amp;$W34&amp;($X34+Z$15+1))&lt;&gt;"",INDIRECT($H34&amp;"!"&amp;$W34&amp;($X34+Z$15+1)),""),"")</f>
        <v/>
      </c>
      <c r="AA34" s="296" t="str" cm="1">
        <f t="array" aca="1" ref="AA34" ca="1">IF($H34&lt;&gt;"",IF(INDIRECT($H34&amp;"!"&amp;$W34&amp;($X34+AA$15+1))&lt;&gt;"",INDIRECT($H34&amp;"!"&amp;$W34&amp;($X34+AA$15+1)),""),"")</f>
        <v/>
      </c>
      <c r="AB34" s="296" t="str" cm="1">
        <f t="array" aca="1" ref="AB34" ca="1">IF($H34&lt;&gt;"",IF(INDIRECT($H34&amp;"!"&amp;$W34&amp;($X34+AB$15+1))&lt;&gt;"",INDIRECT($H34&amp;"!"&amp;$W34&amp;($X34+AB$15+1)),""),"")</f>
        <v/>
      </c>
      <c r="AC34" s="296" t="str" cm="1">
        <f t="array" aca="1" ref="AC34" ca="1">IF(LEFT($J34,5)="Sonde","",IF($H34&lt;&gt;"",IF(INDIRECT($H34&amp;"!"&amp;$W34&amp;($X34+AC$15+1))&lt;&gt;"",INDIRECT($H34&amp;"!"&amp;$W34&amp;($X34+AC$15+1)),""),""))</f>
        <v/>
      </c>
      <c r="AD34" s="296" t="str" cm="1">
        <f t="array" aca="1" ref="AD34" ca="1">IF(OR($J34="Pluviomètre",LEFT($J34,5)="Sonde"),"",IF($H34&lt;&gt;"",IF(INDIRECT($H34&amp;"!"&amp;$W34&amp;($X34+AD$15+1))&lt;&gt;"",INDIRECT($H34&amp;"!"&amp;$W34&amp;($X34+AD$15+1)),""),""))</f>
        <v/>
      </c>
      <c r="AE34" s="296" t="str" cm="1">
        <f t="array" aca="1" ref="AE34" ca="1">IF(OR($J34="Pluviomètre",LEFT($J34,5)="Sonde"),"",IF($H34&lt;&gt;"",IF(INDIRECT($H34&amp;"!"&amp;$W34&amp;($X34+AE$15+1))&lt;&gt;"",INDIRECT($H34&amp;"!"&amp;$W34&amp;($X34+AE$15+1)),""),""))</f>
        <v/>
      </c>
      <c r="AF34" s="296" t="str" cm="1">
        <f t="array" aca="1" ref="AF34" ca="1">IF(OR($J34="Pluviomètre",LEFT($J34,5)="Sonde"),"",IF($H34&lt;&gt;"",IF(INDIRECT($H34&amp;"!"&amp;$W34&amp;($X34+AF$15+1))&lt;&gt;"",INDIRECT($H34&amp;"!"&amp;$W34&amp;($X34+AF$15+1)),""),""))</f>
        <v/>
      </c>
      <c r="AG34" s="296" t="str" cm="1">
        <f t="array" aca="1" ref="AG34" ca="1">IF(OR($J34="Pluviomètre",LEFT($J34,5)="Sonde"),"",IF($H34&lt;&gt;"",IF(INDIRECT($H34&amp;"!"&amp;$W34&amp;($X34+AG$15+1))&lt;&gt;"",INDIRECT($H34&amp;"!"&amp;$W34&amp;($X34+AG$15+1)),""),""))</f>
        <v/>
      </c>
      <c r="AH34" s="296" t="str" cm="1">
        <f t="array" aca="1" ref="AH34" ca="1">IF(OR($J34="Pluviomètre",LEFT($J34,5)="Sonde"),"",IF($H34&lt;&gt;"",IF(INDIRECT($H34&amp;"!"&amp;$W34&amp;($X34+AH$15+1))&lt;&gt;"",INDIRECT($H34&amp;"!"&amp;$W34&amp;($X34+AH$15+1)),""),""))</f>
        <v/>
      </c>
      <c r="AI34" s="294" t="str">
        <f t="shared" ca="1" si="9"/>
        <v/>
      </c>
      <c r="AJ34" s="295" t="str">
        <f t="shared" ca="1" si="10"/>
        <v/>
      </c>
      <c r="AK34" s="296" t="str" cm="1">
        <f t="array" aca="1" ref="AK34" ca="1">IF($H34&lt;&gt;"",IF(INDIRECT($H34&amp;"!"&amp;$AI34&amp;($AJ34+AK$15+1))&lt;&gt;"",INDIRECT($H34&amp;"!"&amp;$AI34&amp;($AJ34+AK$15+1)),""),"")</f>
        <v/>
      </c>
      <c r="AL34" s="296" t="str" cm="1">
        <f t="array" aca="1" ref="AL34" ca="1">IF($H34&lt;&gt;"",IF(INDIRECT($H34&amp;"!"&amp;$AI34&amp;($AJ34+AL$15+1))&lt;&gt;"",INDIRECT($H34&amp;"!"&amp;$AI34&amp;($AJ34+AL$15+1)),""),"")</f>
        <v/>
      </c>
      <c r="AM34" s="296" t="str" cm="1">
        <f t="array" aca="1" ref="AM34" ca="1">IF($H34&lt;&gt;"",IF(INDIRECT($H34&amp;"!"&amp;$AI34&amp;($AJ34+AM$15+1))&lt;&gt;"",INDIRECT($H34&amp;"!"&amp;$AI34&amp;($AJ34+AM$15+1)),""),"")</f>
        <v/>
      </c>
      <c r="AN34" s="296" t="str" cm="1">
        <f t="array" aca="1" ref="AN34" ca="1">IF($H34&lt;&gt;"",IF(INDIRECT($H34&amp;"!"&amp;$AI34&amp;($AJ34+AN$15+1))&lt;&gt;"",INDIRECT($H34&amp;"!"&amp;$AI34&amp;($AJ34+AN$15+1)),""),"")</f>
        <v/>
      </c>
      <c r="AO34" s="296" t="str" cm="1">
        <f t="array" aca="1" ref="AO34" ca="1">IF(LEFT($J34,5)="Sonde","",IF($H34&lt;&gt;"",IF(INDIRECT($H34&amp;"!"&amp;$AI34&amp;($AJ34+AO$15+1))&lt;&gt;"",INDIRECT($H34&amp;"!"&amp;$AI34&amp;($AJ34+AO$15+1)),""),""))</f>
        <v/>
      </c>
      <c r="AP34" s="296" t="str" cm="1">
        <f t="array" aca="1" ref="AP34" ca="1">IF(OR($J34="Pluviomètre",LEFT($J34,5)="Sonde"),"",IF($H34&lt;&gt;"",IF(INDIRECT($H34&amp;"!"&amp;$AI34&amp;($AJ34+AP$15+1))&lt;&gt;"",INDIRECT($H34&amp;"!"&amp;$AI34&amp;($AJ34+AP$15+1)),""),""))</f>
        <v/>
      </c>
      <c r="AQ34" s="296" t="str" cm="1">
        <f t="array" aca="1" ref="AQ34" ca="1">IF(OR($J34="Pluviomètre",LEFT($J34,5)="Sonde"),"",IF($H34&lt;&gt;"",IF(INDIRECT($H34&amp;"!"&amp;$AI34&amp;($AJ34+AQ$15+1))&lt;&gt;"",INDIRECT($H34&amp;"!"&amp;$AI34&amp;($AJ34+AQ$15+1)),""),""))</f>
        <v/>
      </c>
      <c r="AR34" s="296" t="str" cm="1">
        <f t="array" aca="1" ref="AR34" ca="1">IF(OR($J34="Pluviomètre",LEFT($J34,5)="Sonde"),"",IF($H34&lt;&gt;"",IF(INDIRECT($H34&amp;"!"&amp;$AI34&amp;($AJ34+AR$15+1))&lt;&gt;"",INDIRECT($H34&amp;"!"&amp;$AI34&amp;($AJ34+AR$15+1)),""),""))</f>
        <v/>
      </c>
      <c r="AS34" s="296" t="str" cm="1">
        <f t="array" aca="1" ref="AS34" ca="1">IF(OR($J34="Pluviomètre",LEFT($J34,5)="Sonde"),"",IF($H34&lt;&gt;"",IF(INDIRECT($H34&amp;"!"&amp;$AI34&amp;($AJ34+AS$15+1))&lt;&gt;"",INDIRECT($H34&amp;"!"&amp;$AI34&amp;($AJ34+AS$15+1)),""),""))</f>
        <v/>
      </c>
      <c r="AT34" s="296" t="str" cm="1">
        <f t="array" aca="1" ref="AT34" ca="1">IF(OR($J34="Pluviomètre",LEFT($J34,5)="Sonde"),"",IF($H34&lt;&gt;"",IF(INDIRECT($H34&amp;"!"&amp;$AI34&amp;($AJ34+AT$15+1))&lt;&gt;"",INDIRECT($H34&amp;"!"&amp;$AI34&amp;($AJ34+AT$15+1)),""),""))</f>
        <v/>
      </c>
      <c r="AU34" s="412" cm="1">
        <f t="array" aca="1" ref="AU34" ca="1">SUMPRODUCT((Y34:AH34&lt;&gt;"")*(Y34:AH34&lt;&gt;"Non contrôlé")*(Y34:AH34&lt;&gt;"Non applicable"))</f>
        <v>0</v>
      </c>
      <c r="AV34" s="414">
        <f t="shared" ca="1" si="11"/>
        <v>-1</v>
      </c>
    </row>
    <row r="35" spans="1:48" x14ac:dyDescent="0.4">
      <c r="A35" s="80">
        <v>20</v>
      </c>
      <c r="B35" s="134" t="b">
        <f t="shared" si="6"/>
        <v>0</v>
      </c>
      <c r="C35" s="139" t="str" cm="1">
        <f t="array" aca="1" ref="C35" ca="1">IF(
    AND(
        $B35,
        OR(
            INDIRECT("Descriptif!$M"&amp;($B$1+$A35-1))="Préleveur",
            LEFT(INDIRECT("Descriptif!$M"&amp;($B$1+$A35-1)),5)="Sonde",
            LEFT(INDIRECT("Descriptif!$M"&amp;($B$1+$A35-1)),10)="Débitmètre",
            LEFT(INDIRECT("Descriptif!$F"&amp;($B$1+$A35-1)),6)="PLUVIO"        )
    ),
    INDIRECT("Descriptif!$"&amp;C$15&amp;($B$1 +$A35 -1)),
    ""
)</f>
        <v/>
      </c>
      <c r="D35" s="277" t="str" cm="1">
        <f t="array" aca="1" ref="D35" ca="1">IF(
    AND(
        $B35,
        OR(
            INDIRECT("Descriptif!$M"&amp;($B$1+$A35-1))="Préleveur",
            LEFT(INDIRECT("Descriptif!$M"&amp;($B$1+$A35-1)),5)="Sonde",
            LEFT(INDIRECT("Descriptif!$M"&amp;($B$1+$A35-1)),10)="Débitmètre",
            LEFT(INDIRECT("Descriptif!$F"&amp;($B$1+$A35-1)),6)="PLUVIO"       )
    ),
    IF(
        LEFT(INDIRECT("Descriptif!$F"&amp;($B$1+$A35-1)),11)="PLUVIO_STEU",
        "A3",
        IF(
            LEFT(INDIRECT("Descriptif!$F"&amp;($B$1+$A35-1)),10)="PLUVIO_SCL",
            "A1",
            INDIRECT("Descriptif!$"&amp;D$15&amp;($B$1 +$A35 -1))
        )
    ),
    ""
)</f>
        <v/>
      </c>
      <c r="E35" s="277" t="str" cm="1">
        <f t="array" aca="1" ref="E35" ca="1">IF(
    AND(
        $B35,
        OR(
            INDIRECT("Descriptif!$M"&amp;($B$1+$A35-1))="Préleveur",
            LEFT(INDIRECT("Descriptif!$M"&amp;($B$1+$A35-1)),5)="Sonde",
            LEFT(INDIRECT("Descriptif!$M"&amp;($B$1+$A35-1)),10)="Débitmètre",
            LEFT(INDIRECT("Descriptif!$F"&amp;($B$1+$A35-1)),6)="PLUVIO"
        )
    ),
    IF(LEFT(INDIRECT("Descriptif!$F"&amp;($B$1+$A35-1)),6)="PLUVIO","Pluviomètre",INDIRECT("Descriptif!$"&amp;E$15&amp;($B$1 +$A35 -1))),
    ""
)</f>
        <v/>
      </c>
      <c r="F35" s="19" t="str" cm="1">
        <f t="array" aca="1" ref="F35" ca="1">IF(
    AND(
        $B35,
        OR(
            INDIRECT("Descriptif!$M"&amp;($B$1+$A35-1))="Préleveur",
            LEFT(INDIRECT("Descriptif!$M"&amp;($B$1+$A35-1)),5)="Sonde",
            LEFT(INDIRECT("Descriptif!$M"&amp;($B$1+$A35-1)),10)="Débitmètre",
            LEFT(INDIRECT("Descriptif!$F"&amp;($B$1+$A35-1)),6)="PLUVIO"
        )
    ),
    IF(LEFT(INDIRECT("Descriptif!$F"&amp;($B$1+$A35-1)),6)="PLUVIO","Pluviomètre",INDIRECT("Descriptif!$"&amp;F$15&amp;($B$1 +$A35 -1))),
    ""
)</f>
        <v/>
      </c>
      <c r="G35" s="19" t="str" cm="1">
        <f t="array" aca="1" ref="G35" ca="1">IF(
    AND(
        $B35,
        OR(
            INDIRECT("Descriptif!$M"&amp;($B$1+$A35-1))="Préleveur",
            LEFT(INDIRECT("Descriptif!$M"&amp;($B$1+$A35-1)),5)="Sonde",
            LEFT(INDIRECT("Descriptif!$M"&amp;($B$1+$A35-1)),10)="Débitmètre",
            LEFT(INDIRECT("Descriptif!$F"&amp;($B$1+$A35-1)),6)="PLUVIO"
        )
    ),
    IF(LEFT(INDIRECT("Descriptif!$F"&amp;($B$1+$A35-1)),6)="PLUVIO","",INDIRECT("Descriptif!$"&amp;G$15&amp;($B$1 +$A35 -1))),
    ""
)</f>
        <v/>
      </c>
      <c r="H35" s="141" t="str" cm="1">
        <f t="array" aca="1" ref="H35" ca="1">IFERROR(INDEX($C$16:$C$116,SMALL(IF($C$16:$C$116&lt;&gt;"",ROW($C$16:$C$116)-ROW($C$16)+1),ROW(A20))),"")</f>
        <v/>
      </c>
      <c r="I35" s="140" t="str" cm="1">
        <f t="array" aca="1" ref="I35" ca="1">IFERROR(INDEX($D$16:$D$116,SMALL(IF($D$16:$D$116&lt;&gt;"",ROW($D$16:$D$116)-ROW($D$16)+1),ROW(A20))),"")</f>
        <v/>
      </c>
      <c r="J35" s="140" t="str" cm="1">
        <f t="array" aca="1" ref="J35" ca="1">IFERROR(INDEX($E$16:$E$116,SMALL(IF($E$16:$E$116&lt;&gt;"",ROW($E$16:$E$116)-ROW($E$16)+1),ROW(A20))),"")</f>
        <v/>
      </c>
      <c r="K35" s="140" t="str" cm="1">
        <f t="array" aca="1" ref="K35" ca="1">IFERROR(INDEX($F$16:$F$116,SMALL(IF($F$16:$F$116&lt;&gt;"",ROW($F$16:$F$116)-ROW($F$16)+1),ROW(A20))),"")</f>
        <v/>
      </c>
      <c r="L35" s="140" t="str">
        <f t="shared" ca="1" si="0"/>
        <v/>
      </c>
      <c r="M35" s="140" t="str" cm="1">
        <f t="array" aca="1" ref="M35" ca="1">IFERROR(INDEX($G$16:$G$116,SMALL(IF($G$16:$G$116&lt;&gt;"",ROW($G$16:$G$116)-ROW($G$16)+1),ROW(A20))),"")</f>
        <v/>
      </c>
      <c r="N35" s="145" t="str">
        <f t="shared" ca="1" si="1"/>
        <v/>
      </c>
      <c r="O35" s="146" t="str">
        <f t="shared" ca="1" si="2"/>
        <v/>
      </c>
      <c r="P35" s="146" t="str" cm="1">
        <f t="array" aca="1" ref="P35" ca="1">IF($J35&lt;&gt;"",IF(INDIRECT($H35&amp;"!"&amp;$O35)&lt;&gt;"",INDIRECT($H35&amp;"!"&amp;$O35),""),"")</f>
        <v/>
      </c>
      <c r="Q35" s="146" t="str">
        <f t="shared" ca="1" si="3"/>
        <v/>
      </c>
      <c r="R35" s="146" t="str" cm="1">
        <f t="array" aca="1" ref="R35" ca="1">IF($J35&lt;&gt;"",IF(INDIRECT($H35&amp;"!"&amp;$Q35)&lt;&gt;"",INDIRECT($H35&amp;"!"&amp;$Q35),""),"")</f>
        <v/>
      </c>
      <c r="S35" s="146" t="str">
        <f t="shared" ca="1" si="4"/>
        <v/>
      </c>
      <c r="T35" s="146" t="str" cm="1">
        <f t="array" aca="1" ref="T35" ca="1">IF($J35&lt;&gt;"",IF(INDIRECT($H35&amp;"!"&amp;$S35)&lt;&gt;"",INDIRECT($H35&amp;"!"&amp;$S35),""),"")</f>
        <v/>
      </c>
      <c r="U35" s="146" t="str">
        <f t="shared" ca="1" si="5"/>
        <v/>
      </c>
      <c r="V35" s="147" t="str" cm="1">
        <f t="array" aca="1" ref="V35" ca="1">IF($J35&lt;&gt;"",IF(INDIRECT($H35&amp;"!"&amp;$U35)&lt;&gt;"",INDIRECT($H35&amp;"!"&amp;$U35),""),"")</f>
        <v/>
      </c>
      <c r="W35" s="294" t="str">
        <f t="shared" ca="1" si="7"/>
        <v/>
      </c>
      <c r="X35" s="295" t="str">
        <f t="shared" ca="1" si="8"/>
        <v/>
      </c>
      <c r="Y35" s="296" t="str" cm="1">
        <f t="array" aca="1" ref="Y35" ca="1">IF($H35&lt;&gt;"",IF(INDIRECT($H35&amp;"!"&amp;$W35&amp;($X35+Y$15+1))&lt;&gt;"",INDIRECT($H35&amp;"!"&amp;$W35&amp;($X35+Y$15+1)),""),"")</f>
        <v/>
      </c>
      <c r="Z35" s="296" t="str" cm="1">
        <f t="array" aca="1" ref="Z35" ca="1">IF($H35&lt;&gt;"",IF(INDIRECT($H35&amp;"!"&amp;$W35&amp;($X35+Z$15+1))&lt;&gt;"",INDIRECT($H35&amp;"!"&amp;$W35&amp;($X35+Z$15+1)),""),"")</f>
        <v/>
      </c>
      <c r="AA35" s="296" t="str" cm="1">
        <f t="array" aca="1" ref="AA35" ca="1">IF($H35&lt;&gt;"",IF(INDIRECT($H35&amp;"!"&amp;$W35&amp;($X35+AA$15+1))&lt;&gt;"",INDIRECT($H35&amp;"!"&amp;$W35&amp;($X35+AA$15+1)),""),"")</f>
        <v/>
      </c>
      <c r="AB35" s="296" t="str" cm="1">
        <f t="array" aca="1" ref="AB35" ca="1">IF($H35&lt;&gt;"",IF(INDIRECT($H35&amp;"!"&amp;$W35&amp;($X35+AB$15+1))&lt;&gt;"",INDIRECT($H35&amp;"!"&amp;$W35&amp;($X35+AB$15+1)),""),"")</f>
        <v/>
      </c>
      <c r="AC35" s="296" t="str" cm="1">
        <f t="array" aca="1" ref="AC35" ca="1">IF(LEFT($J35,5)="Sonde","",IF($H35&lt;&gt;"",IF(INDIRECT($H35&amp;"!"&amp;$W35&amp;($X35+AC$15+1))&lt;&gt;"",INDIRECT($H35&amp;"!"&amp;$W35&amp;($X35+AC$15+1)),""),""))</f>
        <v/>
      </c>
      <c r="AD35" s="296" t="str" cm="1">
        <f t="array" aca="1" ref="AD35" ca="1">IF(OR($J35="Pluviomètre",LEFT($J35,5)="Sonde"),"",IF($H35&lt;&gt;"",IF(INDIRECT($H35&amp;"!"&amp;$W35&amp;($X35+AD$15+1))&lt;&gt;"",INDIRECT($H35&amp;"!"&amp;$W35&amp;($X35+AD$15+1)),""),""))</f>
        <v/>
      </c>
      <c r="AE35" s="296" t="str" cm="1">
        <f t="array" aca="1" ref="AE35" ca="1">IF(OR($J35="Pluviomètre",LEFT($J35,5)="Sonde"),"",IF($H35&lt;&gt;"",IF(INDIRECT($H35&amp;"!"&amp;$W35&amp;($X35+AE$15+1))&lt;&gt;"",INDIRECT($H35&amp;"!"&amp;$W35&amp;($X35+AE$15+1)),""),""))</f>
        <v/>
      </c>
      <c r="AF35" s="296" t="str" cm="1">
        <f t="array" aca="1" ref="AF35" ca="1">IF(OR($J35="Pluviomètre",LEFT($J35,5)="Sonde"),"",IF($H35&lt;&gt;"",IF(INDIRECT($H35&amp;"!"&amp;$W35&amp;($X35+AF$15+1))&lt;&gt;"",INDIRECT($H35&amp;"!"&amp;$W35&amp;($X35+AF$15+1)),""),""))</f>
        <v/>
      </c>
      <c r="AG35" s="296" t="str" cm="1">
        <f t="array" aca="1" ref="AG35" ca="1">IF(OR($J35="Pluviomètre",LEFT($J35,5)="Sonde"),"",IF($H35&lt;&gt;"",IF(INDIRECT($H35&amp;"!"&amp;$W35&amp;($X35+AG$15+1))&lt;&gt;"",INDIRECT($H35&amp;"!"&amp;$W35&amp;($X35+AG$15+1)),""),""))</f>
        <v/>
      </c>
      <c r="AH35" s="296" t="str" cm="1">
        <f t="array" aca="1" ref="AH35" ca="1">IF(OR($J35="Pluviomètre",LEFT($J35,5)="Sonde"),"",IF($H35&lt;&gt;"",IF(INDIRECT($H35&amp;"!"&amp;$W35&amp;($X35+AH$15+1))&lt;&gt;"",INDIRECT($H35&amp;"!"&amp;$W35&amp;($X35+AH$15+1)),""),""))</f>
        <v/>
      </c>
      <c r="AI35" s="294" t="str">
        <f t="shared" ca="1" si="9"/>
        <v/>
      </c>
      <c r="AJ35" s="295" t="str">
        <f t="shared" ca="1" si="10"/>
        <v/>
      </c>
      <c r="AK35" s="296" t="str" cm="1">
        <f t="array" aca="1" ref="AK35" ca="1">IF($H35&lt;&gt;"",IF(INDIRECT($H35&amp;"!"&amp;$AI35&amp;($AJ35+AK$15+1))&lt;&gt;"",INDIRECT($H35&amp;"!"&amp;$AI35&amp;($AJ35+AK$15+1)),""),"")</f>
        <v/>
      </c>
      <c r="AL35" s="296" t="str" cm="1">
        <f t="array" aca="1" ref="AL35" ca="1">IF($H35&lt;&gt;"",IF(INDIRECT($H35&amp;"!"&amp;$AI35&amp;($AJ35+AL$15+1))&lt;&gt;"",INDIRECT($H35&amp;"!"&amp;$AI35&amp;($AJ35+AL$15+1)),""),"")</f>
        <v/>
      </c>
      <c r="AM35" s="296" t="str" cm="1">
        <f t="array" aca="1" ref="AM35" ca="1">IF($H35&lt;&gt;"",IF(INDIRECT($H35&amp;"!"&amp;$AI35&amp;($AJ35+AM$15+1))&lt;&gt;"",INDIRECT($H35&amp;"!"&amp;$AI35&amp;($AJ35+AM$15+1)),""),"")</f>
        <v/>
      </c>
      <c r="AN35" s="296" t="str" cm="1">
        <f t="array" aca="1" ref="AN35" ca="1">IF($H35&lt;&gt;"",IF(INDIRECT($H35&amp;"!"&amp;$AI35&amp;($AJ35+AN$15+1))&lt;&gt;"",INDIRECT($H35&amp;"!"&amp;$AI35&amp;($AJ35+AN$15+1)),""),"")</f>
        <v/>
      </c>
      <c r="AO35" s="296" t="str" cm="1">
        <f t="array" aca="1" ref="AO35" ca="1">IF(LEFT($J35,5)="Sonde","",IF($H35&lt;&gt;"",IF(INDIRECT($H35&amp;"!"&amp;$AI35&amp;($AJ35+AO$15+1))&lt;&gt;"",INDIRECT($H35&amp;"!"&amp;$AI35&amp;($AJ35+AO$15+1)),""),""))</f>
        <v/>
      </c>
      <c r="AP35" s="296" t="str" cm="1">
        <f t="array" aca="1" ref="AP35" ca="1">IF(OR($J35="Pluviomètre",LEFT($J35,5)="Sonde"),"",IF($H35&lt;&gt;"",IF(INDIRECT($H35&amp;"!"&amp;$AI35&amp;($AJ35+AP$15+1))&lt;&gt;"",INDIRECT($H35&amp;"!"&amp;$AI35&amp;($AJ35+AP$15+1)),""),""))</f>
        <v/>
      </c>
      <c r="AQ35" s="296" t="str" cm="1">
        <f t="array" aca="1" ref="AQ35" ca="1">IF(OR($J35="Pluviomètre",LEFT($J35,5)="Sonde"),"",IF($H35&lt;&gt;"",IF(INDIRECT($H35&amp;"!"&amp;$AI35&amp;($AJ35+AQ$15+1))&lt;&gt;"",INDIRECT($H35&amp;"!"&amp;$AI35&amp;($AJ35+AQ$15+1)),""),""))</f>
        <v/>
      </c>
      <c r="AR35" s="296" t="str" cm="1">
        <f t="array" aca="1" ref="AR35" ca="1">IF(OR($J35="Pluviomètre",LEFT($J35,5)="Sonde"),"",IF($H35&lt;&gt;"",IF(INDIRECT($H35&amp;"!"&amp;$AI35&amp;($AJ35+AR$15+1))&lt;&gt;"",INDIRECT($H35&amp;"!"&amp;$AI35&amp;($AJ35+AR$15+1)),""),""))</f>
        <v/>
      </c>
      <c r="AS35" s="296" t="str" cm="1">
        <f t="array" aca="1" ref="AS35" ca="1">IF(OR($J35="Pluviomètre",LEFT($J35,5)="Sonde"),"",IF($H35&lt;&gt;"",IF(INDIRECT($H35&amp;"!"&amp;$AI35&amp;($AJ35+AS$15+1))&lt;&gt;"",INDIRECT($H35&amp;"!"&amp;$AI35&amp;($AJ35+AS$15+1)),""),""))</f>
        <v/>
      </c>
      <c r="AT35" s="296" t="str" cm="1">
        <f t="array" aca="1" ref="AT35" ca="1">IF(OR($J35="Pluviomètre",LEFT($J35,5)="Sonde"),"",IF($H35&lt;&gt;"",IF(INDIRECT($H35&amp;"!"&amp;$AI35&amp;($AJ35+AT$15+1))&lt;&gt;"",INDIRECT($H35&amp;"!"&amp;$AI35&amp;($AJ35+AT$15+1)),""),""))</f>
        <v/>
      </c>
      <c r="AU35" s="412" cm="1">
        <f t="array" aca="1" ref="AU35" ca="1">SUMPRODUCT((Y35:AH35&lt;&gt;"")*(Y35:AH35&lt;&gt;"Non contrôlé")*(Y35:AH35&lt;&gt;"Non applicable"))</f>
        <v>0</v>
      </c>
      <c r="AV35" s="414">
        <f t="shared" ca="1" si="11"/>
        <v>-1</v>
      </c>
    </row>
    <row r="36" spans="1:48" x14ac:dyDescent="0.4">
      <c r="A36" s="80">
        <v>21</v>
      </c>
      <c r="B36" s="134" t="b">
        <f t="shared" si="6"/>
        <v>0</v>
      </c>
      <c r="C36" s="139" t="str" cm="1">
        <f t="array" aca="1" ref="C36" ca="1">IF(
    AND(
        $B36,
        OR(
            INDIRECT("Descriptif!$M"&amp;($B$1+$A36-1))="Préleveur",
            LEFT(INDIRECT("Descriptif!$M"&amp;($B$1+$A36-1)),5)="Sonde",
            LEFT(INDIRECT("Descriptif!$M"&amp;($B$1+$A36-1)),10)="Débitmètre",
            LEFT(INDIRECT("Descriptif!$F"&amp;($B$1+$A36-1)),6)="PLUVIO"        )
    ),
    INDIRECT("Descriptif!$"&amp;C$15&amp;($B$1 +$A36 -1)),
    ""
)</f>
        <v/>
      </c>
      <c r="D36" s="277" t="str" cm="1">
        <f t="array" aca="1" ref="D36" ca="1">IF(
    AND(
        $B36,
        OR(
            INDIRECT("Descriptif!$M"&amp;($B$1+$A36-1))="Préleveur",
            LEFT(INDIRECT("Descriptif!$M"&amp;($B$1+$A36-1)),5)="Sonde",
            LEFT(INDIRECT("Descriptif!$M"&amp;($B$1+$A36-1)),10)="Débitmètre",
            LEFT(INDIRECT("Descriptif!$F"&amp;($B$1+$A36-1)),6)="PLUVIO"       )
    ),
    IF(
        LEFT(INDIRECT("Descriptif!$F"&amp;($B$1+$A36-1)),11)="PLUVIO_STEU",
        "A3",
        IF(
            LEFT(INDIRECT("Descriptif!$F"&amp;($B$1+$A36-1)),10)="PLUVIO_SCL",
            "A1",
            INDIRECT("Descriptif!$"&amp;D$15&amp;($B$1 +$A36 -1))
        )
    ),
    ""
)</f>
        <v/>
      </c>
      <c r="E36" s="277" t="str" cm="1">
        <f t="array" aca="1" ref="E36" ca="1">IF(
    AND(
        $B36,
        OR(
            INDIRECT("Descriptif!$M"&amp;($B$1+$A36-1))="Préleveur",
            LEFT(INDIRECT("Descriptif!$M"&amp;($B$1+$A36-1)),5)="Sonde",
            LEFT(INDIRECT("Descriptif!$M"&amp;($B$1+$A36-1)),10)="Débitmètre",
            LEFT(INDIRECT("Descriptif!$F"&amp;($B$1+$A36-1)),6)="PLUVIO"
        )
    ),
    IF(LEFT(INDIRECT("Descriptif!$F"&amp;($B$1+$A36-1)),6)="PLUVIO","Pluviomètre",INDIRECT("Descriptif!$"&amp;E$15&amp;($B$1 +$A36 -1))),
    ""
)</f>
        <v/>
      </c>
      <c r="F36" s="19" t="str" cm="1">
        <f t="array" aca="1" ref="F36" ca="1">IF(
    AND(
        $B36,
        OR(
            INDIRECT("Descriptif!$M"&amp;($B$1+$A36-1))="Préleveur",
            LEFT(INDIRECT("Descriptif!$M"&amp;($B$1+$A36-1)),5)="Sonde",
            LEFT(INDIRECT("Descriptif!$M"&amp;($B$1+$A36-1)),10)="Débitmètre",
            LEFT(INDIRECT("Descriptif!$F"&amp;($B$1+$A36-1)),6)="PLUVIO"
        )
    ),
    IF(LEFT(INDIRECT("Descriptif!$F"&amp;($B$1+$A36-1)),6)="PLUVIO","Pluviomètre",INDIRECT("Descriptif!$"&amp;F$15&amp;($B$1 +$A36 -1))),
    ""
)</f>
        <v/>
      </c>
      <c r="G36" s="19" t="str" cm="1">
        <f t="array" aca="1" ref="G36" ca="1">IF(
    AND(
        $B36,
        OR(
            INDIRECT("Descriptif!$M"&amp;($B$1+$A36-1))="Préleveur",
            LEFT(INDIRECT("Descriptif!$M"&amp;($B$1+$A36-1)),5)="Sonde",
            LEFT(INDIRECT("Descriptif!$M"&amp;($B$1+$A36-1)),10)="Débitmètre",
            LEFT(INDIRECT("Descriptif!$F"&amp;($B$1+$A36-1)),6)="PLUVIO"
        )
    ),
    IF(LEFT(INDIRECT("Descriptif!$F"&amp;($B$1+$A36-1)),6)="PLUVIO","",INDIRECT("Descriptif!$"&amp;G$15&amp;($B$1 +$A36 -1))),
    ""
)</f>
        <v/>
      </c>
      <c r="H36" s="141" t="str" cm="1">
        <f t="array" aca="1" ref="H36" ca="1">IFERROR(INDEX($C$16:$C$116,SMALL(IF($C$16:$C$116&lt;&gt;"",ROW($C$16:$C$116)-ROW($C$16)+1),ROW(A21))),"")</f>
        <v/>
      </c>
      <c r="I36" s="140" t="str" cm="1">
        <f t="array" aca="1" ref="I36" ca="1">IFERROR(INDEX($D$16:$D$116,SMALL(IF($D$16:$D$116&lt;&gt;"",ROW($D$16:$D$116)-ROW($D$16)+1),ROW(A21))),"")</f>
        <v/>
      </c>
      <c r="J36" s="140" t="str" cm="1">
        <f t="array" aca="1" ref="J36" ca="1">IFERROR(INDEX($E$16:$E$116,SMALL(IF($E$16:$E$116&lt;&gt;"",ROW($E$16:$E$116)-ROW($E$16)+1),ROW(A21))),"")</f>
        <v/>
      </c>
      <c r="K36" s="140" t="str" cm="1">
        <f t="array" aca="1" ref="K36" ca="1">IFERROR(INDEX($F$16:$F$116,SMALL(IF($F$16:$F$116&lt;&gt;"",ROW($F$16:$F$116)-ROW($F$16)+1),ROW(A21))),"")</f>
        <v/>
      </c>
      <c r="L36" s="140" t="str">
        <f t="shared" ca="1" si="0"/>
        <v/>
      </c>
      <c r="M36" s="140" t="str" cm="1">
        <f t="array" aca="1" ref="M36" ca="1">IFERROR(INDEX($G$16:$G$116,SMALL(IF($G$16:$G$116&lt;&gt;"",ROW($G$16:$G$116)-ROW($G$16)+1),ROW(A21))),"")</f>
        <v/>
      </c>
      <c r="N36" s="145" t="str">
        <f t="shared" ca="1" si="1"/>
        <v/>
      </c>
      <c r="O36" s="146" t="str">
        <f t="shared" ca="1" si="2"/>
        <v/>
      </c>
      <c r="P36" s="146" t="str" cm="1">
        <f t="array" aca="1" ref="P36" ca="1">IF($J36&lt;&gt;"",IF(INDIRECT($H36&amp;"!"&amp;$O36)&lt;&gt;"",INDIRECT($H36&amp;"!"&amp;$O36),""),"")</f>
        <v/>
      </c>
      <c r="Q36" s="146" t="str">
        <f t="shared" ca="1" si="3"/>
        <v/>
      </c>
      <c r="R36" s="146" t="str" cm="1">
        <f t="array" aca="1" ref="R36" ca="1">IF($J36&lt;&gt;"",IF(INDIRECT($H36&amp;"!"&amp;$Q36)&lt;&gt;"",INDIRECT($H36&amp;"!"&amp;$Q36),""),"")</f>
        <v/>
      </c>
      <c r="S36" s="146" t="str">
        <f t="shared" ca="1" si="4"/>
        <v/>
      </c>
      <c r="T36" s="146" t="str" cm="1">
        <f t="array" aca="1" ref="T36" ca="1">IF($J36&lt;&gt;"",IF(INDIRECT($H36&amp;"!"&amp;$S36)&lt;&gt;"",INDIRECT($H36&amp;"!"&amp;$S36),""),"")</f>
        <v/>
      </c>
      <c r="U36" s="146" t="str">
        <f t="shared" ca="1" si="5"/>
        <v/>
      </c>
      <c r="V36" s="147" t="str" cm="1">
        <f t="array" aca="1" ref="V36" ca="1">IF($J36&lt;&gt;"",IF(INDIRECT($H36&amp;"!"&amp;$U36)&lt;&gt;"",INDIRECT($H36&amp;"!"&amp;$U36),""),"")</f>
        <v/>
      </c>
      <c r="W36" s="294" t="str">
        <f t="shared" ca="1" si="7"/>
        <v/>
      </c>
      <c r="X36" s="295" t="str">
        <f t="shared" ca="1" si="8"/>
        <v/>
      </c>
      <c r="Y36" s="296" t="str" cm="1">
        <f t="array" aca="1" ref="Y36" ca="1">IF($H36&lt;&gt;"",IF(INDIRECT($H36&amp;"!"&amp;$W36&amp;($X36+Y$15+1))&lt;&gt;"",INDIRECT($H36&amp;"!"&amp;$W36&amp;($X36+Y$15+1)),""),"")</f>
        <v/>
      </c>
      <c r="Z36" s="296" t="str" cm="1">
        <f t="array" aca="1" ref="Z36" ca="1">IF($H36&lt;&gt;"",IF(INDIRECT($H36&amp;"!"&amp;$W36&amp;($X36+Z$15+1))&lt;&gt;"",INDIRECT($H36&amp;"!"&amp;$W36&amp;($X36+Z$15+1)),""),"")</f>
        <v/>
      </c>
      <c r="AA36" s="296" t="str" cm="1">
        <f t="array" aca="1" ref="AA36" ca="1">IF($H36&lt;&gt;"",IF(INDIRECT($H36&amp;"!"&amp;$W36&amp;($X36+AA$15+1))&lt;&gt;"",INDIRECT($H36&amp;"!"&amp;$W36&amp;($X36+AA$15+1)),""),"")</f>
        <v/>
      </c>
      <c r="AB36" s="296" t="str" cm="1">
        <f t="array" aca="1" ref="AB36" ca="1">IF($H36&lt;&gt;"",IF(INDIRECT($H36&amp;"!"&amp;$W36&amp;($X36+AB$15+1))&lt;&gt;"",INDIRECT($H36&amp;"!"&amp;$W36&amp;($X36+AB$15+1)),""),"")</f>
        <v/>
      </c>
      <c r="AC36" s="296" t="str" cm="1">
        <f t="array" aca="1" ref="AC36" ca="1">IF(LEFT($J36,5)="Sonde","",IF($H36&lt;&gt;"",IF(INDIRECT($H36&amp;"!"&amp;$W36&amp;($X36+AC$15+1))&lt;&gt;"",INDIRECT($H36&amp;"!"&amp;$W36&amp;($X36+AC$15+1)),""),""))</f>
        <v/>
      </c>
      <c r="AD36" s="296" t="str" cm="1">
        <f t="array" aca="1" ref="AD36" ca="1">IF(OR($J36="Pluviomètre",LEFT($J36,5)="Sonde"),"",IF($H36&lt;&gt;"",IF(INDIRECT($H36&amp;"!"&amp;$W36&amp;($X36+AD$15+1))&lt;&gt;"",INDIRECT($H36&amp;"!"&amp;$W36&amp;($X36+AD$15+1)),""),""))</f>
        <v/>
      </c>
      <c r="AE36" s="296" t="str" cm="1">
        <f t="array" aca="1" ref="AE36" ca="1">IF(OR($J36="Pluviomètre",LEFT($J36,5)="Sonde"),"",IF($H36&lt;&gt;"",IF(INDIRECT($H36&amp;"!"&amp;$W36&amp;($X36+AE$15+1))&lt;&gt;"",INDIRECT($H36&amp;"!"&amp;$W36&amp;($X36+AE$15+1)),""),""))</f>
        <v/>
      </c>
      <c r="AF36" s="296" t="str" cm="1">
        <f t="array" aca="1" ref="AF36" ca="1">IF(OR($J36="Pluviomètre",LEFT($J36,5)="Sonde"),"",IF($H36&lt;&gt;"",IF(INDIRECT($H36&amp;"!"&amp;$W36&amp;($X36+AF$15+1))&lt;&gt;"",INDIRECT($H36&amp;"!"&amp;$W36&amp;($X36+AF$15+1)),""),""))</f>
        <v/>
      </c>
      <c r="AG36" s="296" t="str" cm="1">
        <f t="array" aca="1" ref="AG36" ca="1">IF(OR($J36="Pluviomètre",LEFT($J36,5)="Sonde"),"",IF($H36&lt;&gt;"",IF(INDIRECT($H36&amp;"!"&amp;$W36&amp;($X36+AG$15+1))&lt;&gt;"",INDIRECT($H36&amp;"!"&amp;$W36&amp;($X36+AG$15+1)),""),""))</f>
        <v/>
      </c>
      <c r="AH36" s="296" t="str" cm="1">
        <f t="array" aca="1" ref="AH36" ca="1">IF(OR($J36="Pluviomètre",LEFT($J36,5)="Sonde"),"",IF($H36&lt;&gt;"",IF(INDIRECT($H36&amp;"!"&amp;$W36&amp;($X36+AH$15+1))&lt;&gt;"",INDIRECT($H36&amp;"!"&amp;$W36&amp;($X36+AH$15+1)),""),""))</f>
        <v/>
      </c>
      <c r="AI36" s="294" t="str">
        <f t="shared" ca="1" si="9"/>
        <v/>
      </c>
      <c r="AJ36" s="295" t="str">
        <f t="shared" ca="1" si="10"/>
        <v/>
      </c>
      <c r="AK36" s="296" t="str" cm="1">
        <f t="array" aca="1" ref="AK36" ca="1">IF($H36&lt;&gt;"",IF(INDIRECT($H36&amp;"!"&amp;$AI36&amp;($AJ36+AK$15+1))&lt;&gt;"",INDIRECT($H36&amp;"!"&amp;$AI36&amp;($AJ36+AK$15+1)),""),"")</f>
        <v/>
      </c>
      <c r="AL36" s="296" t="str" cm="1">
        <f t="array" aca="1" ref="AL36" ca="1">IF($H36&lt;&gt;"",IF(INDIRECT($H36&amp;"!"&amp;$AI36&amp;($AJ36+AL$15+1))&lt;&gt;"",INDIRECT($H36&amp;"!"&amp;$AI36&amp;($AJ36+AL$15+1)),""),"")</f>
        <v/>
      </c>
      <c r="AM36" s="296" t="str" cm="1">
        <f t="array" aca="1" ref="AM36" ca="1">IF($H36&lt;&gt;"",IF(INDIRECT($H36&amp;"!"&amp;$AI36&amp;($AJ36+AM$15+1))&lt;&gt;"",INDIRECT($H36&amp;"!"&amp;$AI36&amp;($AJ36+AM$15+1)),""),"")</f>
        <v/>
      </c>
      <c r="AN36" s="296" t="str" cm="1">
        <f t="array" aca="1" ref="AN36" ca="1">IF($H36&lt;&gt;"",IF(INDIRECT($H36&amp;"!"&amp;$AI36&amp;($AJ36+AN$15+1))&lt;&gt;"",INDIRECT($H36&amp;"!"&amp;$AI36&amp;($AJ36+AN$15+1)),""),"")</f>
        <v/>
      </c>
      <c r="AO36" s="296" t="str" cm="1">
        <f t="array" aca="1" ref="AO36" ca="1">IF(LEFT($J36,5)="Sonde","",IF($H36&lt;&gt;"",IF(INDIRECT($H36&amp;"!"&amp;$AI36&amp;($AJ36+AO$15+1))&lt;&gt;"",INDIRECT($H36&amp;"!"&amp;$AI36&amp;($AJ36+AO$15+1)),""),""))</f>
        <v/>
      </c>
      <c r="AP36" s="296" t="str" cm="1">
        <f t="array" aca="1" ref="AP36" ca="1">IF(OR($J36="Pluviomètre",LEFT($J36,5)="Sonde"),"",IF($H36&lt;&gt;"",IF(INDIRECT($H36&amp;"!"&amp;$AI36&amp;($AJ36+AP$15+1))&lt;&gt;"",INDIRECT($H36&amp;"!"&amp;$AI36&amp;($AJ36+AP$15+1)),""),""))</f>
        <v/>
      </c>
      <c r="AQ36" s="296" t="str" cm="1">
        <f t="array" aca="1" ref="AQ36" ca="1">IF(OR($J36="Pluviomètre",LEFT($J36,5)="Sonde"),"",IF($H36&lt;&gt;"",IF(INDIRECT($H36&amp;"!"&amp;$AI36&amp;($AJ36+AQ$15+1))&lt;&gt;"",INDIRECT($H36&amp;"!"&amp;$AI36&amp;($AJ36+AQ$15+1)),""),""))</f>
        <v/>
      </c>
      <c r="AR36" s="296" t="str" cm="1">
        <f t="array" aca="1" ref="AR36" ca="1">IF(OR($J36="Pluviomètre",LEFT($J36,5)="Sonde"),"",IF($H36&lt;&gt;"",IF(INDIRECT($H36&amp;"!"&amp;$AI36&amp;($AJ36+AR$15+1))&lt;&gt;"",INDIRECT($H36&amp;"!"&amp;$AI36&amp;($AJ36+AR$15+1)),""),""))</f>
        <v/>
      </c>
      <c r="AS36" s="296" t="str" cm="1">
        <f t="array" aca="1" ref="AS36" ca="1">IF(OR($J36="Pluviomètre",LEFT($J36,5)="Sonde"),"",IF($H36&lt;&gt;"",IF(INDIRECT($H36&amp;"!"&amp;$AI36&amp;($AJ36+AS$15+1))&lt;&gt;"",INDIRECT($H36&amp;"!"&amp;$AI36&amp;($AJ36+AS$15+1)),""),""))</f>
        <v/>
      </c>
      <c r="AT36" s="296" t="str" cm="1">
        <f t="array" aca="1" ref="AT36" ca="1">IF(OR($J36="Pluviomètre",LEFT($J36,5)="Sonde"),"",IF($H36&lt;&gt;"",IF(INDIRECT($H36&amp;"!"&amp;$AI36&amp;($AJ36+AT$15+1))&lt;&gt;"",INDIRECT($H36&amp;"!"&amp;$AI36&amp;($AJ36+AT$15+1)),""),""))</f>
        <v/>
      </c>
      <c r="AU36" s="412" cm="1">
        <f t="array" aca="1" ref="AU36" ca="1">SUMPRODUCT((Y36:AH36&lt;&gt;"")*(Y36:AH36&lt;&gt;"Non contrôlé")*(Y36:AH36&lt;&gt;"Non applicable"))</f>
        <v>0</v>
      </c>
      <c r="AV36" s="414">
        <f t="shared" ca="1" si="11"/>
        <v>-1</v>
      </c>
    </row>
    <row r="37" spans="1:48" x14ac:dyDescent="0.4">
      <c r="A37" s="80">
        <v>22</v>
      </c>
      <c r="B37" s="134" t="b">
        <f t="shared" si="6"/>
        <v>0</v>
      </c>
      <c r="C37" s="139" t="str" cm="1">
        <f t="array" aca="1" ref="C37" ca="1">IF(
    AND(
        $B37,
        OR(
            INDIRECT("Descriptif!$M"&amp;($B$1+$A37-1))="Préleveur",
            LEFT(INDIRECT("Descriptif!$M"&amp;($B$1+$A37-1)),5)="Sonde",
            LEFT(INDIRECT("Descriptif!$M"&amp;($B$1+$A37-1)),10)="Débitmètre",
            LEFT(INDIRECT("Descriptif!$F"&amp;($B$1+$A37-1)),6)="PLUVIO"        )
    ),
    INDIRECT("Descriptif!$"&amp;C$15&amp;($B$1 +$A37 -1)),
    ""
)</f>
        <v/>
      </c>
      <c r="D37" s="277" t="str" cm="1">
        <f t="array" aca="1" ref="D37" ca="1">IF(
    AND(
        $B37,
        OR(
            INDIRECT("Descriptif!$M"&amp;($B$1+$A37-1))="Préleveur",
            LEFT(INDIRECT("Descriptif!$M"&amp;($B$1+$A37-1)),5)="Sonde",
            LEFT(INDIRECT("Descriptif!$M"&amp;($B$1+$A37-1)),10)="Débitmètre",
            LEFT(INDIRECT("Descriptif!$F"&amp;($B$1+$A37-1)),6)="PLUVIO"       )
    ),
    IF(
        LEFT(INDIRECT("Descriptif!$F"&amp;($B$1+$A37-1)),11)="PLUVIO_STEU",
        "A3",
        IF(
            LEFT(INDIRECT("Descriptif!$F"&amp;($B$1+$A37-1)),10)="PLUVIO_SCL",
            "A1",
            INDIRECT("Descriptif!$"&amp;D$15&amp;($B$1 +$A37 -1))
        )
    ),
    ""
)</f>
        <v/>
      </c>
      <c r="E37" s="277" t="str" cm="1">
        <f t="array" aca="1" ref="E37" ca="1">IF(
    AND(
        $B37,
        OR(
            INDIRECT("Descriptif!$M"&amp;($B$1+$A37-1))="Préleveur",
            LEFT(INDIRECT("Descriptif!$M"&amp;($B$1+$A37-1)),5)="Sonde",
            LEFT(INDIRECT("Descriptif!$M"&amp;($B$1+$A37-1)),10)="Débitmètre",
            LEFT(INDIRECT("Descriptif!$F"&amp;($B$1+$A37-1)),6)="PLUVIO"
        )
    ),
    IF(LEFT(INDIRECT("Descriptif!$F"&amp;($B$1+$A37-1)),6)="PLUVIO","Pluviomètre",INDIRECT("Descriptif!$"&amp;E$15&amp;($B$1 +$A37 -1))),
    ""
)</f>
        <v/>
      </c>
      <c r="F37" s="19" t="str" cm="1">
        <f t="array" aca="1" ref="F37" ca="1">IF(
    AND(
        $B37,
        OR(
            INDIRECT("Descriptif!$M"&amp;($B$1+$A37-1))="Préleveur",
            LEFT(INDIRECT("Descriptif!$M"&amp;($B$1+$A37-1)),5)="Sonde",
            LEFT(INDIRECT("Descriptif!$M"&amp;($B$1+$A37-1)),10)="Débitmètre",
            LEFT(INDIRECT("Descriptif!$F"&amp;($B$1+$A37-1)),6)="PLUVIO"
        )
    ),
    IF(LEFT(INDIRECT("Descriptif!$F"&amp;($B$1+$A37-1)),6)="PLUVIO","Pluviomètre",INDIRECT("Descriptif!$"&amp;F$15&amp;($B$1 +$A37 -1))),
    ""
)</f>
        <v/>
      </c>
      <c r="G37" s="19" t="str" cm="1">
        <f t="array" aca="1" ref="G37" ca="1">IF(
    AND(
        $B37,
        OR(
            INDIRECT("Descriptif!$M"&amp;($B$1+$A37-1))="Préleveur",
            LEFT(INDIRECT("Descriptif!$M"&amp;($B$1+$A37-1)),5)="Sonde",
            LEFT(INDIRECT("Descriptif!$M"&amp;($B$1+$A37-1)),10)="Débitmètre",
            LEFT(INDIRECT("Descriptif!$F"&amp;($B$1+$A37-1)),6)="PLUVIO"
        )
    ),
    IF(LEFT(INDIRECT("Descriptif!$F"&amp;($B$1+$A37-1)),6)="PLUVIO","",INDIRECT("Descriptif!$"&amp;G$15&amp;($B$1 +$A37 -1))),
    ""
)</f>
        <v/>
      </c>
      <c r="H37" s="141" t="str" cm="1">
        <f t="array" aca="1" ref="H37" ca="1">IFERROR(INDEX($C$16:$C$116,SMALL(IF($C$16:$C$116&lt;&gt;"",ROW($C$16:$C$116)-ROW($C$16)+1),ROW(A22))),"")</f>
        <v/>
      </c>
      <c r="I37" s="140" t="str" cm="1">
        <f t="array" aca="1" ref="I37" ca="1">IFERROR(INDEX($D$16:$D$116,SMALL(IF($D$16:$D$116&lt;&gt;"",ROW($D$16:$D$116)-ROW($D$16)+1),ROW(A22))),"")</f>
        <v/>
      </c>
      <c r="J37" s="140" t="str" cm="1">
        <f t="array" aca="1" ref="J37" ca="1">IFERROR(INDEX($E$16:$E$116,SMALL(IF($E$16:$E$116&lt;&gt;"",ROW($E$16:$E$116)-ROW($E$16)+1),ROW(A22))),"")</f>
        <v/>
      </c>
      <c r="K37" s="140" t="str" cm="1">
        <f t="array" aca="1" ref="K37" ca="1">IFERROR(INDEX($F$16:$F$116,SMALL(IF($F$16:$F$116&lt;&gt;"",ROW($F$16:$F$116)-ROW($F$16)+1),ROW(A22))),"")</f>
        <v/>
      </c>
      <c r="L37" s="140" t="str">
        <f t="shared" ca="1" si="0"/>
        <v/>
      </c>
      <c r="M37" s="140" t="str" cm="1">
        <f t="array" aca="1" ref="M37" ca="1">IFERROR(INDEX($G$16:$G$116,SMALL(IF($G$16:$G$116&lt;&gt;"",ROW($G$16:$G$116)-ROW($G$16)+1),ROW(A22))),"")</f>
        <v/>
      </c>
      <c r="N37" s="145" t="str">
        <f t="shared" ca="1" si="1"/>
        <v/>
      </c>
      <c r="O37" s="146" t="str">
        <f t="shared" ca="1" si="2"/>
        <v/>
      </c>
      <c r="P37" s="146" t="str" cm="1">
        <f t="array" aca="1" ref="P37" ca="1">IF($J37&lt;&gt;"",IF(INDIRECT($H37&amp;"!"&amp;$O37)&lt;&gt;"",INDIRECT($H37&amp;"!"&amp;$O37),""),"")</f>
        <v/>
      </c>
      <c r="Q37" s="146" t="str">
        <f t="shared" ca="1" si="3"/>
        <v/>
      </c>
      <c r="R37" s="146" t="str" cm="1">
        <f t="array" aca="1" ref="R37" ca="1">IF($J37&lt;&gt;"",IF(INDIRECT($H37&amp;"!"&amp;$Q37)&lt;&gt;"",INDIRECT($H37&amp;"!"&amp;$Q37),""),"")</f>
        <v/>
      </c>
      <c r="S37" s="146" t="str">
        <f t="shared" ca="1" si="4"/>
        <v/>
      </c>
      <c r="T37" s="146" t="str" cm="1">
        <f t="array" aca="1" ref="T37" ca="1">IF($J37&lt;&gt;"",IF(INDIRECT($H37&amp;"!"&amp;$S37)&lt;&gt;"",INDIRECT($H37&amp;"!"&amp;$S37),""),"")</f>
        <v/>
      </c>
      <c r="U37" s="146" t="str">
        <f t="shared" ca="1" si="5"/>
        <v/>
      </c>
      <c r="V37" s="147" t="str" cm="1">
        <f t="array" aca="1" ref="V37" ca="1">IF($J37&lt;&gt;"",IF(INDIRECT($H37&amp;"!"&amp;$U37)&lt;&gt;"",INDIRECT($H37&amp;"!"&amp;$U37),""),"")</f>
        <v/>
      </c>
      <c r="W37" s="294" t="str">
        <f t="shared" ca="1" si="7"/>
        <v/>
      </c>
      <c r="X37" s="295" t="str">
        <f t="shared" ca="1" si="8"/>
        <v/>
      </c>
      <c r="Y37" s="296" t="str" cm="1">
        <f t="array" aca="1" ref="Y37" ca="1">IF($H37&lt;&gt;"",IF(INDIRECT($H37&amp;"!"&amp;$W37&amp;($X37+Y$15+1))&lt;&gt;"",INDIRECT($H37&amp;"!"&amp;$W37&amp;($X37+Y$15+1)),""),"")</f>
        <v/>
      </c>
      <c r="Z37" s="296" t="str" cm="1">
        <f t="array" aca="1" ref="Z37" ca="1">IF($H37&lt;&gt;"",IF(INDIRECT($H37&amp;"!"&amp;$W37&amp;($X37+Z$15+1))&lt;&gt;"",INDIRECT($H37&amp;"!"&amp;$W37&amp;($X37+Z$15+1)),""),"")</f>
        <v/>
      </c>
      <c r="AA37" s="296" t="str" cm="1">
        <f t="array" aca="1" ref="AA37" ca="1">IF($H37&lt;&gt;"",IF(INDIRECT($H37&amp;"!"&amp;$W37&amp;($X37+AA$15+1))&lt;&gt;"",INDIRECT($H37&amp;"!"&amp;$W37&amp;($X37+AA$15+1)),""),"")</f>
        <v/>
      </c>
      <c r="AB37" s="296" t="str" cm="1">
        <f t="array" aca="1" ref="AB37" ca="1">IF($H37&lt;&gt;"",IF(INDIRECT($H37&amp;"!"&amp;$W37&amp;($X37+AB$15+1))&lt;&gt;"",INDIRECT($H37&amp;"!"&amp;$W37&amp;($X37+AB$15+1)),""),"")</f>
        <v/>
      </c>
      <c r="AC37" s="296" t="str" cm="1">
        <f t="array" aca="1" ref="AC37" ca="1">IF(LEFT($J37,5)="Sonde","",IF($H37&lt;&gt;"",IF(INDIRECT($H37&amp;"!"&amp;$W37&amp;($X37+AC$15+1))&lt;&gt;"",INDIRECT($H37&amp;"!"&amp;$W37&amp;($X37+AC$15+1)),""),""))</f>
        <v/>
      </c>
      <c r="AD37" s="296" t="str" cm="1">
        <f t="array" aca="1" ref="AD37" ca="1">IF(OR($J37="Pluviomètre",LEFT($J37,5)="Sonde"),"",IF($H37&lt;&gt;"",IF(INDIRECT($H37&amp;"!"&amp;$W37&amp;($X37+AD$15+1))&lt;&gt;"",INDIRECT($H37&amp;"!"&amp;$W37&amp;($X37+AD$15+1)),""),""))</f>
        <v/>
      </c>
      <c r="AE37" s="296" t="str" cm="1">
        <f t="array" aca="1" ref="AE37" ca="1">IF(OR($J37="Pluviomètre",LEFT($J37,5)="Sonde"),"",IF($H37&lt;&gt;"",IF(INDIRECT($H37&amp;"!"&amp;$W37&amp;($X37+AE$15+1))&lt;&gt;"",INDIRECT($H37&amp;"!"&amp;$W37&amp;($X37+AE$15+1)),""),""))</f>
        <v/>
      </c>
      <c r="AF37" s="296" t="str" cm="1">
        <f t="array" aca="1" ref="AF37" ca="1">IF(OR($J37="Pluviomètre",LEFT($J37,5)="Sonde"),"",IF($H37&lt;&gt;"",IF(INDIRECT($H37&amp;"!"&amp;$W37&amp;($X37+AF$15+1))&lt;&gt;"",INDIRECT($H37&amp;"!"&amp;$W37&amp;($X37+AF$15+1)),""),""))</f>
        <v/>
      </c>
      <c r="AG37" s="296" t="str" cm="1">
        <f t="array" aca="1" ref="AG37" ca="1">IF(OR($J37="Pluviomètre",LEFT($J37,5)="Sonde"),"",IF($H37&lt;&gt;"",IF(INDIRECT($H37&amp;"!"&amp;$W37&amp;($X37+AG$15+1))&lt;&gt;"",INDIRECT($H37&amp;"!"&amp;$W37&amp;($X37+AG$15+1)),""),""))</f>
        <v/>
      </c>
      <c r="AH37" s="296" t="str" cm="1">
        <f t="array" aca="1" ref="AH37" ca="1">IF(OR($J37="Pluviomètre",LEFT($J37,5)="Sonde"),"",IF($H37&lt;&gt;"",IF(INDIRECT($H37&amp;"!"&amp;$W37&amp;($X37+AH$15+1))&lt;&gt;"",INDIRECT($H37&amp;"!"&amp;$W37&amp;($X37+AH$15+1)),""),""))</f>
        <v/>
      </c>
      <c r="AI37" s="294" t="str">
        <f t="shared" ca="1" si="9"/>
        <v/>
      </c>
      <c r="AJ37" s="295" t="str">
        <f t="shared" ca="1" si="10"/>
        <v/>
      </c>
      <c r="AK37" s="296" t="str" cm="1">
        <f t="array" aca="1" ref="AK37" ca="1">IF($H37&lt;&gt;"",IF(INDIRECT($H37&amp;"!"&amp;$AI37&amp;($AJ37+AK$15+1))&lt;&gt;"",INDIRECT($H37&amp;"!"&amp;$AI37&amp;($AJ37+AK$15+1)),""),"")</f>
        <v/>
      </c>
      <c r="AL37" s="296" t="str" cm="1">
        <f t="array" aca="1" ref="AL37" ca="1">IF($H37&lt;&gt;"",IF(INDIRECT($H37&amp;"!"&amp;$AI37&amp;($AJ37+AL$15+1))&lt;&gt;"",INDIRECT($H37&amp;"!"&amp;$AI37&amp;($AJ37+AL$15+1)),""),"")</f>
        <v/>
      </c>
      <c r="AM37" s="296" t="str" cm="1">
        <f t="array" aca="1" ref="AM37" ca="1">IF($H37&lt;&gt;"",IF(INDIRECT($H37&amp;"!"&amp;$AI37&amp;($AJ37+AM$15+1))&lt;&gt;"",INDIRECT($H37&amp;"!"&amp;$AI37&amp;($AJ37+AM$15+1)),""),"")</f>
        <v/>
      </c>
      <c r="AN37" s="296" t="str" cm="1">
        <f t="array" aca="1" ref="AN37" ca="1">IF($H37&lt;&gt;"",IF(INDIRECT($H37&amp;"!"&amp;$AI37&amp;($AJ37+AN$15+1))&lt;&gt;"",INDIRECT($H37&amp;"!"&amp;$AI37&amp;($AJ37+AN$15+1)),""),"")</f>
        <v/>
      </c>
      <c r="AO37" s="296" t="str" cm="1">
        <f t="array" aca="1" ref="AO37" ca="1">IF(LEFT($J37,5)="Sonde","",IF($H37&lt;&gt;"",IF(INDIRECT($H37&amp;"!"&amp;$AI37&amp;($AJ37+AO$15+1))&lt;&gt;"",INDIRECT($H37&amp;"!"&amp;$AI37&amp;($AJ37+AO$15+1)),""),""))</f>
        <v/>
      </c>
      <c r="AP37" s="296" t="str" cm="1">
        <f t="array" aca="1" ref="AP37" ca="1">IF(OR($J37="Pluviomètre",LEFT($J37,5)="Sonde"),"",IF($H37&lt;&gt;"",IF(INDIRECT($H37&amp;"!"&amp;$AI37&amp;($AJ37+AP$15+1))&lt;&gt;"",INDIRECT($H37&amp;"!"&amp;$AI37&amp;($AJ37+AP$15+1)),""),""))</f>
        <v/>
      </c>
      <c r="AQ37" s="296" t="str" cm="1">
        <f t="array" aca="1" ref="AQ37" ca="1">IF(OR($J37="Pluviomètre",LEFT($J37,5)="Sonde"),"",IF($H37&lt;&gt;"",IF(INDIRECT($H37&amp;"!"&amp;$AI37&amp;($AJ37+AQ$15+1))&lt;&gt;"",INDIRECT($H37&amp;"!"&amp;$AI37&amp;($AJ37+AQ$15+1)),""),""))</f>
        <v/>
      </c>
      <c r="AR37" s="296" t="str" cm="1">
        <f t="array" aca="1" ref="AR37" ca="1">IF(OR($J37="Pluviomètre",LEFT($J37,5)="Sonde"),"",IF($H37&lt;&gt;"",IF(INDIRECT($H37&amp;"!"&amp;$AI37&amp;($AJ37+AR$15+1))&lt;&gt;"",INDIRECT($H37&amp;"!"&amp;$AI37&amp;($AJ37+AR$15+1)),""),""))</f>
        <v/>
      </c>
      <c r="AS37" s="296" t="str" cm="1">
        <f t="array" aca="1" ref="AS37" ca="1">IF(OR($J37="Pluviomètre",LEFT($J37,5)="Sonde"),"",IF($H37&lt;&gt;"",IF(INDIRECT($H37&amp;"!"&amp;$AI37&amp;($AJ37+AS$15+1))&lt;&gt;"",INDIRECT($H37&amp;"!"&amp;$AI37&amp;($AJ37+AS$15+1)),""),""))</f>
        <v/>
      </c>
      <c r="AT37" s="296" t="str" cm="1">
        <f t="array" aca="1" ref="AT37" ca="1">IF(OR($J37="Pluviomètre",LEFT($J37,5)="Sonde"),"",IF($H37&lt;&gt;"",IF(INDIRECT($H37&amp;"!"&amp;$AI37&amp;($AJ37+AT$15+1))&lt;&gt;"",INDIRECT($H37&amp;"!"&amp;$AI37&amp;($AJ37+AT$15+1)),""),""))</f>
        <v/>
      </c>
      <c r="AU37" s="412" cm="1">
        <f t="array" aca="1" ref="AU37" ca="1">SUMPRODUCT((Y37:AH37&lt;&gt;"")*(Y37:AH37&lt;&gt;"Non contrôlé")*(Y37:AH37&lt;&gt;"Non applicable"))</f>
        <v>0</v>
      </c>
      <c r="AV37" s="414">
        <f t="shared" ca="1" si="11"/>
        <v>-1</v>
      </c>
    </row>
    <row r="38" spans="1:48" x14ac:dyDescent="0.4">
      <c r="A38" s="80">
        <v>23</v>
      </c>
      <c r="B38" s="134" t="b">
        <f t="shared" si="6"/>
        <v>0</v>
      </c>
      <c r="C38" s="139" t="str" cm="1">
        <f t="array" aca="1" ref="C38" ca="1">IF(
    AND(
        $B38,
        OR(
            INDIRECT("Descriptif!$M"&amp;($B$1+$A38-1))="Préleveur",
            LEFT(INDIRECT("Descriptif!$M"&amp;($B$1+$A38-1)),5)="Sonde",
            LEFT(INDIRECT("Descriptif!$M"&amp;($B$1+$A38-1)),10)="Débitmètre",
            LEFT(INDIRECT("Descriptif!$F"&amp;($B$1+$A38-1)),6)="PLUVIO"        )
    ),
    INDIRECT("Descriptif!$"&amp;C$15&amp;($B$1 +$A38 -1)),
    ""
)</f>
        <v/>
      </c>
      <c r="D38" s="277" t="str" cm="1">
        <f t="array" aca="1" ref="D38" ca="1">IF(
    AND(
        $B38,
        OR(
            INDIRECT("Descriptif!$M"&amp;($B$1+$A38-1))="Préleveur",
            LEFT(INDIRECT("Descriptif!$M"&amp;($B$1+$A38-1)),5)="Sonde",
            LEFT(INDIRECT("Descriptif!$M"&amp;($B$1+$A38-1)),10)="Débitmètre",
            LEFT(INDIRECT("Descriptif!$F"&amp;($B$1+$A38-1)),6)="PLUVIO"       )
    ),
    IF(
        LEFT(INDIRECT("Descriptif!$F"&amp;($B$1+$A38-1)),11)="PLUVIO_STEU",
        "A3",
        IF(
            LEFT(INDIRECT("Descriptif!$F"&amp;($B$1+$A38-1)),10)="PLUVIO_SCL",
            "A1",
            INDIRECT("Descriptif!$"&amp;D$15&amp;($B$1 +$A38 -1))
        )
    ),
    ""
)</f>
        <v/>
      </c>
      <c r="E38" s="277" t="str" cm="1">
        <f t="array" aca="1" ref="E38" ca="1">IF(
    AND(
        $B38,
        OR(
            INDIRECT("Descriptif!$M"&amp;($B$1+$A38-1))="Préleveur",
            LEFT(INDIRECT("Descriptif!$M"&amp;($B$1+$A38-1)),5)="Sonde",
            LEFT(INDIRECT("Descriptif!$M"&amp;($B$1+$A38-1)),10)="Débitmètre",
            LEFT(INDIRECT("Descriptif!$F"&amp;($B$1+$A38-1)),6)="PLUVIO"
        )
    ),
    IF(LEFT(INDIRECT("Descriptif!$F"&amp;($B$1+$A38-1)),6)="PLUVIO","Pluviomètre",INDIRECT("Descriptif!$"&amp;E$15&amp;($B$1 +$A38 -1))),
    ""
)</f>
        <v/>
      </c>
      <c r="F38" s="19" t="str" cm="1">
        <f t="array" aca="1" ref="F38" ca="1">IF(
    AND(
        $B38,
        OR(
            INDIRECT("Descriptif!$M"&amp;($B$1+$A38-1))="Préleveur",
            LEFT(INDIRECT("Descriptif!$M"&amp;($B$1+$A38-1)),5)="Sonde",
            LEFT(INDIRECT("Descriptif!$M"&amp;($B$1+$A38-1)),10)="Débitmètre",
            LEFT(INDIRECT("Descriptif!$F"&amp;($B$1+$A38-1)),6)="PLUVIO"
        )
    ),
    IF(LEFT(INDIRECT("Descriptif!$F"&amp;($B$1+$A38-1)),6)="PLUVIO","Pluviomètre",INDIRECT("Descriptif!$"&amp;F$15&amp;($B$1 +$A38 -1))),
    ""
)</f>
        <v/>
      </c>
      <c r="G38" s="19" t="str" cm="1">
        <f t="array" aca="1" ref="G38" ca="1">IF(
    AND(
        $B38,
        OR(
            INDIRECT("Descriptif!$M"&amp;($B$1+$A38-1))="Préleveur",
            LEFT(INDIRECT("Descriptif!$M"&amp;($B$1+$A38-1)),5)="Sonde",
            LEFT(INDIRECT("Descriptif!$M"&amp;($B$1+$A38-1)),10)="Débitmètre",
            LEFT(INDIRECT("Descriptif!$F"&amp;($B$1+$A38-1)),6)="PLUVIO"
        )
    ),
    IF(LEFT(INDIRECT("Descriptif!$F"&amp;($B$1+$A38-1)),6)="PLUVIO","",INDIRECT("Descriptif!$"&amp;G$15&amp;($B$1 +$A38 -1))),
    ""
)</f>
        <v/>
      </c>
      <c r="H38" s="141" t="str" cm="1">
        <f t="array" aca="1" ref="H38" ca="1">IFERROR(INDEX($C$16:$C$116,SMALL(IF($C$16:$C$116&lt;&gt;"",ROW($C$16:$C$116)-ROW($C$16)+1),ROW(A23))),"")</f>
        <v/>
      </c>
      <c r="I38" s="140" t="str" cm="1">
        <f t="array" aca="1" ref="I38" ca="1">IFERROR(INDEX($D$16:$D$116,SMALL(IF($D$16:$D$116&lt;&gt;"",ROW($D$16:$D$116)-ROW($D$16)+1),ROW(A23))),"")</f>
        <v/>
      </c>
      <c r="J38" s="140" t="str" cm="1">
        <f t="array" aca="1" ref="J38" ca="1">IFERROR(INDEX($E$16:$E$116,SMALL(IF($E$16:$E$116&lt;&gt;"",ROW($E$16:$E$116)-ROW($E$16)+1),ROW(A23))),"")</f>
        <v/>
      </c>
      <c r="K38" s="140" t="str" cm="1">
        <f t="array" aca="1" ref="K38" ca="1">IFERROR(INDEX($F$16:$F$116,SMALL(IF($F$16:$F$116&lt;&gt;"",ROW($F$16:$F$116)-ROW($F$16)+1),ROW(A23))),"")</f>
        <v/>
      </c>
      <c r="L38" s="140" t="str">
        <f t="shared" ca="1" si="0"/>
        <v/>
      </c>
      <c r="M38" s="140" t="str" cm="1">
        <f t="array" aca="1" ref="M38" ca="1">IFERROR(INDEX($G$16:$G$116,SMALL(IF($G$16:$G$116&lt;&gt;"",ROW($G$16:$G$116)-ROW($G$16)+1),ROW(A23))),"")</f>
        <v/>
      </c>
      <c r="N38" s="145" t="str">
        <f t="shared" ca="1" si="1"/>
        <v/>
      </c>
      <c r="O38" s="146" t="str">
        <f t="shared" ca="1" si="2"/>
        <v/>
      </c>
      <c r="P38" s="146" t="str" cm="1">
        <f t="array" aca="1" ref="P38" ca="1">IF($J38&lt;&gt;"",IF(INDIRECT($H38&amp;"!"&amp;$O38)&lt;&gt;"",INDIRECT($H38&amp;"!"&amp;$O38),""),"")</f>
        <v/>
      </c>
      <c r="Q38" s="146" t="str">
        <f t="shared" ca="1" si="3"/>
        <v/>
      </c>
      <c r="R38" s="146" t="str" cm="1">
        <f t="array" aca="1" ref="R38" ca="1">IF($J38&lt;&gt;"",IF(INDIRECT($H38&amp;"!"&amp;$Q38)&lt;&gt;"",INDIRECT($H38&amp;"!"&amp;$Q38),""),"")</f>
        <v/>
      </c>
      <c r="S38" s="146" t="str">
        <f t="shared" ca="1" si="4"/>
        <v/>
      </c>
      <c r="T38" s="146" t="str" cm="1">
        <f t="array" aca="1" ref="T38" ca="1">IF($J38&lt;&gt;"",IF(INDIRECT($H38&amp;"!"&amp;$S38)&lt;&gt;"",INDIRECT($H38&amp;"!"&amp;$S38),""),"")</f>
        <v/>
      </c>
      <c r="U38" s="146" t="str">
        <f t="shared" ca="1" si="5"/>
        <v/>
      </c>
      <c r="V38" s="147" t="str" cm="1">
        <f t="array" aca="1" ref="V38" ca="1">IF($J38&lt;&gt;"",IF(INDIRECT($H38&amp;"!"&amp;$U38)&lt;&gt;"",INDIRECT($H38&amp;"!"&amp;$U38),""),"")</f>
        <v/>
      </c>
      <c r="W38" s="294" t="str">
        <f t="shared" ca="1" si="7"/>
        <v/>
      </c>
      <c r="X38" s="295" t="str">
        <f t="shared" ca="1" si="8"/>
        <v/>
      </c>
      <c r="Y38" s="296" t="str" cm="1">
        <f t="array" aca="1" ref="Y38" ca="1">IF($H38&lt;&gt;"",IF(INDIRECT($H38&amp;"!"&amp;$W38&amp;($X38+Y$15+1))&lt;&gt;"",INDIRECT($H38&amp;"!"&amp;$W38&amp;($X38+Y$15+1)),""),"")</f>
        <v/>
      </c>
      <c r="Z38" s="296" t="str" cm="1">
        <f t="array" aca="1" ref="Z38" ca="1">IF($H38&lt;&gt;"",IF(INDIRECT($H38&amp;"!"&amp;$W38&amp;($X38+Z$15+1))&lt;&gt;"",INDIRECT($H38&amp;"!"&amp;$W38&amp;($X38+Z$15+1)),""),"")</f>
        <v/>
      </c>
      <c r="AA38" s="296" t="str" cm="1">
        <f t="array" aca="1" ref="AA38" ca="1">IF($H38&lt;&gt;"",IF(INDIRECT($H38&amp;"!"&amp;$W38&amp;($X38+AA$15+1))&lt;&gt;"",INDIRECT($H38&amp;"!"&amp;$W38&amp;($X38+AA$15+1)),""),"")</f>
        <v/>
      </c>
      <c r="AB38" s="296" t="str" cm="1">
        <f t="array" aca="1" ref="AB38" ca="1">IF($H38&lt;&gt;"",IF(INDIRECT($H38&amp;"!"&amp;$W38&amp;($X38+AB$15+1))&lt;&gt;"",INDIRECT($H38&amp;"!"&amp;$W38&amp;($X38+AB$15+1)),""),"")</f>
        <v/>
      </c>
      <c r="AC38" s="296" t="str" cm="1">
        <f t="array" aca="1" ref="AC38" ca="1">IF(LEFT($J38,5)="Sonde","",IF($H38&lt;&gt;"",IF(INDIRECT($H38&amp;"!"&amp;$W38&amp;($X38+AC$15+1))&lt;&gt;"",INDIRECT($H38&amp;"!"&amp;$W38&amp;($X38+AC$15+1)),""),""))</f>
        <v/>
      </c>
      <c r="AD38" s="296" t="str" cm="1">
        <f t="array" aca="1" ref="AD38" ca="1">IF(OR($J38="Pluviomètre",LEFT($J38,5)="Sonde"),"",IF($H38&lt;&gt;"",IF(INDIRECT($H38&amp;"!"&amp;$W38&amp;($X38+AD$15+1))&lt;&gt;"",INDIRECT($H38&amp;"!"&amp;$W38&amp;($X38+AD$15+1)),""),""))</f>
        <v/>
      </c>
      <c r="AE38" s="296" t="str" cm="1">
        <f t="array" aca="1" ref="AE38" ca="1">IF(OR($J38="Pluviomètre",LEFT($J38,5)="Sonde"),"",IF($H38&lt;&gt;"",IF(INDIRECT($H38&amp;"!"&amp;$W38&amp;($X38+AE$15+1))&lt;&gt;"",INDIRECT($H38&amp;"!"&amp;$W38&amp;($X38+AE$15+1)),""),""))</f>
        <v/>
      </c>
      <c r="AF38" s="296" t="str" cm="1">
        <f t="array" aca="1" ref="AF38" ca="1">IF(OR($J38="Pluviomètre",LEFT($J38,5)="Sonde"),"",IF($H38&lt;&gt;"",IF(INDIRECT($H38&amp;"!"&amp;$W38&amp;($X38+AF$15+1))&lt;&gt;"",INDIRECT($H38&amp;"!"&amp;$W38&amp;($X38+AF$15+1)),""),""))</f>
        <v/>
      </c>
      <c r="AG38" s="296" t="str" cm="1">
        <f t="array" aca="1" ref="AG38" ca="1">IF(OR($J38="Pluviomètre",LEFT($J38,5)="Sonde"),"",IF($H38&lt;&gt;"",IF(INDIRECT($H38&amp;"!"&amp;$W38&amp;($X38+AG$15+1))&lt;&gt;"",INDIRECT($H38&amp;"!"&amp;$W38&amp;($X38+AG$15+1)),""),""))</f>
        <v/>
      </c>
      <c r="AH38" s="296" t="str" cm="1">
        <f t="array" aca="1" ref="AH38" ca="1">IF(OR($J38="Pluviomètre",LEFT($J38,5)="Sonde"),"",IF($H38&lt;&gt;"",IF(INDIRECT($H38&amp;"!"&amp;$W38&amp;($X38+AH$15+1))&lt;&gt;"",INDIRECT($H38&amp;"!"&amp;$W38&amp;($X38+AH$15+1)),""),""))</f>
        <v/>
      </c>
      <c r="AI38" s="294" t="str">
        <f t="shared" ca="1" si="9"/>
        <v/>
      </c>
      <c r="AJ38" s="295" t="str">
        <f t="shared" ca="1" si="10"/>
        <v/>
      </c>
      <c r="AK38" s="296" t="str" cm="1">
        <f t="array" aca="1" ref="AK38" ca="1">IF($H38&lt;&gt;"",IF(INDIRECT($H38&amp;"!"&amp;$AI38&amp;($AJ38+AK$15+1))&lt;&gt;"",INDIRECT($H38&amp;"!"&amp;$AI38&amp;($AJ38+AK$15+1)),""),"")</f>
        <v/>
      </c>
      <c r="AL38" s="296" t="str" cm="1">
        <f t="array" aca="1" ref="AL38" ca="1">IF($H38&lt;&gt;"",IF(INDIRECT($H38&amp;"!"&amp;$AI38&amp;($AJ38+AL$15+1))&lt;&gt;"",INDIRECT($H38&amp;"!"&amp;$AI38&amp;($AJ38+AL$15+1)),""),"")</f>
        <v/>
      </c>
      <c r="AM38" s="296" t="str" cm="1">
        <f t="array" aca="1" ref="AM38" ca="1">IF($H38&lt;&gt;"",IF(INDIRECT($H38&amp;"!"&amp;$AI38&amp;($AJ38+AM$15+1))&lt;&gt;"",INDIRECT($H38&amp;"!"&amp;$AI38&amp;($AJ38+AM$15+1)),""),"")</f>
        <v/>
      </c>
      <c r="AN38" s="296" t="str" cm="1">
        <f t="array" aca="1" ref="AN38" ca="1">IF($H38&lt;&gt;"",IF(INDIRECT($H38&amp;"!"&amp;$AI38&amp;($AJ38+AN$15+1))&lt;&gt;"",INDIRECT($H38&amp;"!"&amp;$AI38&amp;($AJ38+AN$15+1)),""),"")</f>
        <v/>
      </c>
      <c r="AO38" s="296" t="str" cm="1">
        <f t="array" aca="1" ref="AO38" ca="1">IF(LEFT($J38,5)="Sonde","",IF($H38&lt;&gt;"",IF(INDIRECT($H38&amp;"!"&amp;$AI38&amp;($AJ38+AO$15+1))&lt;&gt;"",INDIRECT($H38&amp;"!"&amp;$AI38&amp;($AJ38+AO$15+1)),""),""))</f>
        <v/>
      </c>
      <c r="AP38" s="296" t="str" cm="1">
        <f t="array" aca="1" ref="AP38" ca="1">IF(OR($J38="Pluviomètre",LEFT($J38,5)="Sonde"),"",IF($H38&lt;&gt;"",IF(INDIRECT($H38&amp;"!"&amp;$AI38&amp;($AJ38+AP$15+1))&lt;&gt;"",INDIRECT($H38&amp;"!"&amp;$AI38&amp;($AJ38+AP$15+1)),""),""))</f>
        <v/>
      </c>
      <c r="AQ38" s="296" t="str" cm="1">
        <f t="array" aca="1" ref="AQ38" ca="1">IF(OR($J38="Pluviomètre",LEFT($J38,5)="Sonde"),"",IF($H38&lt;&gt;"",IF(INDIRECT($H38&amp;"!"&amp;$AI38&amp;($AJ38+AQ$15+1))&lt;&gt;"",INDIRECT($H38&amp;"!"&amp;$AI38&amp;($AJ38+AQ$15+1)),""),""))</f>
        <v/>
      </c>
      <c r="AR38" s="296" t="str" cm="1">
        <f t="array" aca="1" ref="AR38" ca="1">IF(OR($J38="Pluviomètre",LEFT($J38,5)="Sonde"),"",IF($H38&lt;&gt;"",IF(INDIRECT($H38&amp;"!"&amp;$AI38&amp;($AJ38+AR$15+1))&lt;&gt;"",INDIRECT($H38&amp;"!"&amp;$AI38&amp;($AJ38+AR$15+1)),""),""))</f>
        <v/>
      </c>
      <c r="AS38" s="296" t="str" cm="1">
        <f t="array" aca="1" ref="AS38" ca="1">IF(OR($J38="Pluviomètre",LEFT($J38,5)="Sonde"),"",IF($H38&lt;&gt;"",IF(INDIRECT($H38&amp;"!"&amp;$AI38&amp;($AJ38+AS$15+1))&lt;&gt;"",INDIRECT($H38&amp;"!"&amp;$AI38&amp;($AJ38+AS$15+1)),""),""))</f>
        <v/>
      </c>
      <c r="AT38" s="296" t="str" cm="1">
        <f t="array" aca="1" ref="AT38" ca="1">IF(OR($J38="Pluviomètre",LEFT($J38,5)="Sonde"),"",IF($H38&lt;&gt;"",IF(INDIRECT($H38&amp;"!"&amp;$AI38&amp;($AJ38+AT$15+1))&lt;&gt;"",INDIRECT($H38&amp;"!"&amp;$AI38&amp;($AJ38+AT$15+1)),""),""))</f>
        <v/>
      </c>
      <c r="AU38" s="412" cm="1">
        <f t="array" aca="1" ref="AU38" ca="1">SUMPRODUCT((Y38:AH38&lt;&gt;"")*(Y38:AH38&lt;&gt;"Non contrôlé")*(Y38:AH38&lt;&gt;"Non applicable"))</f>
        <v>0</v>
      </c>
      <c r="AV38" s="414">
        <f t="shared" ca="1" si="11"/>
        <v>-1</v>
      </c>
    </row>
    <row r="39" spans="1:48" x14ac:dyDescent="0.4">
      <c r="A39" s="80">
        <v>24</v>
      </c>
      <c r="B39" s="134" t="b">
        <f t="shared" si="6"/>
        <v>0</v>
      </c>
      <c r="C39" s="139" t="str" cm="1">
        <f t="array" aca="1" ref="C39" ca="1">IF(
    AND(
        $B39,
        OR(
            INDIRECT("Descriptif!$M"&amp;($B$1+$A39-1))="Préleveur",
            LEFT(INDIRECT("Descriptif!$M"&amp;($B$1+$A39-1)),5)="Sonde",
            LEFT(INDIRECT("Descriptif!$M"&amp;($B$1+$A39-1)),10)="Débitmètre",
            LEFT(INDIRECT("Descriptif!$F"&amp;($B$1+$A39-1)),6)="PLUVIO"        )
    ),
    INDIRECT("Descriptif!$"&amp;C$15&amp;($B$1 +$A39 -1)),
    ""
)</f>
        <v/>
      </c>
      <c r="D39" s="277" t="str" cm="1">
        <f t="array" aca="1" ref="D39" ca="1">IF(
    AND(
        $B39,
        OR(
            INDIRECT("Descriptif!$M"&amp;($B$1+$A39-1))="Préleveur",
            LEFT(INDIRECT("Descriptif!$M"&amp;($B$1+$A39-1)),5)="Sonde",
            LEFT(INDIRECT("Descriptif!$M"&amp;($B$1+$A39-1)),10)="Débitmètre",
            LEFT(INDIRECT("Descriptif!$F"&amp;($B$1+$A39-1)),6)="PLUVIO"       )
    ),
    IF(
        LEFT(INDIRECT("Descriptif!$F"&amp;($B$1+$A39-1)),11)="PLUVIO_STEU",
        "A3",
        IF(
            LEFT(INDIRECT("Descriptif!$F"&amp;($B$1+$A39-1)),10)="PLUVIO_SCL",
            "A1",
            INDIRECT("Descriptif!$"&amp;D$15&amp;($B$1 +$A39 -1))
        )
    ),
    ""
)</f>
        <v/>
      </c>
      <c r="E39" s="277" t="str" cm="1">
        <f t="array" aca="1" ref="E39" ca="1">IF(
    AND(
        $B39,
        OR(
            INDIRECT("Descriptif!$M"&amp;($B$1+$A39-1))="Préleveur",
            LEFT(INDIRECT("Descriptif!$M"&amp;($B$1+$A39-1)),5)="Sonde",
            LEFT(INDIRECT("Descriptif!$M"&amp;($B$1+$A39-1)),10)="Débitmètre",
            LEFT(INDIRECT("Descriptif!$F"&amp;($B$1+$A39-1)),6)="PLUVIO"
        )
    ),
    IF(LEFT(INDIRECT("Descriptif!$F"&amp;($B$1+$A39-1)),6)="PLUVIO","Pluviomètre",INDIRECT("Descriptif!$"&amp;E$15&amp;($B$1 +$A39 -1))),
    ""
)</f>
        <v/>
      </c>
      <c r="F39" s="19" t="str" cm="1">
        <f t="array" aca="1" ref="F39" ca="1">IF(
    AND(
        $B39,
        OR(
            INDIRECT("Descriptif!$M"&amp;($B$1+$A39-1))="Préleveur",
            LEFT(INDIRECT("Descriptif!$M"&amp;($B$1+$A39-1)),5)="Sonde",
            LEFT(INDIRECT("Descriptif!$M"&amp;($B$1+$A39-1)),10)="Débitmètre",
            LEFT(INDIRECT("Descriptif!$F"&amp;($B$1+$A39-1)),6)="PLUVIO"
        )
    ),
    IF(LEFT(INDIRECT("Descriptif!$F"&amp;($B$1+$A39-1)),6)="PLUVIO","Pluviomètre",INDIRECT("Descriptif!$"&amp;F$15&amp;($B$1 +$A39 -1))),
    ""
)</f>
        <v/>
      </c>
      <c r="G39" s="19" t="str" cm="1">
        <f t="array" aca="1" ref="G39" ca="1">IF(
    AND(
        $B39,
        OR(
            INDIRECT("Descriptif!$M"&amp;($B$1+$A39-1))="Préleveur",
            LEFT(INDIRECT("Descriptif!$M"&amp;($B$1+$A39-1)),5)="Sonde",
            LEFT(INDIRECT("Descriptif!$M"&amp;($B$1+$A39-1)),10)="Débitmètre",
            LEFT(INDIRECT("Descriptif!$F"&amp;($B$1+$A39-1)),6)="PLUVIO"
        )
    ),
    IF(LEFT(INDIRECT("Descriptif!$F"&amp;($B$1+$A39-1)),6)="PLUVIO","",INDIRECT("Descriptif!$"&amp;G$15&amp;($B$1 +$A39 -1))),
    ""
)</f>
        <v/>
      </c>
      <c r="H39" s="141" t="str" cm="1">
        <f t="array" aca="1" ref="H39" ca="1">IFERROR(INDEX($C$16:$C$116,SMALL(IF($C$16:$C$116&lt;&gt;"",ROW($C$16:$C$116)-ROW($C$16)+1),ROW(A24))),"")</f>
        <v/>
      </c>
      <c r="I39" s="140" t="str" cm="1">
        <f t="array" aca="1" ref="I39" ca="1">IFERROR(INDEX($D$16:$D$116,SMALL(IF($D$16:$D$116&lt;&gt;"",ROW($D$16:$D$116)-ROW($D$16)+1),ROW(A24))),"")</f>
        <v/>
      </c>
      <c r="J39" s="140" t="str" cm="1">
        <f t="array" aca="1" ref="J39" ca="1">IFERROR(INDEX($E$16:$E$116,SMALL(IF($E$16:$E$116&lt;&gt;"",ROW($E$16:$E$116)-ROW($E$16)+1),ROW(A24))),"")</f>
        <v/>
      </c>
      <c r="K39" s="140" t="str" cm="1">
        <f t="array" aca="1" ref="K39" ca="1">IFERROR(INDEX($F$16:$F$116,SMALL(IF($F$16:$F$116&lt;&gt;"",ROW($F$16:$F$116)-ROW($F$16)+1),ROW(A24))),"")</f>
        <v/>
      </c>
      <c r="L39" s="140" t="str">
        <f t="shared" ca="1" si="0"/>
        <v/>
      </c>
      <c r="M39" s="140" t="str" cm="1">
        <f t="array" aca="1" ref="M39" ca="1">IFERROR(INDEX($G$16:$G$116,SMALL(IF($G$16:$G$116&lt;&gt;"",ROW($G$16:$G$116)-ROW($G$16)+1),ROW(A24))),"")</f>
        <v/>
      </c>
      <c r="N39" s="145" t="str">
        <f t="shared" ca="1" si="1"/>
        <v/>
      </c>
      <c r="O39" s="146" t="str">
        <f t="shared" ca="1" si="2"/>
        <v/>
      </c>
      <c r="P39" s="146" t="str" cm="1">
        <f t="array" aca="1" ref="P39" ca="1">IF($J39&lt;&gt;"",IF(INDIRECT($H39&amp;"!"&amp;$O39)&lt;&gt;"",INDIRECT($H39&amp;"!"&amp;$O39),""),"")</f>
        <v/>
      </c>
      <c r="Q39" s="146" t="str">
        <f t="shared" ca="1" si="3"/>
        <v/>
      </c>
      <c r="R39" s="146" t="str" cm="1">
        <f t="array" aca="1" ref="R39" ca="1">IF($J39&lt;&gt;"",IF(INDIRECT($H39&amp;"!"&amp;$Q39)&lt;&gt;"",INDIRECT($H39&amp;"!"&amp;$Q39),""),"")</f>
        <v/>
      </c>
      <c r="S39" s="146" t="str">
        <f t="shared" ca="1" si="4"/>
        <v/>
      </c>
      <c r="T39" s="146" t="str" cm="1">
        <f t="array" aca="1" ref="T39" ca="1">IF($J39&lt;&gt;"",IF(INDIRECT($H39&amp;"!"&amp;$S39)&lt;&gt;"",INDIRECT($H39&amp;"!"&amp;$S39),""),"")</f>
        <v/>
      </c>
      <c r="U39" s="146" t="str">
        <f t="shared" ca="1" si="5"/>
        <v/>
      </c>
      <c r="V39" s="147" t="str" cm="1">
        <f t="array" aca="1" ref="V39" ca="1">IF($J39&lt;&gt;"",IF(INDIRECT($H39&amp;"!"&amp;$U39)&lt;&gt;"",INDIRECT($H39&amp;"!"&amp;$U39),""),"")</f>
        <v/>
      </c>
      <c r="W39" s="294" t="str">
        <f t="shared" ca="1" si="7"/>
        <v/>
      </c>
      <c r="X39" s="295" t="str">
        <f t="shared" ca="1" si="8"/>
        <v/>
      </c>
      <c r="Y39" s="296" t="str" cm="1">
        <f t="array" aca="1" ref="Y39" ca="1">IF($H39&lt;&gt;"",IF(INDIRECT($H39&amp;"!"&amp;$W39&amp;($X39+Y$15+1))&lt;&gt;"",INDIRECT($H39&amp;"!"&amp;$W39&amp;($X39+Y$15+1)),""),"")</f>
        <v/>
      </c>
      <c r="Z39" s="296" t="str" cm="1">
        <f t="array" aca="1" ref="Z39" ca="1">IF($H39&lt;&gt;"",IF(INDIRECT($H39&amp;"!"&amp;$W39&amp;($X39+Z$15+1))&lt;&gt;"",INDIRECT($H39&amp;"!"&amp;$W39&amp;($X39+Z$15+1)),""),"")</f>
        <v/>
      </c>
      <c r="AA39" s="296" t="str" cm="1">
        <f t="array" aca="1" ref="AA39" ca="1">IF($H39&lt;&gt;"",IF(INDIRECT($H39&amp;"!"&amp;$W39&amp;($X39+AA$15+1))&lt;&gt;"",INDIRECT($H39&amp;"!"&amp;$W39&amp;($X39+AA$15+1)),""),"")</f>
        <v/>
      </c>
      <c r="AB39" s="296" t="str" cm="1">
        <f t="array" aca="1" ref="AB39" ca="1">IF($H39&lt;&gt;"",IF(INDIRECT($H39&amp;"!"&amp;$W39&amp;($X39+AB$15+1))&lt;&gt;"",INDIRECT($H39&amp;"!"&amp;$W39&amp;($X39+AB$15+1)),""),"")</f>
        <v/>
      </c>
      <c r="AC39" s="296" t="str" cm="1">
        <f t="array" aca="1" ref="AC39" ca="1">IF(LEFT($J39,5)="Sonde","",IF($H39&lt;&gt;"",IF(INDIRECT($H39&amp;"!"&amp;$W39&amp;($X39+AC$15+1))&lt;&gt;"",INDIRECT($H39&amp;"!"&amp;$W39&amp;($X39+AC$15+1)),""),""))</f>
        <v/>
      </c>
      <c r="AD39" s="296" t="str" cm="1">
        <f t="array" aca="1" ref="AD39" ca="1">IF(OR($J39="Pluviomètre",LEFT($J39,5)="Sonde"),"",IF($H39&lt;&gt;"",IF(INDIRECT($H39&amp;"!"&amp;$W39&amp;($X39+AD$15+1))&lt;&gt;"",INDIRECT($H39&amp;"!"&amp;$W39&amp;($X39+AD$15+1)),""),""))</f>
        <v/>
      </c>
      <c r="AE39" s="296" t="str" cm="1">
        <f t="array" aca="1" ref="AE39" ca="1">IF(OR($J39="Pluviomètre",LEFT($J39,5)="Sonde"),"",IF($H39&lt;&gt;"",IF(INDIRECT($H39&amp;"!"&amp;$W39&amp;($X39+AE$15+1))&lt;&gt;"",INDIRECT($H39&amp;"!"&amp;$W39&amp;($X39+AE$15+1)),""),""))</f>
        <v/>
      </c>
      <c r="AF39" s="296" t="str" cm="1">
        <f t="array" aca="1" ref="AF39" ca="1">IF(OR($J39="Pluviomètre",LEFT($J39,5)="Sonde"),"",IF($H39&lt;&gt;"",IF(INDIRECT($H39&amp;"!"&amp;$W39&amp;($X39+AF$15+1))&lt;&gt;"",INDIRECT($H39&amp;"!"&amp;$W39&amp;($X39+AF$15+1)),""),""))</f>
        <v/>
      </c>
      <c r="AG39" s="296" t="str" cm="1">
        <f t="array" aca="1" ref="AG39" ca="1">IF(OR($J39="Pluviomètre",LEFT($J39,5)="Sonde"),"",IF($H39&lt;&gt;"",IF(INDIRECT($H39&amp;"!"&amp;$W39&amp;($X39+AG$15+1))&lt;&gt;"",INDIRECT($H39&amp;"!"&amp;$W39&amp;($X39+AG$15+1)),""),""))</f>
        <v/>
      </c>
      <c r="AH39" s="296" t="str" cm="1">
        <f t="array" aca="1" ref="AH39" ca="1">IF(OR($J39="Pluviomètre",LEFT($J39,5)="Sonde"),"",IF($H39&lt;&gt;"",IF(INDIRECT($H39&amp;"!"&amp;$W39&amp;($X39+AH$15+1))&lt;&gt;"",INDIRECT($H39&amp;"!"&amp;$W39&amp;($X39+AH$15+1)),""),""))</f>
        <v/>
      </c>
      <c r="AI39" s="294" t="str">
        <f t="shared" ca="1" si="9"/>
        <v/>
      </c>
      <c r="AJ39" s="295" t="str">
        <f t="shared" ca="1" si="10"/>
        <v/>
      </c>
      <c r="AK39" s="296" t="str" cm="1">
        <f t="array" aca="1" ref="AK39" ca="1">IF($H39&lt;&gt;"",IF(INDIRECT($H39&amp;"!"&amp;$AI39&amp;($AJ39+AK$15+1))&lt;&gt;"",INDIRECT($H39&amp;"!"&amp;$AI39&amp;($AJ39+AK$15+1)),""),"")</f>
        <v/>
      </c>
      <c r="AL39" s="296" t="str" cm="1">
        <f t="array" aca="1" ref="AL39" ca="1">IF($H39&lt;&gt;"",IF(INDIRECT($H39&amp;"!"&amp;$AI39&amp;($AJ39+AL$15+1))&lt;&gt;"",INDIRECT($H39&amp;"!"&amp;$AI39&amp;($AJ39+AL$15+1)),""),"")</f>
        <v/>
      </c>
      <c r="AM39" s="296" t="str" cm="1">
        <f t="array" aca="1" ref="AM39" ca="1">IF($H39&lt;&gt;"",IF(INDIRECT($H39&amp;"!"&amp;$AI39&amp;($AJ39+AM$15+1))&lt;&gt;"",INDIRECT($H39&amp;"!"&amp;$AI39&amp;($AJ39+AM$15+1)),""),"")</f>
        <v/>
      </c>
      <c r="AN39" s="296" t="str" cm="1">
        <f t="array" aca="1" ref="AN39" ca="1">IF($H39&lt;&gt;"",IF(INDIRECT($H39&amp;"!"&amp;$AI39&amp;($AJ39+AN$15+1))&lt;&gt;"",INDIRECT($H39&amp;"!"&amp;$AI39&amp;($AJ39+AN$15+1)),""),"")</f>
        <v/>
      </c>
      <c r="AO39" s="296" t="str" cm="1">
        <f t="array" aca="1" ref="AO39" ca="1">IF(LEFT($J39,5)="Sonde","",IF($H39&lt;&gt;"",IF(INDIRECT($H39&amp;"!"&amp;$AI39&amp;($AJ39+AO$15+1))&lt;&gt;"",INDIRECT($H39&amp;"!"&amp;$AI39&amp;($AJ39+AO$15+1)),""),""))</f>
        <v/>
      </c>
      <c r="AP39" s="296" t="str" cm="1">
        <f t="array" aca="1" ref="AP39" ca="1">IF(OR($J39="Pluviomètre",LEFT($J39,5)="Sonde"),"",IF($H39&lt;&gt;"",IF(INDIRECT($H39&amp;"!"&amp;$AI39&amp;($AJ39+AP$15+1))&lt;&gt;"",INDIRECT($H39&amp;"!"&amp;$AI39&amp;($AJ39+AP$15+1)),""),""))</f>
        <v/>
      </c>
      <c r="AQ39" s="296" t="str" cm="1">
        <f t="array" aca="1" ref="AQ39" ca="1">IF(OR($J39="Pluviomètre",LEFT($J39,5)="Sonde"),"",IF($H39&lt;&gt;"",IF(INDIRECT($H39&amp;"!"&amp;$AI39&amp;($AJ39+AQ$15+1))&lt;&gt;"",INDIRECT($H39&amp;"!"&amp;$AI39&amp;($AJ39+AQ$15+1)),""),""))</f>
        <v/>
      </c>
      <c r="AR39" s="296" t="str" cm="1">
        <f t="array" aca="1" ref="AR39" ca="1">IF(OR($J39="Pluviomètre",LEFT($J39,5)="Sonde"),"",IF($H39&lt;&gt;"",IF(INDIRECT($H39&amp;"!"&amp;$AI39&amp;($AJ39+AR$15+1))&lt;&gt;"",INDIRECT($H39&amp;"!"&amp;$AI39&amp;($AJ39+AR$15+1)),""),""))</f>
        <v/>
      </c>
      <c r="AS39" s="296" t="str" cm="1">
        <f t="array" aca="1" ref="AS39" ca="1">IF(OR($J39="Pluviomètre",LEFT($J39,5)="Sonde"),"",IF($H39&lt;&gt;"",IF(INDIRECT($H39&amp;"!"&amp;$AI39&amp;($AJ39+AS$15+1))&lt;&gt;"",INDIRECT($H39&amp;"!"&amp;$AI39&amp;($AJ39+AS$15+1)),""),""))</f>
        <v/>
      </c>
      <c r="AT39" s="296" t="str" cm="1">
        <f t="array" aca="1" ref="AT39" ca="1">IF(OR($J39="Pluviomètre",LEFT($J39,5)="Sonde"),"",IF($H39&lt;&gt;"",IF(INDIRECT($H39&amp;"!"&amp;$AI39&amp;($AJ39+AT$15+1))&lt;&gt;"",INDIRECT($H39&amp;"!"&amp;$AI39&amp;($AJ39+AT$15+1)),""),""))</f>
        <v/>
      </c>
      <c r="AU39" s="412" cm="1">
        <f t="array" aca="1" ref="AU39" ca="1">SUMPRODUCT((Y39:AH39&lt;&gt;"")*(Y39:AH39&lt;&gt;"Non contrôlé")*(Y39:AH39&lt;&gt;"Non applicable"))</f>
        <v>0</v>
      </c>
      <c r="AV39" s="414">
        <f t="shared" ca="1" si="11"/>
        <v>-1</v>
      </c>
    </row>
    <row r="40" spans="1:48" x14ac:dyDescent="0.4">
      <c r="A40" s="80">
        <v>25</v>
      </c>
      <c r="B40" s="134" t="b">
        <f t="shared" si="6"/>
        <v>0</v>
      </c>
      <c r="C40" s="139" t="str" cm="1">
        <f t="array" aca="1" ref="C40" ca="1">IF(
    AND(
        $B40,
        OR(
            INDIRECT("Descriptif!$M"&amp;($B$1+$A40-1))="Préleveur",
            LEFT(INDIRECT("Descriptif!$M"&amp;($B$1+$A40-1)),5)="Sonde",
            LEFT(INDIRECT("Descriptif!$M"&amp;($B$1+$A40-1)),10)="Débitmètre",
            LEFT(INDIRECT("Descriptif!$F"&amp;($B$1+$A40-1)),6)="PLUVIO"        )
    ),
    INDIRECT("Descriptif!$"&amp;C$15&amp;($B$1 +$A40 -1)),
    ""
)</f>
        <v/>
      </c>
      <c r="D40" s="277" t="str" cm="1">
        <f t="array" aca="1" ref="D40" ca="1">IF(
    AND(
        $B40,
        OR(
            INDIRECT("Descriptif!$M"&amp;($B$1+$A40-1))="Préleveur",
            LEFT(INDIRECT("Descriptif!$M"&amp;($B$1+$A40-1)),5)="Sonde",
            LEFT(INDIRECT("Descriptif!$M"&amp;($B$1+$A40-1)),10)="Débitmètre",
            LEFT(INDIRECT("Descriptif!$F"&amp;($B$1+$A40-1)),6)="PLUVIO"       )
    ),
    IF(
        LEFT(INDIRECT("Descriptif!$F"&amp;($B$1+$A40-1)),11)="PLUVIO_STEU",
        "A3",
        IF(
            LEFT(INDIRECT("Descriptif!$F"&amp;($B$1+$A40-1)),10)="PLUVIO_SCL",
            "A1",
            INDIRECT("Descriptif!$"&amp;D$15&amp;($B$1 +$A40 -1))
        )
    ),
    ""
)</f>
        <v/>
      </c>
      <c r="E40" s="277" t="str" cm="1">
        <f t="array" aca="1" ref="E40" ca="1">IF(
    AND(
        $B40,
        OR(
            INDIRECT("Descriptif!$M"&amp;($B$1+$A40-1))="Préleveur",
            LEFT(INDIRECT("Descriptif!$M"&amp;($B$1+$A40-1)),5)="Sonde",
            LEFT(INDIRECT("Descriptif!$M"&amp;($B$1+$A40-1)),10)="Débitmètre",
            LEFT(INDIRECT("Descriptif!$F"&amp;($B$1+$A40-1)),6)="PLUVIO"
        )
    ),
    IF(LEFT(INDIRECT("Descriptif!$F"&amp;($B$1+$A40-1)),6)="PLUVIO","Pluviomètre",INDIRECT("Descriptif!$"&amp;E$15&amp;($B$1 +$A40 -1))),
    ""
)</f>
        <v/>
      </c>
      <c r="F40" s="19" t="str" cm="1">
        <f t="array" aca="1" ref="F40" ca="1">IF(
    AND(
        $B40,
        OR(
            INDIRECT("Descriptif!$M"&amp;($B$1+$A40-1))="Préleveur",
            LEFT(INDIRECT("Descriptif!$M"&amp;($B$1+$A40-1)),5)="Sonde",
            LEFT(INDIRECT("Descriptif!$M"&amp;($B$1+$A40-1)),10)="Débitmètre",
            LEFT(INDIRECT("Descriptif!$F"&amp;($B$1+$A40-1)),6)="PLUVIO"
        )
    ),
    IF(LEFT(INDIRECT("Descriptif!$F"&amp;($B$1+$A40-1)),6)="PLUVIO","Pluviomètre",INDIRECT("Descriptif!$"&amp;F$15&amp;($B$1 +$A40 -1))),
    ""
)</f>
        <v/>
      </c>
      <c r="G40" s="19" t="str" cm="1">
        <f t="array" aca="1" ref="G40" ca="1">IF(
    AND(
        $B40,
        OR(
            INDIRECT("Descriptif!$M"&amp;($B$1+$A40-1))="Préleveur",
            LEFT(INDIRECT("Descriptif!$M"&amp;($B$1+$A40-1)),5)="Sonde",
            LEFT(INDIRECT("Descriptif!$M"&amp;($B$1+$A40-1)),10)="Débitmètre",
            LEFT(INDIRECT("Descriptif!$F"&amp;($B$1+$A40-1)),6)="PLUVIO"
        )
    ),
    IF(LEFT(INDIRECT("Descriptif!$F"&amp;($B$1+$A40-1)),6)="PLUVIO","",INDIRECT("Descriptif!$"&amp;G$15&amp;($B$1 +$A40 -1))),
    ""
)</f>
        <v/>
      </c>
      <c r="H40" s="141" t="str" cm="1">
        <f t="array" aca="1" ref="H40" ca="1">IFERROR(INDEX($C$16:$C$116,SMALL(IF($C$16:$C$116&lt;&gt;"",ROW($C$16:$C$116)-ROW($C$16)+1),ROW(A25))),"")</f>
        <v/>
      </c>
      <c r="I40" s="140" t="str" cm="1">
        <f t="array" aca="1" ref="I40" ca="1">IFERROR(INDEX($D$16:$D$116,SMALL(IF($D$16:$D$116&lt;&gt;"",ROW($D$16:$D$116)-ROW($D$16)+1),ROW(A25))),"")</f>
        <v/>
      </c>
      <c r="J40" s="140" t="str" cm="1">
        <f t="array" aca="1" ref="J40" ca="1">IFERROR(INDEX($E$16:$E$116,SMALL(IF($E$16:$E$116&lt;&gt;"",ROW($E$16:$E$116)-ROW($E$16)+1),ROW(A25))),"")</f>
        <v/>
      </c>
      <c r="K40" s="140" t="str" cm="1">
        <f t="array" aca="1" ref="K40" ca="1">IFERROR(INDEX($F$16:$F$116,SMALL(IF($F$16:$F$116&lt;&gt;"",ROW($F$16:$F$116)-ROW($F$16)+1),ROW(A25))),"")</f>
        <v/>
      </c>
      <c r="L40" s="140" t="str">
        <f t="shared" ca="1" si="0"/>
        <v/>
      </c>
      <c r="M40" s="140" t="str" cm="1">
        <f t="array" aca="1" ref="M40" ca="1">IFERROR(INDEX($G$16:$G$116,SMALL(IF($G$16:$G$116&lt;&gt;"",ROW($G$16:$G$116)-ROW($G$16)+1),ROW(A25))),"")</f>
        <v/>
      </c>
      <c r="N40" s="145" t="str">
        <f t="shared" ca="1" si="1"/>
        <v/>
      </c>
      <c r="O40" s="146" t="str">
        <f t="shared" ca="1" si="2"/>
        <v/>
      </c>
      <c r="P40" s="146" t="str" cm="1">
        <f t="array" aca="1" ref="P40" ca="1">IF($J40&lt;&gt;"",IF(INDIRECT($H40&amp;"!"&amp;$O40)&lt;&gt;"",INDIRECT($H40&amp;"!"&amp;$O40),""),"")</f>
        <v/>
      </c>
      <c r="Q40" s="146" t="str">
        <f t="shared" ca="1" si="3"/>
        <v/>
      </c>
      <c r="R40" s="146" t="str" cm="1">
        <f t="array" aca="1" ref="R40" ca="1">IF($J40&lt;&gt;"",IF(INDIRECT($H40&amp;"!"&amp;$Q40)&lt;&gt;"",INDIRECT($H40&amp;"!"&amp;$Q40),""),"")</f>
        <v/>
      </c>
      <c r="S40" s="146" t="str">
        <f t="shared" ca="1" si="4"/>
        <v/>
      </c>
      <c r="T40" s="146" t="str" cm="1">
        <f t="array" aca="1" ref="T40" ca="1">IF($J40&lt;&gt;"",IF(INDIRECT($H40&amp;"!"&amp;$S40)&lt;&gt;"",INDIRECT($H40&amp;"!"&amp;$S40),""),"")</f>
        <v/>
      </c>
      <c r="U40" s="146" t="str">
        <f t="shared" ca="1" si="5"/>
        <v/>
      </c>
      <c r="V40" s="147" t="str" cm="1">
        <f t="array" aca="1" ref="V40" ca="1">IF($J40&lt;&gt;"",IF(INDIRECT($H40&amp;"!"&amp;$U40)&lt;&gt;"",INDIRECT($H40&amp;"!"&amp;$U40),""),"")</f>
        <v/>
      </c>
      <c r="W40" s="294" t="str">
        <f t="shared" ca="1" si="7"/>
        <v/>
      </c>
      <c r="X40" s="295" t="str">
        <f t="shared" ca="1" si="8"/>
        <v/>
      </c>
      <c r="Y40" s="296" t="str" cm="1">
        <f t="array" aca="1" ref="Y40" ca="1">IF($H40&lt;&gt;"",IF(INDIRECT($H40&amp;"!"&amp;$W40&amp;($X40+Y$15+1))&lt;&gt;"",INDIRECT($H40&amp;"!"&amp;$W40&amp;($X40+Y$15+1)),""),"")</f>
        <v/>
      </c>
      <c r="Z40" s="296" t="str" cm="1">
        <f t="array" aca="1" ref="Z40" ca="1">IF($H40&lt;&gt;"",IF(INDIRECT($H40&amp;"!"&amp;$W40&amp;($X40+Z$15+1))&lt;&gt;"",INDIRECT($H40&amp;"!"&amp;$W40&amp;($X40+Z$15+1)),""),"")</f>
        <v/>
      </c>
      <c r="AA40" s="296" t="str" cm="1">
        <f t="array" aca="1" ref="AA40" ca="1">IF($H40&lt;&gt;"",IF(INDIRECT($H40&amp;"!"&amp;$W40&amp;($X40+AA$15+1))&lt;&gt;"",INDIRECT($H40&amp;"!"&amp;$W40&amp;($X40+AA$15+1)),""),"")</f>
        <v/>
      </c>
      <c r="AB40" s="296" t="str" cm="1">
        <f t="array" aca="1" ref="AB40" ca="1">IF($H40&lt;&gt;"",IF(INDIRECT($H40&amp;"!"&amp;$W40&amp;($X40+AB$15+1))&lt;&gt;"",INDIRECT($H40&amp;"!"&amp;$W40&amp;($X40+AB$15+1)),""),"")</f>
        <v/>
      </c>
      <c r="AC40" s="296" t="str" cm="1">
        <f t="array" aca="1" ref="AC40" ca="1">IF(LEFT($J40,5)="Sonde","",IF($H40&lt;&gt;"",IF(INDIRECT($H40&amp;"!"&amp;$W40&amp;($X40+AC$15+1))&lt;&gt;"",INDIRECT($H40&amp;"!"&amp;$W40&amp;($X40+AC$15+1)),""),""))</f>
        <v/>
      </c>
      <c r="AD40" s="296" t="str" cm="1">
        <f t="array" aca="1" ref="AD40" ca="1">IF(OR($J40="Pluviomètre",LEFT($J40,5)="Sonde"),"",IF($H40&lt;&gt;"",IF(INDIRECT($H40&amp;"!"&amp;$W40&amp;($X40+AD$15+1))&lt;&gt;"",INDIRECT($H40&amp;"!"&amp;$W40&amp;($X40+AD$15+1)),""),""))</f>
        <v/>
      </c>
      <c r="AE40" s="296" t="str" cm="1">
        <f t="array" aca="1" ref="AE40" ca="1">IF(OR($J40="Pluviomètre",LEFT($J40,5)="Sonde"),"",IF($H40&lt;&gt;"",IF(INDIRECT($H40&amp;"!"&amp;$W40&amp;($X40+AE$15+1))&lt;&gt;"",INDIRECT($H40&amp;"!"&amp;$W40&amp;($X40+AE$15+1)),""),""))</f>
        <v/>
      </c>
      <c r="AF40" s="296" t="str" cm="1">
        <f t="array" aca="1" ref="AF40" ca="1">IF(OR($J40="Pluviomètre",LEFT($J40,5)="Sonde"),"",IF($H40&lt;&gt;"",IF(INDIRECT($H40&amp;"!"&amp;$W40&amp;($X40+AF$15+1))&lt;&gt;"",INDIRECT($H40&amp;"!"&amp;$W40&amp;($X40+AF$15+1)),""),""))</f>
        <v/>
      </c>
      <c r="AG40" s="296" t="str" cm="1">
        <f t="array" aca="1" ref="AG40" ca="1">IF(OR($J40="Pluviomètre",LEFT($J40,5)="Sonde"),"",IF($H40&lt;&gt;"",IF(INDIRECT($H40&amp;"!"&amp;$W40&amp;($X40+AG$15+1))&lt;&gt;"",INDIRECT($H40&amp;"!"&amp;$W40&amp;($X40+AG$15+1)),""),""))</f>
        <v/>
      </c>
      <c r="AH40" s="296" t="str" cm="1">
        <f t="array" aca="1" ref="AH40" ca="1">IF(OR($J40="Pluviomètre",LEFT($J40,5)="Sonde"),"",IF($H40&lt;&gt;"",IF(INDIRECT($H40&amp;"!"&amp;$W40&amp;($X40+AH$15+1))&lt;&gt;"",INDIRECT($H40&amp;"!"&amp;$W40&amp;($X40+AH$15+1)),""),""))</f>
        <v/>
      </c>
      <c r="AI40" s="294" t="str">
        <f t="shared" ca="1" si="9"/>
        <v/>
      </c>
      <c r="AJ40" s="295" t="str">
        <f t="shared" ca="1" si="10"/>
        <v/>
      </c>
      <c r="AK40" s="296" t="str" cm="1">
        <f t="array" aca="1" ref="AK40" ca="1">IF($H40&lt;&gt;"",IF(INDIRECT($H40&amp;"!"&amp;$AI40&amp;($AJ40+AK$15+1))&lt;&gt;"",INDIRECT($H40&amp;"!"&amp;$AI40&amp;($AJ40+AK$15+1)),""),"")</f>
        <v/>
      </c>
      <c r="AL40" s="296" t="str" cm="1">
        <f t="array" aca="1" ref="AL40" ca="1">IF($H40&lt;&gt;"",IF(INDIRECT($H40&amp;"!"&amp;$AI40&amp;($AJ40+AL$15+1))&lt;&gt;"",INDIRECT($H40&amp;"!"&amp;$AI40&amp;($AJ40+AL$15+1)),""),"")</f>
        <v/>
      </c>
      <c r="AM40" s="296" t="str" cm="1">
        <f t="array" aca="1" ref="AM40" ca="1">IF($H40&lt;&gt;"",IF(INDIRECT($H40&amp;"!"&amp;$AI40&amp;($AJ40+AM$15+1))&lt;&gt;"",INDIRECT($H40&amp;"!"&amp;$AI40&amp;($AJ40+AM$15+1)),""),"")</f>
        <v/>
      </c>
      <c r="AN40" s="296" t="str" cm="1">
        <f t="array" aca="1" ref="AN40" ca="1">IF($H40&lt;&gt;"",IF(INDIRECT($H40&amp;"!"&amp;$AI40&amp;($AJ40+AN$15+1))&lt;&gt;"",INDIRECT($H40&amp;"!"&amp;$AI40&amp;($AJ40+AN$15+1)),""),"")</f>
        <v/>
      </c>
      <c r="AO40" s="296" t="str" cm="1">
        <f t="array" aca="1" ref="AO40" ca="1">IF(LEFT($J40,5)="Sonde","",IF($H40&lt;&gt;"",IF(INDIRECT($H40&amp;"!"&amp;$AI40&amp;($AJ40+AO$15+1))&lt;&gt;"",INDIRECT($H40&amp;"!"&amp;$AI40&amp;($AJ40+AO$15+1)),""),""))</f>
        <v/>
      </c>
      <c r="AP40" s="296" t="str" cm="1">
        <f t="array" aca="1" ref="AP40" ca="1">IF(OR($J40="Pluviomètre",LEFT($J40,5)="Sonde"),"",IF($H40&lt;&gt;"",IF(INDIRECT($H40&amp;"!"&amp;$AI40&amp;($AJ40+AP$15+1))&lt;&gt;"",INDIRECT($H40&amp;"!"&amp;$AI40&amp;($AJ40+AP$15+1)),""),""))</f>
        <v/>
      </c>
      <c r="AQ40" s="296" t="str" cm="1">
        <f t="array" aca="1" ref="AQ40" ca="1">IF(OR($J40="Pluviomètre",LEFT($J40,5)="Sonde"),"",IF($H40&lt;&gt;"",IF(INDIRECT($H40&amp;"!"&amp;$AI40&amp;($AJ40+AQ$15+1))&lt;&gt;"",INDIRECT($H40&amp;"!"&amp;$AI40&amp;($AJ40+AQ$15+1)),""),""))</f>
        <v/>
      </c>
      <c r="AR40" s="296" t="str" cm="1">
        <f t="array" aca="1" ref="AR40" ca="1">IF(OR($J40="Pluviomètre",LEFT($J40,5)="Sonde"),"",IF($H40&lt;&gt;"",IF(INDIRECT($H40&amp;"!"&amp;$AI40&amp;($AJ40+AR$15+1))&lt;&gt;"",INDIRECT($H40&amp;"!"&amp;$AI40&amp;($AJ40+AR$15+1)),""),""))</f>
        <v/>
      </c>
      <c r="AS40" s="296" t="str" cm="1">
        <f t="array" aca="1" ref="AS40" ca="1">IF(OR($J40="Pluviomètre",LEFT($J40,5)="Sonde"),"",IF($H40&lt;&gt;"",IF(INDIRECT($H40&amp;"!"&amp;$AI40&amp;($AJ40+AS$15+1))&lt;&gt;"",INDIRECT($H40&amp;"!"&amp;$AI40&amp;($AJ40+AS$15+1)),""),""))</f>
        <v/>
      </c>
      <c r="AT40" s="296" t="str" cm="1">
        <f t="array" aca="1" ref="AT40" ca="1">IF(OR($J40="Pluviomètre",LEFT($J40,5)="Sonde"),"",IF($H40&lt;&gt;"",IF(INDIRECT($H40&amp;"!"&amp;$AI40&amp;($AJ40+AT$15+1))&lt;&gt;"",INDIRECT($H40&amp;"!"&amp;$AI40&amp;($AJ40+AT$15+1)),""),""))</f>
        <v/>
      </c>
      <c r="AU40" s="412" cm="1">
        <f t="array" aca="1" ref="AU40" ca="1">SUMPRODUCT((Y40:AH40&lt;&gt;"")*(Y40:AH40&lt;&gt;"Non contrôlé")*(Y40:AH40&lt;&gt;"Non applicable"))</f>
        <v>0</v>
      </c>
      <c r="AV40" s="414">
        <f t="shared" ca="1" si="11"/>
        <v>-1</v>
      </c>
    </row>
    <row r="41" spans="1:48" x14ac:dyDescent="0.4">
      <c r="A41" s="80">
        <v>26</v>
      </c>
      <c r="B41" s="134" t="b">
        <f t="shared" si="6"/>
        <v>0</v>
      </c>
      <c r="C41" s="139" t="str" cm="1">
        <f t="array" aca="1" ref="C41" ca="1">IF(
    AND(
        $B41,
        OR(
            INDIRECT("Descriptif!$M"&amp;($B$1+$A41-1))="Préleveur",
            LEFT(INDIRECT("Descriptif!$M"&amp;($B$1+$A41-1)),5)="Sonde",
            LEFT(INDIRECT("Descriptif!$M"&amp;($B$1+$A41-1)),10)="Débitmètre",
            LEFT(INDIRECT("Descriptif!$F"&amp;($B$1+$A41-1)),6)="PLUVIO"        )
    ),
    INDIRECT("Descriptif!$"&amp;C$15&amp;($B$1 +$A41 -1)),
    ""
)</f>
        <v/>
      </c>
      <c r="D41" s="277" t="str" cm="1">
        <f t="array" aca="1" ref="D41" ca="1">IF(
    AND(
        $B41,
        OR(
            INDIRECT("Descriptif!$M"&amp;($B$1+$A41-1))="Préleveur",
            LEFT(INDIRECT("Descriptif!$M"&amp;($B$1+$A41-1)),5)="Sonde",
            LEFT(INDIRECT("Descriptif!$M"&amp;($B$1+$A41-1)),10)="Débitmètre",
            LEFT(INDIRECT("Descriptif!$F"&amp;($B$1+$A41-1)),6)="PLUVIO"       )
    ),
    IF(
        LEFT(INDIRECT("Descriptif!$F"&amp;($B$1+$A41-1)),11)="PLUVIO_STEU",
        "A3",
        IF(
            LEFT(INDIRECT("Descriptif!$F"&amp;($B$1+$A41-1)),10)="PLUVIO_SCL",
            "A1",
            INDIRECT("Descriptif!$"&amp;D$15&amp;($B$1 +$A41 -1))
        )
    ),
    ""
)</f>
        <v/>
      </c>
      <c r="E41" s="277" t="str" cm="1">
        <f t="array" aca="1" ref="E41" ca="1">IF(
    AND(
        $B41,
        OR(
            INDIRECT("Descriptif!$M"&amp;($B$1+$A41-1))="Préleveur",
            LEFT(INDIRECT("Descriptif!$M"&amp;($B$1+$A41-1)),5)="Sonde",
            LEFT(INDIRECT("Descriptif!$M"&amp;($B$1+$A41-1)),10)="Débitmètre",
            LEFT(INDIRECT("Descriptif!$F"&amp;($B$1+$A41-1)),6)="PLUVIO"
        )
    ),
    IF(LEFT(INDIRECT("Descriptif!$F"&amp;($B$1+$A41-1)),6)="PLUVIO","Pluviomètre",INDIRECT("Descriptif!$"&amp;E$15&amp;($B$1 +$A41 -1))),
    ""
)</f>
        <v/>
      </c>
      <c r="F41" s="19" t="str" cm="1">
        <f t="array" aca="1" ref="F41" ca="1">IF(
    AND(
        $B41,
        OR(
            INDIRECT("Descriptif!$M"&amp;($B$1+$A41-1))="Préleveur",
            LEFT(INDIRECT("Descriptif!$M"&amp;($B$1+$A41-1)),5)="Sonde",
            LEFT(INDIRECT("Descriptif!$M"&amp;($B$1+$A41-1)),10)="Débitmètre",
            LEFT(INDIRECT("Descriptif!$F"&amp;($B$1+$A41-1)),6)="PLUVIO"
        )
    ),
    IF(LEFT(INDIRECT("Descriptif!$F"&amp;($B$1+$A41-1)),6)="PLUVIO","Pluviomètre",INDIRECT("Descriptif!$"&amp;F$15&amp;($B$1 +$A41 -1))),
    ""
)</f>
        <v/>
      </c>
      <c r="G41" s="19" t="str" cm="1">
        <f t="array" aca="1" ref="G41" ca="1">IF(
    AND(
        $B41,
        OR(
            INDIRECT("Descriptif!$M"&amp;($B$1+$A41-1))="Préleveur",
            LEFT(INDIRECT("Descriptif!$M"&amp;($B$1+$A41-1)),5)="Sonde",
            LEFT(INDIRECT("Descriptif!$M"&amp;($B$1+$A41-1)),10)="Débitmètre",
            LEFT(INDIRECT("Descriptif!$F"&amp;($B$1+$A41-1)),6)="PLUVIO"
        )
    ),
    IF(LEFT(INDIRECT("Descriptif!$F"&amp;($B$1+$A41-1)),6)="PLUVIO","",INDIRECT("Descriptif!$"&amp;G$15&amp;($B$1 +$A41 -1))),
    ""
)</f>
        <v/>
      </c>
      <c r="H41" s="141" t="str" cm="1">
        <f t="array" aca="1" ref="H41" ca="1">IFERROR(INDEX($C$16:$C$116,SMALL(IF($C$16:$C$116&lt;&gt;"",ROW($C$16:$C$116)-ROW($C$16)+1),ROW(A26))),"")</f>
        <v/>
      </c>
      <c r="I41" s="140" t="str" cm="1">
        <f t="array" aca="1" ref="I41" ca="1">IFERROR(INDEX($D$16:$D$116,SMALL(IF($D$16:$D$116&lt;&gt;"",ROW($D$16:$D$116)-ROW($D$16)+1),ROW(A26))),"")</f>
        <v/>
      </c>
      <c r="J41" s="140" t="str" cm="1">
        <f t="array" aca="1" ref="J41" ca="1">IFERROR(INDEX($E$16:$E$116,SMALL(IF($E$16:$E$116&lt;&gt;"",ROW($E$16:$E$116)-ROW($E$16)+1),ROW(A26))),"")</f>
        <v/>
      </c>
      <c r="K41" s="140" t="str" cm="1">
        <f t="array" aca="1" ref="K41" ca="1">IFERROR(INDEX($F$16:$F$116,SMALL(IF($F$16:$F$116&lt;&gt;"",ROW($F$16:$F$116)-ROW($F$16)+1),ROW(A26))),"")</f>
        <v/>
      </c>
      <c r="L41" s="140" t="str">
        <f t="shared" ca="1" si="0"/>
        <v/>
      </c>
      <c r="M41" s="140" t="str" cm="1">
        <f t="array" aca="1" ref="M41" ca="1">IFERROR(INDEX($G$16:$G$116,SMALL(IF($G$16:$G$116&lt;&gt;"",ROW($G$16:$G$116)-ROW($G$16)+1),ROW(A26))),"")</f>
        <v/>
      </c>
      <c r="N41" s="145" t="str">
        <f t="shared" ca="1" si="1"/>
        <v/>
      </c>
      <c r="O41" s="146" t="str">
        <f t="shared" ca="1" si="2"/>
        <v/>
      </c>
      <c r="P41" s="146" t="str" cm="1">
        <f t="array" aca="1" ref="P41" ca="1">IF($J41&lt;&gt;"",IF(INDIRECT($H41&amp;"!"&amp;$O41)&lt;&gt;"",INDIRECT($H41&amp;"!"&amp;$O41),""),"")</f>
        <v/>
      </c>
      <c r="Q41" s="146" t="str">
        <f t="shared" ca="1" si="3"/>
        <v/>
      </c>
      <c r="R41" s="146" t="str" cm="1">
        <f t="array" aca="1" ref="R41" ca="1">IF($J41&lt;&gt;"",IF(INDIRECT($H41&amp;"!"&amp;$Q41)&lt;&gt;"",INDIRECT($H41&amp;"!"&amp;$Q41),""),"")</f>
        <v/>
      </c>
      <c r="S41" s="146" t="str">
        <f t="shared" ca="1" si="4"/>
        <v/>
      </c>
      <c r="T41" s="146" t="str" cm="1">
        <f t="array" aca="1" ref="T41" ca="1">IF($J41&lt;&gt;"",IF(INDIRECT($H41&amp;"!"&amp;$S41)&lt;&gt;"",INDIRECT($H41&amp;"!"&amp;$S41),""),"")</f>
        <v/>
      </c>
      <c r="U41" s="146" t="str">
        <f t="shared" ca="1" si="5"/>
        <v/>
      </c>
      <c r="V41" s="147" t="str" cm="1">
        <f t="array" aca="1" ref="V41" ca="1">IF($J41&lt;&gt;"",IF(INDIRECT($H41&amp;"!"&amp;$U41)&lt;&gt;"",INDIRECT($H41&amp;"!"&amp;$U41),""),"")</f>
        <v/>
      </c>
      <c r="W41" s="294" t="str">
        <f t="shared" ca="1" si="7"/>
        <v/>
      </c>
      <c r="X41" s="295" t="str">
        <f t="shared" ca="1" si="8"/>
        <v/>
      </c>
      <c r="Y41" s="296" t="str" cm="1">
        <f t="array" aca="1" ref="Y41" ca="1">IF($H41&lt;&gt;"",IF(INDIRECT($H41&amp;"!"&amp;$W41&amp;($X41+Y$15+1))&lt;&gt;"",INDIRECT($H41&amp;"!"&amp;$W41&amp;($X41+Y$15+1)),""),"")</f>
        <v/>
      </c>
      <c r="Z41" s="296" t="str" cm="1">
        <f t="array" aca="1" ref="Z41" ca="1">IF($H41&lt;&gt;"",IF(INDIRECT($H41&amp;"!"&amp;$W41&amp;($X41+Z$15+1))&lt;&gt;"",INDIRECT($H41&amp;"!"&amp;$W41&amp;($X41+Z$15+1)),""),"")</f>
        <v/>
      </c>
      <c r="AA41" s="296" t="str" cm="1">
        <f t="array" aca="1" ref="AA41" ca="1">IF($H41&lt;&gt;"",IF(INDIRECT($H41&amp;"!"&amp;$W41&amp;($X41+AA$15+1))&lt;&gt;"",INDIRECT($H41&amp;"!"&amp;$W41&amp;($X41+AA$15+1)),""),"")</f>
        <v/>
      </c>
      <c r="AB41" s="296" t="str" cm="1">
        <f t="array" aca="1" ref="AB41" ca="1">IF($H41&lt;&gt;"",IF(INDIRECT($H41&amp;"!"&amp;$W41&amp;($X41+AB$15+1))&lt;&gt;"",INDIRECT($H41&amp;"!"&amp;$W41&amp;($X41+AB$15+1)),""),"")</f>
        <v/>
      </c>
      <c r="AC41" s="296" t="str" cm="1">
        <f t="array" aca="1" ref="AC41" ca="1">IF(LEFT($J41,5)="Sonde","",IF($H41&lt;&gt;"",IF(INDIRECT($H41&amp;"!"&amp;$W41&amp;($X41+AC$15+1))&lt;&gt;"",INDIRECT($H41&amp;"!"&amp;$W41&amp;($X41+AC$15+1)),""),""))</f>
        <v/>
      </c>
      <c r="AD41" s="296" t="str" cm="1">
        <f t="array" aca="1" ref="AD41" ca="1">IF(OR($J41="Pluviomètre",LEFT($J41,5)="Sonde"),"",IF($H41&lt;&gt;"",IF(INDIRECT($H41&amp;"!"&amp;$W41&amp;($X41+AD$15+1))&lt;&gt;"",INDIRECT($H41&amp;"!"&amp;$W41&amp;($X41+AD$15+1)),""),""))</f>
        <v/>
      </c>
      <c r="AE41" s="296" t="str" cm="1">
        <f t="array" aca="1" ref="AE41" ca="1">IF(OR($J41="Pluviomètre",LEFT($J41,5)="Sonde"),"",IF($H41&lt;&gt;"",IF(INDIRECT($H41&amp;"!"&amp;$W41&amp;($X41+AE$15+1))&lt;&gt;"",INDIRECT($H41&amp;"!"&amp;$W41&amp;($X41+AE$15+1)),""),""))</f>
        <v/>
      </c>
      <c r="AF41" s="296" t="str" cm="1">
        <f t="array" aca="1" ref="AF41" ca="1">IF(OR($J41="Pluviomètre",LEFT($J41,5)="Sonde"),"",IF($H41&lt;&gt;"",IF(INDIRECT($H41&amp;"!"&amp;$W41&amp;($X41+AF$15+1))&lt;&gt;"",INDIRECT($H41&amp;"!"&amp;$W41&amp;($X41+AF$15+1)),""),""))</f>
        <v/>
      </c>
      <c r="AG41" s="296" t="str" cm="1">
        <f t="array" aca="1" ref="AG41" ca="1">IF(OR($J41="Pluviomètre",LEFT($J41,5)="Sonde"),"",IF($H41&lt;&gt;"",IF(INDIRECT($H41&amp;"!"&amp;$W41&amp;($X41+AG$15+1))&lt;&gt;"",INDIRECT($H41&amp;"!"&amp;$W41&amp;($X41+AG$15+1)),""),""))</f>
        <v/>
      </c>
      <c r="AH41" s="296" t="str" cm="1">
        <f t="array" aca="1" ref="AH41" ca="1">IF(OR($J41="Pluviomètre",LEFT($J41,5)="Sonde"),"",IF($H41&lt;&gt;"",IF(INDIRECT($H41&amp;"!"&amp;$W41&amp;($X41+AH$15+1))&lt;&gt;"",INDIRECT($H41&amp;"!"&amp;$W41&amp;($X41+AH$15+1)),""),""))</f>
        <v/>
      </c>
      <c r="AI41" s="294" t="str">
        <f t="shared" ca="1" si="9"/>
        <v/>
      </c>
      <c r="AJ41" s="295" t="str">
        <f t="shared" ca="1" si="10"/>
        <v/>
      </c>
      <c r="AK41" s="296" t="str" cm="1">
        <f t="array" aca="1" ref="AK41" ca="1">IF($H41&lt;&gt;"",IF(INDIRECT($H41&amp;"!"&amp;$AI41&amp;($AJ41+AK$15+1))&lt;&gt;"",INDIRECT($H41&amp;"!"&amp;$AI41&amp;($AJ41+AK$15+1)),""),"")</f>
        <v/>
      </c>
      <c r="AL41" s="296" t="str" cm="1">
        <f t="array" aca="1" ref="AL41" ca="1">IF($H41&lt;&gt;"",IF(INDIRECT($H41&amp;"!"&amp;$AI41&amp;($AJ41+AL$15+1))&lt;&gt;"",INDIRECT($H41&amp;"!"&amp;$AI41&amp;($AJ41+AL$15+1)),""),"")</f>
        <v/>
      </c>
      <c r="AM41" s="296" t="str" cm="1">
        <f t="array" aca="1" ref="AM41" ca="1">IF($H41&lt;&gt;"",IF(INDIRECT($H41&amp;"!"&amp;$AI41&amp;($AJ41+AM$15+1))&lt;&gt;"",INDIRECT($H41&amp;"!"&amp;$AI41&amp;($AJ41+AM$15+1)),""),"")</f>
        <v/>
      </c>
      <c r="AN41" s="296" t="str" cm="1">
        <f t="array" aca="1" ref="AN41" ca="1">IF($H41&lt;&gt;"",IF(INDIRECT($H41&amp;"!"&amp;$AI41&amp;($AJ41+AN$15+1))&lt;&gt;"",INDIRECT($H41&amp;"!"&amp;$AI41&amp;($AJ41+AN$15+1)),""),"")</f>
        <v/>
      </c>
      <c r="AO41" s="296" t="str" cm="1">
        <f t="array" aca="1" ref="AO41" ca="1">IF(LEFT($J41,5)="Sonde","",IF($H41&lt;&gt;"",IF(INDIRECT($H41&amp;"!"&amp;$AI41&amp;($AJ41+AO$15+1))&lt;&gt;"",INDIRECT($H41&amp;"!"&amp;$AI41&amp;($AJ41+AO$15+1)),""),""))</f>
        <v/>
      </c>
      <c r="AP41" s="296" t="str" cm="1">
        <f t="array" aca="1" ref="AP41" ca="1">IF(OR($J41="Pluviomètre",LEFT($J41,5)="Sonde"),"",IF($H41&lt;&gt;"",IF(INDIRECT($H41&amp;"!"&amp;$AI41&amp;($AJ41+AP$15+1))&lt;&gt;"",INDIRECT($H41&amp;"!"&amp;$AI41&amp;($AJ41+AP$15+1)),""),""))</f>
        <v/>
      </c>
      <c r="AQ41" s="296" t="str" cm="1">
        <f t="array" aca="1" ref="AQ41" ca="1">IF(OR($J41="Pluviomètre",LEFT($J41,5)="Sonde"),"",IF($H41&lt;&gt;"",IF(INDIRECT($H41&amp;"!"&amp;$AI41&amp;($AJ41+AQ$15+1))&lt;&gt;"",INDIRECT($H41&amp;"!"&amp;$AI41&amp;($AJ41+AQ$15+1)),""),""))</f>
        <v/>
      </c>
      <c r="AR41" s="296" t="str" cm="1">
        <f t="array" aca="1" ref="AR41" ca="1">IF(OR($J41="Pluviomètre",LEFT($J41,5)="Sonde"),"",IF($H41&lt;&gt;"",IF(INDIRECT($H41&amp;"!"&amp;$AI41&amp;($AJ41+AR$15+1))&lt;&gt;"",INDIRECT($H41&amp;"!"&amp;$AI41&amp;($AJ41+AR$15+1)),""),""))</f>
        <v/>
      </c>
      <c r="AS41" s="296" t="str" cm="1">
        <f t="array" aca="1" ref="AS41" ca="1">IF(OR($J41="Pluviomètre",LEFT($J41,5)="Sonde"),"",IF($H41&lt;&gt;"",IF(INDIRECT($H41&amp;"!"&amp;$AI41&amp;($AJ41+AS$15+1))&lt;&gt;"",INDIRECT($H41&amp;"!"&amp;$AI41&amp;($AJ41+AS$15+1)),""),""))</f>
        <v/>
      </c>
      <c r="AT41" s="296" t="str" cm="1">
        <f t="array" aca="1" ref="AT41" ca="1">IF(OR($J41="Pluviomètre",LEFT($J41,5)="Sonde"),"",IF($H41&lt;&gt;"",IF(INDIRECT($H41&amp;"!"&amp;$AI41&amp;($AJ41+AT$15+1))&lt;&gt;"",INDIRECT($H41&amp;"!"&amp;$AI41&amp;($AJ41+AT$15+1)),""),""))</f>
        <v/>
      </c>
      <c r="AU41" s="412" cm="1">
        <f t="array" aca="1" ref="AU41" ca="1">SUMPRODUCT((Y41:AH41&lt;&gt;"")*(Y41:AH41&lt;&gt;"Non contrôlé")*(Y41:AH41&lt;&gt;"Non applicable"))</f>
        <v>0</v>
      </c>
      <c r="AV41" s="414">
        <f t="shared" ca="1" si="11"/>
        <v>-1</v>
      </c>
    </row>
    <row r="42" spans="1:48" x14ac:dyDescent="0.4">
      <c r="A42" s="80">
        <v>27</v>
      </c>
      <c r="B42" s="134" t="b">
        <f t="shared" si="6"/>
        <v>0</v>
      </c>
      <c r="C42" s="139" t="str" cm="1">
        <f t="array" aca="1" ref="C42" ca="1">IF(
    AND(
        $B42,
        OR(
            INDIRECT("Descriptif!$M"&amp;($B$1+$A42-1))="Préleveur",
            LEFT(INDIRECT("Descriptif!$M"&amp;($B$1+$A42-1)),5)="Sonde",
            LEFT(INDIRECT("Descriptif!$M"&amp;($B$1+$A42-1)),10)="Débitmètre",
            LEFT(INDIRECT("Descriptif!$F"&amp;($B$1+$A42-1)),6)="PLUVIO"        )
    ),
    INDIRECT("Descriptif!$"&amp;C$15&amp;($B$1 +$A42 -1)),
    ""
)</f>
        <v/>
      </c>
      <c r="D42" s="277" t="str" cm="1">
        <f t="array" aca="1" ref="D42" ca="1">IF(
    AND(
        $B42,
        OR(
            INDIRECT("Descriptif!$M"&amp;($B$1+$A42-1))="Préleveur",
            LEFT(INDIRECT("Descriptif!$M"&amp;($B$1+$A42-1)),5)="Sonde",
            LEFT(INDIRECT("Descriptif!$M"&amp;($B$1+$A42-1)),10)="Débitmètre",
            LEFT(INDIRECT("Descriptif!$F"&amp;($B$1+$A42-1)),6)="PLUVIO"       )
    ),
    IF(
        LEFT(INDIRECT("Descriptif!$F"&amp;($B$1+$A42-1)),11)="PLUVIO_STEU",
        "A3",
        IF(
            LEFT(INDIRECT("Descriptif!$F"&amp;($B$1+$A42-1)),10)="PLUVIO_SCL",
            "A1",
            INDIRECT("Descriptif!$"&amp;D$15&amp;($B$1 +$A42 -1))
        )
    ),
    ""
)</f>
        <v/>
      </c>
      <c r="E42" s="277" t="str" cm="1">
        <f t="array" aca="1" ref="E42" ca="1">IF(
    AND(
        $B42,
        OR(
            INDIRECT("Descriptif!$M"&amp;($B$1+$A42-1))="Préleveur",
            LEFT(INDIRECT("Descriptif!$M"&amp;($B$1+$A42-1)),5)="Sonde",
            LEFT(INDIRECT("Descriptif!$M"&amp;($B$1+$A42-1)),10)="Débitmètre",
            LEFT(INDIRECT("Descriptif!$F"&amp;($B$1+$A42-1)),6)="PLUVIO"
        )
    ),
    IF(LEFT(INDIRECT("Descriptif!$F"&amp;($B$1+$A42-1)),6)="PLUVIO","Pluviomètre",INDIRECT("Descriptif!$"&amp;E$15&amp;($B$1 +$A42 -1))),
    ""
)</f>
        <v/>
      </c>
      <c r="F42" s="19" t="str" cm="1">
        <f t="array" aca="1" ref="F42" ca="1">IF(
    AND(
        $B42,
        OR(
            INDIRECT("Descriptif!$M"&amp;($B$1+$A42-1))="Préleveur",
            LEFT(INDIRECT("Descriptif!$M"&amp;($B$1+$A42-1)),5)="Sonde",
            LEFT(INDIRECT("Descriptif!$M"&amp;($B$1+$A42-1)),10)="Débitmètre",
            LEFT(INDIRECT("Descriptif!$F"&amp;($B$1+$A42-1)),6)="PLUVIO"
        )
    ),
    IF(LEFT(INDIRECT("Descriptif!$F"&amp;($B$1+$A42-1)),6)="PLUVIO","Pluviomètre",INDIRECT("Descriptif!$"&amp;F$15&amp;($B$1 +$A42 -1))),
    ""
)</f>
        <v/>
      </c>
      <c r="G42" s="19" t="str" cm="1">
        <f t="array" aca="1" ref="G42" ca="1">IF(
    AND(
        $B42,
        OR(
            INDIRECT("Descriptif!$M"&amp;($B$1+$A42-1))="Préleveur",
            LEFT(INDIRECT("Descriptif!$M"&amp;($B$1+$A42-1)),5)="Sonde",
            LEFT(INDIRECT("Descriptif!$M"&amp;($B$1+$A42-1)),10)="Débitmètre",
            LEFT(INDIRECT("Descriptif!$F"&amp;($B$1+$A42-1)),6)="PLUVIO"
        )
    ),
    IF(LEFT(INDIRECT("Descriptif!$F"&amp;($B$1+$A42-1)),6)="PLUVIO","",INDIRECT("Descriptif!$"&amp;G$15&amp;($B$1 +$A42 -1))),
    ""
)</f>
        <v/>
      </c>
      <c r="H42" s="141" t="str" cm="1">
        <f t="array" aca="1" ref="H42" ca="1">IFERROR(INDEX($C$16:$C$116,SMALL(IF($C$16:$C$116&lt;&gt;"",ROW($C$16:$C$116)-ROW($C$16)+1),ROW(A27))),"")</f>
        <v/>
      </c>
      <c r="I42" s="140" t="str" cm="1">
        <f t="array" aca="1" ref="I42" ca="1">IFERROR(INDEX($D$16:$D$116,SMALL(IF($D$16:$D$116&lt;&gt;"",ROW($D$16:$D$116)-ROW($D$16)+1),ROW(A27))),"")</f>
        <v/>
      </c>
      <c r="J42" s="140" t="str" cm="1">
        <f t="array" aca="1" ref="J42" ca="1">IFERROR(INDEX($E$16:$E$116,SMALL(IF($E$16:$E$116&lt;&gt;"",ROW($E$16:$E$116)-ROW($E$16)+1),ROW(A27))),"")</f>
        <v/>
      </c>
      <c r="K42" s="140" t="str" cm="1">
        <f t="array" aca="1" ref="K42" ca="1">IFERROR(INDEX($F$16:$F$116,SMALL(IF($F$16:$F$116&lt;&gt;"",ROW($F$16:$F$116)-ROW($F$16)+1),ROW(A27))),"")</f>
        <v/>
      </c>
      <c r="L42" s="140" t="str">
        <f t="shared" ca="1" si="0"/>
        <v/>
      </c>
      <c r="M42" s="140" t="str" cm="1">
        <f t="array" aca="1" ref="M42" ca="1">IFERROR(INDEX($G$16:$G$116,SMALL(IF($G$16:$G$116&lt;&gt;"",ROW($G$16:$G$116)-ROW($G$16)+1),ROW(A27))),"")</f>
        <v/>
      </c>
      <c r="N42" s="145" t="str">
        <f t="shared" ca="1" si="1"/>
        <v/>
      </c>
      <c r="O42" s="146" t="str">
        <f t="shared" ca="1" si="2"/>
        <v/>
      </c>
      <c r="P42" s="146" t="str" cm="1">
        <f t="array" aca="1" ref="P42" ca="1">IF($J42&lt;&gt;"",IF(INDIRECT($H42&amp;"!"&amp;$O42)&lt;&gt;"",INDIRECT($H42&amp;"!"&amp;$O42),""),"")</f>
        <v/>
      </c>
      <c r="Q42" s="146" t="str">
        <f t="shared" ca="1" si="3"/>
        <v/>
      </c>
      <c r="R42" s="146" t="str" cm="1">
        <f t="array" aca="1" ref="R42" ca="1">IF($J42&lt;&gt;"",IF(INDIRECT($H42&amp;"!"&amp;$Q42)&lt;&gt;"",INDIRECT($H42&amp;"!"&amp;$Q42),""),"")</f>
        <v/>
      </c>
      <c r="S42" s="146" t="str">
        <f t="shared" ca="1" si="4"/>
        <v/>
      </c>
      <c r="T42" s="146" t="str" cm="1">
        <f t="array" aca="1" ref="T42" ca="1">IF($J42&lt;&gt;"",IF(INDIRECT($H42&amp;"!"&amp;$S42)&lt;&gt;"",INDIRECT($H42&amp;"!"&amp;$S42),""),"")</f>
        <v/>
      </c>
      <c r="U42" s="146" t="str">
        <f t="shared" ca="1" si="5"/>
        <v/>
      </c>
      <c r="V42" s="147" t="str" cm="1">
        <f t="array" aca="1" ref="V42" ca="1">IF($J42&lt;&gt;"",IF(INDIRECT($H42&amp;"!"&amp;$U42)&lt;&gt;"",INDIRECT($H42&amp;"!"&amp;$U42),""),"")</f>
        <v/>
      </c>
      <c r="W42" s="294" t="str">
        <f t="shared" ca="1" si="7"/>
        <v/>
      </c>
      <c r="X42" s="295" t="str">
        <f t="shared" ca="1" si="8"/>
        <v/>
      </c>
      <c r="Y42" s="296" t="str" cm="1">
        <f t="array" aca="1" ref="Y42" ca="1">IF($H42&lt;&gt;"",IF(INDIRECT($H42&amp;"!"&amp;$W42&amp;($X42+Y$15+1))&lt;&gt;"",INDIRECT($H42&amp;"!"&amp;$W42&amp;($X42+Y$15+1)),""),"")</f>
        <v/>
      </c>
      <c r="Z42" s="296" t="str" cm="1">
        <f t="array" aca="1" ref="Z42" ca="1">IF($H42&lt;&gt;"",IF(INDIRECT($H42&amp;"!"&amp;$W42&amp;($X42+Z$15+1))&lt;&gt;"",INDIRECT($H42&amp;"!"&amp;$W42&amp;($X42+Z$15+1)),""),"")</f>
        <v/>
      </c>
      <c r="AA42" s="296" t="str" cm="1">
        <f t="array" aca="1" ref="AA42" ca="1">IF($H42&lt;&gt;"",IF(INDIRECT($H42&amp;"!"&amp;$W42&amp;($X42+AA$15+1))&lt;&gt;"",INDIRECT($H42&amp;"!"&amp;$W42&amp;($X42+AA$15+1)),""),"")</f>
        <v/>
      </c>
      <c r="AB42" s="296" t="str" cm="1">
        <f t="array" aca="1" ref="AB42" ca="1">IF($H42&lt;&gt;"",IF(INDIRECT($H42&amp;"!"&amp;$W42&amp;($X42+AB$15+1))&lt;&gt;"",INDIRECT($H42&amp;"!"&amp;$W42&amp;($X42+AB$15+1)),""),"")</f>
        <v/>
      </c>
      <c r="AC42" s="296" t="str" cm="1">
        <f t="array" aca="1" ref="AC42" ca="1">IF(LEFT($J42,5)="Sonde","",IF($H42&lt;&gt;"",IF(INDIRECT($H42&amp;"!"&amp;$W42&amp;($X42+AC$15+1))&lt;&gt;"",INDIRECT($H42&amp;"!"&amp;$W42&amp;($X42+AC$15+1)),""),""))</f>
        <v/>
      </c>
      <c r="AD42" s="296" t="str" cm="1">
        <f t="array" aca="1" ref="AD42" ca="1">IF(OR($J42="Pluviomètre",LEFT($J42,5)="Sonde"),"",IF($H42&lt;&gt;"",IF(INDIRECT($H42&amp;"!"&amp;$W42&amp;($X42+AD$15+1))&lt;&gt;"",INDIRECT($H42&amp;"!"&amp;$W42&amp;($X42+AD$15+1)),""),""))</f>
        <v/>
      </c>
      <c r="AE42" s="296" t="str" cm="1">
        <f t="array" aca="1" ref="AE42" ca="1">IF(OR($J42="Pluviomètre",LEFT($J42,5)="Sonde"),"",IF($H42&lt;&gt;"",IF(INDIRECT($H42&amp;"!"&amp;$W42&amp;($X42+AE$15+1))&lt;&gt;"",INDIRECT($H42&amp;"!"&amp;$W42&amp;($X42+AE$15+1)),""),""))</f>
        <v/>
      </c>
      <c r="AF42" s="296" t="str" cm="1">
        <f t="array" aca="1" ref="AF42" ca="1">IF(OR($J42="Pluviomètre",LEFT($J42,5)="Sonde"),"",IF($H42&lt;&gt;"",IF(INDIRECT($H42&amp;"!"&amp;$W42&amp;($X42+AF$15+1))&lt;&gt;"",INDIRECT($H42&amp;"!"&amp;$W42&amp;($X42+AF$15+1)),""),""))</f>
        <v/>
      </c>
      <c r="AG42" s="296" t="str" cm="1">
        <f t="array" aca="1" ref="AG42" ca="1">IF(OR($J42="Pluviomètre",LEFT($J42,5)="Sonde"),"",IF($H42&lt;&gt;"",IF(INDIRECT($H42&amp;"!"&amp;$W42&amp;($X42+AG$15+1))&lt;&gt;"",INDIRECT($H42&amp;"!"&amp;$W42&amp;($X42+AG$15+1)),""),""))</f>
        <v/>
      </c>
      <c r="AH42" s="296" t="str" cm="1">
        <f t="array" aca="1" ref="AH42" ca="1">IF(OR($J42="Pluviomètre",LEFT($J42,5)="Sonde"),"",IF($H42&lt;&gt;"",IF(INDIRECT($H42&amp;"!"&amp;$W42&amp;($X42+AH$15+1))&lt;&gt;"",INDIRECT($H42&amp;"!"&amp;$W42&amp;($X42+AH$15+1)),""),""))</f>
        <v/>
      </c>
      <c r="AI42" s="294" t="str">
        <f t="shared" ca="1" si="9"/>
        <v/>
      </c>
      <c r="AJ42" s="295" t="str">
        <f t="shared" ca="1" si="10"/>
        <v/>
      </c>
      <c r="AK42" s="296" t="str" cm="1">
        <f t="array" aca="1" ref="AK42" ca="1">IF($H42&lt;&gt;"",IF(INDIRECT($H42&amp;"!"&amp;$AI42&amp;($AJ42+AK$15+1))&lt;&gt;"",INDIRECT($H42&amp;"!"&amp;$AI42&amp;($AJ42+AK$15+1)),""),"")</f>
        <v/>
      </c>
      <c r="AL42" s="296" t="str" cm="1">
        <f t="array" aca="1" ref="AL42" ca="1">IF($H42&lt;&gt;"",IF(INDIRECT($H42&amp;"!"&amp;$AI42&amp;($AJ42+AL$15+1))&lt;&gt;"",INDIRECT($H42&amp;"!"&amp;$AI42&amp;($AJ42+AL$15+1)),""),"")</f>
        <v/>
      </c>
      <c r="AM42" s="296" t="str" cm="1">
        <f t="array" aca="1" ref="AM42" ca="1">IF($H42&lt;&gt;"",IF(INDIRECT($H42&amp;"!"&amp;$AI42&amp;($AJ42+AM$15+1))&lt;&gt;"",INDIRECT($H42&amp;"!"&amp;$AI42&amp;($AJ42+AM$15+1)),""),"")</f>
        <v/>
      </c>
      <c r="AN42" s="296" t="str" cm="1">
        <f t="array" aca="1" ref="AN42" ca="1">IF($H42&lt;&gt;"",IF(INDIRECT($H42&amp;"!"&amp;$AI42&amp;($AJ42+AN$15+1))&lt;&gt;"",INDIRECT($H42&amp;"!"&amp;$AI42&amp;($AJ42+AN$15+1)),""),"")</f>
        <v/>
      </c>
      <c r="AO42" s="296" t="str" cm="1">
        <f t="array" aca="1" ref="AO42" ca="1">IF(LEFT($J42,5)="Sonde","",IF($H42&lt;&gt;"",IF(INDIRECT($H42&amp;"!"&amp;$AI42&amp;($AJ42+AO$15+1))&lt;&gt;"",INDIRECT($H42&amp;"!"&amp;$AI42&amp;($AJ42+AO$15+1)),""),""))</f>
        <v/>
      </c>
      <c r="AP42" s="296" t="str" cm="1">
        <f t="array" aca="1" ref="AP42" ca="1">IF(OR($J42="Pluviomètre",LEFT($J42,5)="Sonde"),"",IF($H42&lt;&gt;"",IF(INDIRECT($H42&amp;"!"&amp;$AI42&amp;($AJ42+AP$15+1))&lt;&gt;"",INDIRECT($H42&amp;"!"&amp;$AI42&amp;($AJ42+AP$15+1)),""),""))</f>
        <v/>
      </c>
      <c r="AQ42" s="296" t="str" cm="1">
        <f t="array" aca="1" ref="AQ42" ca="1">IF(OR($J42="Pluviomètre",LEFT($J42,5)="Sonde"),"",IF($H42&lt;&gt;"",IF(INDIRECT($H42&amp;"!"&amp;$AI42&amp;($AJ42+AQ$15+1))&lt;&gt;"",INDIRECT($H42&amp;"!"&amp;$AI42&amp;($AJ42+AQ$15+1)),""),""))</f>
        <v/>
      </c>
      <c r="AR42" s="296" t="str" cm="1">
        <f t="array" aca="1" ref="AR42" ca="1">IF(OR($J42="Pluviomètre",LEFT($J42,5)="Sonde"),"",IF($H42&lt;&gt;"",IF(INDIRECT($H42&amp;"!"&amp;$AI42&amp;($AJ42+AR$15+1))&lt;&gt;"",INDIRECT($H42&amp;"!"&amp;$AI42&amp;($AJ42+AR$15+1)),""),""))</f>
        <v/>
      </c>
      <c r="AS42" s="296" t="str" cm="1">
        <f t="array" aca="1" ref="AS42" ca="1">IF(OR($J42="Pluviomètre",LEFT($J42,5)="Sonde"),"",IF($H42&lt;&gt;"",IF(INDIRECT($H42&amp;"!"&amp;$AI42&amp;($AJ42+AS$15+1))&lt;&gt;"",INDIRECT($H42&amp;"!"&amp;$AI42&amp;($AJ42+AS$15+1)),""),""))</f>
        <v/>
      </c>
      <c r="AT42" s="296" t="str" cm="1">
        <f t="array" aca="1" ref="AT42" ca="1">IF(OR($J42="Pluviomètre",LEFT($J42,5)="Sonde"),"",IF($H42&lt;&gt;"",IF(INDIRECT($H42&amp;"!"&amp;$AI42&amp;($AJ42+AT$15+1))&lt;&gt;"",INDIRECT($H42&amp;"!"&amp;$AI42&amp;($AJ42+AT$15+1)),""),""))</f>
        <v/>
      </c>
      <c r="AU42" s="412" cm="1">
        <f t="array" aca="1" ref="AU42" ca="1">SUMPRODUCT((Y42:AH42&lt;&gt;"")*(Y42:AH42&lt;&gt;"Non contrôlé")*(Y42:AH42&lt;&gt;"Non applicable"))</f>
        <v>0</v>
      </c>
      <c r="AV42" s="414">
        <f t="shared" ca="1" si="11"/>
        <v>-1</v>
      </c>
    </row>
    <row r="43" spans="1:48" x14ac:dyDescent="0.4">
      <c r="A43" s="80">
        <v>28</v>
      </c>
      <c r="B43" s="134" t="b">
        <f t="shared" si="6"/>
        <v>0</v>
      </c>
      <c r="C43" s="139" t="str" cm="1">
        <f t="array" aca="1" ref="C43" ca="1">IF(
    AND(
        $B43,
        OR(
            INDIRECT("Descriptif!$M"&amp;($B$1+$A43-1))="Préleveur",
            LEFT(INDIRECT("Descriptif!$M"&amp;($B$1+$A43-1)),5)="Sonde",
            LEFT(INDIRECT("Descriptif!$M"&amp;($B$1+$A43-1)),10)="Débitmètre",
            LEFT(INDIRECT("Descriptif!$F"&amp;($B$1+$A43-1)),6)="PLUVIO"        )
    ),
    INDIRECT("Descriptif!$"&amp;C$15&amp;($B$1 +$A43 -1)),
    ""
)</f>
        <v/>
      </c>
      <c r="D43" s="277" t="str" cm="1">
        <f t="array" aca="1" ref="D43" ca="1">IF(
    AND(
        $B43,
        OR(
            INDIRECT("Descriptif!$M"&amp;($B$1+$A43-1))="Préleveur",
            LEFT(INDIRECT("Descriptif!$M"&amp;($B$1+$A43-1)),5)="Sonde",
            LEFT(INDIRECT("Descriptif!$M"&amp;($B$1+$A43-1)),10)="Débitmètre",
            LEFT(INDIRECT("Descriptif!$F"&amp;($B$1+$A43-1)),6)="PLUVIO"       )
    ),
    IF(
        LEFT(INDIRECT("Descriptif!$F"&amp;($B$1+$A43-1)),11)="PLUVIO_STEU",
        "A3",
        IF(
            LEFT(INDIRECT("Descriptif!$F"&amp;($B$1+$A43-1)),10)="PLUVIO_SCL",
            "A1",
            INDIRECT("Descriptif!$"&amp;D$15&amp;($B$1 +$A43 -1))
        )
    ),
    ""
)</f>
        <v/>
      </c>
      <c r="E43" s="277" t="str" cm="1">
        <f t="array" aca="1" ref="E43" ca="1">IF(
    AND(
        $B43,
        OR(
            INDIRECT("Descriptif!$M"&amp;($B$1+$A43-1))="Préleveur",
            LEFT(INDIRECT("Descriptif!$M"&amp;($B$1+$A43-1)),5)="Sonde",
            LEFT(INDIRECT("Descriptif!$M"&amp;($B$1+$A43-1)),10)="Débitmètre",
            LEFT(INDIRECT("Descriptif!$F"&amp;($B$1+$A43-1)),6)="PLUVIO"
        )
    ),
    IF(LEFT(INDIRECT("Descriptif!$F"&amp;($B$1+$A43-1)),6)="PLUVIO","Pluviomètre",INDIRECT("Descriptif!$"&amp;E$15&amp;($B$1 +$A43 -1))),
    ""
)</f>
        <v/>
      </c>
      <c r="F43" s="19" t="str" cm="1">
        <f t="array" aca="1" ref="F43" ca="1">IF(
    AND(
        $B43,
        OR(
            INDIRECT("Descriptif!$M"&amp;($B$1+$A43-1))="Préleveur",
            LEFT(INDIRECT("Descriptif!$M"&amp;($B$1+$A43-1)),5)="Sonde",
            LEFT(INDIRECT("Descriptif!$M"&amp;($B$1+$A43-1)),10)="Débitmètre",
            LEFT(INDIRECT("Descriptif!$F"&amp;($B$1+$A43-1)),6)="PLUVIO"
        )
    ),
    IF(LEFT(INDIRECT("Descriptif!$F"&amp;($B$1+$A43-1)),6)="PLUVIO","Pluviomètre",INDIRECT("Descriptif!$"&amp;F$15&amp;($B$1 +$A43 -1))),
    ""
)</f>
        <v/>
      </c>
      <c r="G43" s="19" t="str" cm="1">
        <f t="array" aca="1" ref="G43" ca="1">IF(
    AND(
        $B43,
        OR(
            INDIRECT("Descriptif!$M"&amp;($B$1+$A43-1))="Préleveur",
            LEFT(INDIRECT("Descriptif!$M"&amp;($B$1+$A43-1)),5)="Sonde",
            LEFT(INDIRECT("Descriptif!$M"&amp;($B$1+$A43-1)),10)="Débitmètre",
            LEFT(INDIRECT("Descriptif!$F"&amp;($B$1+$A43-1)),6)="PLUVIO"
        )
    ),
    IF(LEFT(INDIRECT("Descriptif!$F"&amp;($B$1+$A43-1)),6)="PLUVIO","",INDIRECT("Descriptif!$"&amp;G$15&amp;($B$1 +$A43 -1))),
    ""
)</f>
        <v/>
      </c>
      <c r="H43" s="141" t="str" cm="1">
        <f t="array" aca="1" ref="H43" ca="1">IFERROR(INDEX($C$16:$C$116,SMALL(IF($C$16:$C$116&lt;&gt;"",ROW($C$16:$C$116)-ROW($C$16)+1),ROW(A28))),"")</f>
        <v/>
      </c>
      <c r="I43" s="140" t="str" cm="1">
        <f t="array" aca="1" ref="I43" ca="1">IFERROR(INDEX($D$16:$D$116,SMALL(IF($D$16:$D$116&lt;&gt;"",ROW($D$16:$D$116)-ROW($D$16)+1),ROW(A28))),"")</f>
        <v/>
      </c>
      <c r="J43" s="140" t="str" cm="1">
        <f t="array" aca="1" ref="J43" ca="1">IFERROR(INDEX($E$16:$E$116,SMALL(IF($E$16:$E$116&lt;&gt;"",ROW($E$16:$E$116)-ROW($E$16)+1),ROW(A28))),"")</f>
        <v/>
      </c>
      <c r="K43" s="140" t="str" cm="1">
        <f t="array" aca="1" ref="K43" ca="1">IFERROR(INDEX($F$16:$F$116,SMALL(IF($F$16:$F$116&lt;&gt;"",ROW($F$16:$F$116)-ROW($F$16)+1),ROW(A28))),"")</f>
        <v/>
      </c>
      <c r="L43" s="140" t="str">
        <f t="shared" ca="1" si="0"/>
        <v/>
      </c>
      <c r="M43" s="140" t="str" cm="1">
        <f t="array" aca="1" ref="M43" ca="1">IFERROR(INDEX($G$16:$G$116,SMALL(IF($G$16:$G$116&lt;&gt;"",ROW($G$16:$G$116)-ROW($G$16)+1),ROW(A28))),"")</f>
        <v/>
      </c>
      <c r="N43" s="145" t="str">
        <f t="shared" ca="1" si="1"/>
        <v/>
      </c>
      <c r="O43" s="146" t="str">
        <f t="shared" ca="1" si="2"/>
        <v/>
      </c>
      <c r="P43" s="146" t="str" cm="1">
        <f t="array" aca="1" ref="P43" ca="1">IF($J43&lt;&gt;"",IF(INDIRECT($H43&amp;"!"&amp;$O43)&lt;&gt;"",INDIRECT($H43&amp;"!"&amp;$O43),""),"")</f>
        <v/>
      </c>
      <c r="Q43" s="146" t="str">
        <f t="shared" ca="1" si="3"/>
        <v/>
      </c>
      <c r="R43" s="146" t="str" cm="1">
        <f t="array" aca="1" ref="R43" ca="1">IF($J43&lt;&gt;"",IF(INDIRECT($H43&amp;"!"&amp;$Q43)&lt;&gt;"",INDIRECT($H43&amp;"!"&amp;$Q43),""),"")</f>
        <v/>
      </c>
      <c r="S43" s="146" t="str">
        <f t="shared" ca="1" si="4"/>
        <v/>
      </c>
      <c r="T43" s="146" t="str" cm="1">
        <f t="array" aca="1" ref="T43" ca="1">IF($J43&lt;&gt;"",IF(INDIRECT($H43&amp;"!"&amp;$S43)&lt;&gt;"",INDIRECT($H43&amp;"!"&amp;$S43),""),"")</f>
        <v/>
      </c>
      <c r="U43" s="146" t="str">
        <f t="shared" ca="1" si="5"/>
        <v/>
      </c>
      <c r="V43" s="147" t="str" cm="1">
        <f t="array" aca="1" ref="V43" ca="1">IF($J43&lt;&gt;"",IF(INDIRECT($H43&amp;"!"&amp;$U43)&lt;&gt;"",INDIRECT($H43&amp;"!"&amp;$U43),""),"")</f>
        <v/>
      </c>
      <c r="W43" s="294" t="str">
        <f t="shared" ca="1" si="7"/>
        <v/>
      </c>
      <c r="X43" s="295" t="str">
        <f t="shared" ca="1" si="8"/>
        <v/>
      </c>
      <c r="Y43" s="296" t="str" cm="1">
        <f t="array" aca="1" ref="Y43" ca="1">IF($H43&lt;&gt;"",IF(INDIRECT($H43&amp;"!"&amp;$W43&amp;($X43+Y$15+1))&lt;&gt;"",INDIRECT($H43&amp;"!"&amp;$W43&amp;($X43+Y$15+1)),""),"")</f>
        <v/>
      </c>
      <c r="Z43" s="296" t="str" cm="1">
        <f t="array" aca="1" ref="Z43" ca="1">IF($H43&lt;&gt;"",IF(INDIRECT($H43&amp;"!"&amp;$W43&amp;($X43+Z$15+1))&lt;&gt;"",INDIRECT($H43&amp;"!"&amp;$W43&amp;($X43+Z$15+1)),""),"")</f>
        <v/>
      </c>
      <c r="AA43" s="296" t="str" cm="1">
        <f t="array" aca="1" ref="AA43" ca="1">IF($H43&lt;&gt;"",IF(INDIRECT($H43&amp;"!"&amp;$W43&amp;($X43+AA$15+1))&lt;&gt;"",INDIRECT($H43&amp;"!"&amp;$W43&amp;($X43+AA$15+1)),""),"")</f>
        <v/>
      </c>
      <c r="AB43" s="296" t="str" cm="1">
        <f t="array" aca="1" ref="AB43" ca="1">IF($H43&lt;&gt;"",IF(INDIRECT($H43&amp;"!"&amp;$W43&amp;($X43+AB$15+1))&lt;&gt;"",INDIRECT($H43&amp;"!"&amp;$W43&amp;($X43+AB$15+1)),""),"")</f>
        <v/>
      </c>
      <c r="AC43" s="296" t="str" cm="1">
        <f t="array" aca="1" ref="AC43" ca="1">IF(LEFT($J43,5)="Sonde","",IF($H43&lt;&gt;"",IF(INDIRECT($H43&amp;"!"&amp;$W43&amp;($X43+AC$15+1))&lt;&gt;"",INDIRECT($H43&amp;"!"&amp;$W43&amp;($X43+AC$15+1)),""),""))</f>
        <v/>
      </c>
      <c r="AD43" s="296" t="str" cm="1">
        <f t="array" aca="1" ref="AD43" ca="1">IF(OR($J43="Pluviomètre",LEFT($J43,5)="Sonde"),"",IF($H43&lt;&gt;"",IF(INDIRECT($H43&amp;"!"&amp;$W43&amp;($X43+AD$15+1))&lt;&gt;"",INDIRECT($H43&amp;"!"&amp;$W43&amp;($X43+AD$15+1)),""),""))</f>
        <v/>
      </c>
      <c r="AE43" s="296" t="str" cm="1">
        <f t="array" aca="1" ref="AE43" ca="1">IF(OR($J43="Pluviomètre",LEFT($J43,5)="Sonde"),"",IF($H43&lt;&gt;"",IF(INDIRECT($H43&amp;"!"&amp;$W43&amp;($X43+AE$15+1))&lt;&gt;"",INDIRECT($H43&amp;"!"&amp;$W43&amp;($X43+AE$15+1)),""),""))</f>
        <v/>
      </c>
      <c r="AF43" s="296" t="str" cm="1">
        <f t="array" aca="1" ref="AF43" ca="1">IF(OR($J43="Pluviomètre",LEFT($J43,5)="Sonde"),"",IF($H43&lt;&gt;"",IF(INDIRECT($H43&amp;"!"&amp;$W43&amp;($X43+AF$15+1))&lt;&gt;"",INDIRECT($H43&amp;"!"&amp;$W43&amp;($X43+AF$15+1)),""),""))</f>
        <v/>
      </c>
      <c r="AG43" s="296" t="str" cm="1">
        <f t="array" aca="1" ref="AG43" ca="1">IF(OR($J43="Pluviomètre",LEFT($J43,5)="Sonde"),"",IF($H43&lt;&gt;"",IF(INDIRECT($H43&amp;"!"&amp;$W43&amp;($X43+AG$15+1))&lt;&gt;"",INDIRECT($H43&amp;"!"&amp;$W43&amp;($X43+AG$15+1)),""),""))</f>
        <v/>
      </c>
      <c r="AH43" s="296" t="str" cm="1">
        <f t="array" aca="1" ref="AH43" ca="1">IF(OR($J43="Pluviomètre",LEFT($J43,5)="Sonde"),"",IF($H43&lt;&gt;"",IF(INDIRECT($H43&amp;"!"&amp;$W43&amp;($X43+AH$15+1))&lt;&gt;"",INDIRECT($H43&amp;"!"&amp;$W43&amp;($X43+AH$15+1)),""),""))</f>
        <v/>
      </c>
      <c r="AI43" s="294" t="str">
        <f t="shared" ca="1" si="9"/>
        <v/>
      </c>
      <c r="AJ43" s="295" t="str">
        <f t="shared" ca="1" si="10"/>
        <v/>
      </c>
      <c r="AK43" s="296" t="str" cm="1">
        <f t="array" aca="1" ref="AK43" ca="1">IF($H43&lt;&gt;"",IF(INDIRECT($H43&amp;"!"&amp;$AI43&amp;($AJ43+AK$15+1))&lt;&gt;"",INDIRECT($H43&amp;"!"&amp;$AI43&amp;($AJ43+AK$15+1)),""),"")</f>
        <v/>
      </c>
      <c r="AL43" s="296" t="str" cm="1">
        <f t="array" aca="1" ref="AL43" ca="1">IF($H43&lt;&gt;"",IF(INDIRECT($H43&amp;"!"&amp;$AI43&amp;($AJ43+AL$15+1))&lt;&gt;"",INDIRECT($H43&amp;"!"&amp;$AI43&amp;($AJ43+AL$15+1)),""),"")</f>
        <v/>
      </c>
      <c r="AM43" s="296" t="str" cm="1">
        <f t="array" aca="1" ref="AM43" ca="1">IF($H43&lt;&gt;"",IF(INDIRECT($H43&amp;"!"&amp;$AI43&amp;($AJ43+AM$15+1))&lt;&gt;"",INDIRECT($H43&amp;"!"&amp;$AI43&amp;($AJ43+AM$15+1)),""),"")</f>
        <v/>
      </c>
      <c r="AN43" s="296" t="str" cm="1">
        <f t="array" aca="1" ref="AN43" ca="1">IF($H43&lt;&gt;"",IF(INDIRECT($H43&amp;"!"&amp;$AI43&amp;($AJ43+AN$15+1))&lt;&gt;"",INDIRECT($H43&amp;"!"&amp;$AI43&amp;($AJ43+AN$15+1)),""),"")</f>
        <v/>
      </c>
      <c r="AO43" s="296" t="str" cm="1">
        <f t="array" aca="1" ref="AO43" ca="1">IF(LEFT($J43,5)="Sonde","",IF($H43&lt;&gt;"",IF(INDIRECT($H43&amp;"!"&amp;$AI43&amp;($AJ43+AO$15+1))&lt;&gt;"",INDIRECT($H43&amp;"!"&amp;$AI43&amp;($AJ43+AO$15+1)),""),""))</f>
        <v/>
      </c>
      <c r="AP43" s="296" t="str" cm="1">
        <f t="array" aca="1" ref="AP43" ca="1">IF(OR($J43="Pluviomètre",LEFT($J43,5)="Sonde"),"",IF($H43&lt;&gt;"",IF(INDIRECT($H43&amp;"!"&amp;$AI43&amp;($AJ43+AP$15+1))&lt;&gt;"",INDIRECT($H43&amp;"!"&amp;$AI43&amp;($AJ43+AP$15+1)),""),""))</f>
        <v/>
      </c>
      <c r="AQ43" s="296" t="str" cm="1">
        <f t="array" aca="1" ref="AQ43" ca="1">IF(OR($J43="Pluviomètre",LEFT($J43,5)="Sonde"),"",IF($H43&lt;&gt;"",IF(INDIRECT($H43&amp;"!"&amp;$AI43&amp;($AJ43+AQ$15+1))&lt;&gt;"",INDIRECT($H43&amp;"!"&amp;$AI43&amp;($AJ43+AQ$15+1)),""),""))</f>
        <v/>
      </c>
      <c r="AR43" s="296" t="str" cm="1">
        <f t="array" aca="1" ref="AR43" ca="1">IF(OR($J43="Pluviomètre",LEFT($J43,5)="Sonde"),"",IF($H43&lt;&gt;"",IF(INDIRECT($H43&amp;"!"&amp;$AI43&amp;($AJ43+AR$15+1))&lt;&gt;"",INDIRECT($H43&amp;"!"&amp;$AI43&amp;($AJ43+AR$15+1)),""),""))</f>
        <v/>
      </c>
      <c r="AS43" s="296" t="str" cm="1">
        <f t="array" aca="1" ref="AS43" ca="1">IF(OR($J43="Pluviomètre",LEFT($J43,5)="Sonde"),"",IF($H43&lt;&gt;"",IF(INDIRECT($H43&amp;"!"&amp;$AI43&amp;($AJ43+AS$15+1))&lt;&gt;"",INDIRECT($H43&amp;"!"&amp;$AI43&amp;($AJ43+AS$15+1)),""),""))</f>
        <v/>
      </c>
      <c r="AT43" s="296" t="str" cm="1">
        <f t="array" aca="1" ref="AT43" ca="1">IF(OR($J43="Pluviomètre",LEFT($J43,5)="Sonde"),"",IF($H43&lt;&gt;"",IF(INDIRECT($H43&amp;"!"&amp;$AI43&amp;($AJ43+AT$15+1))&lt;&gt;"",INDIRECT($H43&amp;"!"&amp;$AI43&amp;($AJ43+AT$15+1)),""),""))</f>
        <v/>
      </c>
      <c r="AU43" s="412" cm="1">
        <f t="array" aca="1" ref="AU43" ca="1">SUMPRODUCT((Y43:AH43&lt;&gt;"")*(Y43:AH43&lt;&gt;"Non contrôlé")*(Y43:AH43&lt;&gt;"Non applicable"))</f>
        <v>0</v>
      </c>
      <c r="AV43" s="414">
        <f t="shared" ca="1" si="11"/>
        <v>-1</v>
      </c>
    </row>
    <row r="44" spans="1:48" x14ac:dyDescent="0.4">
      <c r="A44" s="80">
        <v>29</v>
      </c>
      <c r="B44" s="134" t="b">
        <f t="shared" si="6"/>
        <v>0</v>
      </c>
      <c r="C44" s="139" t="str" cm="1">
        <f t="array" aca="1" ref="C44" ca="1">IF(
    AND(
        $B44,
        OR(
            INDIRECT("Descriptif!$M"&amp;($B$1+$A44-1))="Préleveur",
            LEFT(INDIRECT("Descriptif!$M"&amp;($B$1+$A44-1)),5)="Sonde",
            LEFT(INDIRECT("Descriptif!$M"&amp;($B$1+$A44-1)),10)="Débitmètre",
            LEFT(INDIRECT("Descriptif!$F"&amp;($B$1+$A44-1)),6)="PLUVIO"        )
    ),
    INDIRECT("Descriptif!$"&amp;C$15&amp;($B$1 +$A44 -1)),
    ""
)</f>
        <v/>
      </c>
      <c r="D44" s="277" t="str" cm="1">
        <f t="array" aca="1" ref="D44" ca="1">IF(
    AND(
        $B44,
        OR(
            INDIRECT("Descriptif!$M"&amp;($B$1+$A44-1))="Préleveur",
            LEFT(INDIRECT("Descriptif!$M"&amp;($B$1+$A44-1)),5)="Sonde",
            LEFT(INDIRECT("Descriptif!$M"&amp;($B$1+$A44-1)),10)="Débitmètre",
            LEFT(INDIRECT("Descriptif!$F"&amp;($B$1+$A44-1)),6)="PLUVIO"       )
    ),
    IF(
        LEFT(INDIRECT("Descriptif!$F"&amp;($B$1+$A44-1)),11)="PLUVIO_STEU",
        "A3",
        IF(
            LEFT(INDIRECT("Descriptif!$F"&amp;($B$1+$A44-1)),10)="PLUVIO_SCL",
            "A1",
            INDIRECT("Descriptif!$"&amp;D$15&amp;($B$1 +$A44 -1))
        )
    ),
    ""
)</f>
        <v/>
      </c>
      <c r="E44" s="277" t="str" cm="1">
        <f t="array" aca="1" ref="E44" ca="1">IF(
    AND(
        $B44,
        OR(
            INDIRECT("Descriptif!$M"&amp;($B$1+$A44-1))="Préleveur",
            LEFT(INDIRECT("Descriptif!$M"&amp;($B$1+$A44-1)),5)="Sonde",
            LEFT(INDIRECT("Descriptif!$M"&amp;($B$1+$A44-1)),10)="Débitmètre",
            LEFT(INDIRECT("Descriptif!$F"&amp;($B$1+$A44-1)),6)="PLUVIO"
        )
    ),
    IF(LEFT(INDIRECT("Descriptif!$F"&amp;($B$1+$A44-1)),6)="PLUVIO","Pluviomètre",INDIRECT("Descriptif!$"&amp;E$15&amp;($B$1 +$A44 -1))),
    ""
)</f>
        <v/>
      </c>
      <c r="F44" s="19" t="str" cm="1">
        <f t="array" aca="1" ref="F44" ca="1">IF(
    AND(
        $B44,
        OR(
            INDIRECT("Descriptif!$M"&amp;($B$1+$A44-1))="Préleveur",
            LEFT(INDIRECT("Descriptif!$M"&amp;($B$1+$A44-1)),5)="Sonde",
            LEFT(INDIRECT("Descriptif!$M"&amp;($B$1+$A44-1)),10)="Débitmètre",
            LEFT(INDIRECT("Descriptif!$F"&amp;($B$1+$A44-1)),6)="PLUVIO"
        )
    ),
    IF(LEFT(INDIRECT("Descriptif!$F"&amp;($B$1+$A44-1)),6)="PLUVIO","Pluviomètre",INDIRECT("Descriptif!$"&amp;F$15&amp;($B$1 +$A44 -1))),
    ""
)</f>
        <v/>
      </c>
      <c r="G44" s="19" t="str" cm="1">
        <f t="array" aca="1" ref="G44" ca="1">IF(
    AND(
        $B44,
        OR(
            INDIRECT("Descriptif!$M"&amp;($B$1+$A44-1))="Préleveur",
            LEFT(INDIRECT("Descriptif!$M"&amp;($B$1+$A44-1)),5)="Sonde",
            LEFT(INDIRECT("Descriptif!$M"&amp;($B$1+$A44-1)),10)="Débitmètre",
            LEFT(INDIRECT("Descriptif!$F"&amp;($B$1+$A44-1)),6)="PLUVIO"
        )
    ),
    IF(LEFT(INDIRECT("Descriptif!$F"&amp;($B$1+$A44-1)),6)="PLUVIO","",INDIRECT("Descriptif!$"&amp;G$15&amp;($B$1 +$A44 -1))),
    ""
)</f>
        <v/>
      </c>
      <c r="H44" s="141" t="str" cm="1">
        <f t="array" aca="1" ref="H44" ca="1">IFERROR(INDEX($C$16:$C$116,SMALL(IF($C$16:$C$116&lt;&gt;"",ROW($C$16:$C$116)-ROW($C$16)+1),ROW(A29))),"")</f>
        <v/>
      </c>
      <c r="I44" s="140" t="str" cm="1">
        <f t="array" aca="1" ref="I44" ca="1">IFERROR(INDEX($D$16:$D$116,SMALL(IF($D$16:$D$116&lt;&gt;"",ROW($D$16:$D$116)-ROW($D$16)+1),ROW(A29))),"")</f>
        <v/>
      </c>
      <c r="J44" s="140" t="str" cm="1">
        <f t="array" aca="1" ref="J44" ca="1">IFERROR(INDEX($E$16:$E$116,SMALL(IF($E$16:$E$116&lt;&gt;"",ROW($E$16:$E$116)-ROW($E$16)+1),ROW(A29))),"")</f>
        <v/>
      </c>
      <c r="K44" s="140" t="str" cm="1">
        <f t="array" aca="1" ref="K44" ca="1">IFERROR(INDEX($F$16:$F$116,SMALL(IF($F$16:$F$116&lt;&gt;"",ROW($F$16:$F$116)-ROW($F$16)+1),ROW(A29))),"")</f>
        <v/>
      </c>
      <c r="L44" s="140" t="str">
        <f t="shared" ca="1" si="0"/>
        <v/>
      </c>
      <c r="M44" s="140" t="str" cm="1">
        <f t="array" aca="1" ref="M44" ca="1">IFERROR(INDEX($G$16:$G$116,SMALL(IF($G$16:$G$116&lt;&gt;"",ROW($G$16:$G$116)-ROW($G$16)+1),ROW(A29))),"")</f>
        <v/>
      </c>
      <c r="N44" s="145" t="str">
        <f t="shared" ca="1" si="1"/>
        <v/>
      </c>
      <c r="O44" s="146" t="str">
        <f t="shared" ca="1" si="2"/>
        <v/>
      </c>
      <c r="P44" s="146" t="str" cm="1">
        <f t="array" aca="1" ref="P44" ca="1">IF($J44&lt;&gt;"",IF(INDIRECT($H44&amp;"!"&amp;$O44)&lt;&gt;"",INDIRECT($H44&amp;"!"&amp;$O44),""),"")</f>
        <v/>
      </c>
      <c r="Q44" s="146" t="str">
        <f t="shared" ca="1" si="3"/>
        <v/>
      </c>
      <c r="R44" s="146" t="str" cm="1">
        <f t="array" aca="1" ref="R44" ca="1">IF($J44&lt;&gt;"",IF(INDIRECT($H44&amp;"!"&amp;$Q44)&lt;&gt;"",INDIRECT($H44&amp;"!"&amp;$Q44),""),"")</f>
        <v/>
      </c>
      <c r="S44" s="146" t="str">
        <f t="shared" ca="1" si="4"/>
        <v/>
      </c>
      <c r="T44" s="146" t="str" cm="1">
        <f t="array" aca="1" ref="T44" ca="1">IF($J44&lt;&gt;"",IF(INDIRECT($H44&amp;"!"&amp;$S44)&lt;&gt;"",INDIRECT($H44&amp;"!"&amp;$S44),""),"")</f>
        <v/>
      </c>
      <c r="U44" s="146" t="str">
        <f t="shared" ca="1" si="5"/>
        <v/>
      </c>
      <c r="V44" s="147" t="str" cm="1">
        <f t="array" aca="1" ref="V44" ca="1">IF($J44&lt;&gt;"",IF(INDIRECT($H44&amp;"!"&amp;$U44)&lt;&gt;"",INDIRECT($H44&amp;"!"&amp;$U44),""),"")</f>
        <v/>
      </c>
      <c r="W44" s="294" t="str">
        <f t="shared" ca="1" si="7"/>
        <v/>
      </c>
      <c r="X44" s="295" t="str">
        <f t="shared" ca="1" si="8"/>
        <v/>
      </c>
      <c r="Y44" s="296" t="str" cm="1">
        <f t="array" aca="1" ref="Y44" ca="1">IF($H44&lt;&gt;"",IF(INDIRECT($H44&amp;"!"&amp;$W44&amp;($X44+Y$15+1))&lt;&gt;"",INDIRECT($H44&amp;"!"&amp;$W44&amp;($X44+Y$15+1)),""),"")</f>
        <v/>
      </c>
      <c r="Z44" s="296" t="str" cm="1">
        <f t="array" aca="1" ref="Z44" ca="1">IF($H44&lt;&gt;"",IF(INDIRECT($H44&amp;"!"&amp;$W44&amp;($X44+Z$15+1))&lt;&gt;"",INDIRECT($H44&amp;"!"&amp;$W44&amp;($X44+Z$15+1)),""),"")</f>
        <v/>
      </c>
      <c r="AA44" s="296" t="str" cm="1">
        <f t="array" aca="1" ref="AA44" ca="1">IF($H44&lt;&gt;"",IF(INDIRECT($H44&amp;"!"&amp;$W44&amp;($X44+AA$15+1))&lt;&gt;"",INDIRECT($H44&amp;"!"&amp;$W44&amp;($X44+AA$15+1)),""),"")</f>
        <v/>
      </c>
      <c r="AB44" s="296" t="str" cm="1">
        <f t="array" aca="1" ref="AB44" ca="1">IF($H44&lt;&gt;"",IF(INDIRECT($H44&amp;"!"&amp;$W44&amp;($X44+AB$15+1))&lt;&gt;"",INDIRECT($H44&amp;"!"&amp;$W44&amp;($X44+AB$15+1)),""),"")</f>
        <v/>
      </c>
      <c r="AC44" s="296" t="str" cm="1">
        <f t="array" aca="1" ref="AC44" ca="1">IF(LEFT($J44,5)="Sonde","",IF($H44&lt;&gt;"",IF(INDIRECT($H44&amp;"!"&amp;$W44&amp;($X44+AC$15+1))&lt;&gt;"",INDIRECT($H44&amp;"!"&amp;$W44&amp;($X44+AC$15+1)),""),""))</f>
        <v/>
      </c>
      <c r="AD44" s="296" t="str" cm="1">
        <f t="array" aca="1" ref="AD44" ca="1">IF(OR($J44="Pluviomètre",LEFT($J44,5)="Sonde"),"",IF($H44&lt;&gt;"",IF(INDIRECT($H44&amp;"!"&amp;$W44&amp;($X44+AD$15+1))&lt;&gt;"",INDIRECT($H44&amp;"!"&amp;$W44&amp;($X44+AD$15+1)),""),""))</f>
        <v/>
      </c>
      <c r="AE44" s="296" t="str" cm="1">
        <f t="array" aca="1" ref="AE44" ca="1">IF(OR($J44="Pluviomètre",LEFT($J44,5)="Sonde"),"",IF($H44&lt;&gt;"",IF(INDIRECT($H44&amp;"!"&amp;$W44&amp;($X44+AE$15+1))&lt;&gt;"",INDIRECT($H44&amp;"!"&amp;$W44&amp;($X44+AE$15+1)),""),""))</f>
        <v/>
      </c>
      <c r="AF44" s="296" t="str" cm="1">
        <f t="array" aca="1" ref="AF44" ca="1">IF(OR($J44="Pluviomètre",LEFT($J44,5)="Sonde"),"",IF($H44&lt;&gt;"",IF(INDIRECT($H44&amp;"!"&amp;$W44&amp;($X44+AF$15+1))&lt;&gt;"",INDIRECT($H44&amp;"!"&amp;$W44&amp;($X44+AF$15+1)),""),""))</f>
        <v/>
      </c>
      <c r="AG44" s="296" t="str" cm="1">
        <f t="array" aca="1" ref="AG44" ca="1">IF(OR($J44="Pluviomètre",LEFT($J44,5)="Sonde"),"",IF($H44&lt;&gt;"",IF(INDIRECT($H44&amp;"!"&amp;$W44&amp;($X44+AG$15+1))&lt;&gt;"",INDIRECT($H44&amp;"!"&amp;$W44&amp;($X44+AG$15+1)),""),""))</f>
        <v/>
      </c>
      <c r="AH44" s="296" t="str" cm="1">
        <f t="array" aca="1" ref="AH44" ca="1">IF(OR($J44="Pluviomètre",LEFT($J44,5)="Sonde"),"",IF($H44&lt;&gt;"",IF(INDIRECT($H44&amp;"!"&amp;$W44&amp;($X44+AH$15+1))&lt;&gt;"",INDIRECT($H44&amp;"!"&amp;$W44&amp;($X44+AH$15+1)),""),""))</f>
        <v/>
      </c>
      <c r="AI44" s="294" t="str">
        <f t="shared" ca="1" si="9"/>
        <v/>
      </c>
      <c r="AJ44" s="295" t="str">
        <f t="shared" ca="1" si="10"/>
        <v/>
      </c>
      <c r="AK44" s="296" t="str" cm="1">
        <f t="array" aca="1" ref="AK44" ca="1">IF($H44&lt;&gt;"",IF(INDIRECT($H44&amp;"!"&amp;$AI44&amp;($AJ44+AK$15+1))&lt;&gt;"",INDIRECT($H44&amp;"!"&amp;$AI44&amp;($AJ44+AK$15+1)),""),"")</f>
        <v/>
      </c>
      <c r="AL44" s="296" t="str" cm="1">
        <f t="array" aca="1" ref="AL44" ca="1">IF($H44&lt;&gt;"",IF(INDIRECT($H44&amp;"!"&amp;$AI44&amp;($AJ44+AL$15+1))&lt;&gt;"",INDIRECT($H44&amp;"!"&amp;$AI44&amp;($AJ44+AL$15+1)),""),"")</f>
        <v/>
      </c>
      <c r="AM44" s="296" t="str" cm="1">
        <f t="array" aca="1" ref="AM44" ca="1">IF($H44&lt;&gt;"",IF(INDIRECT($H44&amp;"!"&amp;$AI44&amp;($AJ44+AM$15+1))&lt;&gt;"",INDIRECT($H44&amp;"!"&amp;$AI44&amp;($AJ44+AM$15+1)),""),"")</f>
        <v/>
      </c>
      <c r="AN44" s="296" t="str" cm="1">
        <f t="array" aca="1" ref="AN44" ca="1">IF($H44&lt;&gt;"",IF(INDIRECT($H44&amp;"!"&amp;$AI44&amp;($AJ44+AN$15+1))&lt;&gt;"",INDIRECT($H44&amp;"!"&amp;$AI44&amp;($AJ44+AN$15+1)),""),"")</f>
        <v/>
      </c>
      <c r="AO44" s="296" t="str" cm="1">
        <f t="array" aca="1" ref="AO44" ca="1">IF(LEFT($J44,5)="Sonde","",IF($H44&lt;&gt;"",IF(INDIRECT($H44&amp;"!"&amp;$AI44&amp;($AJ44+AO$15+1))&lt;&gt;"",INDIRECT($H44&amp;"!"&amp;$AI44&amp;($AJ44+AO$15+1)),""),""))</f>
        <v/>
      </c>
      <c r="AP44" s="296" t="str" cm="1">
        <f t="array" aca="1" ref="AP44" ca="1">IF(OR($J44="Pluviomètre",LEFT($J44,5)="Sonde"),"",IF($H44&lt;&gt;"",IF(INDIRECT($H44&amp;"!"&amp;$AI44&amp;($AJ44+AP$15+1))&lt;&gt;"",INDIRECT($H44&amp;"!"&amp;$AI44&amp;($AJ44+AP$15+1)),""),""))</f>
        <v/>
      </c>
      <c r="AQ44" s="296" t="str" cm="1">
        <f t="array" aca="1" ref="AQ44" ca="1">IF(OR($J44="Pluviomètre",LEFT($J44,5)="Sonde"),"",IF($H44&lt;&gt;"",IF(INDIRECT($H44&amp;"!"&amp;$AI44&amp;($AJ44+AQ$15+1))&lt;&gt;"",INDIRECT($H44&amp;"!"&amp;$AI44&amp;($AJ44+AQ$15+1)),""),""))</f>
        <v/>
      </c>
      <c r="AR44" s="296" t="str" cm="1">
        <f t="array" aca="1" ref="AR44" ca="1">IF(OR($J44="Pluviomètre",LEFT($J44,5)="Sonde"),"",IF($H44&lt;&gt;"",IF(INDIRECT($H44&amp;"!"&amp;$AI44&amp;($AJ44+AR$15+1))&lt;&gt;"",INDIRECT($H44&amp;"!"&amp;$AI44&amp;($AJ44+AR$15+1)),""),""))</f>
        <v/>
      </c>
      <c r="AS44" s="296" t="str" cm="1">
        <f t="array" aca="1" ref="AS44" ca="1">IF(OR($J44="Pluviomètre",LEFT($J44,5)="Sonde"),"",IF($H44&lt;&gt;"",IF(INDIRECT($H44&amp;"!"&amp;$AI44&amp;($AJ44+AS$15+1))&lt;&gt;"",INDIRECT($H44&amp;"!"&amp;$AI44&amp;($AJ44+AS$15+1)),""),""))</f>
        <v/>
      </c>
      <c r="AT44" s="296" t="str" cm="1">
        <f t="array" aca="1" ref="AT44" ca="1">IF(OR($J44="Pluviomètre",LEFT($J44,5)="Sonde"),"",IF($H44&lt;&gt;"",IF(INDIRECT($H44&amp;"!"&amp;$AI44&amp;($AJ44+AT$15+1))&lt;&gt;"",INDIRECT($H44&amp;"!"&amp;$AI44&amp;($AJ44+AT$15+1)),""),""))</f>
        <v/>
      </c>
      <c r="AU44" s="412" cm="1">
        <f t="array" aca="1" ref="AU44" ca="1">SUMPRODUCT((Y44:AH44&lt;&gt;"")*(Y44:AH44&lt;&gt;"Non contrôlé")*(Y44:AH44&lt;&gt;"Non applicable"))</f>
        <v>0</v>
      </c>
      <c r="AV44" s="414">
        <f t="shared" ca="1" si="11"/>
        <v>-1</v>
      </c>
    </row>
    <row r="45" spans="1:48" x14ac:dyDescent="0.4">
      <c r="A45" s="80">
        <v>30</v>
      </c>
      <c r="B45" s="134" t="b">
        <f t="shared" si="6"/>
        <v>0</v>
      </c>
      <c r="C45" s="139" t="str" cm="1">
        <f t="array" aca="1" ref="C45" ca="1">IF(
    AND(
        $B45,
        OR(
            INDIRECT("Descriptif!$M"&amp;($B$1+$A45-1))="Préleveur",
            LEFT(INDIRECT("Descriptif!$M"&amp;($B$1+$A45-1)),5)="Sonde",
            LEFT(INDIRECT("Descriptif!$M"&amp;($B$1+$A45-1)),10)="Débitmètre",
            LEFT(INDIRECT("Descriptif!$F"&amp;($B$1+$A45-1)),6)="PLUVIO"        )
    ),
    INDIRECT("Descriptif!$"&amp;C$15&amp;($B$1 +$A45 -1)),
    ""
)</f>
        <v/>
      </c>
      <c r="D45" s="277" t="str" cm="1">
        <f t="array" aca="1" ref="D45" ca="1">IF(
    AND(
        $B45,
        OR(
            INDIRECT("Descriptif!$M"&amp;($B$1+$A45-1))="Préleveur",
            LEFT(INDIRECT("Descriptif!$M"&amp;($B$1+$A45-1)),5)="Sonde",
            LEFT(INDIRECT("Descriptif!$M"&amp;($B$1+$A45-1)),10)="Débitmètre",
            LEFT(INDIRECT("Descriptif!$F"&amp;($B$1+$A45-1)),6)="PLUVIO"       )
    ),
    IF(
        LEFT(INDIRECT("Descriptif!$F"&amp;($B$1+$A45-1)),11)="PLUVIO_STEU",
        "A3",
        IF(
            LEFT(INDIRECT("Descriptif!$F"&amp;($B$1+$A45-1)),10)="PLUVIO_SCL",
            "A1",
            INDIRECT("Descriptif!$"&amp;D$15&amp;($B$1 +$A45 -1))
        )
    ),
    ""
)</f>
        <v/>
      </c>
      <c r="E45" s="277" t="str" cm="1">
        <f t="array" aca="1" ref="E45" ca="1">IF(
    AND(
        $B45,
        OR(
            INDIRECT("Descriptif!$M"&amp;($B$1+$A45-1))="Préleveur",
            LEFT(INDIRECT("Descriptif!$M"&amp;($B$1+$A45-1)),5)="Sonde",
            LEFT(INDIRECT("Descriptif!$M"&amp;($B$1+$A45-1)),10)="Débitmètre",
            LEFT(INDIRECT("Descriptif!$F"&amp;($B$1+$A45-1)),6)="PLUVIO"
        )
    ),
    IF(LEFT(INDIRECT("Descriptif!$F"&amp;($B$1+$A45-1)),6)="PLUVIO","Pluviomètre",INDIRECT("Descriptif!$"&amp;E$15&amp;($B$1 +$A45 -1))),
    ""
)</f>
        <v/>
      </c>
      <c r="F45" s="19" t="str" cm="1">
        <f t="array" aca="1" ref="F45" ca="1">IF(
    AND(
        $B45,
        OR(
            INDIRECT("Descriptif!$M"&amp;($B$1+$A45-1))="Préleveur",
            LEFT(INDIRECT("Descriptif!$M"&amp;($B$1+$A45-1)),5)="Sonde",
            LEFT(INDIRECT("Descriptif!$M"&amp;($B$1+$A45-1)),10)="Débitmètre",
            LEFT(INDIRECT("Descriptif!$F"&amp;($B$1+$A45-1)),6)="PLUVIO"
        )
    ),
    IF(LEFT(INDIRECT("Descriptif!$F"&amp;($B$1+$A45-1)),6)="PLUVIO","Pluviomètre",INDIRECT("Descriptif!$"&amp;F$15&amp;($B$1 +$A45 -1))),
    ""
)</f>
        <v/>
      </c>
      <c r="G45" s="19" t="str" cm="1">
        <f t="array" aca="1" ref="G45" ca="1">IF(
    AND(
        $B45,
        OR(
            INDIRECT("Descriptif!$M"&amp;($B$1+$A45-1))="Préleveur",
            LEFT(INDIRECT("Descriptif!$M"&amp;($B$1+$A45-1)),5)="Sonde",
            LEFT(INDIRECT("Descriptif!$M"&amp;($B$1+$A45-1)),10)="Débitmètre",
            LEFT(INDIRECT("Descriptif!$F"&amp;($B$1+$A45-1)),6)="PLUVIO"
        )
    ),
    IF(LEFT(INDIRECT("Descriptif!$F"&amp;($B$1+$A45-1)),6)="PLUVIO","",INDIRECT("Descriptif!$"&amp;G$15&amp;($B$1 +$A45 -1))),
    ""
)</f>
        <v/>
      </c>
      <c r="H45" s="141" t="str" cm="1">
        <f t="array" aca="1" ref="H45" ca="1">IFERROR(INDEX($C$16:$C$116,SMALL(IF($C$16:$C$116&lt;&gt;"",ROW($C$16:$C$116)-ROW($C$16)+1),ROW(A30))),"")</f>
        <v/>
      </c>
      <c r="I45" s="140" t="str" cm="1">
        <f t="array" aca="1" ref="I45" ca="1">IFERROR(INDEX($D$16:$D$116,SMALL(IF($D$16:$D$116&lt;&gt;"",ROW($D$16:$D$116)-ROW($D$16)+1),ROW(A30))),"")</f>
        <v/>
      </c>
      <c r="J45" s="140" t="str" cm="1">
        <f t="array" aca="1" ref="J45" ca="1">IFERROR(INDEX($E$16:$E$116,SMALL(IF($E$16:$E$116&lt;&gt;"",ROW($E$16:$E$116)-ROW($E$16)+1),ROW(A30))),"")</f>
        <v/>
      </c>
      <c r="K45" s="140" t="str" cm="1">
        <f t="array" aca="1" ref="K45" ca="1">IFERROR(INDEX($F$16:$F$116,SMALL(IF($F$16:$F$116&lt;&gt;"",ROW($F$16:$F$116)-ROW($F$16)+1),ROW(A30))),"")</f>
        <v/>
      </c>
      <c r="L45" s="140" t="str">
        <f t="shared" ca="1" si="0"/>
        <v/>
      </c>
      <c r="M45" s="140" t="str" cm="1">
        <f t="array" aca="1" ref="M45" ca="1">IFERROR(INDEX($G$16:$G$116,SMALL(IF($G$16:$G$116&lt;&gt;"",ROW($G$16:$G$116)-ROW($G$16)+1),ROW(A30))),"")</f>
        <v/>
      </c>
      <c r="N45" s="145" t="str">
        <f t="shared" ca="1" si="1"/>
        <v/>
      </c>
      <c r="O45" s="146" t="str">
        <f t="shared" ca="1" si="2"/>
        <v/>
      </c>
      <c r="P45" s="146" t="str" cm="1">
        <f t="array" aca="1" ref="P45" ca="1">IF($J45&lt;&gt;"",IF(INDIRECT($H45&amp;"!"&amp;$O45)&lt;&gt;"",INDIRECT($H45&amp;"!"&amp;$O45),""),"")</f>
        <v/>
      </c>
      <c r="Q45" s="146" t="str">
        <f t="shared" ca="1" si="3"/>
        <v/>
      </c>
      <c r="R45" s="146" t="str" cm="1">
        <f t="array" aca="1" ref="R45" ca="1">IF($J45&lt;&gt;"",IF(INDIRECT($H45&amp;"!"&amp;$Q45)&lt;&gt;"",INDIRECT($H45&amp;"!"&amp;$Q45),""),"")</f>
        <v/>
      </c>
      <c r="S45" s="146" t="str">
        <f t="shared" ca="1" si="4"/>
        <v/>
      </c>
      <c r="T45" s="146" t="str" cm="1">
        <f t="array" aca="1" ref="T45" ca="1">IF($J45&lt;&gt;"",IF(INDIRECT($H45&amp;"!"&amp;$S45)&lt;&gt;"",INDIRECT($H45&amp;"!"&amp;$S45),""),"")</f>
        <v/>
      </c>
      <c r="U45" s="146" t="str">
        <f t="shared" ca="1" si="5"/>
        <v/>
      </c>
      <c r="V45" s="147" t="str" cm="1">
        <f t="array" aca="1" ref="V45" ca="1">IF($J45&lt;&gt;"",IF(INDIRECT($H45&amp;"!"&amp;$U45)&lt;&gt;"",INDIRECT($H45&amp;"!"&amp;$U45),""),"")</f>
        <v/>
      </c>
      <c r="W45" s="294" t="str">
        <f t="shared" ca="1" si="7"/>
        <v/>
      </c>
      <c r="X45" s="295" t="str">
        <f t="shared" ca="1" si="8"/>
        <v/>
      </c>
      <c r="Y45" s="296" t="str" cm="1">
        <f t="array" aca="1" ref="Y45" ca="1">IF($H45&lt;&gt;"",IF(INDIRECT($H45&amp;"!"&amp;$W45&amp;($X45+Y$15+1))&lt;&gt;"",INDIRECT($H45&amp;"!"&amp;$W45&amp;($X45+Y$15+1)),""),"")</f>
        <v/>
      </c>
      <c r="Z45" s="296" t="str" cm="1">
        <f t="array" aca="1" ref="Z45" ca="1">IF($H45&lt;&gt;"",IF(INDIRECT($H45&amp;"!"&amp;$W45&amp;($X45+Z$15+1))&lt;&gt;"",INDIRECT($H45&amp;"!"&amp;$W45&amp;($X45+Z$15+1)),""),"")</f>
        <v/>
      </c>
      <c r="AA45" s="296" t="str" cm="1">
        <f t="array" aca="1" ref="AA45" ca="1">IF($H45&lt;&gt;"",IF(INDIRECT($H45&amp;"!"&amp;$W45&amp;($X45+AA$15+1))&lt;&gt;"",INDIRECT($H45&amp;"!"&amp;$W45&amp;($X45+AA$15+1)),""),"")</f>
        <v/>
      </c>
      <c r="AB45" s="296" t="str" cm="1">
        <f t="array" aca="1" ref="AB45" ca="1">IF($H45&lt;&gt;"",IF(INDIRECT($H45&amp;"!"&amp;$W45&amp;($X45+AB$15+1))&lt;&gt;"",INDIRECT($H45&amp;"!"&amp;$W45&amp;($X45+AB$15+1)),""),"")</f>
        <v/>
      </c>
      <c r="AC45" s="296" t="str" cm="1">
        <f t="array" aca="1" ref="AC45" ca="1">IF(LEFT($J45,5)="Sonde","",IF($H45&lt;&gt;"",IF(INDIRECT($H45&amp;"!"&amp;$W45&amp;($X45+AC$15+1))&lt;&gt;"",INDIRECT($H45&amp;"!"&amp;$W45&amp;($X45+AC$15+1)),""),""))</f>
        <v/>
      </c>
      <c r="AD45" s="296" t="str" cm="1">
        <f t="array" aca="1" ref="AD45" ca="1">IF(OR($J45="Pluviomètre",LEFT($J45,5)="Sonde"),"",IF($H45&lt;&gt;"",IF(INDIRECT($H45&amp;"!"&amp;$W45&amp;($X45+AD$15+1))&lt;&gt;"",INDIRECT($H45&amp;"!"&amp;$W45&amp;($X45+AD$15+1)),""),""))</f>
        <v/>
      </c>
      <c r="AE45" s="296" t="str" cm="1">
        <f t="array" aca="1" ref="AE45" ca="1">IF(OR($J45="Pluviomètre",LEFT($J45,5)="Sonde"),"",IF($H45&lt;&gt;"",IF(INDIRECT($H45&amp;"!"&amp;$W45&amp;($X45+AE$15+1))&lt;&gt;"",INDIRECT($H45&amp;"!"&amp;$W45&amp;($X45+AE$15+1)),""),""))</f>
        <v/>
      </c>
      <c r="AF45" s="296" t="str" cm="1">
        <f t="array" aca="1" ref="AF45" ca="1">IF(OR($J45="Pluviomètre",LEFT($J45,5)="Sonde"),"",IF($H45&lt;&gt;"",IF(INDIRECT($H45&amp;"!"&amp;$W45&amp;($X45+AF$15+1))&lt;&gt;"",INDIRECT($H45&amp;"!"&amp;$W45&amp;($X45+AF$15+1)),""),""))</f>
        <v/>
      </c>
      <c r="AG45" s="296" t="str" cm="1">
        <f t="array" aca="1" ref="AG45" ca="1">IF(OR($J45="Pluviomètre",LEFT($J45,5)="Sonde"),"",IF($H45&lt;&gt;"",IF(INDIRECT($H45&amp;"!"&amp;$W45&amp;($X45+AG$15+1))&lt;&gt;"",INDIRECT($H45&amp;"!"&amp;$W45&amp;($X45+AG$15+1)),""),""))</f>
        <v/>
      </c>
      <c r="AH45" s="296" t="str" cm="1">
        <f t="array" aca="1" ref="AH45" ca="1">IF(OR($J45="Pluviomètre",LEFT($J45,5)="Sonde"),"",IF($H45&lt;&gt;"",IF(INDIRECT($H45&amp;"!"&amp;$W45&amp;($X45+AH$15+1))&lt;&gt;"",INDIRECT($H45&amp;"!"&amp;$W45&amp;($X45+AH$15+1)),""),""))</f>
        <v/>
      </c>
      <c r="AI45" s="294" t="str">
        <f t="shared" ca="1" si="9"/>
        <v/>
      </c>
      <c r="AJ45" s="295" t="str">
        <f t="shared" ca="1" si="10"/>
        <v/>
      </c>
      <c r="AK45" s="296" t="str" cm="1">
        <f t="array" aca="1" ref="AK45" ca="1">IF($H45&lt;&gt;"",IF(INDIRECT($H45&amp;"!"&amp;$AI45&amp;($AJ45+AK$15+1))&lt;&gt;"",INDIRECT($H45&amp;"!"&amp;$AI45&amp;($AJ45+AK$15+1)),""),"")</f>
        <v/>
      </c>
      <c r="AL45" s="296" t="str" cm="1">
        <f t="array" aca="1" ref="AL45" ca="1">IF($H45&lt;&gt;"",IF(INDIRECT($H45&amp;"!"&amp;$AI45&amp;($AJ45+AL$15+1))&lt;&gt;"",INDIRECT($H45&amp;"!"&amp;$AI45&amp;($AJ45+AL$15+1)),""),"")</f>
        <v/>
      </c>
      <c r="AM45" s="296" t="str" cm="1">
        <f t="array" aca="1" ref="AM45" ca="1">IF($H45&lt;&gt;"",IF(INDIRECT($H45&amp;"!"&amp;$AI45&amp;($AJ45+AM$15+1))&lt;&gt;"",INDIRECT($H45&amp;"!"&amp;$AI45&amp;($AJ45+AM$15+1)),""),"")</f>
        <v/>
      </c>
      <c r="AN45" s="296" t="str" cm="1">
        <f t="array" aca="1" ref="AN45" ca="1">IF($H45&lt;&gt;"",IF(INDIRECT($H45&amp;"!"&amp;$AI45&amp;($AJ45+AN$15+1))&lt;&gt;"",INDIRECT($H45&amp;"!"&amp;$AI45&amp;($AJ45+AN$15+1)),""),"")</f>
        <v/>
      </c>
      <c r="AO45" s="296" t="str" cm="1">
        <f t="array" aca="1" ref="AO45" ca="1">IF(LEFT($J45,5)="Sonde","",IF($H45&lt;&gt;"",IF(INDIRECT($H45&amp;"!"&amp;$AI45&amp;($AJ45+AO$15+1))&lt;&gt;"",INDIRECT($H45&amp;"!"&amp;$AI45&amp;($AJ45+AO$15+1)),""),""))</f>
        <v/>
      </c>
      <c r="AP45" s="296" t="str" cm="1">
        <f t="array" aca="1" ref="AP45" ca="1">IF(OR($J45="Pluviomètre",LEFT($J45,5)="Sonde"),"",IF($H45&lt;&gt;"",IF(INDIRECT($H45&amp;"!"&amp;$AI45&amp;($AJ45+AP$15+1))&lt;&gt;"",INDIRECT($H45&amp;"!"&amp;$AI45&amp;($AJ45+AP$15+1)),""),""))</f>
        <v/>
      </c>
      <c r="AQ45" s="296" t="str" cm="1">
        <f t="array" aca="1" ref="AQ45" ca="1">IF(OR($J45="Pluviomètre",LEFT($J45,5)="Sonde"),"",IF($H45&lt;&gt;"",IF(INDIRECT($H45&amp;"!"&amp;$AI45&amp;($AJ45+AQ$15+1))&lt;&gt;"",INDIRECT($H45&amp;"!"&amp;$AI45&amp;($AJ45+AQ$15+1)),""),""))</f>
        <v/>
      </c>
      <c r="AR45" s="296" t="str" cm="1">
        <f t="array" aca="1" ref="AR45" ca="1">IF(OR($J45="Pluviomètre",LEFT($J45,5)="Sonde"),"",IF($H45&lt;&gt;"",IF(INDIRECT($H45&amp;"!"&amp;$AI45&amp;($AJ45+AR$15+1))&lt;&gt;"",INDIRECT($H45&amp;"!"&amp;$AI45&amp;($AJ45+AR$15+1)),""),""))</f>
        <v/>
      </c>
      <c r="AS45" s="296" t="str" cm="1">
        <f t="array" aca="1" ref="AS45" ca="1">IF(OR($J45="Pluviomètre",LEFT($J45,5)="Sonde"),"",IF($H45&lt;&gt;"",IF(INDIRECT($H45&amp;"!"&amp;$AI45&amp;($AJ45+AS$15+1))&lt;&gt;"",INDIRECT($H45&amp;"!"&amp;$AI45&amp;($AJ45+AS$15+1)),""),""))</f>
        <v/>
      </c>
      <c r="AT45" s="296" t="str" cm="1">
        <f t="array" aca="1" ref="AT45" ca="1">IF(OR($J45="Pluviomètre",LEFT($J45,5)="Sonde"),"",IF($H45&lt;&gt;"",IF(INDIRECT($H45&amp;"!"&amp;$AI45&amp;($AJ45+AT$15+1))&lt;&gt;"",INDIRECT($H45&amp;"!"&amp;$AI45&amp;($AJ45+AT$15+1)),""),""))</f>
        <v/>
      </c>
      <c r="AU45" s="412" cm="1">
        <f t="array" aca="1" ref="AU45" ca="1">SUMPRODUCT((Y45:AH45&lt;&gt;"")*(Y45:AH45&lt;&gt;"Non contrôlé")*(Y45:AH45&lt;&gt;"Non applicable"))</f>
        <v>0</v>
      </c>
      <c r="AV45" s="414">
        <f t="shared" ca="1" si="11"/>
        <v>-1</v>
      </c>
    </row>
    <row r="46" spans="1:48" x14ac:dyDescent="0.4">
      <c r="A46" s="80">
        <v>31</v>
      </c>
      <c r="B46" s="134" t="b">
        <f t="shared" si="6"/>
        <v>0</v>
      </c>
      <c r="C46" s="139" t="str" cm="1">
        <f t="array" aca="1" ref="C46" ca="1">IF(
    AND(
        $B46,
        OR(
            INDIRECT("Descriptif!$M"&amp;($B$1+$A46-1))="Préleveur",
            LEFT(INDIRECT("Descriptif!$M"&amp;($B$1+$A46-1)),5)="Sonde",
            LEFT(INDIRECT("Descriptif!$M"&amp;($B$1+$A46-1)),10)="Débitmètre",
            LEFT(INDIRECT("Descriptif!$F"&amp;($B$1+$A46-1)),6)="PLUVIO"        )
    ),
    INDIRECT("Descriptif!$"&amp;C$15&amp;($B$1 +$A46 -1)),
    ""
)</f>
        <v/>
      </c>
      <c r="D46" s="277" t="str" cm="1">
        <f t="array" aca="1" ref="D46" ca="1">IF(
    AND(
        $B46,
        OR(
            INDIRECT("Descriptif!$M"&amp;($B$1+$A46-1))="Préleveur",
            LEFT(INDIRECT("Descriptif!$M"&amp;($B$1+$A46-1)),5)="Sonde",
            LEFT(INDIRECT("Descriptif!$M"&amp;($B$1+$A46-1)),10)="Débitmètre",
            LEFT(INDIRECT("Descriptif!$F"&amp;($B$1+$A46-1)),6)="PLUVIO"       )
    ),
    IF(
        LEFT(INDIRECT("Descriptif!$F"&amp;($B$1+$A46-1)),11)="PLUVIO_STEU",
        "A3",
        IF(
            LEFT(INDIRECT("Descriptif!$F"&amp;($B$1+$A46-1)),10)="PLUVIO_SCL",
            "A1",
            INDIRECT("Descriptif!$"&amp;D$15&amp;($B$1 +$A46 -1))
        )
    ),
    ""
)</f>
        <v/>
      </c>
      <c r="E46" s="277" t="str" cm="1">
        <f t="array" aca="1" ref="E46" ca="1">IF(
    AND(
        $B46,
        OR(
            INDIRECT("Descriptif!$M"&amp;($B$1+$A46-1))="Préleveur",
            LEFT(INDIRECT("Descriptif!$M"&amp;($B$1+$A46-1)),5)="Sonde",
            LEFT(INDIRECT("Descriptif!$M"&amp;($B$1+$A46-1)),10)="Débitmètre",
            LEFT(INDIRECT("Descriptif!$F"&amp;($B$1+$A46-1)),6)="PLUVIO"
        )
    ),
    IF(LEFT(INDIRECT("Descriptif!$F"&amp;($B$1+$A46-1)),6)="PLUVIO","Pluviomètre",INDIRECT("Descriptif!$"&amp;E$15&amp;($B$1 +$A46 -1))),
    ""
)</f>
        <v/>
      </c>
      <c r="F46" s="19" t="str" cm="1">
        <f t="array" aca="1" ref="F46" ca="1">IF(
    AND(
        $B46,
        OR(
            INDIRECT("Descriptif!$M"&amp;($B$1+$A46-1))="Préleveur",
            LEFT(INDIRECT("Descriptif!$M"&amp;($B$1+$A46-1)),5)="Sonde",
            LEFT(INDIRECT("Descriptif!$M"&amp;($B$1+$A46-1)),10)="Débitmètre",
            LEFT(INDIRECT("Descriptif!$F"&amp;($B$1+$A46-1)),6)="PLUVIO"
        )
    ),
    IF(LEFT(INDIRECT("Descriptif!$F"&amp;($B$1+$A46-1)),6)="PLUVIO","Pluviomètre",INDIRECT("Descriptif!$"&amp;F$15&amp;($B$1 +$A46 -1))),
    ""
)</f>
        <v/>
      </c>
      <c r="G46" s="19" t="str" cm="1">
        <f t="array" aca="1" ref="G46" ca="1">IF(
    AND(
        $B46,
        OR(
            INDIRECT("Descriptif!$M"&amp;($B$1+$A46-1))="Préleveur",
            LEFT(INDIRECT("Descriptif!$M"&amp;($B$1+$A46-1)),5)="Sonde",
            LEFT(INDIRECT("Descriptif!$M"&amp;($B$1+$A46-1)),10)="Débitmètre",
            LEFT(INDIRECT("Descriptif!$F"&amp;($B$1+$A46-1)),6)="PLUVIO"
        )
    ),
    IF(LEFT(INDIRECT("Descriptif!$F"&amp;($B$1+$A46-1)),6)="PLUVIO","",INDIRECT("Descriptif!$"&amp;G$15&amp;($B$1 +$A46 -1))),
    ""
)</f>
        <v/>
      </c>
      <c r="H46" s="141" t="str" cm="1">
        <f t="array" aca="1" ref="H46" ca="1">IFERROR(INDEX($C$16:$C$116,SMALL(IF($C$16:$C$116&lt;&gt;"",ROW($C$16:$C$116)-ROW($C$16)+1),ROW(A31))),"")</f>
        <v/>
      </c>
      <c r="I46" s="140" t="str" cm="1">
        <f t="array" aca="1" ref="I46" ca="1">IFERROR(INDEX($D$16:$D$116,SMALL(IF($D$16:$D$116&lt;&gt;"",ROW($D$16:$D$116)-ROW($D$16)+1),ROW(A31))),"")</f>
        <v/>
      </c>
      <c r="J46" s="140" t="str" cm="1">
        <f t="array" aca="1" ref="J46" ca="1">IFERROR(INDEX($E$16:$E$116,SMALL(IF($E$16:$E$116&lt;&gt;"",ROW($E$16:$E$116)-ROW($E$16)+1),ROW(A31))),"")</f>
        <v/>
      </c>
      <c r="K46" s="140" t="str" cm="1">
        <f t="array" aca="1" ref="K46" ca="1">IFERROR(INDEX($F$16:$F$116,SMALL(IF($F$16:$F$116&lt;&gt;"",ROW($F$16:$F$116)-ROW($F$16)+1),ROW(A31))),"")</f>
        <v/>
      </c>
      <c r="L46" s="140" t="str">
        <f t="shared" ca="1" si="0"/>
        <v/>
      </c>
      <c r="M46" s="140" t="str" cm="1">
        <f t="array" aca="1" ref="M46" ca="1">IFERROR(INDEX($G$16:$G$116,SMALL(IF($G$16:$G$116&lt;&gt;"",ROW($G$16:$G$116)-ROW($G$16)+1),ROW(A31))),"")</f>
        <v/>
      </c>
      <c r="N46" s="145" t="str">
        <f t="shared" ca="1" si="1"/>
        <v/>
      </c>
      <c r="O46" s="146" t="str">
        <f t="shared" ca="1" si="2"/>
        <v/>
      </c>
      <c r="P46" s="146" t="str" cm="1">
        <f t="array" aca="1" ref="P46" ca="1">IF($J46&lt;&gt;"",IF(INDIRECT($H46&amp;"!"&amp;$O46)&lt;&gt;"",INDIRECT($H46&amp;"!"&amp;$O46),""),"")</f>
        <v/>
      </c>
      <c r="Q46" s="146" t="str">
        <f t="shared" ca="1" si="3"/>
        <v/>
      </c>
      <c r="R46" s="146" t="str" cm="1">
        <f t="array" aca="1" ref="R46" ca="1">IF($J46&lt;&gt;"",IF(INDIRECT($H46&amp;"!"&amp;$Q46)&lt;&gt;"",INDIRECT($H46&amp;"!"&amp;$Q46),""),"")</f>
        <v/>
      </c>
      <c r="S46" s="146" t="str">
        <f t="shared" ca="1" si="4"/>
        <v/>
      </c>
      <c r="T46" s="146" t="str" cm="1">
        <f t="array" aca="1" ref="T46" ca="1">IF($J46&lt;&gt;"",IF(INDIRECT($H46&amp;"!"&amp;$S46)&lt;&gt;"",INDIRECT($H46&amp;"!"&amp;$S46),""),"")</f>
        <v/>
      </c>
      <c r="U46" s="146" t="str">
        <f t="shared" ca="1" si="5"/>
        <v/>
      </c>
      <c r="V46" s="147" t="str" cm="1">
        <f t="array" aca="1" ref="V46" ca="1">IF($J46&lt;&gt;"",IF(INDIRECT($H46&amp;"!"&amp;$U46)&lt;&gt;"",INDIRECT($H46&amp;"!"&amp;$U46),""),"")</f>
        <v/>
      </c>
      <c r="W46" s="294" t="str">
        <f t="shared" ca="1" si="7"/>
        <v/>
      </c>
      <c r="X46" s="295" t="str">
        <f t="shared" ca="1" si="8"/>
        <v/>
      </c>
      <c r="Y46" s="296" t="str" cm="1">
        <f t="array" aca="1" ref="Y46" ca="1">IF($H46&lt;&gt;"",IF(INDIRECT($H46&amp;"!"&amp;$W46&amp;($X46+Y$15+1))&lt;&gt;"",INDIRECT($H46&amp;"!"&amp;$W46&amp;($X46+Y$15+1)),""),"")</f>
        <v/>
      </c>
      <c r="Z46" s="296" t="str" cm="1">
        <f t="array" aca="1" ref="Z46" ca="1">IF($H46&lt;&gt;"",IF(INDIRECT($H46&amp;"!"&amp;$W46&amp;($X46+Z$15+1))&lt;&gt;"",INDIRECT($H46&amp;"!"&amp;$W46&amp;($X46+Z$15+1)),""),"")</f>
        <v/>
      </c>
      <c r="AA46" s="296" t="str" cm="1">
        <f t="array" aca="1" ref="AA46" ca="1">IF($H46&lt;&gt;"",IF(INDIRECT($H46&amp;"!"&amp;$W46&amp;($X46+AA$15+1))&lt;&gt;"",INDIRECT($H46&amp;"!"&amp;$W46&amp;($X46+AA$15+1)),""),"")</f>
        <v/>
      </c>
      <c r="AB46" s="296" t="str" cm="1">
        <f t="array" aca="1" ref="AB46" ca="1">IF($H46&lt;&gt;"",IF(INDIRECT($H46&amp;"!"&amp;$W46&amp;($X46+AB$15+1))&lt;&gt;"",INDIRECT($H46&amp;"!"&amp;$W46&amp;($X46+AB$15+1)),""),"")</f>
        <v/>
      </c>
      <c r="AC46" s="296" t="str" cm="1">
        <f t="array" aca="1" ref="AC46" ca="1">IF(LEFT($J46,5)="Sonde","",IF($H46&lt;&gt;"",IF(INDIRECT($H46&amp;"!"&amp;$W46&amp;($X46+AC$15+1))&lt;&gt;"",INDIRECT($H46&amp;"!"&amp;$W46&amp;($X46+AC$15+1)),""),""))</f>
        <v/>
      </c>
      <c r="AD46" s="296" t="str" cm="1">
        <f t="array" aca="1" ref="AD46" ca="1">IF(OR($J46="Pluviomètre",LEFT($J46,5)="Sonde"),"",IF($H46&lt;&gt;"",IF(INDIRECT($H46&amp;"!"&amp;$W46&amp;($X46+AD$15+1))&lt;&gt;"",INDIRECT($H46&amp;"!"&amp;$W46&amp;($X46+AD$15+1)),""),""))</f>
        <v/>
      </c>
      <c r="AE46" s="296" t="str" cm="1">
        <f t="array" aca="1" ref="AE46" ca="1">IF(OR($J46="Pluviomètre",LEFT($J46,5)="Sonde"),"",IF($H46&lt;&gt;"",IF(INDIRECT($H46&amp;"!"&amp;$W46&amp;($X46+AE$15+1))&lt;&gt;"",INDIRECT($H46&amp;"!"&amp;$W46&amp;($X46+AE$15+1)),""),""))</f>
        <v/>
      </c>
      <c r="AF46" s="296" t="str" cm="1">
        <f t="array" aca="1" ref="AF46" ca="1">IF(OR($J46="Pluviomètre",LEFT($J46,5)="Sonde"),"",IF($H46&lt;&gt;"",IF(INDIRECT($H46&amp;"!"&amp;$W46&amp;($X46+AF$15+1))&lt;&gt;"",INDIRECT($H46&amp;"!"&amp;$W46&amp;($X46+AF$15+1)),""),""))</f>
        <v/>
      </c>
      <c r="AG46" s="296" t="str" cm="1">
        <f t="array" aca="1" ref="AG46" ca="1">IF(OR($J46="Pluviomètre",LEFT($J46,5)="Sonde"),"",IF($H46&lt;&gt;"",IF(INDIRECT($H46&amp;"!"&amp;$W46&amp;($X46+AG$15+1))&lt;&gt;"",INDIRECT($H46&amp;"!"&amp;$W46&amp;($X46+AG$15+1)),""),""))</f>
        <v/>
      </c>
      <c r="AH46" s="296" t="str" cm="1">
        <f t="array" aca="1" ref="AH46" ca="1">IF(OR($J46="Pluviomètre",LEFT($J46,5)="Sonde"),"",IF($H46&lt;&gt;"",IF(INDIRECT($H46&amp;"!"&amp;$W46&amp;($X46+AH$15+1))&lt;&gt;"",INDIRECT($H46&amp;"!"&amp;$W46&amp;($X46+AH$15+1)),""),""))</f>
        <v/>
      </c>
      <c r="AI46" s="294" t="str">
        <f t="shared" ca="1" si="9"/>
        <v/>
      </c>
      <c r="AJ46" s="295" t="str">
        <f t="shared" ca="1" si="10"/>
        <v/>
      </c>
      <c r="AK46" s="296" t="str" cm="1">
        <f t="array" aca="1" ref="AK46" ca="1">IF($H46&lt;&gt;"",IF(INDIRECT($H46&amp;"!"&amp;$AI46&amp;($AJ46+AK$15+1))&lt;&gt;"",INDIRECT($H46&amp;"!"&amp;$AI46&amp;($AJ46+AK$15+1)),""),"")</f>
        <v/>
      </c>
      <c r="AL46" s="296" t="str" cm="1">
        <f t="array" aca="1" ref="AL46" ca="1">IF($H46&lt;&gt;"",IF(INDIRECT($H46&amp;"!"&amp;$AI46&amp;($AJ46+AL$15+1))&lt;&gt;"",INDIRECT($H46&amp;"!"&amp;$AI46&amp;($AJ46+AL$15+1)),""),"")</f>
        <v/>
      </c>
      <c r="AM46" s="296" t="str" cm="1">
        <f t="array" aca="1" ref="AM46" ca="1">IF($H46&lt;&gt;"",IF(INDIRECT($H46&amp;"!"&amp;$AI46&amp;($AJ46+AM$15+1))&lt;&gt;"",INDIRECT($H46&amp;"!"&amp;$AI46&amp;($AJ46+AM$15+1)),""),"")</f>
        <v/>
      </c>
      <c r="AN46" s="296" t="str" cm="1">
        <f t="array" aca="1" ref="AN46" ca="1">IF($H46&lt;&gt;"",IF(INDIRECT($H46&amp;"!"&amp;$AI46&amp;($AJ46+AN$15+1))&lt;&gt;"",INDIRECT($H46&amp;"!"&amp;$AI46&amp;($AJ46+AN$15+1)),""),"")</f>
        <v/>
      </c>
      <c r="AO46" s="296" t="str" cm="1">
        <f t="array" aca="1" ref="AO46" ca="1">IF(LEFT($J46,5)="Sonde","",IF($H46&lt;&gt;"",IF(INDIRECT($H46&amp;"!"&amp;$AI46&amp;($AJ46+AO$15+1))&lt;&gt;"",INDIRECT($H46&amp;"!"&amp;$AI46&amp;($AJ46+AO$15+1)),""),""))</f>
        <v/>
      </c>
      <c r="AP46" s="296" t="str" cm="1">
        <f t="array" aca="1" ref="AP46" ca="1">IF(OR($J46="Pluviomètre",LEFT($J46,5)="Sonde"),"",IF($H46&lt;&gt;"",IF(INDIRECT($H46&amp;"!"&amp;$AI46&amp;($AJ46+AP$15+1))&lt;&gt;"",INDIRECT($H46&amp;"!"&amp;$AI46&amp;($AJ46+AP$15+1)),""),""))</f>
        <v/>
      </c>
      <c r="AQ46" s="296" t="str" cm="1">
        <f t="array" aca="1" ref="AQ46" ca="1">IF(OR($J46="Pluviomètre",LEFT($J46,5)="Sonde"),"",IF($H46&lt;&gt;"",IF(INDIRECT($H46&amp;"!"&amp;$AI46&amp;($AJ46+AQ$15+1))&lt;&gt;"",INDIRECT($H46&amp;"!"&amp;$AI46&amp;($AJ46+AQ$15+1)),""),""))</f>
        <v/>
      </c>
      <c r="AR46" s="296" t="str" cm="1">
        <f t="array" aca="1" ref="AR46" ca="1">IF(OR($J46="Pluviomètre",LEFT($J46,5)="Sonde"),"",IF($H46&lt;&gt;"",IF(INDIRECT($H46&amp;"!"&amp;$AI46&amp;($AJ46+AR$15+1))&lt;&gt;"",INDIRECT($H46&amp;"!"&amp;$AI46&amp;($AJ46+AR$15+1)),""),""))</f>
        <v/>
      </c>
      <c r="AS46" s="296" t="str" cm="1">
        <f t="array" aca="1" ref="AS46" ca="1">IF(OR($J46="Pluviomètre",LEFT($J46,5)="Sonde"),"",IF($H46&lt;&gt;"",IF(INDIRECT($H46&amp;"!"&amp;$AI46&amp;($AJ46+AS$15+1))&lt;&gt;"",INDIRECT($H46&amp;"!"&amp;$AI46&amp;($AJ46+AS$15+1)),""),""))</f>
        <v/>
      </c>
      <c r="AT46" s="296" t="str" cm="1">
        <f t="array" aca="1" ref="AT46" ca="1">IF(OR($J46="Pluviomètre",LEFT($J46,5)="Sonde"),"",IF($H46&lt;&gt;"",IF(INDIRECT($H46&amp;"!"&amp;$AI46&amp;($AJ46+AT$15+1))&lt;&gt;"",INDIRECT($H46&amp;"!"&amp;$AI46&amp;($AJ46+AT$15+1)),""),""))</f>
        <v/>
      </c>
      <c r="AU46" s="412" cm="1">
        <f t="array" aca="1" ref="AU46" ca="1">SUMPRODUCT((Y46:AH46&lt;&gt;"")*(Y46:AH46&lt;&gt;"Non contrôlé")*(Y46:AH46&lt;&gt;"Non applicable"))</f>
        <v>0</v>
      </c>
      <c r="AV46" s="414">
        <f t="shared" ca="1" si="11"/>
        <v>-1</v>
      </c>
    </row>
    <row r="47" spans="1:48" x14ac:dyDescent="0.4">
      <c r="A47" s="80">
        <v>32</v>
      </c>
      <c r="B47" s="134" t="b">
        <f t="shared" si="6"/>
        <v>0</v>
      </c>
      <c r="C47" s="139" t="str" cm="1">
        <f t="array" aca="1" ref="C47" ca="1">IF(
    AND(
        $B47,
        OR(
            INDIRECT("Descriptif!$M"&amp;($B$1+$A47-1))="Préleveur",
            LEFT(INDIRECT("Descriptif!$M"&amp;($B$1+$A47-1)),5)="Sonde",
            LEFT(INDIRECT("Descriptif!$M"&amp;($B$1+$A47-1)),10)="Débitmètre",
            LEFT(INDIRECT("Descriptif!$F"&amp;($B$1+$A47-1)),6)="PLUVIO"        )
    ),
    INDIRECT("Descriptif!$"&amp;C$15&amp;($B$1 +$A47 -1)),
    ""
)</f>
        <v/>
      </c>
      <c r="D47" s="277" t="str" cm="1">
        <f t="array" aca="1" ref="D47" ca="1">IF(
    AND(
        $B47,
        OR(
            INDIRECT("Descriptif!$M"&amp;($B$1+$A47-1))="Préleveur",
            LEFT(INDIRECT("Descriptif!$M"&amp;($B$1+$A47-1)),5)="Sonde",
            LEFT(INDIRECT("Descriptif!$M"&amp;($B$1+$A47-1)),10)="Débitmètre",
            LEFT(INDIRECT("Descriptif!$F"&amp;($B$1+$A47-1)),6)="PLUVIO"       )
    ),
    IF(
        LEFT(INDIRECT("Descriptif!$F"&amp;($B$1+$A47-1)),11)="PLUVIO_STEU",
        "A3",
        IF(
            LEFT(INDIRECT("Descriptif!$F"&amp;($B$1+$A47-1)),10)="PLUVIO_SCL",
            "A1",
            INDIRECT("Descriptif!$"&amp;D$15&amp;($B$1 +$A47 -1))
        )
    ),
    ""
)</f>
        <v/>
      </c>
      <c r="E47" s="277" t="str" cm="1">
        <f t="array" aca="1" ref="E47" ca="1">IF(
    AND(
        $B47,
        OR(
            INDIRECT("Descriptif!$M"&amp;($B$1+$A47-1))="Préleveur",
            LEFT(INDIRECT("Descriptif!$M"&amp;($B$1+$A47-1)),5)="Sonde",
            LEFT(INDIRECT("Descriptif!$M"&amp;($B$1+$A47-1)),10)="Débitmètre",
            LEFT(INDIRECT("Descriptif!$F"&amp;($B$1+$A47-1)),6)="PLUVIO"
        )
    ),
    IF(LEFT(INDIRECT("Descriptif!$F"&amp;($B$1+$A47-1)),6)="PLUVIO","Pluviomètre",INDIRECT("Descriptif!$"&amp;E$15&amp;($B$1 +$A47 -1))),
    ""
)</f>
        <v/>
      </c>
      <c r="F47" s="19" t="str" cm="1">
        <f t="array" aca="1" ref="F47" ca="1">IF(
    AND(
        $B47,
        OR(
            INDIRECT("Descriptif!$M"&amp;($B$1+$A47-1))="Préleveur",
            LEFT(INDIRECT("Descriptif!$M"&amp;($B$1+$A47-1)),5)="Sonde",
            LEFT(INDIRECT("Descriptif!$M"&amp;($B$1+$A47-1)),10)="Débitmètre",
            LEFT(INDIRECT("Descriptif!$F"&amp;($B$1+$A47-1)),6)="PLUVIO"
        )
    ),
    IF(LEFT(INDIRECT("Descriptif!$F"&amp;($B$1+$A47-1)),6)="PLUVIO","Pluviomètre",INDIRECT("Descriptif!$"&amp;F$15&amp;($B$1 +$A47 -1))),
    ""
)</f>
        <v/>
      </c>
      <c r="G47" s="19" t="str" cm="1">
        <f t="array" aca="1" ref="G47" ca="1">IF(
    AND(
        $B47,
        OR(
            INDIRECT("Descriptif!$M"&amp;($B$1+$A47-1))="Préleveur",
            LEFT(INDIRECT("Descriptif!$M"&amp;($B$1+$A47-1)),5)="Sonde",
            LEFT(INDIRECT("Descriptif!$M"&amp;($B$1+$A47-1)),10)="Débitmètre",
            LEFT(INDIRECT("Descriptif!$F"&amp;($B$1+$A47-1)),6)="PLUVIO"
        )
    ),
    IF(LEFT(INDIRECT("Descriptif!$F"&amp;($B$1+$A47-1)),6)="PLUVIO","",INDIRECT("Descriptif!$"&amp;G$15&amp;($B$1 +$A47 -1))),
    ""
)</f>
        <v/>
      </c>
      <c r="H47" s="141" t="str" cm="1">
        <f t="array" aca="1" ref="H47" ca="1">IFERROR(INDEX($C$16:$C$116,SMALL(IF($C$16:$C$116&lt;&gt;"",ROW($C$16:$C$116)-ROW($C$16)+1),ROW(A32))),"")</f>
        <v/>
      </c>
      <c r="I47" s="140" t="str" cm="1">
        <f t="array" aca="1" ref="I47" ca="1">IFERROR(INDEX($D$16:$D$116,SMALL(IF($D$16:$D$116&lt;&gt;"",ROW($D$16:$D$116)-ROW($D$16)+1),ROW(A32))),"")</f>
        <v/>
      </c>
      <c r="J47" s="140" t="str" cm="1">
        <f t="array" aca="1" ref="J47" ca="1">IFERROR(INDEX($E$16:$E$116,SMALL(IF($E$16:$E$116&lt;&gt;"",ROW($E$16:$E$116)-ROW($E$16)+1),ROW(A32))),"")</f>
        <v/>
      </c>
      <c r="K47" s="140" t="str" cm="1">
        <f t="array" aca="1" ref="K47" ca="1">IFERROR(INDEX($F$16:$F$116,SMALL(IF($F$16:$F$116&lt;&gt;"",ROW($F$16:$F$116)-ROW($F$16)+1),ROW(A32))),"")</f>
        <v/>
      </c>
      <c r="L47" s="140" t="str">
        <f t="shared" ca="1" si="0"/>
        <v/>
      </c>
      <c r="M47" s="140" t="str" cm="1">
        <f t="array" aca="1" ref="M47" ca="1">IFERROR(INDEX($G$16:$G$116,SMALL(IF($G$16:$G$116&lt;&gt;"",ROW($G$16:$G$116)-ROW($G$16)+1),ROW(A32))),"")</f>
        <v/>
      </c>
      <c r="N47" s="145" t="str">
        <f t="shared" ca="1" si="1"/>
        <v/>
      </c>
      <c r="O47" s="146" t="str">
        <f t="shared" ca="1" si="2"/>
        <v/>
      </c>
      <c r="P47" s="146" t="str" cm="1">
        <f t="array" aca="1" ref="P47" ca="1">IF($J47&lt;&gt;"",IF(INDIRECT($H47&amp;"!"&amp;$O47)&lt;&gt;"",INDIRECT($H47&amp;"!"&amp;$O47),""),"")</f>
        <v/>
      </c>
      <c r="Q47" s="146" t="str">
        <f t="shared" ca="1" si="3"/>
        <v/>
      </c>
      <c r="R47" s="146" t="str" cm="1">
        <f t="array" aca="1" ref="R47" ca="1">IF($J47&lt;&gt;"",IF(INDIRECT($H47&amp;"!"&amp;$Q47)&lt;&gt;"",INDIRECT($H47&amp;"!"&amp;$Q47),""),"")</f>
        <v/>
      </c>
      <c r="S47" s="146" t="str">
        <f t="shared" ca="1" si="4"/>
        <v/>
      </c>
      <c r="T47" s="146" t="str" cm="1">
        <f t="array" aca="1" ref="T47" ca="1">IF($J47&lt;&gt;"",IF(INDIRECT($H47&amp;"!"&amp;$S47)&lt;&gt;"",INDIRECT($H47&amp;"!"&amp;$S47),""),"")</f>
        <v/>
      </c>
      <c r="U47" s="146" t="str">
        <f t="shared" ca="1" si="5"/>
        <v/>
      </c>
      <c r="V47" s="147" t="str" cm="1">
        <f t="array" aca="1" ref="V47" ca="1">IF($J47&lt;&gt;"",IF(INDIRECT($H47&amp;"!"&amp;$U47)&lt;&gt;"",INDIRECT($H47&amp;"!"&amp;$U47),""),"")</f>
        <v/>
      </c>
      <c r="W47" s="294" t="str">
        <f t="shared" ca="1" si="7"/>
        <v/>
      </c>
      <c r="X47" s="295" t="str">
        <f t="shared" ca="1" si="8"/>
        <v/>
      </c>
      <c r="Y47" s="296" t="str" cm="1">
        <f t="array" aca="1" ref="Y47" ca="1">IF($H47&lt;&gt;"",IF(INDIRECT($H47&amp;"!"&amp;$W47&amp;($X47+Y$15+1))&lt;&gt;"",INDIRECT($H47&amp;"!"&amp;$W47&amp;($X47+Y$15+1)),""),"")</f>
        <v/>
      </c>
      <c r="Z47" s="296" t="str" cm="1">
        <f t="array" aca="1" ref="Z47" ca="1">IF($H47&lt;&gt;"",IF(INDIRECT($H47&amp;"!"&amp;$W47&amp;($X47+Z$15+1))&lt;&gt;"",INDIRECT($H47&amp;"!"&amp;$W47&amp;($X47+Z$15+1)),""),"")</f>
        <v/>
      </c>
      <c r="AA47" s="296" t="str" cm="1">
        <f t="array" aca="1" ref="AA47" ca="1">IF($H47&lt;&gt;"",IF(INDIRECT($H47&amp;"!"&amp;$W47&amp;($X47+AA$15+1))&lt;&gt;"",INDIRECT($H47&amp;"!"&amp;$W47&amp;($X47+AA$15+1)),""),"")</f>
        <v/>
      </c>
      <c r="AB47" s="296" t="str" cm="1">
        <f t="array" aca="1" ref="AB47" ca="1">IF($H47&lt;&gt;"",IF(INDIRECT($H47&amp;"!"&amp;$W47&amp;($X47+AB$15+1))&lt;&gt;"",INDIRECT($H47&amp;"!"&amp;$W47&amp;($X47+AB$15+1)),""),"")</f>
        <v/>
      </c>
      <c r="AC47" s="296" t="str" cm="1">
        <f t="array" aca="1" ref="AC47" ca="1">IF(LEFT($J47,5)="Sonde","",IF($H47&lt;&gt;"",IF(INDIRECT($H47&amp;"!"&amp;$W47&amp;($X47+AC$15+1))&lt;&gt;"",INDIRECT($H47&amp;"!"&amp;$W47&amp;($X47+AC$15+1)),""),""))</f>
        <v/>
      </c>
      <c r="AD47" s="296" t="str" cm="1">
        <f t="array" aca="1" ref="AD47" ca="1">IF(OR($J47="Pluviomètre",LEFT($J47,5)="Sonde"),"",IF($H47&lt;&gt;"",IF(INDIRECT($H47&amp;"!"&amp;$W47&amp;($X47+AD$15+1))&lt;&gt;"",INDIRECT($H47&amp;"!"&amp;$W47&amp;($X47+AD$15+1)),""),""))</f>
        <v/>
      </c>
      <c r="AE47" s="296" t="str" cm="1">
        <f t="array" aca="1" ref="AE47" ca="1">IF(OR($J47="Pluviomètre",LEFT($J47,5)="Sonde"),"",IF($H47&lt;&gt;"",IF(INDIRECT($H47&amp;"!"&amp;$W47&amp;($X47+AE$15+1))&lt;&gt;"",INDIRECT($H47&amp;"!"&amp;$W47&amp;($X47+AE$15+1)),""),""))</f>
        <v/>
      </c>
      <c r="AF47" s="296" t="str" cm="1">
        <f t="array" aca="1" ref="AF47" ca="1">IF(OR($J47="Pluviomètre",LEFT($J47,5)="Sonde"),"",IF($H47&lt;&gt;"",IF(INDIRECT($H47&amp;"!"&amp;$W47&amp;($X47+AF$15+1))&lt;&gt;"",INDIRECT($H47&amp;"!"&amp;$W47&amp;($X47+AF$15+1)),""),""))</f>
        <v/>
      </c>
      <c r="AG47" s="296" t="str" cm="1">
        <f t="array" aca="1" ref="AG47" ca="1">IF(OR($J47="Pluviomètre",LEFT($J47,5)="Sonde"),"",IF($H47&lt;&gt;"",IF(INDIRECT($H47&amp;"!"&amp;$W47&amp;($X47+AG$15+1))&lt;&gt;"",INDIRECT($H47&amp;"!"&amp;$W47&amp;($X47+AG$15+1)),""),""))</f>
        <v/>
      </c>
      <c r="AH47" s="296" t="str" cm="1">
        <f t="array" aca="1" ref="AH47" ca="1">IF(OR($J47="Pluviomètre",LEFT($J47,5)="Sonde"),"",IF($H47&lt;&gt;"",IF(INDIRECT($H47&amp;"!"&amp;$W47&amp;($X47+AH$15+1))&lt;&gt;"",INDIRECT($H47&amp;"!"&amp;$W47&amp;($X47+AH$15+1)),""),""))</f>
        <v/>
      </c>
      <c r="AI47" s="294" t="str">
        <f t="shared" ca="1" si="9"/>
        <v/>
      </c>
      <c r="AJ47" s="295" t="str">
        <f t="shared" ca="1" si="10"/>
        <v/>
      </c>
      <c r="AK47" s="296" t="str" cm="1">
        <f t="array" aca="1" ref="AK47" ca="1">IF($H47&lt;&gt;"",IF(INDIRECT($H47&amp;"!"&amp;$AI47&amp;($AJ47+AK$15+1))&lt;&gt;"",INDIRECT($H47&amp;"!"&amp;$AI47&amp;($AJ47+AK$15+1)),""),"")</f>
        <v/>
      </c>
      <c r="AL47" s="296" t="str" cm="1">
        <f t="array" aca="1" ref="AL47" ca="1">IF($H47&lt;&gt;"",IF(INDIRECT($H47&amp;"!"&amp;$AI47&amp;($AJ47+AL$15+1))&lt;&gt;"",INDIRECT($H47&amp;"!"&amp;$AI47&amp;($AJ47+AL$15+1)),""),"")</f>
        <v/>
      </c>
      <c r="AM47" s="296" t="str" cm="1">
        <f t="array" aca="1" ref="AM47" ca="1">IF($H47&lt;&gt;"",IF(INDIRECT($H47&amp;"!"&amp;$AI47&amp;($AJ47+AM$15+1))&lt;&gt;"",INDIRECT($H47&amp;"!"&amp;$AI47&amp;($AJ47+AM$15+1)),""),"")</f>
        <v/>
      </c>
      <c r="AN47" s="296" t="str" cm="1">
        <f t="array" aca="1" ref="AN47" ca="1">IF($H47&lt;&gt;"",IF(INDIRECT($H47&amp;"!"&amp;$AI47&amp;($AJ47+AN$15+1))&lt;&gt;"",INDIRECT($H47&amp;"!"&amp;$AI47&amp;($AJ47+AN$15+1)),""),"")</f>
        <v/>
      </c>
      <c r="AO47" s="296" t="str" cm="1">
        <f t="array" aca="1" ref="AO47" ca="1">IF(LEFT($J47,5)="Sonde","",IF($H47&lt;&gt;"",IF(INDIRECT($H47&amp;"!"&amp;$AI47&amp;($AJ47+AO$15+1))&lt;&gt;"",INDIRECT($H47&amp;"!"&amp;$AI47&amp;($AJ47+AO$15+1)),""),""))</f>
        <v/>
      </c>
      <c r="AP47" s="296" t="str" cm="1">
        <f t="array" aca="1" ref="AP47" ca="1">IF(OR($J47="Pluviomètre",LEFT($J47,5)="Sonde"),"",IF($H47&lt;&gt;"",IF(INDIRECT($H47&amp;"!"&amp;$AI47&amp;($AJ47+AP$15+1))&lt;&gt;"",INDIRECT($H47&amp;"!"&amp;$AI47&amp;($AJ47+AP$15+1)),""),""))</f>
        <v/>
      </c>
      <c r="AQ47" s="296" t="str" cm="1">
        <f t="array" aca="1" ref="AQ47" ca="1">IF(OR($J47="Pluviomètre",LEFT($J47,5)="Sonde"),"",IF($H47&lt;&gt;"",IF(INDIRECT($H47&amp;"!"&amp;$AI47&amp;($AJ47+AQ$15+1))&lt;&gt;"",INDIRECT($H47&amp;"!"&amp;$AI47&amp;($AJ47+AQ$15+1)),""),""))</f>
        <v/>
      </c>
      <c r="AR47" s="296" t="str" cm="1">
        <f t="array" aca="1" ref="AR47" ca="1">IF(OR($J47="Pluviomètre",LEFT($J47,5)="Sonde"),"",IF($H47&lt;&gt;"",IF(INDIRECT($H47&amp;"!"&amp;$AI47&amp;($AJ47+AR$15+1))&lt;&gt;"",INDIRECT($H47&amp;"!"&amp;$AI47&amp;($AJ47+AR$15+1)),""),""))</f>
        <v/>
      </c>
      <c r="AS47" s="296" t="str" cm="1">
        <f t="array" aca="1" ref="AS47" ca="1">IF(OR($J47="Pluviomètre",LEFT($J47,5)="Sonde"),"",IF($H47&lt;&gt;"",IF(INDIRECT($H47&amp;"!"&amp;$AI47&amp;($AJ47+AS$15+1))&lt;&gt;"",INDIRECT($H47&amp;"!"&amp;$AI47&amp;($AJ47+AS$15+1)),""),""))</f>
        <v/>
      </c>
      <c r="AT47" s="296" t="str" cm="1">
        <f t="array" aca="1" ref="AT47" ca="1">IF(OR($J47="Pluviomètre",LEFT($J47,5)="Sonde"),"",IF($H47&lt;&gt;"",IF(INDIRECT($H47&amp;"!"&amp;$AI47&amp;($AJ47+AT$15+1))&lt;&gt;"",INDIRECT($H47&amp;"!"&amp;$AI47&amp;($AJ47+AT$15+1)),""),""))</f>
        <v/>
      </c>
      <c r="AU47" s="412" cm="1">
        <f t="array" aca="1" ref="AU47" ca="1">SUMPRODUCT((Y47:AH47&lt;&gt;"")*(Y47:AH47&lt;&gt;"Non contrôlé")*(Y47:AH47&lt;&gt;"Non applicable"))</f>
        <v>0</v>
      </c>
      <c r="AV47" s="414">
        <f t="shared" ca="1" si="11"/>
        <v>-1</v>
      </c>
    </row>
    <row r="48" spans="1:48" x14ac:dyDescent="0.4">
      <c r="A48" s="80">
        <v>33</v>
      </c>
      <c r="B48" s="134" t="b">
        <f t="shared" si="6"/>
        <v>0</v>
      </c>
      <c r="C48" s="139" t="str" cm="1">
        <f t="array" aca="1" ref="C48" ca="1">IF(
    AND(
        $B48,
        OR(
            INDIRECT("Descriptif!$M"&amp;($B$1+$A48-1))="Préleveur",
            LEFT(INDIRECT("Descriptif!$M"&amp;($B$1+$A48-1)),5)="Sonde",
            LEFT(INDIRECT("Descriptif!$M"&amp;($B$1+$A48-1)),10)="Débitmètre",
            LEFT(INDIRECT("Descriptif!$F"&amp;($B$1+$A48-1)),6)="PLUVIO"        )
    ),
    INDIRECT("Descriptif!$"&amp;C$15&amp;($B$1 +$A48 -1)),
    ""
)</f>
        <v/>
      </c>
      <c r="D48" s="277" t="str" cm="1">
        <f t="array" aca="1" ref="D48" ca="1">IF(
    AND(
        $B48,
        OR(
            INDIRECT("Descriptif!$M"&amp;($B$1+$A48-1))="Préleveur",
            LEFT(INDIRECT("Descriptif!$M"&amp;($B$1+$A48-1)),5)="Sonde",
            LEFT(INDIRECT("Descriptif!$M"&amp;($B$1+$A48-1)),10)="Débitmètre",
            LEFT(INDIRECT("Descriptif!$F"&amp;($B$1+$A48-1)),6)="PLUVIO"       )
    ),
    IF(
        LEFT(INDIRECT("Descriptif!$F"&amp;($B$1+$A48-1)),11)="PLUVIO_STEU",
        "A3",
        IF(
            LEFT(INDIRECT("Descriptif!$F"&amp;($B$1+$A48-1)),10)="PLUVIO_SCL",
            "A1",
            INDIRECT("Descriptif!$"&amp;D$15&amp;($B$1 +$A48 -1))
        )
    ),
    ""
)</f>
        <v/>
      </c>
      <c r="E48" s="277" t="str" cm="1">
        <f t="array" aca="1" ref="E48" ca="1">IF(
    AND(
        $B48,
        OR(
            INDIRECT("Descriptif!$M"&amp;($B$1+$A48-1))="Préleveur",
            LEFT(INDIRECT("Descriptif!$M"&amp;($B$1+$A48-1)),5)="Sonde",
            LEFT(INDIRECT("Descriptif!$M"&amp;($B$1+$A48-1)),10)="Débitmètre",
            LEFT(INDIRECT("Descriptif!$F"&amp;($B$1+$A48-1)),6)="PLUVIO"
        )
    ),
    IF(LEFT(INDIRECT("Descriptif!$F"&amp;($B$1+$A48-1)),6)="PLUVIO","Pluviomètre",INDIRECT("Descriptif!$"&amp;E$15&amp;($B$1 +$A48 -1))),
    ""
)</f>
        <v/>
      </c>
      <c r="F48" s="19" t="str" cm="1">
        <f t="array" aca="1" ref="F48" ca="1">IF(
    AND(
        $B48,
        OR(
            INDIRECT("Descriptif!$M"&amp;($B$1+$A48-1))="Préleveur",
            LEFT(INDIRECT("Descriptif!$M"&amp;($B$1+$A48-1)),5)="Sonde",
            LEFT(INDIRECT("Descriptif!$M"&amp;($B$1+$A48-1)),10)="Débitmètre",
            LEFT(INDIRECT("Descriptif!$F"&amp;($B$1+$A48-1)),6)="PLUVIO"
        )
    ),
    IF(LEFT(INDIRECT("Descriptif!$F"&amp;($B$1+$A48-1)),6)="PLUVIO","Pluviomètre",INDIRECT("Descriptif!$"&amp;F$15&amp;($B$1 +$A48 -1))),
    ""
)</f>
        <v/>
      </c>
      <c r="G48" s="19" t="str" cm="1">
        <f t="array" aca="1" ref="G48" ca="1">IF(
    AND(
        $B48,
        OR(
            INDIRECT("Descriptif!$M"&amp;($B$1+$A48-1))="Préleveur",
            LEFT(INDIRECT("Descriptif!$M"&amp;($B$1+$A48-1)),5)="Sonde",
            LEFT(INDIRECT("Descriptif!$M"&amp;($B$1+$A48-1)),10)="Débitmètre",
            LEFT(INDIRECT("Descriptif!$F"&amp;($B$1+$A48-1)),6)="PLUVIO"
        )
    ),
    IF(LEFT(INDIRECT("Descriptif!$F"&amp;($B$1+$A48-1)),6)="PLUVIO","",INDIRECT("Descriptif!$"&amp;G$15&amp;($B$1 +$A48 -1))),
    ""
)</f>
        <v/>
      </c>
      <c r="H48" s="141" t="str" cm="1">
        <f t="array" aca="1" ref="H48" ca="1">IFERROR(INDEX($C$16:$C$116,SMALL(IF($C$16:$C$116&lt;&gt;"",ROW($C$16:$C$116)-ROW($C$16)+1),ROW(A33))),"")</f>
        <v/>
      </c>
      <c r="I48" s="140" t="str" cm="1">
        <f t="array" aca="1" ref="I48" ca="1">IFERROR(INDEX($D$16:$D$116,SMALL(IF($D$16:$D$116&lt;&gt;"",ROW($D$16:$D$116)-ROW($D$16)+1),ROW(A33))),"")</f>
        <v/>
      </c>
      <c r="J48" s="140" t="str" cm="1">
        <f t="array" aca="1" ref="J48" ca="1">IFERROR(INDEX($E$16:$E$116,SMALL(IF($E$16:$E$116&lt;&gt;"",ROW($E$16:$E$116)-ROW($E$16)+1),ROW(A33))),"")</f>
        <v/>
      </c>
      <c r="K48" s="140" t="str" cm="1">
        <f t="array" aca="1" ref="K48" ca="1">IFERROR(INDEX($F$16:$F$116,SMALL(IF($F$16:$F$116&lt;&gt;"",ROW($F$16:$F$116)-ROW($F$16)+1),ROW(A33))),"")</f>
        <v/>
      </c>
      <c r="L48" s="140" t="str">
        <f t="shared" ca="1" si="0"/>
        <v/>
      </c>
      <c r="M48" s="140" t="str" cm="1">
        <f t="array" aca="1" ref="M48" ca="1">IFERROR(INDEX($G$16:$G$116,SMALL(IF($G$16:$G$116&lt;&gt;"",ROW($G$16:$G$116)-ROW($G$16)+1),ROW(A33))),"")</f>
        <v/>
      </c>
      <c r="N48" s="145" t="str">
        <f t="shared" ref="N48:N72" ca="1" si="12">IF($J48&lt;&gt;"",VLOOKUP($J48,$A$5:$F$9,2,FALSE),"")</f>
        <v/>
      </c>
      <c r="O48" s="146" t="str">
        <f t="shared" ref="O48:O72" ca="1" si="13">IF($J48&lt;&gt;"",VLOOKUP($J48,$A$5:$F$9,3,FALSE),"")</f>
        <v/>
      </c>
      <c r="P48" s="146" t="str" cm="1">
        <f t="array" aca="1" ref="P48" ca="1">IF($J48&lt;&gt;"",IF(INDIRECT($H48&amp;"!"&amp;$O48)&lt;&gt;"",INDIRECT($H48&amp;"!"&amp;$O48),""),"")</f>
        <v/>
      </c>
      <c r="Q48" s="146" t="str">
        <f t="shared" ref="Q48:Q72" ca="1" si="14">IF($J48&lt;&gt;"",VLOOKUP($J48,$A$5:$F$9,4,FALSE),"")</f>
        <v/>
      </c>
      <c r="R48" s="146" t="str" cm="1">
        <f t="array" aca="1" ref="R48" ca="1">IF($J48&lt;&gt;"",IF(INDIRECT($H48&amp;"!"&amp;$Q48)&lt;&gt;"",INDIRECT($H48&amp;"!"&amp;$Q48),""),"")</f>
        <v/>
      </c>
      <c r="S48" s="146" t="str">
        <f t="shared" ref="S48:S72" ca="1" si="15">IF($J48&lt;&gt;"",VLOOKUP($J48,$A$5:$F$9,5,FALSE),"")</f>
        <v/>
      </c>
      <c r="T48" s="146" t="str" cm="1">
        <f t="array" aca="1" ref="T48" ca="1">IF($J48&lt;&gt;"",IF(INDIRECT($H48&amp;"!"&amp;$S48)&lt;&gt;"",INDIRECT($H48&amp;"!"&amp;$S48),""),"")</f>
        <v/>
      </c>
      <c r="U48" s="146" t="str">
        <f t="shared" ref="U48:U72" ca="1" si="16">IF($J48&lt;&gt;"",VLOOKUP($J48,$A$5:$F$9,6,FALSE),"")</f>
        <v/>
      </c>
      <c r="V48" s="147" t="str" cm="1">
        <f t="array" aca="1" ref="V48" ca="1">IF($J48&lt;&gt;"",IF(INDIRECT($H48&amp;"!"&amp;$U48)&lt;&gt;"",INDIRECT($H48&amp;"!"&amp;$U48),""),"")</f>
        <v/>
      </c>
      <c r="W48" s="294" t="str">
        <f t="shared" ca="1" si="7"/>
        <v/>
      </c>
      <c r="X48" s="295" t="str">
        <f t="shared" ca="1" si="8"/>
        <v/>
      </c>
      <c r="Y48" s="296" t="str" cm="1">
        <f t="array" aca="1" ref="Y48" ca="1">IF($H48&lt;&gt;"",IF(INDIRECT($H48&amp;"!"&amp;$W48&amp;($X48+Y$15+1))&lt;&gt;"",INDIRECT($H48&amp;"!"&amp;$W48&amp;($X48+Y$15+1)),""),"")</f>
        <v/>
      </c>
      <c r="Z48" s="296" t="str" cm="1">
        <f t="array" aca="1" ref="Z48" ca="1">IF($H48&lt;&gt;"",IF(INDIRECT($H48&amp;"!"&amp;$W48&amp;($X48+Z$15+1))&lt;&gt;"",INDIRECT($H48&amp;"!"&amp;$W48&amp;($X48+Z$15+1)),""),"")</f>
        <v/>
      </c>
      <c r="AA48" s="296" t="str" cm="1">
        <f t="array" aca="1" ref="AA48" ca="1">IF($H48&lt;&gt;"",IF(INDIRECT($H48&amp;"!"&amp;$W48&amp;($X48+AA$15+1))&lt;&gt;"",INDIRECT($H48&amp;"!"&amp;$W48&amp;($X48+AA$15+1)),""),"")</f>
        <v/>
      </c>
      <c r="AB48" s="296" t="str" cm="1">
        <f t="array" aca="1" ref="AB48" ca="1">IF($H48&lt;&gt;"",IF(INDIRECT($H48&amp;"!"&amp;$W48&amp;($X48+AB$15+1))&lt;&gt;"",INDIRECT($H48&amp;"!"&amp;$W48&amp;($X48+AB$15+1)),""),"")</f>
        <v/>
      </c>
      <c r="AC48" s="296" t="str" cm="1">
        <f t="array" aca="1" ref="AC48" ca="1">IF(LEFT($J48,5)="Sonde","",IF($H48&lt;&gt;"",IF(INDIRECT($H48&amp;"!"&amp;$W48&amp;($X48+AC$15+1))&lt;&gt;"",INDIRECT($H48&amp;"!"&amp;$W48&amp;($X48+AC$15+1)),""),""))</f>
        <v/>
      </c>
      <c r="AD48" s="296" t="str" cm="1">
        <f t="array" aca="1" ref="AD48" ca="1">IF(OR($J48="Pluviomètre",LEFT($J48,5)="Sonde"),"",IF($H48&lt;&gt;"",IF(INDIRECT($H48&amp;"!"&amp;$W48&amp;($X48+AD$15+1))&lt;&gt;"",INDIRECT($H48&amp;"!"&amp;$W48&amp;($X48+AD$15+1)),""),""))</f>
        <v/>
      </c>
      <c r="AE48" s="296" t="str" cm="1">
        <f t="array" aca="1" ref="AE48" ca="1">IF(OR($J48="Pluviomètre",LEFT($J48,5)="Sonde"),"",IF($H48&lt;&gt;"",IF(INDIRECT($H48&amp;"!"&amp;$W48&amp;($X48+AE$15+1))&lt;&gt;"",INDIRECT($H48&amp;"!"&amp;$W48&amp;($X48+AE$15+1)),""),""))</f>
        <v/>
      </c>
      <c r="AF48" s="296" t="str" cm="1">
        <f t="array" aca="1" ref="AF48" ca="1">IF(OR($J48="Pluviomètre",LEFT($J48,5)="Sonde"),"",IF($H48&lt;&gt;"",IF(INDIRECT($H48&amp;"!"&amp;$W48&amp;($X48+AF$15+1))&lt;&gt;"",INDIRECT($H48&amp;"!"&amp;$W48&amp;($X48+AF$15+1)),""),""))</f>
        <v/>
      </c>
      <c r="AG48" s="296" t="str" cm="1">
        <f t="array" aca="1" ref="AG48" ca="1">IF(OR($J48="Pluviomètre",LEFT($J48,5)="Sonde"),"",IF($H48&lt;&gt;"",IF(INDIRECT($H48&amp;"!"&amp;$W48&amp;($X48+AG$15+1))&lt;&gt;"",INDIRECT($H48&amp;"!"&amp;$W48&amp;($X48+AG$15+1)),""),""))</f>
        <v/>
      </c>
      <c r="AH48" s="296" t="str" cm="1">
        <f t="array" aca="1" ref="AH48" ca="1">IF(OR($J48="Pluviomètre",LEFT($J48,5)="Sonde"),"",IF($H48&lt;&gt;"",IF(INDIRECT($H48&amp;"!"&amp;$W48&amp;($X48+AH$15+1))&lt;&gt;"",INDIRECT($H48&amp;"!"&amp;$W48&amp;($X48+AH$15+1)),""),""))</f>
        <v/>
      </c>
      <c r="AI48" s="294" t="str">
        <f t="shared" ca="1" si="9"/>
        <v/>
      </c>
      <c r="AJ48" s="295" t="str">
        <f t="shared" ca="1" si="10"/>
        <v/>
      </c>
      <c r="AK48" s="296" t="str" cm="1">
        <f t="array" aca="1" ref="AK48" ca="1">IF($H48&lt;&gt;"",IF(INDIRECT($H48&amp;"!"&amp;$AI48&amp;($AJ48+AK$15+1))&lt;&gt;"",INDIRECT($H48&amp;"!"&amp;$AI48&amp;($AJ48+AK$15+1)),""),"")</f>
        <v/>
      </c>
      <c r="AL48" s="296" t="str" cm="1">
        <f t="array" aca="1" ref="AL48" ca="1">IF($H48&lt;&gt;"",IF(INDIRECT($H48&amp;"!"&amp;$AI48&amp;($AJ48+AL$15+1))&lt;&gt;"",INDIRECT($H48&amp;"!"&amp;$AI48&amp;($AJ48+AL$15+1)),""),"")</f>
        <v/>
      </c>
      <c r="AM48" s="296" t="str" cm="1">
        <f t="array" aca="1" ref="AM48" ca="1">IF($H48&lt;&gt;"",IF(INDIRECT($H48&amp;"!"&amp;$AI48&amp;($AJ48+AM$15+1))&lt;&gt;"",INDIRECT($H48&amp;"!"&amp;$AI48&amp;($AJ48+AM$15+1)),""),"")</f>
        <v/>
      </c>
      <c r="AN48" s="296" t="str" cm="1">
        <f t="array" aca="1" ref="AN48" ca="1">IF($H48&lt;&gt;"",IF(INDIRECT($H48&amp;"!"&amp;$AI48&amp;($AJ48+AN$15+1))&lt;&gt;"",INDIRECT($H48&amp;"!"&amp;$AI48&amp;($AJ48+AN$15+1)),""),"")</f>
        <v/>
      </c>
      <c r="AO48" s="296" t="str" cm="1">
        <f t="array" aca="1" ref="AO48" ca="1">IF(LEFT($J48,5)="Sonde","",IF($H48&lt;&gt;"",IF(INDIRECT($H48&amp;"!"&amp;$AI48&amp;($AJ48+AO$15+1))&lt;&gt;"",INDIRECT($H48&amp;"!"&amp;$AI48&amp;($AJ48+AO$15+1)),""),""))</f>
        <v/>
      </c>
      <c r="AP48" s="296" t="str" cm="1">
        <f t="array" aca="1" ref="AP48" ca="1">IF(OR($J48="Pluviomètre",LEFT($J48,5)="Sonde"),"",IF($H48&lt;&gt;"",IF(INDIRECT($H48&amp;"!"&amp;$AI48&amp;($AJ48+AP$15+1))&lt;&gt;"",INDIRECT($H48&amp;"!"&amp;$AI48&amp;($AJ48+AP$15+1)),""),""))</f>
        <v/>
      </c>
      <c r="AQ48" s="296" t="str" cm="1">
        <f t="array" aca="1" ref="AQ48" ca="1">IF(OR($J48="Pluviomètre",LEFT($J48,5)="Sonde"),"",IF($H48&lt;&gt;"",IF(INDIRECT($H48&amp;"!"&amp;$AI48&amp;($AJ48+AQ$15+1))&lt;&gt;"",INDIRECT($H48&amp;"!"&amp;$AI48&amp;($AJ48+AQ$15+1)),""),""))</f>
        <v/>
      </c>
      <c r="AR48" s="296" t="str" cm="1">
        <f t="array" aca="1" ref="AR48" ca="1">IF(OR($J48="Pluviomètre",LEFT($J48,5)="Sonde"),"",IF($H48&lt;&gt;"",IF(INDIRECT($H48&amp;"!"&amp;$AI48&amp;($AJ48+AR$15+1))&lt;&gt;"",INDIRECT($H48&amp;"!"&amp;$AI48&amp;($AJ48+AR$15+1)),""),""))</f>
        <v/>
      </c>
      <c r="AS48" s="296" t="str" cm="1">
        <f t="array" aca="1" ref="AS48" ca="1">IF(OR($J48="Pluviomètre",LEFT($J48,5)="Sonde"),"",IF($H48&lt;&gt;"",IF(INDIRECT($H48&amp;"!"&amp;$AI48&amp;($AJ48+AS$15+1))&lt;&gt;"",INDIRECT($H48&amp;"!"&amp;$AI48&amp;($AJ48+AS$15+1)),""),""))</f>
        <v/>
      </c>
      <c r="AT48" s="296" t="str" cm="1">
        <f t="array" aca="1" ref="AT48" ca="1">IF(OR($J48="Pluviomètre",LEFT($J48,5)="Sonde"),"",IF($H48&lt;&gt;"",IF(INDIRECT($H48&amp;"!"&amp;$AI48&amp;($AJ48+AT$15+1))&lt;&gt;"",INDIRECT($H48&amp;"!"&amp;$AI48&amp;($AJ48+AT$15+1)),""),""))</f>
        <v/>
      </c>
      <c r="AU48" s="412" cm="1">
        <f t="array" aca="1" ref="AU48" ca="1">SUMPRODUCT((Y48:AH48&lt;&gt;"")*(Y48:AH48&lt;&gt;"Non contrôlé")*(Y48:AH48&lt;&gt;"Non applicable"))</f>
        <v>0</v>
      </c>
      <c r="AV48" s="414">
        <f t="shared" ca="1" si="11"/>
        <v>-1</v>
      </c>
    </row>
    <row r="49" spans="1:48" s="284" customFormat="1" x14ac:dyDescent="0.4">
      <c r="A49" s="278">
        <v>34</v>
      </c>
      <c r="B49" s="134" t="b">
        <f t="shared" si="6"/>
        <v>0</v>
      </c>
      <c r="C49" s="139" t="str" cm="1">
        <f t="array" aca="1" ref="C49" ca="1">IF(
    AND(
        $B49,
        OR(
            INDIRECT("Descriptif!$M"&amp;($B$1+$A49-1))="Préleveur",
            LEFT(INDIRECT("Descriptif!$M"&amp;($B$1+$A49-1)),5)="Sonde",
            LEFT(INDIRECT("Descriptif!$M"&amp;($B$1+$A49-1)),10)="Débitmètre",
            LEFT(INDIRECT("Descriptif!$F"&amp;($B$1+$A49-1)),6)="PLUVIO"        )
    ),
    INDIRECT("Descriptif!$"&amp;C$15&amp;($B$1 +$A49 -1)),
    ""
)</f>
        <v/>
      </c>
      <c r="D49" s="277" t="str" cm="1">
        <f t="array" aca="1" ref="D49" ca="1">IF(
    AND(
        $B49,
        OR(
            INDIRECT("Descriptif!$M"&amp;($B$1+$A49-1))="Préleveur",
            LEFT(INDIRECT("Descriptif!$M"&amp;($B$1+$A49-1)),5)="Sonde",
            LEFT(INDIRECT("Descriptif!$M"&amp;($B$1+$A49-1)),10)="Débitmètre",
            LEFT(INDIRECT("Descriptif!$F"&amp;($B$1+$A49-1)),6)="PLUVIO"       )
    ),
    IF(
        LEFT(INDIRECT("Descriptif!$F"&amp;($B$1+$A49-1)),11)="PLUVIO_STEU",
        "A3",
        IF(
            LEFT(INDIRECT("Descriptif!$F"&amp;($B$1+$A49-1)),10)="PLUVIO_SCL",
            "A1",
            INDIRECT("Descriptif!$"&amp;D$15&amp;($B$1 +$A49 -1))
        )
    ),
    ""
)</f>
        <v/>
      </c>
      <c r="E49" s="277" t="str" cm="1">
        <f t="array" aca="1" ref="E49" ca="1">IF(
    AND(
        $B49,
        OR(
            INDIRECT("Descriptif!$M"&amp;($B$1+$A49-1))="Préleveur",
            LEFT(INDIRECT("Descriptif!$M"&amp;($B$1+$A49-1)),5)="Sonde",
            LEFT(INDIRECT("Descriptif!$M"&amp;($B$1+$A49-1)),10)="Débitmètre",
            LEFT(INDIRECT("Descriptif!$F"&amp;($B$1+$A49-1)),6)="PLUVIO"
        )
    ),
    IF(LEFT(INDIRECT("Descriptif!$F"&amp;($B$1+$A49-1)),6)="PLUVIO","Pluviomètre",INDIRECT("Descriptif!$"&amp;E$15&amp;($B$1 +$A49 -1))),
    ""
)</f>
        <v/>
      </c>
      <c r="F49" s="19" t="str" cm="1">
        <f t="array" aca="1" ref="F49" ca="1">IF(
    AND(
        $B49,
        OR(
            INDIRECT("Descriptif!$M"&amp;($B$1+$A49-1))="Préleveur",
            LEFT(INDIRECT("Descriptif!$M"&amp;($B$1+$A49-1)),5)="Sonde",
            LEFT(INDIRECT("Descriptif!$M"&amp;($B$1+$A49-1)),10)="Débitmètre",
            LEFT(INDIRECT("Descriptif!$F"&amp;($B$1+$A49-1)),6)="PLUVIO"
        )
    ),
    IF(LEFT(INDIRECT("Descriptif!$F"&amp;($B$1+$A49-1)),6)="PLUVIO","Pluviomètre",INDIRECT("Descriptif!$"&amp;F$15&amp;($B$1 +$A49 -1))),
    ""
)</f>
        <v/>
      </c>
      <c r="G49" s="19" t="str" cm="1">
        <f t="array" aca="1" ref="G49" ca="1">IF(
    AND(
        $B49,
        OR(
            INDIRECT("Descriptif!$M"&amp;($B$1+$A49-1))="Préleveur",
            LEFT(INDIRECT("Descriptif!$M"&amp;($B$1+$A49-1)),5)="Sonde",
            LEFT(INDIRECT("Descriptif!$M"&amp;($B$1+$A49-1)),10)="Débitmètre",
            LEFT(INDIRECT("Descriptif!$F"&amp;($B$1+$A49-1)),6)="PLUVIO"
        )
    ),
    IF(LEFT(INDIRECT("Descriptif!$F"&amp;($B$1+$A49-1)),6)="PLUVIO","",INDIRECT("Descriptif!$"&amp;G$15&amp;($B$1 +$A49 -1))),
    ""
)</f>
        <v/>
      </c>
      <c r="H49" s="279" t="str" cm="1">
        <f t="array" aca="1" ref="H49" ca="1">IFERROR(INDEX($C$16:$C$116,SMALL(IF($C$16:$C$116&lt;&gt;"",ROW($C$16:$C$116)-ROW($C$16)+1),ROW(A34))),"")</f>
        <v/>
      </c>
      <c r="I49" s="280" t="str" cm="1">
        <f t="array" aca="1" ref="I49" ca="1">IFERROR(INDEX($D$16:$D$116,SMALL(IF($D$16:$D$116&lt;&gt;"",ROW($D$16:$D$116)-ROW($D$16)+1),ROW(A34))),"")</f>
        <v/>
      </c>
      <c r="J49" s="280" t="str" cm="1">
        <f t="array" aca="1" ref="J49" ca="1">IFERROR(INDEX($E$16:$E$116,SMALL(IF($E$16:$E$116&lt;&gt;"",ROW($E$16:$E$116)-ROW($E$16)+1),ROW(A34))),"")</f>
        <v/>
      </c>
      <c r="K49" s="280" t="str" cm="1">
        <f t="array" aca="1" ref="K49" ca="1">IFERROR(INDEX($F$16:$F$116,SMALL(IF($F$16:$F$116&lt;&gt;"",ROW($F$16:$F$116)-ROW($F$16)+1),ROW(A34))),"")</f>
        <v/>
      </c>
      <c r="L49" s="140" t="str">
        <f t="shared" ca="1" si="0"/>
        <v/>
      </c>
      <c r="M49" s="140" t="str" cm="1">
        <f t="array" aca="1" ref="M49" ca="1">IFERROR(INDEX($G$16:$G$116,SMALL(IF($G$16:$G$116&lt;&gt;"",ROW($G$16:$G$116)-ROW($G$16)+1),ROW(A34))),"")</f>
        <v/>
      </c>
      <c r="N49" s="281" t="str">
        <f t="shared" ca="1" si="12"/>
        <v/>
      </c>
      <c r="O49" s="282" t="str">
        <f t="shared" ca="1" si="13"/>
        <v/>
      </c>
      <c r="P49" s="282" t="str" cm="1">
        <f t="array" aca="1" ref="P49" ca="1">IF($J49&lt;&gt;"",IF(INDIRECT($H49&amp;"!"&amp;$O49)&lt;&gt;"",INDIRECT($H49&amp;"!"&amp;$O49),""),"")</f>
        <v/>
      </c>
      <c r="Q49" s="282" t="str">
        <f t="shared" ca="1" si="14"/>
        <v/>
      </c>
      <c r="R49" s="282" t="str" cm="1">
        <f t="array" aca="1" ref="R49" ca="1">IF($J49&lt;&gt;"",IF(INDIRECT($H49&amp;"!"&amp;$Q49)&lt;&gt;"",INDIRECT($H49&amp;"!"&amp;$Q49),""),"")</f>
        <v/>
      </c>
      <c r="S49" s="282" t="str">
        <f t="shared" ca="1" si="15"/>
        <v/>
      </c>
      <c r="T49" s="282" t="str" cm="1">
        <f t="array" aca="1" ref="T49" ca="1">IF($J49&lt;&gt;"",IF(INDIRECT($H49&amp;"!"&amp;$S49)&lt;&gt;"",INDIRECT($H49&amp;"!"&amp;$S49),""),"")</f>
        <v/>
      </c>
      <c r="U49" s="282" t="str">
        <f t="shared" ca="1" si="16"/>
        <v/>
      </c>
      <c r="V49" s="283" t="str" cm="1">
        <f t="array" aca="1" ref="V49" ca="1">IF($J49&lt;&gt;"",IF(INDIRECT($H49&amp;"!"&amp;$U49)&lt;&gt;"",INDIRECT($H49&amp;"!"&amp;$U49),""),"")</f>
        <v/>
      </c>
      <c r="W49" s="294" t="str">
        <f t="shared" ca="1" si="7"/>
        <v/>
      </c>
      <c r="X49" s="297" t="str">
        <f t="shared" ca="1" si="8"/>
        <v/>
      </c>
      <c r="Y49" s="298" t="str" cm="1">
        <f t="array" aca="1" ref="Y49" ca="1">IF($H49&lt;&gt;"",IF(INDIRECT($H49&amp;"!"&amp;$W49&amp;($X49+Y$15+1))&lt;&gt;"",INDIRECT($H49&amp;"!"&amp;$W49&amp;($X49+Y$15+1)),""),"")</f>
        <v/>
      </c>
      <c r="Z49" s="298" t="str" cm="1">
        <f t="array" aca="1" ref="Z49" ca="1">IF($H49&lt;&gt;"",IF(INDIRECT($H49&amp;"!"&amp;$W49&amp;($X49+Z$15+1))&lt;&gt;"",INDIRECT($H49&amp;"!"&amp;$W49&amp;($X49+Z$15+1)),""),"")</f>
        <v/>
      </c>
      <c r="AA49" s="298" t="str" cm="1">
        <f t="array" aca="1" ref="AA49" ca="1">IF($H49&lt;&gt;"",IF(INDIRECT($H49&amp;"!"&amp;$W49&amp;($X49+AA$15+1))&lt;&gt;"",INDIRECT($H49&amp;"!"&amp;$W49&amp;($X49+AA$15+1)),""),"")</f>
        <v/>
      </c>
      <c r="AB49" s="298" t="str" cm="1">
        <f t="array" aca="1" ref="AB49" ca="1">IF($H49&lt;&gt;"",IF(INDIRECT($H49&amp;"!"&amp;$W49&amp;($X49+AB$15+1))&lt;&gt;"",INDIRECT($H49&amp;"!"&amp;$W49&amp;($X49+AB$15+1)),""),"")</f>
        <v/>
      </c>
      <c r="AC49" s="296" t="str" cm="1">
        <f t="array" aca="1" ref="AC49" ca="1">IF(LEFT($J49,5)="Sonde","",IF($H49&lt;&gt;"",IF(INDIRECT($H49&amp;"!"&amp;$W49&amp;($X49+AC$15+1))&lt;&gt;"",INDIRECT($H49&amp;"!"&amp;$W49&amp;($X49+AC$15+1)),""),""))</f>
        <v/>
      </c>
      <c r="AD49" s="296" t="str" cm="1">
        <f t="array" aca="1" ref="AD49" ca="1">IF(OR($J49="Pluviomètre",LEFT($J49,5)="Sonde"),"",IF($H49&lt;&gt;"",IF(INDIRECT($H49&amp;"!"&amp;$W49&amp;($X49+AD$15+1))&lt;&gt;"",INDIRECT($H49&amp;"!"&amp;$W49&amp;($X49+AD$15+1)),""),""))</f>
        <v/>
      </c>
      <c r="AE49" s="296" t="str" cm="1">
        <f t="array" aca="1" ref="AE49" ca="1">IF(OR($J49="Pluviomètre",LEFT($J49,5)="Sonde"),"",IF($H49&lt;&gt;"",IF(INDIRECT($H49&amp;"!"&amp;$W49&amp;($X49+AE$15+1))&lt;&gt;"",INDIRECT($H49&amp;"!"&amp;$W49&amp;($X49+AE$15+1)),""),""))</f>
        <v/>
      </c>
      <c r="AF49" s="296" t="str" cm="1">
        <f t="array" aca="1" ref="AF49" ca="1">IF(OR($J49="Pluviomètre",LEFT($J49,5)="Sonde"),"",IF($H49&lt;&gt;"",IF(INDIRECT($H49&amp;"!"&amp;$W49&amp;($X49+AF$15+1))&lt;&gt;"",INDIRECT($H49&amp;"!"&amp;$W49&amp;($X49+AF$15+1)),""),""))</f>
        <v/>
      </c>
      <c r="AG49" s="296" t="str" cm="1">
        <f t="array" aca="1" ref="AG49" ca="1">IF(OR($J49="Pluviomètre",LEFT($J49,5)="Sonde"),"",IF($H49&lt;&gt;"",IF(INDIRECT($H49&amp;"!"&amp;$W49&amp;($X49+AG$15+1))&lt;&gt;"",INDIRECT($H49&amp;"!"&amp;$W49&amp;($X49+AG$15+1)),""),""))</f>
        <v/>
      </c>
      <c r="AH49" s="296" t="str" cm="1">
        <f t="array" aca="1" ref="AH49" ca="1">IF(OR($J49="Pluviomètre",LEFT($J49,5)="Sonde"),"",IF($H49&lt;&gt;"",IF(INDIRECT($H49&amp;"!"&amp;$W49&amp;($X49+AH$15+1))&lt;&gt;"",INDIRECT($H49&amp;"!"&amp;$W49&amp;($X49+AH$15+1)),""),""))</f>
        <v/>
      </c>
      <c r="AI49" s="294" t="str">
        <f t="shared" ca="1" si="9"/>
        <v/>
      </c>
      <c r="AJ49" s="297" t="str">
        <f t="shared" ca="1" si="10"/>
        <v/>
      </c>
      <c r="AK49" s="296" t="str" cm="1">
        <f t="array" aca="1" ref="AK49" ca="1">IF($H49&lt;&gt;"",IF(INDIRECT($H49&amp;"!"&amp;$AI49&amp;($AJ49+AK$15+1))&lt;&gt;"",INDIRECT($H49&amp;"!"&amp;$AI49&amp;($AJ49+AK$15+1)),""),"")</f>
        <v/>
      </c>
      <c r="AL49" s="296" t="str" cm="1">
        <f t="array" aca="1" ref="AL49" ca="1">IF($H49&lt;&gt;"",IF(INDIRECT($H49&amp;"!"&amp;$AI49&amp;($AJ49+AL$15+1))&lt;&gt;"",INDIRECT($H49&amp;"!"&amp;$AI49&amp;($AJ49+AL$15+1)),""),"")</f>
        <v/>
      </c>
      <c r="AM49" s="296" t="str" cm="1">
        <f t="array" aca="1" ref="AM49" ca="1">IF($H49&lt;&gt;"",IF(INDIRECT($H49&amp;"!"&amp;$AI49&amp;($AJ49+AM$15+1))&lt;&gt;"",INDIRECT($H49&amp;"!"&amp;$AI49&amp;($AJ49+AM$15+1)),""),"")</f>
        <v/>
      </c>
      <c r="AN49" s="296" t="str" cm="1">
        <f t="array" aca="1" ref="AN49" ca="1">IF($H49&lt;&gt;"",IF(INDIRECT($H49&amp;"!"&amp;$AI49&amp;($AJ49+AN$15+1))&lt;&gt;"",INDIRECT($H49&amp;"!"&amp;$AI49&amp;($AJ49+AN$15+1)),""),"")</f>
        <v/>
      </c>
      <c r="AO49" s="296" t="str" cm="1">
        <f t="array" aca="1" ref="AO49" ca="1">IF(LEFT($J49,5)="Sonde","",IF($H49&lt;&gt;"",IF(INDIRECT($H49&amp;"!"&amp;$AI49&amp;($AJ49+AO$15+1))&lt;&gt;"",INDIRECT($H49&amp;"!"&amp;$AI49&amp;($AJ49+AO$15+1)),""),""))</f>
        <v/>
      </c>
      <c r="AP49" s="296" t="str" cm="1">
        <f t="array" aca="1" ref="AP49" ca="1">IF(OR($J49="Pluviomètre",LEFT($J49,5)="Sonde"),"",IF($H49&lt;&gt;"",IF(INDIRECT($H49&amp;"!"&amp;$AI49&amp;($AJ49+AP$15+1))&lt;&gt;"",INDIRECT($H49&amp;"!"&amp;$AI49&amp;($AJ49+AP$15+1)),""),""))</f>
        <v/>
      </c>
      <c r="AQ49" s="296" t="str" cm="1">
        <f t="array" aca="1" ref="AQ49" ca="1">IF(OR($J49="Pluviomètre",LEFT($J49,5)="Sonde"),"",IF($H49&lt;&gt;"",IF(INDIRECT($H49&amp;"!"&amp;$AI49&amp;($AJ49+AQ$15+1))&lt;&gt;"",INDIRECT($H49&amp;"!"&amp;$AI49&amp;($AJ49+AQ$15+1)),""),""))</f>
        <v/>
      </c>
      <c r="AR49" s="296" t="str" cm="1">
        <f t="array" aca="1" ref="AR49" ca="1">IF(OR($J49="Pluviomètre",LEFT($J49,5)="Sonde"),"",IF($H49&lt;&gt;"",IF(INDIRECT($H49&amp;"!"&amp;$AI49&amp;($AJ49+AR$15+1))&lt;&gt;"",INDIRECT($H49&amp;"!"&amp;$AI49&amp;($AJ49+AR$15+1)),""),""))</f>
        <v/>
      </c>
      <c r="AS49" s="296" t="str" cm="1">
        <f t="array" aca="1" ref="AS49" ca="1">IF(OR($J49="Pluviomètre",LEFT($J49,5)="Sonde"),"",IF($H49&lt;&gt;"",IF(INDIRECT($H49&amp;"!"&amp;$AI49&amp;($AJ49+AS$15+1))&lt;&gt;"",INDIRECT($H49&amp;"!"&amp;$AI49&amp;($AJ49+AS$15+1)),""),""))</f>
        <v/>
      </c>
      <c r="AT49" s="296" t="str" cm="1">
        <f t="array" aca="1" ref="AT49" ca="1">IF(OR($J49="Pluviomètre",LEFT($J49,5)="Sonde"),"",IF($H49&lt;&gt;"",IF(INDIRECT($H49&amp;"!"&amp;$AI49&amp;($AJ49+AT$15+1))&lt;&gt;"",INDIRECT($H49&amp;"!"&amp;$AI49&amp;($AJ49+AT$15+1)),""),""))</f>
        <v/>
      </c>
      <c r="AU49" s="412" cm="1">
        <f t="array" aca="1" ref="AU49" ca="1">SUMPRODUCT((Y49:AH49&lt;&gt;"")*(Y49:AH49&lt;&gt;"Non contrôlé")*(Y49:AH49&lt;&gt;"Non applicable"))</f>
        <v>0</v>
      </c>
      <c r="AV49" s="414">
        <f t="shared" ca="1" si="11"/>
        <v>-1</v>
      </c>
    </row>
    <row r="50" spans="1:48" x14ac:dyDescent="0.4">
      <c r="A50" s="80">
        <v>35</v>
      </c>
      <c r="B50" s="134" t="b">
        <f t="shared" si="6"/>
        <v>0</v>
      </c>
      <c r="C50" s="139" t="str" cm="1">
        <f t="array" aca="1" ref="C50" ca="1">IF(
    AND(
        $B50,
        OR(
            INDIRECT("Descriptif!$M"&amp;($B$1+$A50-1))="Préleveur",
            LEFT(INDIRECT("Descriptif!$M"&amp;($B$1+$A50-1)),5)="Sonde",
            LEFT(INDIRECT("Descriptif!$M"&amp;($B$1+$A50-1)),10)="Débitmètre",
            LEFT(INDIRECT("Descriptif!$F"&amp;($B$1+$A50-1)),6)="PLUVIO"        )
    ),
    INDIRECT("Descriptif!$"&amp;C$15&amp;($B$1 +$A50 -1)),
    ""
)</f>
        <v/>
      </c>
      <c r="D50" s="277" t="str" cm="1">
        <f t="array" aca="1" ref="D50" ca="1">IF(
    AND(
        $B50,
        OR(
            INDIRECT("Descriptif!$M"&amp;($B$1+$A50-1))="Préleveur",
            LEFT(INDIRECT("Descriptif!$M"&amp;($B$1+$A50-1)),5)="Sonde",
            LEFT(INDIRECT("Descriptif!$M"&amp;($B$1+$A50-1)),10)="Débitmètre",
            LEFT(INDIRECT("Descriptif!$F"&amp;($B$1+$A50-1)),6)="PLUVIO"       )
    ),
    IF(
        LEFT(INDIRECT("Descriptif!$F"&amp;($B$1+$A50-1)),11)="PLUVIO_STEU",
        "A3",
        IF(
            LEFT(INDIRECT("Descriptif!$F"&amp;($B$1+$A50-1)),10)="PLUVIO_SCL",
            "A1",
            INDIRECT("Descriptif!$"&amp;D$15&amp;($B$1 +$A50 -1))
        )
    ),
    ""
)</f>
        <v/>
      </c>
      <c r="E50" s="277" t="str" cm="1">
        <f t="array" aca="1" ref="E50" ca="1">IF(
    AND(
        $B50,
        OR(
            INDIRECT("Descriptif!$M"&amp;($B$1+$A50-1))="Préleveur",
            LEFT(INDIRECT("Descriptif!$M"&amp;($B$1+$A50-1)),5)="Sonde",
            LEFT(INDIRECT("Descriptif!$M"&amp;($B$1+$A50-1)),10)="Débitmètre",
            LEFT(INDIRECT("Descriptif!$F"&amp;($B$1+$A50-1)),6)="PLUVIO"
        )
    ),
    IF(LEFT(INDIRECT("Descriptif!$F"&amp;($B$1+$A50-1)),6)="PLUVIO","Pluviomètre",INDIRECT("Descriptif!$"&amp;E$15&amp;($B$1 +$A50 -1))),
    ""
)</f>
        <v/>
      </c>
      <c r="F50" s="19" t="str" cm="1">
        <f t="array" aca="1" ref="F50" ca="1">IF(
    AND(
        $B50,
        OR(
            INDIRECT("Descriptif!$M"&amp;($B$1+$A50-1))="Préleveur",
            LEFT(INDIRECT("Descriptif!$M"&amp;($B$1+$A50-1)),5)="Sonde",
            LEFT(INDIRECT("Descriptif!$M"&amp;($B$1+$A50-1)),10)="Débitmètre",
            LEFT(INDIRECT("Descriptif!$F"&amp;($B$1+$A50-1)),6)="PLUVIO"
        )
    ),
    IF(LEFT(INDIRECT("Descriptif!$F"&amp;($B$1+$A50-1)),6)="PLUVIO","Pluviomètre",INDIRECT("Descriptif!$"&amp;F$15&amp;($B$1 +$A50 -1))),
    ""
)</f>
        <v/>
      </c>
      <c r="G50" s="19" t="str" cm="1">
        <f t="array" aca="1" ref="G50" ca="1">IF(
    AND(
        $B50,
        OR(
            INDIRECT("Descriptif!$M"&amp;($B$1+$A50-1))="Préleveur",
            LEFT(INDIRECT("Descriptif!$M"&amp;($B$1+$A50-1)),5)="Sonde",
            LEFT(INDIRECT("Descriptif!$M"&amp;($B$1+$A50-1)),10)="Débitmètre",
            LEFT(INDIRECT("Descriptif!$F"&amp;($B$1+$A50-1)),6)="PLUVIO"
        )
    ),
    IF(LEFT(INDIRECT("Descriptif!$F"&amp;($B$1+$A50-1)),6)="PLUVIO","",INDIRECT("Descriptif!$"&amp;G$15&amp;($B$1 +$A50 -1))),
    ""
)</f>
        <v/>
      </c>
      <c r="H50" s="141" t="str" cm="1">
        <f t="array" aca="1" ref="H50" ca="1">IFERROR(INDEX($C$16:$C$116,SMALL(IF($C$16:$C$116&lt;&gt;"",ROW($C$16:$C$116)-ROW($C$16)+1),ROW(A35))),"")</f>
        <v/>
      </c>
      <c r="I50" s="140" t="str" cm="1">
        <f t="array" aca="1" ref="I50" ca="1">IFERROR(INDEX($D$16:$D$116,SMALL(IF($D$16:$D$116&lt;&gt;"",ROW($D$16:$D$116)-ROW($D$16)+1),ROW(A35))),"")</f>
        <v/>
      </c>
      <c r="J50" s="140" t="str" cm="1">
        <f t="array" aca="1" ref="J50" ca="1">IFERROR(INDEX($E$16:$E$116,SMALL(IF($E$16:$E$116&lt;&gt;"",ROW($E$16:$E$116)-ROW($E$16)+1),ROW(A35))),"")</f>
        <v/>
      </c>
      <c r="K50" s="140" t="str" cm="1">
        <f t="array" aca="1" ref="K50" ca="1">IFERROR(INDEX($F$16:$F$116,SMALL(IF($F$16:$F$116&lt;&gt;"",ROW($F$16:$F$116)-ROW($F$16)+1),ROW(A35))),"")</f>
        <v/>
      </c>
      <c r="L50" s="140" t="str">
        <f t="shared" ca="1" si="0"/>
        <v/>
      </c>
      <c r="M50" s="140" t="str" cm="1">
        <f t="array" aca="1" ref="M50" ca="1">IFERROR(INDEX($G$16:$G$116,SMALL(IF($G$16:$G$116&lt;&gt;"",ROW($G$16:$G$116)-ROW($G$16)+1),ROW(A35))),"")</f>
        <v/>
      </c>
      <c r="N50" s="145" t="str">
        <f t="shared" ca="1" si="12"/>
        <v/>
      </c>
      <c r="O50" s="146" t="str">
        <f t="shared" ca="1" si="13"/>
        <v/>
      </c>
      <c r="P50" s="146" t="str" cm="1">
        <f t="array" aca="1" ref="P50" ca="1">IF($J50&lt;&gt;"",IF(INDIRECT($H50&amp;"!"&amp;$O50)&lt;&gt;"",INDIRECT($H50&amp;"!"&amp;$O50),""),"")</f>
        <v/>
      </c>
      <c r="Q50" s="146" t="str">
        <f t="shared" ca="1" si="14"/>
        <v/>
      </c>
      <c r="R50" s="146" t="str" cm="1">
        <f t="array" aca="1" ref="R50" ca="1">IF($J50&lt;&gt;"",IF(INDIRECT($H50&amp;"!"&amp;$Q50)&lt;&gt;"",INDIRECT($H50&amp;"!"&amp;$Q50),""),"")</f>
        <v/>
      </c>
      <c r="S50" s="146" t="str">
        <f t="shared" ca="1" si="15"/>
        <v/>
      </c>
      <c r="T50" s="146" t="str" cm="1">
        <f t="array" aca="1" ref="T50" ca="1">IF($J50&lt;&gt;"",IF(INDIRECT($H50&amp;"!"&amp;$S50)&lt;&gt;"",INDIRECT($H50&amp;"!"&amp;$S50),""),"")</f>
        <v/>
      </c>
      <c r="U50" s="146" t="str">
        <f t="shared" ca="1" si="16"/>
        <v/>
      </c>
      <c r="V50" s="147" t="str" cm="1">
        <f t="array" aca="1" ref="V50" ca="1">IF($J50&lt;&gt;"",IF(INDIRECT($H50&amp;"!"&amp;$U50)&lt;&gt;"",INDIRECT($H50&amp;"!"&amp;$U50),""),"")</f>
        <v/>
      </c>
      <c r="W50" s="294" t="str">
        <f t="shared" ca="1" si="7"/>
        <v/>
      </c>
      <c r="X50" s="295" t="str">
        <f t="shared" ca="1" si="8"/>
        <v/>
      </c>
      <c r="Y50" s="296" t="str" cm="1">
        <f t="array" aca="1" ref="Y50" ca="1">IF($H50&lt;&gt;"",IF(INDIRECT($H50&amp;"!"&amp;$W50&amp;($X50+Y$15+1))&lt;&gt;"",INDIRECT($H50&amp;"!"&amp;$W50&amp;($X50+Y$15+1)),""),"")</f>
        <v/>
      </c>
      <c r="Z50" s="296" t="str" cm="1">
        <f t="array" aca="1" ref="Z50" ca="1">IF($H50&lt;&gt;"",IF(INDIRECT($H50&amp;"!"&amp;$W50&amp;($X50+Z$15+1))&lt;&gt;"",INDIRECT($H50&amp;"!"&amp;$W50&amp;($X50+Z$15+1)),""),"")</f>
        <v/>
      </c>
      <c r="AA50" s="296" t="str" cm="1">
        <f t="array" aca="1" ref="AA50" ca="1">IF($H50&lt;&gt;"",IF(INDIRECT($H50&amp;"!"&amp;$W50&amp;($X50+AA$15+1))&lt;&gt;"",INDIRECT($H50&amp;"!"&amp;$W50&amp;($X50+AA$15+1)),""),"")</f>
        <v/>
      </c>
      <c r="AB50" s="296" t="str" cm="1">
        <f t="array" aca="1" ref="AB50" ca="1">IF($H50&lt;&gt;"",IF(INDIRECT($H50&amp;"!"&amp;$W50&amp;($X50+AB$15+1))&lt;&gt;"",INDIRECT($H50&amp;"!"&amp;$W50&amp;($X50+AB$15+1)),""),"")</f>
        <v/>
      </c>
      <c r="AC50" s="296" t="str" cm="1">
        <f t="array" aca="1" ref="AC50" ca="1">IF(LEFT($J50,5)="Sonde","",IF($H50&lt;&gt;"",IF(INDIRECT($H50&amp;"!"&amp;$W50&amp;($X50+AC$15+1))&lt;&gt;"",INDIRECT($H50&amp;"!"&amp;$W50&amp;($X50+AC$15+1)),""),""))</f>
        <v/>
      </c>
      <c r="AD50" s="296" t="str" cm="1">
        <f t="array" aca="1" ref="AD50" ca="1">IF(OR($J50="Pluviomètre",LEFT($J50,5)="Sonde"),"",IF($H50&lt;&gt;"",IF(INDIRECT($H50&amp;"!"&amp;$W50&amp;($X50+AD$15+1))&lt;&gt;"",INDIRECT($H50&amp;"!"&amp;$W50&amp;($X50+AD$15+1)),""),""))</f>
        <v/>
      </c>
      <c r="AE50" s="296" t="str" cm="1">
        <f t="array" aca="1" ref="AE50" ca="1">IF(OR($J50="Pluviomètre",LEFT($J50,5)="Sonde"),"",IF($H50&lt;&gt;"",IF(INDIRECT($H50&amp;"!"&amp;$W50&amp;($X50+AE$15+1))&lt;&gt;"",INDIRECT($H50&amp;"!"&amp;$W50&amp;($X50+AE$15+1)),""),""))</f>
        <v/>
      </c>
      <c r="AF50" s="296" t="str" cm="1">
        <f t="array" aca="1" ref="AF50" ca="1">IF(OR($J50="Pluviomètre",LEFT($J50,5)="Sonde"),"",IF($H50&lt;&gt;"",IF(INDIRECT($H50&amp;"!"&amp;$W50&amp;($X50+AF$15+1))&lt;&gt;"",INDIRECT($H50&amp;"!"&amp;$W50&amp;($X50+AF$15+1)),""),""))</f>
        <v/>
      </c>
      <c r="AG50" s="296" t="str" cm="1">
        <f t="array" aca="1" ref="AG50" ca="1">IF(OR($J50="Pluviomètre",LEFT($J50,5)="Sonde"),"",IF($H50&lt;&gt;"",IF(INDIRECT($H50&amp;"!"&amp;$W50&amp;($X50+AG$15+1))&lt;&gt;"",INDIRECT($H50&amp;"!"&amp;$W50&amp;($X50+AG$15+1)),""),""))</f>
        <v/>
      </c>
      <c r="AH50" s="296" t="str" cm="1">
        <f t="array" aca="1" ref="AH50" ca="1">IF(OR($J50="Pluviomètre",LEFT($J50,5)="Sonde"),"",IF($H50&lt;&gt;"",IF(INDIRECT($H50&amp;"!"&amp;$W50&amp;($X50+AH$15+1))&lt;&gt;"",INDIRECT($H50&amp;"!"&amp;$W50&amp;($X50+AH$15+1)),""),""))</f>
        <v/>
      </c>
      <c r="AI50" s="294" t="str">
        <f t="shared" ca="1" si="9"/>
        <v/>
      </c>
      <c r="AJ50" s="295" t="str">
        <f t="shared" ca="1" si="10"/>
        <v/>
      </c>
      <c r="AK50" s="296" t="str" cm="1">
        <f t="array" aca="1" ref="AK50" ca="1">IF($H50&lt;&gt;"",IF(INDIRECT($H50&amp;"!"&amp;$AI50&amp;($AJ50+AK$15+1))&lt;&gt;"",INDIRECT($H50&amp;"!"&amp;$AI50&amp;($AJ50+AK$15+1)),""),"")</f>
        <v/>
      </c>
      <c r="AL50" s="296" t="str" cm="1">
        <f t="array" aca="1" ref="AL50" ca="1">IF($H50&lt;&gt;"",IF(INDIRECT($H50&amp;"!"&amp;$AI50&amp;($AJ50+AL$15+1))&lt;&gt;"",INDIRECT($H50&amp;"!"&amp;$AI50&amp;($AJ50+AL$15+1)),""),"")</f>
        <v/>
      </c>
      <c r="AM50" s="296" t="str" cm="1">
        <f t="array" aca="1" ref="AM50" ca="1">IF($H50&lt;&gt;"",IF(INDIRECT($H50&amp;"!"&amp;$AI50&amp;($AJ50+AM$15+1))&lt;&gt;"",INDIRECT($H50&amp;"!"&amp;$AI50&amp;($AJ50+AM$15+1)),""),"")</f>
        <v/>
      </c>
      <c r="AN50" s="296" t="str" cm="1">
        <f t="array" aca="1" ref="AN50" ca="1">IF($H50&lt;&gt;"",IF(INDIRECT($H50&amp;"!"&amp;$AI50&amp;($AJ50+AN$15+1))&lt;&gt;"",INDIRECT($H50&amp;"!"&amp;$AI50&amp;($AJ50+AN$15+1)),""),"")</f>
        <v/>
      </c>
      <c r="AO50" s="296" t="str" cm="1">
        <f t="array" aca="1" ref="AO50" ca="1">IF(LEFT($J50,5)="Sonde","",IF($H50&lt;&gt;"",IF(INDIRECT($H50&amp;"!"&amp;$AI50&amp;($AJ50+AO$15+1))&lt;&gt;"",INDIRECT($H50&amp;"!"&amp;$AI50&amp;($AJ50+AO$15+1)),""),""))</f>
        <v/>
      </c>
      <c r="AP50" s="296" t="str" cm="1">
        <f t="array" aca="1" ref="AP50" ca="1">IF(OR($J50="Pluviomètre",LEFT($J50,5)="Sonde"),"",IF($H50&lt;&gt;"",IF(INDIRECT($H50&amp;"!"&amp;$AI50&amp;($AJ50+AP$15+1))&lt;&gt;"",INDIRECT($H50&amp;"!"&amp;$AI50&amp;($AJ50+AP$15+1)),""),""))</f>
        <v/>
      </c>
      <c r="AQ50" s="296" t="str" cm="1">
        <f t="array" aca="1" ref="AQ50" ca="1">IF(OR($J50="Pluviomètre",LEFT($J50,5)="Sonde"),"",IF($H50&lt;&gt;"",IF(INDIRECT($H50&amp;"!"&amp;$AI50&amp;($AJ50+AQ$15+1))&lt;&gt;"",INDIRECT($H50&amp;"!"&amp;$AI50&amp;($AJ50+AQ$15+1)),""),""))</f>
        <v/>
      </c>
      <c r="AR50" s="296" t="str" cm="1">
        <f t="array" aca="1" ref="AR50" ca="1">IF(OR($J50="Pluviomètre",LEFT($J50,5)="Sonde"),"",IF($H50&lt;&gt;"",IF(INDIRECT($H50&amp;"!"&amp;$AI50&amp;($AJ50+AR$15+1))&lt;&gt;"",INDIRECT($H50&amp;"!"&amp;$AI50&amp;($AJ50+AR$15+1)),""),""))</f>
        <v/>
      </c>
      <c r="AS50" s="296" t="str" cm="1">
        <f t="array" aca="1" ref="AS50" ca="1">IF(OR($J50="Pluviomètre",LEFT($J50,5)="Sonde"),"",IF($H50&lt;&gt;"",IF(INDIRECT($H50&amp;"!"&amp;$AI50&amp;($AJ50+AS$15+1))&lt;&gt;"",INDIRECT($H50&amp;"!"&amp;$AI50&amp;($AJ50+AS$15+1)),""),""))</f>
        <v/>
      </c>
      <c r="AT50" s="296" t="str" cm="1">
        <f t="array" aca="1" ref="AT50" ca="1">IF(OR($J50="Pluviomètre",LEFT($J50,5)="Sonde"),"",IF($H50&lt;&gt;"",IF(INDIRECT($H50&amp;"!"&amp;$AI50&amp;($AJ50+AT$15+1))&lt;&gt;"",INDIRECT($H50&amp;"!"&amp;$AI50&amp;($AJ50+AT$15+1)),""),""))</f>
        <v/>
      </c>
      <c r="AU50" s="412" cm="1">
        <f t="array" aca="1" ref="AU50" ca="1">SUMPRODUCT((Y50:AH50&lt;&gt;"")*(Y50:AH50&lt;&gt;"Non contrôlé")*(Y50:AH50&lt;&gt;"Non applicable"))</f>
        <v>0</v>
      </c>
      <c r="AV50" s="414">
        <f t="shared" ca="1" si="11"/>
        <v>-1</v>
      </c>
    </row>
    <row r="51" spans="1:48" x14ac:dyDescent="0.4">
      <c r="A51" s="80">
        <v>36</v>
      </c>
      <c r="B51" s="134" t="b">
        <f t="shared" si="6"/>
        <v>0</v>
      </c>
      <c r="C51" s="139" t="str" cm="1">
        <f t="array" aca="1" ref="C51" ca="1">IF(
    AND(
        $B51,
        OR(
            INDIRECT("Descriptif!$M"&amp;($B$1+$A51-1))="Préleveur",
            LEFT(INDIRECT("Descriptif!$M"&amp;($B$1+$A51-1)),5)="Sonde",
            LEFT(INDIRECT("Descriptif!$M"&amp;($B$1+$A51-1)),10)="Débitmètre",
            LEFT(INDIRECT("Descriptif!$F"&amp;($B$1+$A51-1)),6)="PLUVIO"        )
    ),
    INDIRECT("Descriptif!$"&amp;C$15&amp;($B$1 +$A51 -1)),
    ""
)</f>
        <v/>
      </c>
      <c r="D51" s="277" t="str" cm="1">
        <f t="array" aca="1" ref="D51" ca="1">IF(
    AND(
        $B51,
        OR(
            INDIRECT("Descriptif!$M"&amp;($B$1+$A51-1))="Préleveur",
            LEFT(INDIRECT("Descriptif!$M"&amp;($B$1+$A51-1)),5)="Sonde",
            LEFT(INDIRECT("Descriptif!$M"&amp;($B$1+$A51-1)),10)="Débitmètre",
            LEFT(INDIRECT("Descriptif!$F"&amp;($B$1+$A51-1)),6)="PLUVIO"       )
    ),
    IF(
        LEFT(INDIRECT("Descriptif!$F"&amp;($B$1+$A51-1)),11)="PLUVIO_STEU",
        "A3",
        IF(
            LEFT(INDIRECT("Descriptif!$F"&amp;($B$1+$A51-1)),10)="PLUVIO_SCL",
            "A1",
            INDIRECT("Descriptif!$"&amp;D$15&amp;($B$1 +$A51 -1))
        )
    ),
    ""
)</f>
        <v/>
      </c>
      <c r="E51" s="277" t="str" cm="1">
        <f t="array" aca="1" ref="E51" ca="1">IF(
    AND(
        $B51,
        OR(
            INDIRECT("Descriptif!$M"&amp;($B$1+$A51-1))="Préleveur",
            LEFT(INDIRECT("Descriptif!$M"&amp;($B$1+$A51-1)),5)="Sonde",
            LEFT(INDIRECT("Descriptif!$M"&amp;($B$1+$A51-1)),10)="Débitmètre",
            LEFT(INDIRECT("Descriptif!$F"&amp;($B$1+$A51-1)),6)="PLUVIO"
        )
    ),
    IF(LEFT(INDIRECT("Descriptif!$F"&amp;($B$1+$A51-1)),6)="PLUVIO","Pluviomètre",INDIRECT("Descriptif!$"&amp;E$15&amp;($B$1 +$A51 -1))),
    ""
)</f>
        <v/>
      </c>
      <c r="F51" s="19" t="str" cm="1">
        <f t="array" aca="1" ref="F51" ca="1">IF(
    AND(
        $B51,
        OR(
            INDIRECT("Descriptif!$M"&amp;($B$1+$A51-1))="Préleveur",
            LEFT(INDIRECT("Descriptif!$M"&amp;($B$1+$A51-1)),5)="Sonde",
            LEFT(INDIRECT("Descriptif!$M"&amp;($B$1+$A51-1)),10)="Débitmètre",
            LEFT(INDIRECT("Descriptif!$F"&amp;($B$1+$A51-1)),6)="PLUVIO"
        )
    ),
    IF(LEFT(INDIRECT("Descriptif!$F"&amp;($B$1+$A51-1)),6)="PLUVIO","Pluviomètre",INDIRECT("Descriptif!$"&amp;F$15&amp;($B$1 +$A51 -1))),
    ""
)</f>
        <v/>
      </c>
      <c r="G51" s="19" t="str" cm="1">
        <f t="array" aca="1" ref="G51" ca="1">IF(
    AND(
        $B51,
        OR(
            INDIRECT("Descriptif!$M"&amp;($B$1+$A51-1))="Préleveur",
            LEFT(INDIRECT("Descriptif!$M"&amp;($B$1+$A51-1)),5)="Sonde",
            LEFT(INDIRECT("Descriptif!$M"&amp;($B$1+$A51-1)),10)="Débitmètre",
            LEFT(INDIRECT("Descriptif!$F"&amp;($B$1+$A51-1)),6)="PLUVIO"
        )
    ),
    IF(LEFT(INDIRECT("Descriptif!$F"&amp;($B$1+$A51-1)),6)="PLUVIO","",INDIRECT("Descriptif!$"&amp;G$15&amp;($B$1 +$A51 -1))),
    ""
)</f>
        <v/>
      </c>
      <c r="H51" s="141" t="str" cm="1">
        <f t="array" aca="1" ref="H51" ca="1">IFERROR(INDEX($C$16:$C$116,SMALL(IF($C$16:$C$116&lt;&gt;"",ROW($C$16:$C$116)-ROW($C$16)+1),ROW(A36))),"")</f>
        <v/>
      </c>
      <c r="I51" s="140" t="str" cm="1">
        <f t="array" aca="1" ref="I51" ca="1">IFERROR(INDEX($D$16:$D$116,SMALL(IF($D$16:$D$116&lt;&gt;"",ROW($D$16:$D$116)-ROW($D$16)+1),ROW(A36))),"")</f>
        <v/>
      </c>
      <c r="J51" s="140" t="str" cm="1">
        <f t="array" aca="1" ref="J51" ca="1">IFERROR(INDEX($E$16:$E$116,SMALL(IF($E$16:$E$116&lt;&gt;"",ROW($E$16:$E$116)-ROW($E$16)+1),ROW(A36))),"")</f>
        <v/>
      </c>
      <c r="K51" s="140" t="str" cm="1">
        <f t="array" aca="1" ref="K51" ca="1">IFERROR(INDEX($F$16:$F$116,SMALL(IF($F$16:$F$116&lt;&gt;"",ROW($F$16:$F$116)-ROW($F$16)+1),ROW(A36))),"")</f>
        <v/>
      </c>
      <c r="L51" s="140" t="str">
        <f t="shared" ca="1" si="0"/>
        <v/>
      </c>
      <c r="M51" s="140" t="str" cm="1">
        <f t="array" aca="1" ref="M51" ca="1">IFERROR(INDEX($G$16:$G$116,SMALL(IF($G$16:$G$116&lt;&gt;"",ROW($G$16:$G$116)-ROW($G$16)+1),ROW(A36))),"")</f>
        <v/>
      </c>
      <c r="N51" s="145" t="str">
        <f t="shared" ca="1" si="12"/>
        <v/>
      </c>
      <c r="O51" s="146" t="str">
        <f t="shared" ca="1" si="13"/>
        <v/>
      </c>
      <c r="P51" s="146" t="str" cm="1">
        <f t="array" aca="1" ref="P51" ca="1">IF($J51&lt;&gt;"",IF(INDIRECT($H51&amp;"!"&amp;$O51)&lt;&gt;"",INDIRECT($H51&amp;"!"&amp;$O51),""),"")</f>
        <v/>
      </c>
      <c r="Q51" s="146" t="str">
        <f t="shared" ca="1" si="14"/>
        <v/>
      </c>
      <c r="R51" s="146" t="str" cm="1">
        <f t="array" aca="1" ref="R51" ca="1">IF($J51&lt;&gt;"",IF(INDIRECT($H51&amp;"!"&amp;$Q51)&lt;&gt;"",INDIRECT($H51&amp;"!"&amp;$Q51),""),"")</f>
        <v/>
      </c>
      <c r="S51" s="146" t="str">
        <f t="shared" ca="1" si="15"/>
        <v/>
      </c>
      <c r="T51" s="146" t="str" cm="1">
        <f t="array" aca="1" ref="T51" ca="1">IF($J51&lt;&gt;"",IF(INDIRECT($H51&amp;"!"&amp;$S51)&lt;&gt;"",INDIRECT($H51&amp;"!"&amp;$S51),""),"")</f>
        <v/>
      </c>
      <c r="U51" s="146" t="str">
        <f t="shared" ca="1" si="16"/>
        <v/>
      </c>
      <c r="V51" s="147" t="str" cm="1">
        <f t="array" aca="1" ref="V51" ca="1">IF($J51&lt;&gt;"",IF(INDIRECT($H51&amp;"!"&amp;$U51)&lt;&gt;"",INDIRECT($H51&amp;"!"&amp;$U51),""),"")</f>
        <v/>
      </c>
      <c r="W51" s="294" t="str">
        <f t="shared" ca="1" si="7"/>
        <v/>
      </c>
      <c r="X51" s="295" t="str">
        <f t="shared" ca="1" si="8"/>
        <v/>
      </c>
      <c r="Y51" s="296" t="str" cm="1">
        <f t="array" aca="1" ref="Y51" ca="1">IF($H51&lt;&gt;"",IF(INDIRECT($H51&amp;"!"&amp;$W51&amp;($X51+Y$15+1))&lt;&gt;"",INDIRECT($H51&amp;"!"&amp;$W51&amp;($X51+Y$15+1)),""),"")</f>
        <v/>
      </c>
      <c r="Z51" s="296" t="str" cm="1">
        <f t="array" aca="1" ref="Z51" ca="1">IF($H51&lt;&gt;"",IF(INDIRECT($H51&amp;"!"&amp;$W51&amp;($X51+Z$15+1))&lt;&gt;"",INDIRECT($H51&amp;"!"&amp;$W51&amp;($X51+Z$15+1)),""),"")</f>
        <v/>
      </c>
      <c r="AA51" s="296" t="str" cm="1">
        <f t="array" aca="1" ref="AA51" ca="1">IF($H51&lt;&gt;"",IF(INDIRECT($H51&amp;"!"&amp;$W51&amp;($X51+AA$15+1))&lt;&gt;"",INDIRECT($H51&amp;"!"&amp;$W51&amp;($X51+AA$15+1)),""),"")</f>
        <v/>
      </c>
      <c r="AB51" s="296" t="str" cm="1">
        <f t="array" aca="1" ref="AB51" ca="1">IF($H51&lt;&gt;"",IF(INDIRECT($H51&amp;"!"&amp;$W51&amp;($X51+AB$15+1))&lt;&gt;"",INDIRECT($H51&amp;"!"&amp;$W51&amp;($X51+AB$15+1)),""),"")</f>
        <v/>
      </c>
      <c r="AC51" s="296" t="str" cm="1">
        <f t="array" aca="1" ref="AC51" ca="1">IF(LEFT($J51,5)="Sonde","",IF($H51&lt;&gt;"",IF(INDIRECT($H51&amp;"!"&amp;$W51&amp;($X51+AC$15+1))&lt;&gt;"",INDIRECT($H51&amp;"!"&amp;$W51&amp;($X51+AC$15+1)),""),""))</f>
        <v/>
      </c>
      <c r="AD51" s="296" t="str" cm="1">
        <f t="array" aca="1" ref="AD51" ca="1">IF(OR($J51="Pluviomètre",LEFT($J51,5)="Sonde"),"",IF($H51&lt;&gt;"",IF(INDIRECT($H51&amp;"!"&amp;$W51&amp;($X51+AD$15+1))&lt;&gt;"",INDIRECT($H51&amp;"!"&amp;$W51&amp;($X51+AD$15+1)),""),""))</f>
        <v/>
      </c>
      <c r="AE51" s="296" t="str" cm="1">
        <f t="array" aca="1" ref="AE51" ca="1">IF(OR($J51="Pluviomètre",LEFT($J51,5)="Sonde"),"",IF($H51&lt;&gt;"",IF(INDIRECT($H51&amp;"!"&amp;$W51&amp;($X51+AE$15+1))&lt;&gt;"",INDIRECT($H51&amp;"!"&amp;$W51&amp;($X51+AE$15+1)),""),""))</f>
        <v/>
      </c>
      <c r="AF51" s="296" t="str" cm="1">
        <f t="array" aca="1" ref="AF51" ca="1">IF(OR($J51="Pluviomètre",LEFT($J51,5)="Sonde"),"",IF($H51&lt;&gt;"",IF(INDIRECT($H51&amp;"!"&amp;$W51&amp;($X51+AF$15+1))&lt;&gt;"",INDIRECT($H51&amp;"!"&amp;$W51&amp;($X51+AF$15+1)),""),""))</f>
        <v/>
      </c>
      <c r="AG51" s="296" t="str" cm="1">
        <f t="array" aca="1" ref="AG51" ca="1">IF(OR($J51="Pluviomètre",LEFT($J51,5)="Sonde"),"",IF($H51&lt;&gt;"",IF(INDIRECT($H51&amp;"!"&amp;$W51&amp;($X51+AG$15+1))&lt;&gt;"",INDIRECT($H51&amp;"!"&amp;$W51&amp;($X51+AG$15+1)),""),""))</f>
        <v/>
      </c>
      <c r="AH51" s="296" t="str" cm="1">
        <f t="array" aca="1" ref="AH51" ca="1">IF(OR($J51="Pluviomètre",LEFT($J51,5)="Sonde"),"",IF($H51&lt;&gt;"",IF(INDIRECT($H51&amp;"!"&amp;$W51&amp;($X51+AH$15+1))&lt;&gt;"",INDIRECT($H51&amp;"!"&amp;$W51&amp;($X51+AH$15+1)),""),""))</f>
        <v/>
      </c>
      <c r="AI51" s="294" t="str">
        <f t="shared" ca="1" si="9"/>
        <v/>
      </c>
      <c r="AJ51" s="295" t="str">
        <f t="shared" ca="1" si="10"/>
        <v/>
      </c>
      <c r="AK51" s="296" t="str" cm="1">
        <f t="array" aca="1" ref="AK51" ca="1">IF($H51&lt;&gt;"",IF(INDIRECT($H51&amp;"!"&amp;$AI51&amp;($AJ51+AK$15+1))&lt;&gt;"",INDIRECT($H51&amp;"!"&amp;$AI51&amp;($AJ51+AK$15+1)),""),"")</f>
        <v/>
      </c>
      <c r="AL51" s="296" t="str" cm="1">
        <f t="array" aca="1" ref="AL51" ca="1">IF($H51&lt;&gt;"",IF(INDIRECT($H51&amp;"!"&amp;$AI51&amp;($AJ51+AL$15+1))&lt;&gt;"",INDIRECT($H51&amp;"!"&amp;$AI51&amp;($AJ51+AL$15+1)),""),"")</f>
        <v/>
      </c>
      <c r="AM51" s="296" t="str" cm="1">
        <f t="array" aca="1" ref="AM51" ca="1">IF($H51&lt;&gt;"",IF(INDIRECT($H51&amp;"!"&amp;$AI51&amp;($AJ51+AM$15+1))&lt;&gt;"",INDIRECT($H51&amp;"!"&amp;$AI51&amp;($AJ51+AM$15+1)),""),"")</f>
        <v/>
      </c>
      <c r="AN51" s="296" t="str" cm="1">
        <f t="array" aca="1" ref="AN51" ca="1">IF($H51&lt;&gt;"",IF(INDIRECT($H51&amp;"!"&amp;$AI51&amp;($AJ51+AN$15+1))&lt;&gt;"",INDIRECT($H51&amp;"!"&amp;$AI51&amp;($AJ51+AN$15+1)),""),"")</f>
        <v/>
      </c>
      <c r="AO51" s="296" t="str" cm="1">
        <f t="array" aca="1" ref="AO51" ca="1">IF(LEFT($J51,5)="Sonde","",IF($H51&lt;&gt;"",IF(INDIRECT($H51&amp;"!"&amp;$AI51&amp;($AJ51+AO$15+1))&lt;&gt;"",INDIRECT($H51&amp;"!"&amp;$AI51&amp;($AJ51+AO$15+1)),""),""))</f>
        <v/>
      </c>
      <c r="AP51" s="296" t="str" cm="1">
        <f t="array" aca="1" ref="AP51" ca="1">IF(OR($J51="Pluviomètre",LEFT($J51,5)="Sonde"),"",IF($H51&lt;&gt;"",IF(INDIRECT($H51&amp;"!"&amp;$AI51&amp;($AJ51+AP$15+1))&lt;&gt;"",INDIRECT($H51&amp;"!"&amp;$AI51&amp;($AJ51+AP$15+1)),""),""))</f>
        <v/>
      </c>
      <c r="AQ51" s="296" t="str" cm="1">
        <f t="array" aca="1" ref="AQ51" ca="1">IF(OR($J51="Pluviomètre",LEFT($J51,5)="Sonde"),"",IF($H51&lt;&gt;"",IF(INDIRECT($H51&amp;"!"&amp;$AI51&amp;($AJ51+AQ$15+1))&lt;&gt;"",INDIRECT($H51&amp;"!"&amp;$AI51&amp;($AJ51+AQ$15+1)),""),""))</f>
        <v/>
      </c>
      <c r="AR51" s="296" t="str" cm="1">
        <f t="array" aca="1" ref="AR51" ca="1">IF(OR($J51="Pluviomètre",LEFT($J51,5)="Sonde"),"",IF($H51&lt;&gt;"",IF(INDIRECT($H51&amp;"!"&amp;$AI51&amp;($AJ51+AR$15+1))&lt;&gt;"",INDIRECT($H51&amp;"!"&amp;$AI51&amp;($AJ51+AR$15+1)),""),""))</f>
        <v/>
      </c>
      <c r="AS51" s="296" t="str" cm="1">
        <f t="array" aca="1" ref="AS51" ca="1">IF(OR($J51="Pluviomètre",LEFT($J51,5)="Sonde"),"",IF($H51&lt;&gt;"",IF(INDIRECT($H51&amp;"!"&amp;$AI51&amp;($AJ51+AS$15+1))&lt;&gt;"",INDIRECT($H51&amp;"!"&amp;$AI51&amp;($AJ51+AS$15+1)),""),""))</f>
        <v/>
      </c>
      <c r="AT51" s="296" t="str" cm="1">
        <f t="array" aca="1" ref="AT51" ca="1">IF(OR($J51="Pluviomètre",LEFT($J51,5)="Sonde"),"",IF($H51&lt;&gt;"",IF(INDIRECT($H51&amp;"!"&amp;$AI51&amp;($AJ51+AT$15+1))&lt;&gt;"",INDIRECT($H51&amp;"!"&amp;$AI51&amp;($AJ51+AT$15+1)),""),""))</f>
        <v/>
      </c>
      <c r="AU51" s="412" cm="1">
        <f t="array" aca="1" ref="AU51" ca="1">SUMPRODUCT((Y51:AH51&lt;&gt;"")*(Y51:AH51&lt;&gt;"Non contrôlé")*(Y51:AH51&lt;&gt;"Non applicable"))</f>
        <v>0</v>
      </c>
      <c r="AV51" s="414">
        <f t="shared" ca="1" si="11"/>
        <v>-1</v>
      </c>
    </row>
    <row r="52" spans="1:48" x14ac:dyDescent="0.4">
      <c r="A52" s="80">
        <v>37</v>
      </c>
      <c r="B52" s="134" t="b">
        <f t="shared" si="6"/>
        <v>0</v>
      </c>
      <c r="C52" s="139" t="str" cm="1">
        <f t="array" aca="1" ref="C52" ca="1">IF(
    AND(
        $B52,
        OR(
            INDIRECT("Descriptif!$M"&amp;($B$1+$A52-1))="Préleveur",
            LEFT(INDIRECT("Descriptif!$M"&amp;($B$1+$A52-1)),5)="Sonde",
            LEFT(INDIRECT("Descriptif!$M"&amp;($B$1+$A52-1)),10)="Débitmètre",
            LEFT(INDIRECT("Descriptif!$F"&amp;($B$1+$A52-1)),6)="PLUVIO"        )
    ),
    INDIRECT("Descriptif!$"&amp;C$15&amp;($B$1 +$A52 -1)),
    ""
)</f>
        <v/>
      </c>
      <c r="D52" s="277" t="str" cm="1">
        <f t="array" aca="1" ref="D52" ca="1">IF(
    AND(
        $B52,
        OR(
            INDIRECT("Descriptif!$M"&amp;($B$1+$A52-1))="Préleveur",
            LEFT(INDIRECT("Descriptif!$M"&amp;($B$1+$A52-1)),5)="Sonde",
            LEFT(INDIRECT("Descriptif!$M"&amp;($B$1+$A52-1)),10)="Débitmètre",
            LEFT(INDIRECT("Descriptif!$F"&amp;($B$1+$A52-1)),6)="PLUVIO"       )
    ),
    IF(
        LEFT(INDIRECT("Descriptif!$F"&amp;($B$1+$A52-1)),11)="PLUVIO_STEU",
        "A3",
        IF(
            LEFT(INDIRECT("Descriptif!$F"&amp;($B$1+$A52-1)),10)="PLUVIO_SCL",
            "A1",
            INDIRECT("Descriptif!$"&amp;D$15&amp;($B$1 +$A52 -1))
        )
    ),
    ""
)</f>
        <v/>
      </c>
      <c r="E52" s="277" t="str" cm="1">
        <f t="array" aca="1" ref="E52" ca="1">IF(
    AND(
        $B52,
        OR(
            INDIRECT("Descriptif!$M"&amp;($B$1+$A52-1))="Préleveur",
            LEFT(INDIRECT("Descriptif!$M"&amp;($B$1+$A52-1)),5)="Sonde",
            LEFT(INDIRECT("Descriptif!$M"&amp;($B$1+$A52-1)),10)="Débitmètre",
            LEFT(INDIRECT("Descriptif!$F"&amp;($B$1+$A52-1)),6)="PLUVIO"
        )
    ),
    IF(LEFT(INDIRECT("Descriptif!$F"&amp;($B$1+$A52-1)),6)="PLUVIO","Pluviomètre",INDIRECT("Descriptif!$"&amp;E$15&amp;($B$1 +$A52 -1))),
    ""
)</f>
        <v/>
      </c>
      <c r="F52" s="19" t="str" cm="1">
        <f t="array" aca="1" ref="F52" ca="1">IF(
    AND(
        $B52,
        OR(
            INDIRECT("Descriptif!$M"&amp;($B$1+$A52-1))="Préleveur",
            LEFT(INDIRECT("Descriptif!$M"&amp;($B$1+$A52-1)),5)="Sonde",
            LEFT(INDIRECT("Descriptif!$M"&amp;($B$1+$A52-1)),10)="Débitmètre",
            LEFT(INDIRECT("Descriptif!$F"&amp;($B$1+$A52-1)),6)="PLUVIO"
        )
    ),
    IF(LEFT(INDIRECT("Descriptif!$F"&amp;($B$1+$A52-1)),6)="PLUVIO","Pluviomètre",INDIRECT("Descriptif!$"&amp;F$15&amp;($B$1 +$A52 -1))),
    ""
)</f>
        <v/>
      </c>
      <c r="G52" s="19" t="str" cm="1">
        <f t="array" aca="1" ref="G52" ca="1">IF(
    AND(
        $B52,
        OR(
            INDIRECT("Descriptif!$M"&amp;($B$1+$A52-1))="Préleveur",
            LEFT(INDIRECT("Descriptif!$M"&amp;($B$1+$A52-1)),5)="Sonde",
            LEFT(INDIRECT("Descriptif!$M"&amp;($B$1+$A52-1)),10)="Débitmètre",
            LEFT(INDIRECT("Descriptif!$F"&amp;($B$1+$A52-1)),6)="PLUVIO"
        )
    ),
    IF(LEFT(INDIRECT("Descriptif!$F"&amp;($B$1+$A52-1)),6)="PLUVIO","",INDIRECT("Descriptif!$"&amp;G$15&amp;($B$1 +$A52 -1))),
    ""
)</f>
        <v/>
      </c>
      <c r="H52" s="141" t="str" cm="1">
        <f t="array" aca="1" ref="H52" ca="1">IFERROR(INDEX($C$16:$C$116,SMALL(IF($C$16:$C$116&lt;&gt;"",ROW($C$16:$C$116)-ROW($C$16)+1),ROW(A37))),"")</f>
        <v/>
      </c>
      <c r="I52" s="140" t="str" cm="1">
        <f t="array" aca="1" ref="I52" ca="1">IFERROR(INDEX($D$16:$D$116,SMALL(IF($D$16:$D$116&lt;&gt;"",ROW($D$16:$D$116)-ROW($D$16)+1),ROW(A37))),"")</f>
        <v/>
      </c>
      <c r="J52" s="140" t="str" cm="1">
        <f t="array" aca="1" ref="J52" ca="1">IFERROR(INDEX($E$16:$E$116,SMALL(IF($E$16:$E$116&lt;&gt;"",ROW($E$16:$E$116)-ROW($E$16)+1),ROW(A37))),"")</f>
        <v/>
      </c>
      <c r="K52" s="140" t="str" cm="1">
        <f t="array" aca="1" ref="K52" ca="1">IFERROR(INDEX($F$16:$F$116,SMALL(IF($F$16:$F$116&lt;&gt;"",ROW($F$16:$F$116)-ROW($F$16)+1),ROW(A37))),"")</f>
        <v/>
      </c>
      <c r="L52" s="140" t="str">
        <f t="shared" ca="1" si="0"/>
        <v/>
      </c>
      <c r="M52" s="140" t="str" cm="1">
        <f t="array" aca="1" ref="M52" ca="1">IFERROR(INDEX($G$16:$G$116,SMALL(IF($G$16:$G$116&lt;&gt;"",ROW($G$16:$G$116)-ROW($G$16)+1),ROW(A37))),"")</f>
        <v/>
      </c>
      <c r="N52" s="145" t="str">
        <f t="shared" ca="1" si="12"/>
        <v/>
      </c>
      <c r="O52" s="146" t="str">
        <f t="shared" ca="1" si="13"/>
        <v/>
      </c>
      <c r="P52" s="146" t="str" cm="1">
        <f t="array" aca="1" ref="P52" ca="1">IF($J52&lt;&gt;"",IF(INDIRECT($H52&amp;"!"&amp;$O52)&lt;&gt;"",INDIRECT($H52&amp;"!"&amp;$O52),""),"")</f>
        <v/>
      </c>
      <c r="Q52" s="146" t="str">
        <f t="shared" ca="1" si="14"/>
        <v/>
      </c>
      <c r="R52" s="146" t="str" cm="1">
        <f t="array" aca="1" ref="R52" ca="1">IF($J52&lt;&gt;"",IF(INDIRECT($H52&amp;"!"&amp;$Q52)&lt;&gt;"",INDIRECT($H52&amp;"!"&amp;$Q52),""),"")</f>
        <v/>
      </c>
      <c r="S52" s="146" t="str">
        <f t="shared" ca="1" si="15"/>
        <v/>
      </c>
      <c r="T52" s="146" t="str" cm="1">
        <f t="array" aca="1" ref="T52" ca="1">IF($J52&lt;&gt;"",IF(INDIRECT($H52&amp;"!"&amp;$S52)&lt;&gt;"",INDIRECT($H52&amp;"!"&amp;$S52),""),"")</f>
        <v/>
      </c>
      <c r="U52" s="146" t="str">
        <f t="shared" ca="1" si="16"/>
        <v/>
      </c>
      <c r="V52" s="147" t="str" cm="1">
        <f t="array" aca="1" ref="V52" ca="1">IF($J52&lt;&gt;"",IF(INDIRECT($H52&amp;"!"&amp;$U52)&lt;&gt;"",INDIRECT($H52&amp;"!"&amp;$U52),""),"")</f>
        <v/>
      </c>
      <c r="W52" s="294" t="str">
        <f t="shared" ca="1" si="7"/>
        <v/>
      </c>
      <c r="X52" s="295" t="str">
        <f t="shared" ca="1" si="8"/>
        <v/>
      </c>
      <c r="Y52" s="296" t="str" cm="1">
        <f t="array" aca="1" ref="Y52" ca="1">IF($H52&lt;&gt;"",IF(INDIRECT($H52&amp;"!"&amp;$W52&amp;($X52+Y$15+1))&lt;&gt;"",INDIRECT($H52&amp;"!"&amp;$W52&amp;($X52+Y$15+1)),""),"")</f>
        <v/>
      </c>
      <c r="Z52" s="296" t="str" cm="1">
        <f t="array" aca="1" ref="Z52" ca="1">IF($H52&lt;&gt;"",IF(INDIRECT($H52&amp;"!"&amp;$W52&amp;($X52+Z$15+1))&lt;&gt;"",INDIRECT($H52&amp;"!"&amp;$W52&amp;($X52+Z$15+1)),""),"")</f>
        <v/>
      </c>
      <c r="AA52" s="296" t="str" cm="1">
        <f t="array" aca="1" ref="AA52" ca="1">IF($H52&lt;&gt;"",IF(INDIRECT($H52&amp;"!"&amp;$W52&amp;($X52+AA$15+1))&lt;&gt;"",INDIRECT($H52&amp;"!"&amp;$W52&amp;($X52+AA$15+1)),""),"")</f>
        <v/>
      </c>
      <c r="AB52" s="296" t="str" cm="1">
        <f t="array" aca="1" ref="AB52" ca="1">IF($H52&lt;&gt;"",IF(INDIRECT($H52&amp;"!"&amp;$W52&amp;($X52+AB$15+1))&lt;&gt;"",INDIRECT($H52&amp;"!"&amp;$W52&amp;($X52+AB$15+1)),""),"")</f>
        <v/>
      </c>
      <c r="AC52" s="296" t="str" cm="1">
        <f t="array" aca="1" ref="AC52" ca="1">IF(LEFT($J52,5)="Sonde","",IF($H52&lt;&gt;"",IF(INDIRECT($H52&amp;"!"&amp;$W52&amp;($X52+AC$15+1))&lt;&gt;"",INDIRECT($H52&amp;"!"&amp;$W52&amp;($X52+AC$15+1)),""),""))</f>
        <v/>
      </c>
      <c r="AD52" s="296" t="str" cm="1">
        <f t="array" aca="1" ref="AD52" ca="1">IF(OR($J52="Pluviomètre",LEFT($J52,5)="Sonde"),"",IF($H52&lt;&gt;"",IF(INDIRECT($H52&amp;"!"&amp;$W52&amp;($X52+AD$15+1))&lt;&gt;"",INDIRECT($H52&amp;"!"&amp;$W52&amp;($X52+AD$15+1)),""),""))</f>
        <v/>
      </c>
      <c r="AE52" s="296" t="str" cm="1">
        <f t="array" aca="1" ref="AE52" ca="1">IF(OR($J52="Pluviomètre",LEFT($J52,5)="Sonde"),"",IF($H52&lt;&gt;"",IF(INDIRECT($H52&amp;"!"&amp;$W52&amp;($X52+AE$15+1))&lt;&gt;"",INDIRECT($H52&amp;"!"&amp;$W52&amp;($X52+AE$15+1)),""),""))</f>
        <v/>
      </c>
      <c r="AF52" s="296" t="str" cm="1">
        <f t="array" aca="1" ref="AF52" ca="1">IF(OR($J52="Pluviomètre",LEFT($J52,5)="Sonde"),"",IF($H52&lt;&gt;"",IF(INDIRECT($H52&amp;"!"&amp;$W52&amp;($X52+AF$15+1))&lt;&gt;"",INDIRECT($H52&amp;"!"&amp;$W52&amp;($X52+AF$15+1)),""),""))</f>
        <v/>
      </c>
      <c r="AG52" s="296" t="str" cm="1">
        <f t="array" aca="1" ref="AG52" ca="1">IF(OR($J52="Pluviomètre",LEFT($J52,5)="Sonde"),"",IF($H52&lt;&gt;"",IF(INDIRECT($H52&amp;"!"&amp;$W52&amp;($X52+AG$15+1))&lt;&gt;"",INDIRECT($H52&amp;"!"&amp;$W52&amp;($X52+AG$15+1)),""),""))</f>
        <v/>
      </c>
      <c r="AH52" s="296" t="str" cm="1">
        <f t="array" aca="1" ref="AH52" ca="1">IF(OR($J52="Pluviomètre",LEFT($J52,5)="Sonde"),"",IF($H52&lt;&gt;"",IF(INDIRECT($H52&amp;"!"&amp;$W52&amp;($X52+AH$15+1))&lt;&gt;"",INDIRECT($H52&amp;"!"&amp;$W52&amp;($X52+AH$15+1)),""),""))</f>
        <v/>
      </c>
      <c r="AI52" s="294" t="str">
        <f t="shared" ca="1" si="9"/>
        <v/>
      </c>
      <c r="AJ52" s="295" t="str">
        <f t="shared" ca="1" si="10"/>
        <v/>
      </c>
      <c r="AK52" s="296" t="str" cm="1">
        <f t="array" aca="1" ref="AK52" ca="1">IF($H52&lt;&gt;"",IF(INDIRECT($H52&amp;"!"&amp;$AI52&amp;($AJ52+AK$15+1))&lt;&gt;"",INDIRECT($H52&amp;"!"&amp;$AI52&amp;($AJ52+AK$15+1)),""),"")</f>
        <v/>
      </c>
      <c r="AL52" s="296" t="str" cm="1">
        <f t="array" aca="1" ref="AL52" ca="1">IF($H52&lt;&gt;"",IF(INDIRECT($H52&amp;"!"&amp;$AI52&amp;($AJ52+AL$15+1))&lt;&gt;"",INDIRECT($H52&amp;"!"&amp;$AI52&amp;($AJ52+AL$15+1)),""),"")</f>
        <v/>
      </c>
      <c r="AM52" s="296" t="str" cm="1">
        <f t="array" aca="1" ref="AM52" ca="1">IF($H52&lt;&gt;"",IF(INDIRECT($H52&amp;"!"&amp;$AI52&amp;($AJ52+AM$15+1))&lt;&gt;"",INDIRECT($H52&amp;"!"&amp;$AI52&amp;($AJ52+AM$15+1)),""),"")</f>
        <v/>
      </c>
      <c r="AN52" s="296" t="str" cm="1">
        <f t="array" aca="1" ref="AN52" ca="1">IF($H52&lt;&gt;"",IF(INDIRECT($H52&amp;"!"&amp;$AI52&amp;($AJ52+AN$15+1))&lt;&gt;"",INDIRECT($H52&amp;"!"&amp;$AI52&amp;($AJ52+AN$15+1)),""),"")</f>
        <v/>
      </c>
      <c r="AO52" s="296" t="str" cm="1">
        <f t="array" aca="1" ref="AO52" ca="1">IF(LEFT($J52,5)="Sonde","",IF($H52&lt;&gt;"",IF(INDIRECT($H52&amp;"!"&amp;$AI52&amp;($AJ52+AO$15+1))&lt;&gt;"",INDIRECT($H52&amp;"!"&amp;$AI52&amp;($AJ52+AO$15+1)),""),""))</f>
        <v/>
      </c>
      <c r="AP52" s="296" t="str" cm="1">
        <f t="array" aca="1" ref="AP52" ca="1">IF(OR($J52="Pluviomètre",LEFT($J52,5)="Sonde"),"",IF($H52&lt;&gt;"",IF(INDIRECT($H52&amp;"!"&amp;$AI52&amp;($AJ52+AP$15+1))&lt;&gt;"",INDIRECT($H52&amp;"!"&amp;$AI52&amp;($AJ52+AP$15+1)),""),""))</f>
        <v/>
      </c>
      <c r="AQ52" s="296" t="str" cm="1">
        <f t="array" aca="1" ref="AQ52" ca="1">IF(OR($J52="Pluviomètre",LEFT($J52,5)="Sonde"),"",IF($H52&lt;&gt;"",IF(INDIRECT($H52&amp;"!"&amp;$AI52&amp;($AJ52+AQ$15+1))&lt;&gt;"",INDIRECT($H52&amp;"!"&amp;$AI52&amp;($AJ52+AQ$15+1)),""),""))</f>
        <v/>
      </c>
      <c r="AR52" s="296" t="str" cm="1">
        <f t="array" aca="1" ref="AR52" ca="1">IF(OR($J52="Pluviomètre",LEFT($J52,5)="Sonde"),"",IF($H52&lt;&gt;"",IF(INDIRECT($H52&amp;"!"&amp;$AI52&amp;($AJ52+AR$15+1))&lt;&gt;"",INDIRECT($H52&amp;"!"&amp;$AI52&amp;($AJ52+AR$15+1)),""),""))</f>
        <v/>
      </c>
      <c r="AS52" s="296" t="str" cm="1">
        <f t="array" aca="1" ref="AS52" ca="1">IF(OR($J52="Pluviomètre",LEFT($J52,5)="Sonde"),"",IF($H52&lt;&gt;"",IF(INDIRECT($H52&amp;"!"&amp;$AI52&amp;($AJ52+AS$15+1))&lt;&gt;"",INDIRECT($H52&amp;"!"&amp;$AI52&amp;($AJ52+AS$15+1)),""),""))</f>
        <v/>
      </c>
      <c r="AT52" s="296" t="str" cm="1">
        <f t="array" aca="1" ref="AT52" ca="1">IF(OR($J52="Pluviomètre",LEFT($J52,5)="Sonde"),"",IF($H52&lt;&gt;"",IF(INDIRECT($H52&amp;"!"&amp;$AI52&amp;($AJ52+AT$15+1))&lt;&gt;"",INDIRECT($H52&amp;"!"&amp;$AI52&amp;($AJ52+AT$15+1)),""),""))</f>
        <v/>
      </c>
      <c r="AU52" s="412" cm="1">
        <f t="array" aca="1" ref="AU52" ca="1">SUMPRODUCT((Y52:AH52&lt;&gt;"")*(Y52:AH52&lt;&gt;"Non contrôlé")*(Y52:AH52&lt;&gt;"Non applicable"))</f>
        <v>0</v>
      </c>
      <c r="AV52" s="414">
        <f t="shared" ca="1" si="11"/>
        <v>-1</v>
      </c>
    </row>
    <row r="53" spans="1:48" x14ac:dyDescent="0.4">
      <c r="A53" s="80">
        <v>38</v>
      </c>
      <c r="B53" s="134" t="b">
        <f t="shared" si="6"/>
        <v>0</v>
      </c>
      <c r="C53" s="139" t="str" cm="1">
        <f t="array" aca="1" ref="C53" ca="1">IF(
    AND(
        $B53,
        OR(
            INDIRECT("Descriptif!$M"&amp;($B$1+$A53-1))="Préleveur",
            LEFT(INDIRECT("Descriptif!$M"&amp;($B$1+$A53-1)),5)="Sonde",
            LEFT(INDIRECT("Descriptif!$M"&amp;($B$1+$A53-1)),10)="Débitmètre",
            LEFT(INDIRECT("Descriptif!$F"&amp;($B$1+$A53-1)),6)="PLUVIO"        )
    ),
    INDIRECT("Descriptif!$"&amp;C$15&amp;($B$1 +$A53 -1)),
    ""
)</f>
        <v/>
      </c>
      <c r="D53" s="277" t="str" cm="1">
        <f t="array" aca="1" ref="D53" ca="1">IF(
    AND(
        $B53,
        OR(
            INDIRECT("Descriptif!$M"&amp;($B$1+$A53-1))="Préleveur",
            LEFT(INDIRECT("Descriptif!$M"&amp;($B$1+$A53-1)),5)="Sonde",
            LEFT(INDIRECT("Descriptif!$M"&amp;($B$1+$A53-1)),10)="Débitmètre",
            LEFT(INDIRECT("Descriptif!$F"&amp;($B$1+$A53-1)),6)="PLUVIO"       )
    ),
    IF(
        LEFT(INDIRECT("Descriptif!$F"&amp;($B$1+$A53-1)),11)="PLUVIO_STEU",
        "A3",
        IF(
            LEFT(INDIRECT("Descriptif!$F"&amp;($B$1+$A53-1)),10)="PLUVIO_SCL",
            "A1",
            INDIRECT("Descriptif!$"&amp;D$15&amp;($B$1 +$A53 -1))
        )
    ),
    ""
)</f>
        <v/>
      </c>
      <c r="E53" s="277" t="str" cm="1">
        <f t="array" aca="1" ref="E53" ca="1">IF(
    AND(
        $B53,
        OR(
            INDIRECT("Descriptif!$M"&amp;($B$1+$A53-1))="Préleveur",
            LEFT(INDIRECT("Descriptif!$M"&amp;($B$1+$A53-1)),5)="Sonde",
            LEFT(INDIRECT("Descriptif!$M"&amp;($B$1+$A53-1)),10)="Débitmètre",
            LEFT(INDIRECT("Descriptif!$F"&amp;($B$1+$A53-1)),6)="PLUVIO"
        )
    ),
    IF(LEFT(INDIRECT("Descriptif!$F"&amp;($B$1+$A53-1)),6)="PLUVIO","Pluviomètre",INDIRECT("Descriptif!$"&amp;E$15&amp;($B$1 +$A53 -1))),
    ""
)</f>
        <v/>
      </c>
      <c r="F53" s="19" t="str" cm="1">
        <f t="array" aca="1" ref="F53" ca="1">IF(
    AND(
        $B53,
        OR(
            INDIRECT("Descriptif!$M"&amp;($B$1+$A53-1))="Préleveur",
            LEFT(INDIRECT("Descriptif!$M"&amp;($B$1+$A53-1)),5)="Sonde",
            LEFT(INDIRECT("Descriptif!$M"&amp;($B$1+$A53-1)),10)="Débitmètre",
            LEFT(INDIRECT("Descriptif!$F"&amp;($B$1+$A53-1)),6)="PLUVIO"
        )
    ),
    IF(LEFT(INDIRECT("Descriptif!$F"&amp;($B$1+$A53-1)),6)="PLUVIO","Pluviomètre",INDIRECT("Descriptif!$"&amp;F$15&amp;($B$1 +$A53 -1))),
    ""
)</f>
        <v/>
      </c>
      <c r="G53" s="19" t="str" cm="1">
        <f t="array" aca="1" ref="G53" ca="1">IF(
    AND(
        $B53,
        OR(
            INDIRECT("Descriptif!$M"&amp;($B$1+$A53-1))="Préleveur",
            LEFT(INDIRECT("Descriptif!$M"&amp;($B$1+$A53-1)),5)="Sonde",
            LEFT(INDIRECT("Descriptif!$M"&amp;($B$1+$A53-1)),10)="Débitmètre",
            LEFT(INDIRECT("Descriptif!$F"&amp;($B$1+$A53-1)),6)="PLUVIO"
        )
    ),
    IF(LEFT(INDIRECT("Descriptif!$F"&amp;($B$1+$A53-1)),6)="PLUVIO","",INDIRECT("Descriptif!$"&amp;G$15&amp;($B$1 +$A53 -1))),
    ""
)</f>
        <v/>
      </c>
      <c r="H53" s="141" t="str" cm="1">
        <f t="array" aca="1" ref="H53" ca="1">IFERROR(INDEX($C$16:$C$116,SMALL(IF($C$16:$C$116&lt;&gt;"",ROW($C$16:$C$116)-ROW($C$16)+1),ROW(A38))),"")</f>
        <v/>
      </c>
      <c r="I53" s="140" t="str" cm="1">
        <f t="array" aca="1" ref="I53" ca="1">IFERROR(INDEX($D$16:$D$116,SMALL(IF($D$16:$D$116&lt;&gt;"",ROW($D$16:$D$116)-ROW($D$16)+1),ROW(A38))),"")</f>
        <v/>
      </c>
      <c r="J53" s="140" t="str" cm="1">
        <f t="array" aca="1" ref="J53" ca="1">IFERROR(INDEX($E$16:$E$116,SMALL(IF($E$16:$E$116&lt;&gt;"",ROW($E$16:$E$116)-ROW($E$16)+1),ROW(A38))),"")</f>
        <v/>
      </c>
      <c r="K53" s="140" t="str" cm="1">
        <f t="array" aca="1" ref="K53" ca="1">IFERROR(INDEX($F$16:$F$116,SMALL(IF($F$16:$F$116&lt;&gt;"",ROW($F$16:$F$116)-ROW($F$16)+1),ROW(A38))),"")</f>
        <v/>
      </c>
      <c r="L53" s="140" t="str">
        <f t="shared" ca="1" si="0"/>
        <v/>
      </c>
      <c r="M53" s="140" t="str" cm="1">
        <f t="array" aca="1" ref="M53" ca="1">IFERROR(INDEX($G$16:$G$116,SMALL(IF($G$16:$G$116&lt;&gt;"",ROW($G$16:$G$116)-ROW($G$16)+1),ROW(A38))),"")</f>
        <v/>
      </c>
      <c r="N53" s="145" t="str">
        <f t="shared" ca="1" si="12"/>
        <v/>
      </c>
      <c r="O53" s="146" t="str">
        <f t="shared" ca="1" si="13"/>
        <v/>
      </c>
      <c r="P53" s="146" t="str" cm="1">
        <f t="array" aca="1" ref="P53" ca="1">IF($J53&lt;&gt;"",IF(INDIRECT($H53&amp;"!"&amp;$O53)&lt;&gt;"",INDIRECT($H53&amp;"!"&amp;$O53),""),"")</f>
        <v/>
      </c>
      <c r="Q53" s="146" t="str">
        <f t="shared" ca="1" si="14"/>
        <v/>
      </c>
      <c r="R53" s="146" t="str" cm="1">
        <f t="array" aca="1" ref="R53" ca="1">IF($J53&lt;&gt;"",IF(INDIRECT($H53&amp;"!"&amp;$Q53)&lt;&gt;"",INDIRECT($H53&amp;"!"&amp;$Q53),""),"")</f>
        <v/>
      </c>
      <c r="S53" s="146" t="str">
        <f t="shared" ca="1" si="15"/>
        <v/>
      </c>
      <c r="T53" s="146" t="str" cm="1">
        <f t="array" aca="1" ref="T53" ca="1">IF($J53&lt;&gt;"",IF(INDIRECT($H53&amp;"!"&amp;$S53)&lt;&gt;"",INDIRECT($H53&amp;"!"&amp;$S53),""),"")</f>
        <v/>
      </c>
      <c r="U53" s="146" t="str">
        <f t="shared" ca="1" si="16"/>
        <v/>
      </c>
      <c r="V53" s="147" t="str" cm="1">
        <f t="array" aca="1" ref="V53" ca="1">IF($J53&lt;&gt;"",IF(INDIRECT($H53&amp;"!"&amp;$U53)&lt;&gt;"",INDIRECT($H53&amp;"!"&amp;$U53),""),"")</f>
        <v/>
      </c>
      <c r="W53" s="294" t="str">
        <f t="shared" ca="1" si="7"/>
        <v/>
      </c>
      <c r="X53" s="295" t="str">
        <f t="shared" ca="1" si="8"/>
        <v/>
      </c>
      <c r="Y53" s="296" t="str" cm="1">
        <f t="array" aca="1" ref="Y53" ca="1">IF($H53&lt;&gt;"",IF(INDIRECT($H53&amp;"!"&amp;$W53&amp;($X53+Y$15+1))&lt;&gt;"",INDIRECT($H53&amp;"!"&amp;$W53&amp;($X53+Y$15+1)),""),"")</f>
        <v/>
      </c>
      <c r="Z53" s="296" t="str" cm="1">
        <f t="array" aca="1" ref="Z53" ca="1">IF($H53&lt;&gt;"",IF(INDIRECT($H53&amp;"!"&amp;$W53&amp;($X53+Z$15+1))&lt;&gt;"",INDIRECT($H53&amp;"!"&amp;$W53&amp;($X53+Z$15+1)),""),"")</f>
        <v/>
      </c>
      <c r="AA53" s="296" t="str" cm="1">
        <f t="array" aca="1" ref="AA53" ca="1">IF($H53&lt;&gt;"",IF(INDIRECT($H53&amp;"!"&amp;$W53&amp;($X53+AA$15+1))&lt;&gt;"",INDIRECT($H53&amp;"!"&amp;$W53&amp;($X53+AA$15+1)),""),"")</f>
        <v/>
      </c>
      <c r="AB53" s="296" t="str" cm="1">
        <f t="array" aca="1" ref="AB53" ca="1">IF($H53&lt;&gt;"",IF(INDIRECT($H53&amp;"!"&amp;$W53&amp;($X53+AB$15+1))&lt;&gt;"",INDIRECT($H53&amp;"!"&amp;$W53&amp;($X53+AB$15+1)),""),"")</f>
        <v/>
      </c>
      <c r="AC53" s="296" t="str" cm="1">
        <f t="array" aca="1" ref="AC53" ca="1">IF(LEFT($J53,5)="Sonde","",IF($H53&lt;&gt;"",IF(INDIRECT($H53&amp;"!"&amp;$W53&amp;($X53+AC$15+1))&lt;&gt;"",INDIRECT($H53&amp;"!"&amp;$W53&amp;($X53+AC$15+1)),""),""))</f>
        <v/>
      </c>
      <c r="AD53" s="296" t="str" cm="1">
        <f t="array" aca="1" ref="AD53" ca="1">IF(OR($J53="Pluviomètre",LEFT($J53,5)="Sonde"),"",IF($H53&lt;&gt;"",IF(INDIRECT($H53&amp;"!"&amp;$W53&amp;($X53+AD$15+1))&lt;&gt;"",INDIRECT($H53&amp;"!"&amp;$W53&amp;($X53+AD$15+1)),""),""))</f>
        <v/>
      </c>
      <c r="AE53" s="296" t="str" cm="1">
        <f t="array" aca="1" ref="AE53" ca="1">IF(OR($J53="Pluviomètre",LEFT($J53,5)="Sonde"),"",IF($H53&lt;&gt;"",IF(INDIRECT($H53&amp;"!"&amp;$W53&amp;($X53+AE$15+1))&lt;&gt;"",INDIRECT($H53&amp;"!"&amp;$W53&amp;($X53+AE$15+1)),""),""))</f>
        <v/>
      </c>
      <c r="AF53" s="296" t="str" cm="1">
        <f t="array" aca="1" ref="AF53" ca="1">IF(OR($J53="Pluviomètre",LEFT($J53,5)="Sonde"),"",IF($H53&lt;&gt;"",IF(INDIRECT($H53&amp;"!"&amp;$W53&amp;($X53+AF$15+1))&lt;&gt;"",INDIRECT($H53&amp;"!"&amp;$W53&amp;($X53+AF$15+1)),""),""))</f>
        <v/>
      </c>
      <c r="AG53" s="296" t="str" cm="1">
        <f t="array" aca="1" ref="AG53" ca="1">IF(OR($J53="Pluviomètre",LEFT($J53,5)="Sonde"),"",IF($H53&lt;&gt;"",IF(INDIRECT($H53&amp;"!"&amp;$W53&amp;($X53+AG$15+1))&lt;&gt;"",INDIRECT($H53&amp;"!"&amp;$W53&amp;($X53+AG$15+1)),""),""))</f>
        <v/>
      </c>
      <c r="AH53" s="296" t="str" cm="1">
        <f t="array" aca="1" ref="AH53" ca="1">IF(OR($J53="Pluviomètre",LEFT($J53,5)="Sonde"),"",IF($H53&lt;&gt;"",IF(INDIRECT($H53&amp;"!"&amp;$W53&amp;($X53+AH$15+1))&lt;&gt;"",INDIRECT($H53&amp;"!"&amp;$W53&amp;($X53+AH$15+1)),""),""))</f>
        <v/>
      </c>
      <c r="AI53" s="294" t="str">
        <f t="shared" ca="1" si="9"/>
        <v/>
      </c>
      <c r="AJ53" s="295" t="str">
        <f t="shared" ca="1" si="10"/>
        <v/>
      </c>
      <c r="AK53" s="296" t="str" cm="1">
        <f t="array" aca="1" ref="AK53" ca="1">IF($H53&lt;&gt;"",IF(INDIRECT($H53&amp;"!"&amp;$AI53&amp;($AJ53+AK$15+1))&lt;&gt;"",INDIRECT($H53&amp;"!"&amp;$AI53&amp;($AJ53+AK$15+1)),""),"")</f>
        <v/>
      </c>
      <c r="AL53" s="296" t="str" cm="1">
        <f t="array" aca="1" ref="AL53" ca="1">IF($H53&lt;&gt;"",IF(INDIRECT($H53&amp;"!"&amp;$AI53&amp;($AJ53+AL$15+1))&lt;&gt;"",INDIRECT($H53&amp;"!"&amp;$AI53&amp;($AJ53+AL$15+1)),""),"")</f>
        <v/>
      </c>
      <c r="AM53" s="296" t="str" cm="1">
        <f t="array" aca="1" ref="AM53" ca="1">IF($H53&lt;&gt;"",IF(INDIRECT($H53&amp;"!"&amp;$AI53&amp;($AJ53+AM$15+1))&lt;&gt;"",INDIRECT($H53&amp;"!"&amp;$AI53&amp;($AJ53+AM$15+1)),""),"")</f>
        <v/>
      </c>
      <c r="AN53" s="296" t="str" cm="1">
        <f t="array" aca="1" ref="AN53" ca="1">IF($H53&lt;&gt;"",IF(INDIRECT($H53&amp;"!"&amp;$AI53&amp;($AJ53+AN$15+1))&lt;&gt;"",INDIRECT($H53&amp;"!"&amp;$AI53&amp;($AJ53+AN$15+1)),""),"")</f>
        <v/>
      </c>
      <c r="AO53" s="296" t="str" cm="1">
        <f t="array" aca="1" ref="AO53" ca="1">IF(LEFT($J53,5)="Sonde","",IF($H53&lt;&gt;"",IF(INDIRECT($H53&amp;"!"&amp;$AI53&amp;($AJ53+AO$15+1))&lt;&gt;"",INDIRECT($H53&amp;"!"&amp;$AI53&amp;($AJ53+AO$15+1)),""),""))</f>
        <v/>
      </c>
      <c r="AP53" s="296" t="str" cm="1">
        <f t="array" aca="1" ref="AP53" ca="1">IF(OR($J53="Pluviomètre",LEFT($J53,5)="Sonde"),"",IF($H53&lt;&gt;"",IF(INDIRECT($H53&amp;"!"&amp;$AI53&amp;($AJ53+AP$15+1))&lt;&gt;"",INDIRECT($H53&amp;"!"&amp;$AI53&amp;($AJ53+AP$15+1)),""),""))</f>
        <v/>
      </c>
      <c r="AQ53" s="296" t="str" cm="1">
        <f t="array" aca="1" ref="AQ53" ca="1">IF(OR($J53="Pluviomètre",LEFT($J53,5)="Sonde"),"",IF($H53&lt;&gt;"",IF(INDIRECT($H53&amp;"!"&amp;$AI53&amp;($AJ53+AQ$15+1))&lt;&gt;"",INDIRECT($H53&amp;"!"&amp;$AI53&amp;($AJ53+AQ$15+1)),""),""))</f>
        <v/>
      </c>
      <c r="AR53" s="296" t="str" cm="1">
        <f t="array" aca="1" ref="AR53" ca="1">IF(OR($J53="Pluviomètre",LEFT($J53,5)="Sonde"),"",IF($H53&lt;&gt;"",IF(INDIRECT($H53&amp;"!"&amp;$AI53&amp;($AJ53+AR$15+1))&lt;&gt;"",INDIRECT($H53&amp;"!"&amp;$AI53&amp;($AJ53+AR$15+1)),""),""))</f>
        <v/>
      </c>
      <c r="AS53" s="296" t="str" cm="1">
        <f t="array" aca="1" ref="AS53" ca="1">IF(OR($J53="Pluviomètre",LEFT($J53,5)="Sonde"),"",IF($H53&lt;&gt;"",IF(INDIRECT($H53&amp;"!"&amp;$AI53&amp;($AJ53+AS$15+1))&lt;&gt;"",INDIRECT($H53&amp;"!"&amp;$AI53&amp;($AJ53+AS$15+1)),""),""))</f>
        <v/>
      </c>
      <c r="AT53" s="296" t="str" cm="1">
        <f t="array" aca="1" ref="AT53" ca="1">IF(OR($J53="Pluviomètre",LEFT($J53,5)="Sonde"),"",IF($H53&lt;&gt;"",IF(INDIRECT($H53&amp;"!"&amp;$AI53&amp;($AJ53+AT$15+1))&lt;&gt;"",INDIRECT($H53&amp;"!"&amp;$AI53&amp;($AJ53+AT$15+1)),""),""))</f>
        <v/>
      </c>
      <c r="AU53" s="412" cm="1">
        <f t="array" aca="1" ref="AU53" ca="1">SUMPRODUCT((Y53:AH53&lt;&gt;"")*(Y53:AH53&lt;&gt;"Non contrôlé")*(Y53:AH53&lt;&gt;"Non applicable"))</f>
        <v>0</v>
      </c>
      <c r="AV53" s="414">
        <f t="shared" ca="1" si="11"/>
        <v>-1</v>
      </c>
    </row>
    <row r="54" spans="1:48" x14ac:dyDescent="0.4">
      <c r="A54" s="80">
        <v>39</v>
      </c>
      <c r="B54" s="134" t="b">
        <f t="shared" si="6"/>
        <v>0</v>
      </c>
      <c r="C54" s="139" t="str" cm="1">
        <f t="array" aca="1" ref="C54" ca="1">IF(
    AND(
        $B54,
        OR(
            INDIRECT("Descriptif!$M"&amp;($B$1+$A54-1))="Préleveur",
            LEFT(INDIRECT("Descriptif!$M"&amp;($B$1+$A54-1)),5)="Sonde",
            LEFT(INDIRECT("Descriptif!$M"&amp;($B$1+$A54-1)),10)="Débitmètre",
            LEFT(INDIRECT("Descriptif!$F"&amp;($B$1+$A54-1)),6)="PLUVIO"        )
    ),
    INDIRECT("Descriptif!$"&amp;C$15&amp;($B$1 +$A54 -1)),
    ""
)</f>
        <v/>
      </c>
      <c r="D54" s="277" t="str" cm="1">
        <f t="array" aca="1" ref="D54" ca="1">IF(
    AND(
        $B54,
        OR(
            INDIRECT("Descriptif!$M"&amp;($B$1+$A54-1))="Préleveur",
            LEFT(INDIRECT("Descriptif!$M"&amp;($B$1+$A54-1)),5)="Sonde",
            LEFT(INDIRECT("Descriptif!$M"&amp;($B$1+$A54-1)),10)="Débitmètre",
            LEFT(INDIRECT("Descriptif!$F"&amp;($B$1+$A54-1)),6)="PLUVIO"       )
    ),
    IF(
        LEFT(INDIRECT("Descriptif!$F"&amp;($B$1+$A54-1)),11)="PLUVIO_STEU",
        "A3",
        IF(
            LEFT(INDIRECT("Descriptif!$F"&amp;($B$1+$A54-1)),10)="PLUVIO_SCL",
            "A1",
            INDIRECT("Descriptif!$"&amp;D$15&amp;($B$1 +$A54 -1))
        )
    ),
    ""
)</f>
        <v/>
      </c>
      <c r="E54" s="277" t="str" cm="1">
        <f t="array" aca="1" ref="E54" ca="1">IF(
    AND(
        $B54,
        OR(
            INDIRECT("Descriptif!$M"&amp;($B$1+$A54-1))="Préleveur",
            LEFT(INDIRECT("Descriptif!$M"&amp;($B$1+$A54-1)),5)="Sonde",
            LEFT(INDIRECT("Descriptif!$M"&amp;($B$1+$A54-1)),10)="Débitmètre",
            LEFT(INDIRECT("Descriptif!$F"&amp;($B$1+$A54-1)),6)="PLUVIO"
        )
    ),
    IF(LEFT(INDIRECT("Descriptif!$F"&amp;($B$1+$A54-1)),6)="PLUVIO","Pluviomètre",INDIRECT("Descriptif!$"&amp;E$15&amp;($B$1 +$A54 -1))),
    ""
)</f>
        <v/>
      </c>
      <c r="F54" s="19" t="str" cm="1">
        <f t="array" aca="1" ref="F54" ca="1">IF(
    AND(
        $B54,
        OR(
            INDIRECT("Descriptif!$M"&amp;($B$1+$A54-1))="Préleveur",
            LEFT(INDIRECT("Descriptif!$M"&amp;($B$1+$A54-1)),5)="Sonde",
            LEFT(INDIRECT("Descriptif!$M"&amp;($B$1+$A54-1)),10)="Débitmètre",
            LEFT(INDIRECT("Descriptif!$F"&amp;($B$1+$A54-1)),6)="PLUVIO"
        )
    ),
    IF(LEFT(INDIRECT("Descriptif!$F"&amp;($B$1+$A54-1)),6)="PLUVIO","Pluviomètre",INDIRECT("Descriptif!$"&amp;F$15&amp;($B$1 +$A54 -1))),
    ""
)</f>
        <v/>
      </c>
      <c r="G54" s="19" t="str" cm="1">
        <f t="array" aca="1" ref="G54" ca="1">IF(
    AND(
        $B54,
        OR(
            INDIRECT("Descriptif!$M"&amp;($B$1+$A54-1))="Préleveur",
            LEFT(INDIRECT("Descriptif!$M"&amp;($B$1+$A54-1)),5)="Sonde",
            LEFT(INDIRECT("Descriptif!$M"&amp;($B$1+$A54-1)),10)="Débitmètre",
            LEFT(INDIRECT("Descriptif!$F"&amp;($B$1+$A54-1)),6)="PLUVIO"
        )
    ),
    IF(LEFT(INDIRECT("Descriptif!$F"&amp;($B$1+$A54-1)),6)="PLUVIO","",INDIRECT("Descriptif!$"&amp;G$15&amp;($B$1 +$A54 -1))),
    ""
)</f>
        <v/>
      </c>
      <c r="H54" s="141" t="str" cm="1">
        <f t="array" aca="1" ref="H54" ca="1">IFERROR(INDEX($C$16:$C$116,SMALL(IF($C$16:$C$116&lt;&gt;"",ROW($C$16:$C$116)-ROW($C$16)+1),ROW(A39))),"")</f>
        <v/>
      </c>
      <c r="I54" s="140" t="str" cm="1">
        <f t="array" aca="1" ref="I54" ca="1">IFERROR(INDEX($D$16:$D$116,SMALL(IF($D$16:$D$116&lt;&gt;"",ROW($D$16:$D$116)-ROW($D$16)+1),ROW(A39))),"")</f>
        <v/>
      </c>
      <c r="J54" s="140" t="str" cm="1">
        <f t="array" aca="1" ref="J54" ca="1">IFERROR(INDEX($E$16:$E$116,SMALL(IF($E$16:$E$116&lt;&gt;"",ROW($E$16:$E$116)-ROW($E$16)+1),ROW(A39))),"")</f>
        <v/>
      </c>
      <c r="K54" s="140" t="str" cm="1">
        <f t="array" aca="1" ref="K54" ca="1">IFERROR(INDEX($F$16:$F$116,SMALL(IF($F$16:$F$116&lt;&gt;"",ROW($F$16:$F$116)-ROW($F$16)+1),ROW(A39))),"")</f>
        <v/>
      </c>
      <c r="L54" s="140" t="str">
        <f t="shared" ca="1" si="0"/>
        <v/>
      </c>
      <c r="M54" s="140" t="str" cm="1">
        <f t="array" aca="1" ref="M54" ca="1">IFERROR(INDEX($G$16:$G$116,SMALL(IF($G$16:$G$116&lt;&gt;"",ROW($G$16:$G$116)-ROW($G$16)+1),ROW(A39))),"")</f>
        <v/>
      </c>
      <c r="N54" s="145" t="str">
        <f t="shared" ca="1" si="12"/>
        <v/>
      </c>
      <c r="O54" s="146" t="str">
        <f t="shared" ca="1" si="13"/>
        <v/>
      </c>
      <c r="P54" s="146" t="str" cm="1">
        <f t="array" aca="1" ref="P54" ca="1">IF($J54&lt;&gt;"",IF(INDIRECT($H54&amp;"!"&amp;$O54)&lt;&gt;"",INDIRECT($H54&amp;"!"&amp;$O54),""),"")</f>
        <v/>
      </c>
      <c r="Q54" s="146" t="str">
        <f t="shared" ca="1" si="14"/>
        <v/>
      </c>
      <c r="R54" s="146" t="str" cm="1">
        <f t="array" aca="1" ref="R54" ca="1">IF($J54&lt;&gt;"",IF(INDIRECT($H54&amp;"!"&amp;$Q54)&lt;&gt;"",INDIRECT($H54&amp;"!"&amp;$Q54),""),"")</f>
        <v/>
      </c>
      <c r="S54" s="146" t="str">
        <f t="shared" ca="1" si="15"/>
        <v/>
      </c>
      <c r="T54" s="146" t="str" cm="1">
        <f t="array" aca="1" ref="T54" ca="1">IF($J54&lt;&gt;"",IF(INDIRECT($H54&amp;"!"&amp;$S54)&lt;&gt;"",INDIRECT($H54&amp;"!"&amp;$S54),""),"")</f>
        <v/>
      </c>
      <c r="U54" s="146" t="str">
        <f t="shared" ca="1" si="16"/>
        <v/>
      </c>
      <c r="V54" s="147" t="str" cm="1">
        <f t="array" aca="1" ref="V54" ca="1">IF($J54&lt;&gt;"",IF(INDIRECT($H54&amp;"!"&amp;$U54)&lt;&gt;"",INDIRECT($H54&amp;"!"&amp;$U54),""),"")</f>
        <v/>
      </c>
      <c r="W54" s="294" t="str">
        <f t="shared" ca="1" si="7"/>
        <v/>
      </c>
      <c r="X54" s="295" t="str">
        <f t="shared" ca="1" si="8"/>
        <v/>
      </c>
      <c r="Y54" s="296" t="str" cm="1">
        <f t="array" aca="1" ref="Y54" ca="1">IF($H54&lt;&gt;"",IF(INDIRECT($H54&amp;"!"&amp;$W54&amp;($X54+Y$15+1))&lt;&gt;"",INDIRECT($H54&amp;"!"&amp;$W54&amp;($X54+Y$15+1)),""),"")</f>
        <v/>
      </c>
      <c r="Z54" s="296" t="str" cm="1">
        <f t="array" aca="1" ref="Z54" ca="1">IF($H54&lt;&gt;"",IF(INDIRECT($H54&amp;"!"&amp;$W54&amp;($X54+Z$15+1))&lt;&gt;"",INDIRECT($H54&amp;"!"&amp;$W54&amp;($X54+Z$15+1)),""),"")</f>
        <v/>
      </c>
      <c r="AA54" s="296" t="str" cm="1">
        <f t="array" aca="1" ref="AA54" ca="1">IF($H54&lt;&gt;"",IF(INDIRECT($H54&amp;"!"&amp;$W54&amp;($X54+AA$15+1))&lt;&gt;"",INDIRECT($H54&amp;"!"&amp;$W54&amp;($X54+AA$15+1)),""),"")</f>
        <v/>
      </c>
      <c r="AB54" s="296" t="str" cm="1">
        <f t="array" aca="1" ref="AB54" ca="1">IF($H54&lt;&gt;"",IF(INDIRECT($H54&amp;"!"&amp;$W54&amp;($X54+AB$15+1))&lt;&gt;"",INDIRECT($H54&amp;"!"&amp;$W54&amp;($X54+AB$15+1)),""),"")</f>
        <v/>
      </c>
      <c r="AC54" s="296" t="str" cm="1">
        <f t="array" aca="1" ref="AC54" ca="1">IF(LEFT($J54,5)="Sonde","",IF($H54&lt;&gt;"",IF(INDIRECT($H54&amp;"!"&amp;$W54&amp;($X54+AC$15+1))&lt;&gt;"",INDIRECT($H54&amp;"!"&amp;$W54&amp;($X54+AC$15+1)),""),""))</f>
        <v/>
      </c>
      <c r="AD54" s="296" t="str" cm="1">
        <f t="array" aca="1" ref="AD54" ca="1">IF(OR($J54="Pluviomètre",LEFT($J54,5)="Sonde"),"",IF($H54&lt;&gt;"",IF(INDIRECT($H54&amp;"!"&amp;$W54&amp;($X54+AD$15+1))&lt;&gt;"",INDIRECT($H54&amp;"!"&amp;$W54&amp;($X54+AD$15+1)),""),""))</f>
        <v/>
      </c>
      <c r="AE54" s="296" t="str" cm="1">
        <f t="array" aca="1" ref="AE54" ca="1">IF(OR($J54="Pluviomètre",LEFT($J54,5)="Sonde"),"",IF($H54&lt;&gt;"",IF(INDIRECT($H54&amp;"!"&amp;$W54&amp;($X54+AE$15+1))&lt;&gt;"",INDIRECT($H54&amp;"!"&amp;$W54&amp;($X54+AE$15+1)),""),""))</f>
        <v/>
      </c>
      <c r="AF54" s="296" t="str" cm="1">
        <f t="array" aca="1" ref="AF54" ca="1">IF(OR($J54="Pluviomètre",LEFT($J54,5)="Sonde"),"",IF($H54&lt;&gt;"",IF(INDIRECT($H54&amp;"!"&amp;$W54&amp;($X54+AF$15+1))&lt;&gt;"",INDIRECT($H54&amp;"!"&amp;$W54&amp;($X54+AF$15+1)),""),""))</f>
        <v/>
      </c>
      <c r="AG54" s="296" t="str" cm="1">
        <f t="array" aca="1" ref="AG54" ca="1">IF(OR($J54="Pluviomètre",LEFT($J54,5)="Sonde"),"",IF($H54&lt;&gt;"",IF(INDIRECT($H54&amp;"!"&amp;$W54&amp;($X54+AG$15+1))&lt;&gt;"",INDIRECT($H54&amp;"!"&amp;$W54&amp;($X54+AG$15+1)),""),""))</f>
        <v/>
      </c>
      <c r="AH54" s="296" t="str" cm="1">
        <f t="array" aca="1" ref="AH54" ca="1">IF(OR($J54="Pluviomètre",LEFT($J54,5)="Sonde"),"",IF($H54&lt;&gt;"",IF(INDIRECT($H54&amp;"!"&amp;$W54&amp;($X54+AH$15+1))&lt;&gt;"",INDIRECT($H54&amp;"!"&amp;$W54&amp;($X54+AH$15+1)),""),""))</f>
        <v/>
      </c>
      <c r="AI54" s="294" t="str">
        <f t="shared" ca="1" si="9"/>
        <v/>
      </c>
      <c r="AJ54" s="295" t="str">
        <f t="shared" ca="1" si="10"/>
        <v/>
      </c>
      <c r="AK54" s="296" t="str" cm="1">
        <f t="array" aca="1" ref="AK54" ca="1">IF($H54&lt;&gt;"",IF(INDIRECT($H54&amp;"!"&amp;$AI54&amp;($AJ54+AK$15+1))&lt;&gt;"",INDIRECT($H54&amp;"!"&amp;$AI54&amp;($AJ54+AK$15+1)),""),"")</f>
        <v/>
      </c>
      <c r="AL54" s="296" t="str" cm="1">
        <f t="array" aca="1" ref="AL54" ca="1">IF($H54&lt;&gt;"",IF(INDIRECT($H54&amp;"!"&amp;$AI54&amp;($AJ54+AL$15+1))&lt;&gt;"",INDIRECT($H54&amp;"!"&amp;$AI54&amp;($AJ54+AL$15+1)),""),"")</f>
        <v/>
      </c>
      <c r="AM54" s="296" t="str" cm="1">
        <f t="array" aca="1" ref="AM54" ca="1">IF($H54&lt;&gt;"",IF(INDIRECT($H54&amp;"!"&amp;$AI54&amp;($AJ54+AM$15+1))&lt;&gt;"",INDIRECT($H54&amp;"!"&amp;$AI54&amp;($AJ54+AM$15+1)),""),"")</f>
        <v/>
      </c>
      <c r="AN54" s="296" t="str" cm="1">
        <f t="array" aca="1" ref="AN54" ca="1">IF($H54&lt;&gt;"",IF(INDIRECT($H54&amp;"!"&amp;$AI54&amp;($AJ54+AN$15+1))&lt;&gt;"",INDIRECT($H54&amp;"!"&amp;$AI54&amp;($AJ54+AN$15+1)),""),"")</f>
        <v/>
      </c>
      <c r="AO54" s="296" t="str" cm="1">
        <f t="array" aca="1" ref="AO54" ca="1">IF(LEFT($J54,5)="Sonde","",IF($H54&lt;&gt;"",IF(INDIRECT($H54&amp;"!"&amp;$AI54&amp;($AJ54+AO$15+1))&lt;&gt;"",INDIRECT($H54&amp;"!"&amp;$AI54&amp;($AJ54+AO$15+1)),""),""))</f>
        <v/>
      </c>
      <c r="AP54" s="296" t="str" cm="1">
        <f t="array" aca="1" ref="AP54" ca="1">IF(OR($J54="Pluviomètre",LEFT($J54,5)="Sonde"),"",IF($H54&lt;&gt;"",IF(INDIRECT($H54&amp;"!"&amp;$AI54&amp;($AJ54+AP$15+1))&lt;&gt;"",INDIRECT($H54&amp;"!"&amp;$AI54&amp;($AJ54+AP$15+1)),""),""))</f>
        <v/>
      </c>
      <c r="AQ54" s="296" t="str" cm="1">
        <f t="array" aca="1" ref="AQ54" ca="1">IF(OR($J54="Pluviomètre",LEFT($J54,5)="Sonde"),"",IF($H54&lt;&gt;"",IF(INDIRECT($H54&amp;"!"&amp;$AI54&amp;($AJ54+AQ$15+1))&lt;&gt;"",INDIRECT($H54&amp;"!"&amp;$AI54&amp;($AJ54+AQ$15+1)),""),""))</f>
        <v/>
      </c>
      <c r="AR54" s="296" t="str" cm="1">
        <f t="array" aca="1" ref="AR54" ca="1">IF(OR($J54="Pluviomètre",LEFT($J54,5)="Sonde"),"",IF($H54&lt;&gt;"",IF(INDIRECT($H54&amp;"!"&amp;$AI54&amp;($AJ54+AR$15+1))&lt;&gt;"",INDIRECT($H54&amp;"!"&amp;$AI54&amp;($AJ54+AR$15+1)),""),""))</f>
        <v/>
      </c>
      <c r="AS54" s="296" t="str" cm="1">
        <f t="array" aca="1" ref="AS54" ca="1">IF(OR($J54="Pluviomètre",LEFT($J54,5)="Sonde"),"",IF($H54&lt;&gt;"",IF(INDIRECT($H54&amp;"!"&amp;$AI54&amp;($AJ54+AS$15+1))&lt;&gt;"",INDIRECT($H54&amp;"!"&amp;$AI54&amp;($AJ54+AS$15+1)),""),""))</f>
        <v/>
      </c>
      <c r="AT54" s="296" t="str" cm="1">
        <f t="array" aca="1" ref="AT54" ca="1">IF(OR($J54="Pluviomètre",LEFT($J54,5)="Sonde"),"",IF($H54&lt;&gt;"",IF(INDIRECT($H54&amp;"!"&amp;$AI54&amp;($AJ54+AT$15+1))&lt;&gt;"",INDIRECT($H54&amp;"!"&amp;$AI54&amp;($AJ54+AT$15+1)),""),""))</f>
        <v/>
      </c>
      <c r="AU54" s="412" cm="1">
        <f t="array" aca="1" ref="AU54" ca="1">SUMPRODUCT((Y54:AH54&lt;&gt;"")*(Y54:AH54&lt;&gt;"Non contrôlé")*(Y54:AH54&lt;&gt;"Non applicable"))</f>
        <v>0</v>
      </c>
      <c r="AV54" s="414">
        <f t="shared" ca="1" si="11"/>
        <v>-1</v>
      </c>
    </row>
    <row r="55" spans="1:48" x14ac:dyDescent="0.4">
      <c r="A55" s="80">
        <v>40</v>
      </c>
      <c r="B55" s="134" t="b">
        <f t="shared" si="6"/>
        <v>0</v>
      </c>
      <c r="C55" s="139" t="str" cm="1">
        <f t="array" aca="1" ref="C55" ca="1">IF(
    AND(
        $B55,
        OR(
            INDIRECT("Descriptif!$M"&amp;($B$1+$A55-1))="Préleveur",
            LEFT(INDIRECT("Descriptif!$M"&amp;($B$1+$A55-1)),5)="Sonde",
            LEFT(INDIRECT("Descriptif!$M"&amp;($B$1+$A55-1)),10)="Débitmètre",
            LEFT(INDIRECT("Descriptif!$F"&amp;($B$1+$A55-1)),6)="PLUVIO"        )
    ),
    INDIRECT("Descriptif!$"&amp;C$15&amp;($B$1 +$A55 -1)),
    ""
)</f>
        <v/>
      </c>
      <c r="D55" s="277" t="str" cm="1">
        <f t="array" aca="1" ref="D55" ca="1">IF(
    AND(
        $B55,
        OR(
            INDIRECT("Descriptif!$M"&amp;($B$1+$A55-1))="Préleveur",
            LEFT(INDIRECT("Descriptif!$M"&amp;($B$1+$A55-1)),5)="Sonde",
            LEFT(INDIRECT("Descriptif!$M"&amp;($B$1+$A55-1)),10)="Débitmètre",
            LEFT(INDIRECT("Descriptif!$F"&amp;($B$1+$A55-1)),6)="PLUVIO"       )
    ),
    IF(
        LEFT(INDIRECT("Descriptif!$F"&amp;($B$1+$A55-1)),11)="PLUVIO_STEU",
        "A3",
        IF(
            LEFT(INDIRECT("Descriptif!$F"&amp;($B$1+$A55-1)),10)="PLUVIO_SCL",
            "A1",
            INDIRECT("Descriptif!$"&amp;D$15&amp;($B$1 +$A55 -1))
        )
    ),
    ""
)</f>
        <v/>
      </c>
      <c r="E55" s="277" t="str" cm="1">
        <f t="array" aca="1" ref="E55" ca="1">IF(
    AND(
        $B55,
        OR(
            INDIRECT("Descriptif!$M"&amp;($B$1+$A55-1))="Préleveur",
            LEFT(INDIRECT("Descriptif!$M"&amp;($B$1+$A55-1)),5)="Sonde",
            LEFT(INDIRECT("Descriptif!$M"&amp;($B$1+$A55-1)),10)="Débitmètre",
            LEFT(INDIRECT("Descriptif!$F"&amp;($B$1+$A55-1)),6)="PLUVIO"
        )
    ),
    IF(LEFT(INDIRECT("Descriptif!$F"&amp;($B$1+$A55-1)),6)="PLUVIO","Pluviomètre",INDIRECT("Descriptif!$"&amp;E$15&amp;($B$1 +$A55 -1))),
    ""
)</f>
        <v/>
      </c>
      <c r="F55" s="19" t="str" cm="1">
        <f t="array" aca="1" ref="F55" ca="1">IF(
    AND(
        $B55,
        OR(
            INDIRECT("Descriptif!$M"&amp;($B$1+$A55-1))="Préleveur",
            LEFT(INDIRECT("Descriptif!$M"&amp;($B$1+$A55-1)),5)="Sonde",
            LEFT(INDIRECT("Descriptif!$M"&amp;($B$1+$A55-1)),10)="Débitmètre",
            LEFT(INDIRECT("Descriptif!$F"&amp;($B$1+$A55-1)),6)="PLUVIO"
        )
    ),
    IF(LEFT(INDIRECT("Descriptif!$F"&amp;($B$1+$A55-1)),6)="PLUVIO","Pluviomètre",INDIRECT("Descriptif!$"&amp;F$15&amp;($B$1 +$A55 -1))),
    ""
)</f>
        <v/>
      </c>
      <c r="G55" s="19" t="str" cm="1">
        <f t="array" aca="1" ref="G55" ca="1">IF(
    AND(
        $B55,
        OR(
            INDIRECT("Descriptif!$M"&amp;($B$1+$A55-1))="Préleveur",
            LEFT(INDIRECT("Descriptif!$M"&amp;($B$1+$A55-1)),5)="Sonde",
            LEFT(INDIRECT("Descriptif!$M"&amp;($B$1+$A55-1)),10)="Débitmètre",
            LEFT(INDIRECT("Descriptif!$F"&amp;($B$1+$A55-1)),6)="PLUVIO"
        )
    ),
    IF(LEFT(INDIRECT("Descriptif!$F"&amp;($B$1+$A55-1)),6)="PLUVIO","",INDIRECT("Descriptif!$"&amp;G$15&amp;($B$1 +$A55 -1))),
    ""
)</f>
        <v/>
      </c>
      <c r="H55" s="141" t="str" cm="1">
        <f t="array" aca="1" ref="H55" ca="1">IFERROR(INDEX($C$16:$C$116,SMALL(IF($C$16:$C$116&lt;&gt;"",ROW($C$16:$C$116)-ROW($C$16)+1),ROW(A40))),"")</f>
        <v/>
      </c>
      <c r="I55" s="140" t="str" cm="1">
        <f t="array" aca="1" ref="I55" ca="1">IFERROR(INDEX($D$16:$D$116,SMALL(IF($D$16:$D$116&lt;&gt;"",ROW($D$16:$D$116)-ROW($D$16)+1),ROW(A40))),"")</f>
        <v/>
      </c>
      <c r="J55" s="140" t="str" cm="1">
        <f t="array" aca="1" ref="J55" ca="1">IFERROR(INDEX($E$16:$E$116,SMALL(IF($E$16:$E$116&lt;&gt;"",ROW($E$16:$E$116)-ROW($E$16)+1),ROW(A40))),"")</f>
        <v/>
      </c>
      <c r="K55" s="140" t="str" cm="1">
        <f t="array" aca="1" ref="K55" ca="1">IFERROR(INDEX($F$16:$F$116,SMALL(IF($F$16:$F$116&lt;&gt;"",ROW($F$16:$F$116)-ROW($F$16)+1),ROW(A40))),"")</f>
        <v/>
      </c>
      <c r="L55" s="140" t="str">
        <f t="shared" ca="1" si="0"/>
        <v/>
      </c>
      <c r="M55" s="140" t="str" cm="1">
        <f t="array" aca="1" ref="M55" ca="1">IFERROR(INDEX($G$16:$G$116,SMALL(IF($G$16:$G$116&lt;&gt;"",ROW($G$16:$G$116)-ROW($G$16)+1),ROW(A40))),"")</f>
        <v/>
      </c>
      <c r="N55" s="145" t="str">
        <f t="shared" ca="1" si="12"/>
        <v/>
      </c>
      <c r="O55" s="146" t="str">
        <f t="shared" ca="1" si="13"/>
        <v/>
      </c>
      <c r="P55" s="146" t="str" cm="1">
        <f t="array" aca="1" ref="P55" ca="1">IF($J55&lt;&gt;"",IF(INDIRECT($H55&amp;"!"&amp;$O55)&lt;&gt;"",INDIRECT($H55&amp;"!"&amp;$O55),""),"")</f>
        <v/>
      </c>
      <c r="Q55" s="146" t="str">
        <f t="shared" ca="1" si="14"/>
        <v/>
      </c>
      <c r="R55" s="146" t="str" cm="1">
        <f t="array" aca="1" ref="R55" ca="1">IF($J55&lt;&gt;"",IF(INDIRECT($H55&amp;"!"&amp;$Q55)&lt;&gt;"",INDIRECT($H55&amp;"!"&amp;$Q55),""),"")</f>
        <v/>
      </c>
      <c r="S55" s="146" t="str">
        <f t="shared" ca="1" si="15"/>
        <v/>
      </c>
      <c r="T55" s="146" t="str" cm="1">
        <f t="array" aca="1" ref="T55" ca="1">IF($J55&lt;&gt;"",IF(INDIRECT($H55&amp;"!"&amp;$S55)&lt;&gt;"",INDIRECT($H55&amp;"!"&amp;$S55),""),"")</f>
        <v/>
      </c>
      <c r="U55" s="146" t="str">
        <f t="shared" ca="1" si="16"/>
        <v/>
      </c>
      <c r="V55" s="147" t="str" cm="1">
        <f t="array" aca="1" ref="V55" ca="1">IF($J55&lt;&gt;"",IF(INDIRECT($H55&amp;"!"&amp;$U55)&lt;&gt;"",INDIRECT($H55&amp;"!"&amp;$U55),""),"")</f>
        <v/>
      </c>
      <c r="W55" s="294" t="str">
        <f t="shared" ca="1" si="7"/>
        <v/>
      </c>
      <c r="X55" s="295" t="str">
        <f t="shared" ca="1" si="8"/>
        <v/>
      </c>
      <c r="Y55" s="296" t="str" cm="1">
        <f t="array" aca="1" ref="Y55" ca="1">IF($H55&lt;&gt;"",IF(INDIRECT($H55&amp;"!"&amp;$W55&amp;($X55+Y$15+1))&lt;&gt;"",INDIRECT($H55&amp;"!"&amp;$W55&amp;($X55+Y$15+1)),""),"")</f>
        <v/>
      </c>
      <c r="Z55" s="296" t="str" cm="1">
        <f t="array" aca="1" ref="Z55" ca="1">IF($H55&lt;&gt;"",IF(INDIRECT($H55&amp;"!"&amp;$W55&amp;($X55+Z$15+1))&lt;&gt;"",INDIRECT($H55&amp;"!"&amp;$W55&amp;($X55+Z$15+1)),""),"")</f>
        <v/>
      </c>
      <c r="AA55" s="296" t="str" cm="1">
        <f t="array" aca="1" ref="AA55" ca="1">IF($H55&lt;&gt;"",IF(INDIRECT($H55&amp;"!"&amp;$W55&amp;($X55+AA$15+1))&lt;&gt;"",INDIRECT($H55&amp;"!"&amp;$W55&amp;($X55+AA$15+1)),""),"")</f>
        <v/>
      </c>
      <c r="AB55" s="296" t="str" cm="1">
        <f t="array" aca="1" ref="AB55" ca="1">IF($H55&lt;&gt;"",IF(INDIRECT($H55&amp;"!"&amp;$W55&amp;($X55+AB$15+1))&lt;&gt;"",INDIRECT($H55&amp;"!"&amp;$W55&amp;($X55+AB$15+1)),""),"")</f>
        <v/>
      </c>
      <c r="AC55" s="296" t="str" cm="1">
        <f t="array" aca="1" ref="AC55" ca="1">IF(LEFT($J55,5)="Sonde","",IF($H55&lt;&gt;"",IF(INDIRECT($H55&amp;"!"&amp;$W55&amp;($X55+AC$15+1))&lt;&gt;"",INDIRECT($H55&amp;"!"&amp;$W55&amp;($X55+AC$15+1)),""),""))</f>
        <v/>
      </c>
      <c r="AD55" s="296" t="str" cm="1">
        <f t="array" aca="1" ref="AD55" ca="1">IF(OR($J55="Pluviomètre",LEFT($J55,5)="Sonde"),"",IF($H55&lt;&gt;"",IF(INDIRECT($H55&amp;"!"&amp;$W55&amp;($X55+AD$15+1))&lt;&gt;"",INDIRECT($H55&amp;"!"&amp;$W55&amp;($X55+AD$15+1)),""),""))</f>
        <v/>
      </c>
      <c r="AE55" s="296" t="str" cm="1">
        <f t="array" aca="1" ref="AE55" ca="1">IF(OR($J55="Pluviomètre",LEFT($J55,5)="Sonde"),"",IF($H55&lt;&gt;"",IF(INDIRECT($H55&amp;"!"&amp;$W55&amp;($X55+AE$15+1))&lt;&gt;"",INDIRECT($H55&amp;"!"&amp;$W55&amp;($X55+AE$15+1)),""),""))</f>
        <v/>
      </c>
      <c r="AF55" s="296" t="str" cm="1">
        <f t="array" aca="1" ref="AF55" ca="1">IF(OR($J55="Pluviomètre",LEFT($J55,5)="Sonde"),"",IF($H55&lt;&gt;"",IF(INDIRECT($H55&amp;"!"&amp;$W55&amp;($X55+AF$15+1))&lt;&gt;"",INDIRECT($H55&amp;"!"&amp;$W55&amp;($X55+AF$15+1)),""),""))</f>
        <v/>
      </c>
      <c r="AG55" s="296" t="str" cm="1">
        <f t="array" aca="1" ref="AG55" ca="1">IF(OR($J55="Pluviomètre",LEFT($J55,5)="Sonde"),"",IF($H55&lt;&gt;"",IF(INDIRECT($H55&amp;"!"&amp;$W55&amp;($X55+AG$15+1))&lt;&gt;"",INDIRECT($H55&amp;"!"&amp;$W55&amp;($X55+AG$15+1)),""),""))</f>
        <v/>
      </c>
      <c r="AH55" s="296" t="str" cm="1">
        <f t="array" aca="1" ref="AH55" ca="1">IF(OR($J55="Pluviomètre",LEFT($J55,5)="Sonde"),"",IF($H55&lt;&gt;"",IF(INDIRECT($H55&amp;"!"&amp;$W55&amp;($X55+AH$15+1))&lt;&gt;"",INDIRECT($H55&amp;"!"&amp;$W55&amp;($X55+AH$15+1)),""),""))</f>
        <v/>
      </c>
      <c r="AI55" s="294" t="str">
        <f t="shared" ca="1" si="9"/>
        <v/>
      </c>
      <c r="AJ55" s="295" t="str">
        <f t="shared" ca="1" si="10"/>
        <v/>
      </c>
      <c r="AK55" s="296" t="str" cm="1">
        <f t="array" aca="1" ref="AK55" ca="1">IF($H55&lt;&gt;"",IF(INDIRECT($H55&amp;"!"&amp;$AI55&amp;($AJ55+AK$15+1))&lt;&gt;"",INDIRECT($H55&amp;"!"&amp;$AI55&amp;($AJ55+AK$15+1)),""),"")</f>
        <v/>
      </c>
      <c r="AL55" s="296" t="str" cm="1">
        <f t="array" aca="1" ref="AL55" ca="1">IF($H55&lt;&gt;"",IF(INDIRECT($H55&amp;"!"&amp;$AI55&amp;($AJ55+AL$15+1))&lt;&gt;"",INDIRECT($H55&amp;"!"&amp;$AI55&amp;($AJ55+AL$15+1)),""),"")</f>
        <v/>
      </c>
      <c r="AM55" s="296" t="str" cm="1">
        <f t="array" aca="1" ref="AM55" ca="1">IF($H55&lt;&gt;"",IF(INDIRECT($H55&amp;"!"&amp;$AI55&amp;($AJ55+AM$15+1))&lt;&gt;"",INDIRECT($H55&amp;"!"&amp;$AI55&amp;($AJ55+AM$15+1)),""),"")</f>
        <v/>
      </c>
      <c r="AN55" s="296" t="str" cm="1">
        <f t="array" aca="1" ref="AN55" ca="1">IF($H55&lt;&gt;"",IF(INDIRECT($H55&amp;"!"&amp;$AI55&amp;($AJ55+AN$15+1))&lt;&gt;"",INDIRECT($H55&amp;"!"&amp;$AI55&amp;($AJ55+AN$15+1)),""),"")</f>
        <v/>
      </c>
      <c r="AO55" s="296" t="str" cm="1">
        <f t="array" aca="1" ref="AO55" ca="1">IF(LEFT($J55,5)="Sonde","",IF($H55&lt;&gt;"",IF(INDIRECT($H55&amp;"!"&amp;$AI55&amp;($AJ55+AO$15+1))&lt;&gt;"",INDIRECT($H55&amp;"!"&amp;$AI55&amp;($AJ55+AO$15+1)),""),""))</f>
        <v/>
      </c>
      <c r="AP55" s="296" t="str" cm="1">
        <f t="array" aca="1" ref="AP55" ca="1">IF(OR($J55="Pluviomètre",LEFT($J55,5)="Sonde"),"",IF($H55&lt;&gt;"",IF(INDIRECT($H55&amp;"!"&amp;$AI55&amp;($AJ55+AP$15+1))&lt;&gt;"",INDIRECT($H55&amp;"!"&amp;$AI55&amp;($AJ55+AP$15+1)),""),""))</f>
        <v/>
      </c>
      <c r="AQ55" s="296" t="str" cm="1">
        <f t="array" aca="1" ref="AQ55" ca="1">IF(OR($J55="Pluviomètre",LEFT($J55,5)="Sonde"),"",IF($H55&lt;&gt;"",IF(INDIRECT($H55&amp;"!"&amp;$AI55&amp;($AJ55+AQ$15+1))&lt;&gt;"",INDIRECT($H55&amp;"!"&amp;$AI55&amp;($AJ55+AQ$15+1)),""),""))</f>
        <v/>
      </c>
      <c r="AR55" s="296" t="str" cm="1">
        <f t="array" aca="1" ref="AR55" ca="1">IF(OR($J55="Pluviomètre",LEFT($J55,5)="Sonde"),"",IF($H55&lt;&gt;"",IF(INDIRECT($H55&amp;"!"&amp;$AI55&amp;($AJ55+AR$15+1))&lt;&gt;"",INDIRECT($H55&amp;"!"&amp;$AI55&amp;($AJ55+AR$15+1)),""),""))</f>
        <v/>
      </c>
      <c r="AS55" s="296" t="str" cm="1">
        <f t="array" aca="1" ref="AS55" ca="1">IF(OR($J55="Pluviomètre",LEFT($J55,5)="Sonde"),"",IF($H55&lt;&gt;"",IF(INDIRECT($H55&amp;"!"&amp;$AI55&amp;($AJ55+AS$15+1))&lt;&gt;"",INDIRECT($H55&amp;"!"&amp;$AI55&amp;($AJ55+AS$15+1)),""),""))</f>
        <v/>
      </c>
      <c r="AT55" s="296" t="str" cm="1">
        <f t="array" aca="1" ref="AT55" ca="1">IF(OR($J55="Pluviomètre",LEFT($J55,5)="Sonde"),"",IF($H55&lt;&gt;"",IF(INDIRECT($H55&amp;"!"&amp;$AI55&amp;($AJ55+AT$15+1))&lt;&gt;"",INDIRECT($H55&amp;"!"&amp;$AI55&amp;($AJ55+AT$15+1)),""),""))</f>
        <v/>
      </c>
      <c r="AU55" s="412" cm="1">
        <f t="array" aca="1" ref="AU55" ca="1">SUMPRODUCT((Y55:AH55&lt;&gt;"")*(Y55:AH55&lt;&gt;"Non contrôlé")*(Y55:AH55&lt;&gt;"Non applicable"))</f>
        <v>0</v>
      </c>
      <c r="AV55" s="414">
        <f t="shared" ca="1" si="11"/>
        <v>-1</v>
      </c>
    </row>
    <row r="56" spans="1:48" x14ac:dyDescent="0.4">
      <c r="A56" s="80">
        <v>41</v>
      </c>
      <c r="B56" s="134" t="b">
        <f t="shared" si="6"/>
        <v>0</v>
      </c>
      <c r="C56" s="139" t="str" cm="1">
        <f t="array" aca="1" ref="C56" ca="1">IF(
    AND(
        $B56,
        OR(
            INDIRECT("Descriptif!$M"&amp;($B$1+$A56-1))="Préleveur",
            LEFT(INDIRECT("Descriptif!$M"&amp;($B$1+$A56-1)),5)="Sonde",
            LEFT(INDIRECT("Descriptif!$M"&amp;($B$1+$A56-1)),10)="Débitmètre",
            LEFT(INDIRECT("Descriptif!$F"&amp;($B$1+$A56-1)),6)="PLUVIO"        )
    ),
    INDIRECT("Descriptif!$"&amp;C$15&amp;($B$1 +$A56 -1)),
    ""
)</f>
        <v/>
      </c>
      <c r="D56" s="277" t="str" cm="1">
        <f t="array" aca="1" ref="D56" ca="1">IF(
    AND(
        $B56,
        OR(
            INDIRECT("Descriptif!$M"&amp;($B$1+$A56-1))="Préleveur",
            LEFT(INDIRECT("Descriptif!$M"&amp;($B$1+$A56-1)),5)="Sonde",
            LEFT(INDIRECT("Descriptif!$M"&amp;($B$1+$A56-1)),10)="Débitmètre",
            LEFT(INDIRECT("Descriptif!$F"&amp;($B$1+$A56-1)),6)="PLUVIO"       )
    ),
    IF(
        LEFT(INDIRECT("Descriptif!$F"&amp;($B$1+$A56-1)),11)="PLUVIO_STEU",
        "A3",
        IF(
            LEFT(INDIRECT("Descriptif!$F"&amp;($B$1+$A56-1)),10)="PLUVIO_SCL",
            "A1",
            INDIRECT("Descriptif!$"&amp;D$15&amp;($B$1 +$A56 -1))
        )
    ),
    ""
)</f>
        <v/>
      </c>
      <c r="E56" s="277" t="str" cm="1">
        <f t="array" aca="1" ref="E56" ca="1">IF(
    AND(
        $B56,
        OR(
            INDIRECT("Descriptif!$M"&amp;($B$1+$A56-1))="Préleveur",
            LEFT(INDIRECT("Descriptif!$M"&amp;($B$1+$A56-1)),5)="Sonde",
            LEFT(INDIRECT("Descriptif!$M"&amp;($B$1+$A56-1)),10)="Débitmètre",
            LEFT(INDIRECT("Descriptif!$F"&amp;($B$1+$A56-1)),6)="PLUVIO"
        )
    ),
    IF(LEFT(INDIRECT("Descriptif!$F"&amp;($B$1+$A56-1)),6)="PLUVIO","Pluviomètre",INDIRECT("Descriptif!$"&amp;E$15&amp;($B$1 +$A56 -1))),
    ""
)</f>
        <v/>
      </c>
      <c r="F56" s="19" t="str" cm="1">
        <f t="array" aca="1" ref="F56" ca="1">IF(
    AND(
        $B56,
        OR(
            INDIRECT("Descriptif!$M"&amp;($B$1+$A56-1))="Préleveur",
            LEFT(INDIRECT("Descriptif!$M"&amp;($B$1+$A56-1)),5)="Sonde",
            LEFT(INDIRECT("Descriptif!$M"&amp;($B$1+$A56-1)),10)="Débitmètre",
            LEFT(INDIRECT("Descriptif!$F"&amp;($B$1+$A56-1)),6)="PLUVIO"
        )
    ),
    IF(LEFT(INDIRECT("Descriptif!$F"&amp;($B$1+$A56-1)),6)="PLUVIO","Pluviomètre",INDIRECT("Descriptif!$"&amp;F$15&amp;($B$1 +$A56 -1))),
    ""
)</f>
        <v/>
      </c>
      <c r="G56" s="19" t="str" cm="1">
        <f t="array" aca="1" ref="G56" ca="1">IF(
    AND(
        $B56,
        OR(
            INDIRECT("Descriptif!$M"&amp;($B$1+$A56-1))="Préleveur",
            LEFT(INDIRECT("Descriptif!$M"&amp;($B$1+$A56-1)),5)="Sonde",
            LEFT(INDIRECT("Descriptif!$M"&amp;($B$1+$A56-1)),10)="Débitmètre",
            LEFT(INDIRECT("Descriptif!$F"&amp;($B$1+$A56-1)),6)="PLUVIO"
        )
    ),
    IF(LEFT(INDIRECT("Descriptif!$F"&amp;($B$1+$A56-1)),6)="PLUVIO","",INDIRECT("Descriptif!$"&amp;G$15&amp;($B$1 +$A56 -1))),
    ""
)</f>
        <v/>
      </c>
      <c r="H56" s="141" t="str" cm="1">
        <f t="array" aca="1" ref="H56" ca="1">IFERROR(INDEX($C$16:$C$116,SMALL(IF($C$16:$C$116&lt;&gt;"",ROW($C$16:$C$116)-ROW($C$16)+1),ROW(A41))),"")</f>
        <v/>
      </c>
      <c r="I56" s="140" t="str" cm="1">
        <f t="array" aca="1" ref="I56" ca="1">IFERROR(INDEX($D$16:$D$116,SMALL(IF($D$16:$D$116&lt;&gt;"",ROW($D$16:$D$116)-ROW($D$16)+1),ROW(A41))),"")</f>
        <v/>
      </c>
      <c r="J56" s="140" t="str" cm="1">
        <f t="array" aca="1" ref="J56" ca="1">IFERROR(INDEX($E$16:$E$116,SMALL(IF($E$16:$E$116&lt;&gt;"",ROW($E$16:$E$116)-ROW($E$16)+1),ROW(A41))),"")</f>
        <v/>
      </c>
      <c r="K56" s="140" t="str" cm="1">
        <f t="array" aca="1" ref="K56" ca="1">IFERROR(INDEX($F$16:$F$116,SMALL(IF($F$16:$F$116&lt;&gt;"",ROW($F$16:$F$116)-ROW($F$16)+1),ROW(A41))),"")</f>
        <v/>
      </c>
      <c r="L56" s="140" t="str">
        <f t="shared" ca="1" si="0"/>
        <v/>
      </c>
      <c r="M56" s="140" t="str" cm="1">
        <f t="array" aca="1" ref="M56" ca="1">IFERROR(INDEX($G$16:$G$116,SMALL(IF($G$16:$G$116&lt;&gt;"",ROW($G$16:$G$116)-ROW($G$16)+1),ROW(A41))),"")</f>
        <v/>
      </c>
      <c r="N56" s="145" t="str">
        <f t="shared" ca="1" si="12"/>
        <v/>
      </c>
      <c r="O56" s="146" t="str">
        <f t="shared" ca="1" si="13"/>
        <v/>
      </c>
      <c r="P56" s="146" t="str" cm="1">
        <f t="array" aca="1" ref="P56" ca="1">IF($J56&lt;&gt;"",IF(INDIRECT($H56&amp;"!"&amp;$O56)&lt;&gt;"",INDIRECT($H56&amp;"!"&amp;$O56),""),"")</f>
        <v/>
      </c>
      <c r="Q56" s="146" t="str">
        <f t="shared" ca="1" si="14"/>
        <v/>
      </c>
      <c r="R56" s="146" t="str" cm="1">
        <f t="array" aca="1" ref="R56" ca="1">IF($J56&lt;&gt;"",IF(INDIRECT($H56&amp;"!"&amp;$Q56)&lt;&gt;"",INDIRECT($H56&amp;"!"&amp;$Q56),""),"")</f>
        <v/>
      </c>
      <c r="S56" s="146" t="str">
        <f t="shared" ca="1" si="15"/>
        <v/>
      </c>
      <c r="T56" s="146" t="str" cm="1">
        <f t="array" aca="1" ref="T56" ca="1">IF($J56&lt;&gt;"",IF(INDIRECT($H56&amp;"!"&amp;$S56)&lt;&gt;"",INDIRECT($H56&amp;"!"&amp;$S56),""),"")</f>
        <v/>
      </c>
      <c r="U56" s="146" t="str">
        <f t="shared" ca="1" si="16"/>
        <v/>
      </c>
      <c r="V56" s="147" t="str" cm="1">
        <f t="array" aca="1" ref="V56" ca="1">IF($J56&lt;&gt;"",IF(INDIRECT($H56&amp;"!"&amp;$U56)&lt;&gt;"",INDIRECT($H56&amp;"!"&amp;$U56),""),"")</f>
        <v/>
      </c>
      <c r="W56" s="294" t="str">
        <f t="shared" ca="1" si="7"/>
        <v/>
      </c>
      <c r="X56" s="295" t="str">
        <f t="shared" ca="1" si="8"/>
        <v/>
      </c>
      <c r="Y56" s="296" t="str" cm="1">
        <f t="array" aca="1" ref="Y56" ca="1">IF($H56&lt;&gt;"",IF(INDIRECT($H56&amp;"!"&amp;$W56&amp;($X56+Y$15+1))&lt;&gt;"",INDIRECT($H56&amp;"!"&amp;$W56&amp;($X56+Y$15+1)),""),"")</f>
        <v/>
      </c>
      <c r="Z56" s="296" t="str" cm="1">
        <f t="array" aca="1" ref="Z56" ca="1">IF($H56&lt;&gt;"",IF(INDIRECT($H56&amp;"!"&amp;$W56&amp;($X56+Z$15+1))&lt;&gt;"",INDIRECT($H56&amp;"!"&amp;$W56&amp;($X56+Z$15+1)),""),"")</f>
        <v/>
      </c>
      <c r="AA56" s="296" t="str" cm="1">
        <f t="array" aca="1" ref="AA56" ca="1">IF($H56&lt;&gt;"",IF(INDIRECT($H56&amp;"!"&amp;$W56&amp;($X56+AA$15+1))&lt;&gt;"",INDIRECT($H56&amp;"!"&amp;$W56&amp;($X56+AA$15+1)),""),"")</f>
        <v/>
      </c>
      <c r="AB56" s="296" t="str" cm="1">
        <f t="array" aca="1" ref="AB56" ca="1">IF($H56&lt;&gt;"",IF(INDIRECT($H56&amp;"!"&amp;$W56&amp;($X56+AB$15+1))&lt;&gt;"",INDIRECT($H56&amp;"!"&amp;$W56&amp;($X56+AB$15+1)),""),"")</f>
        <v/>
      </c>
      <c r="AC56" s="296" t="str" cm="1">
        <f t="array" aca="1" ref="AC56" ca="1">IF(LEFT($J56,5)="Sonde","",IF($H56&lt;&gt;"",IF(INDIRECT($H56&amp;"!"&amp;$W56&amp;($X56+AC$15+1))&lt;&gt;"",INDIRECT($H56&amp;"!"&amp;$W56&amp;($X56+AC$15+1)),""),""))</f>
        <v/>
      </c>
      <c r="AD56" s="296" t="str" cm="1">
        <f t="array" aca="1" ref="AD56" ca="1">IF(OR($J56="Pluviomètre",LEFT($J56,5)="Sonde"),"",IF($H56&lt;&gt;"",IF(INDIRECT($H56&amp;"!"&amp;$W56&amp;($X56+AD$15+1))&lt;&gt;"",INDIRECT($H56&amp;"!"&amp;$W56&amp;($X56+AD$15+1)),""),""))</f>
        <v/>
      </c>
      <c r="AE56" s="296" t="str" cm="1">
        <f t="array" aca="1" ref="AE56" ca="1">IF(OR($J56="Pluviomètre",LEFT($J56,5)="Sonde"),"",IF($H56&lt;&gt;"",IF(INDIRECT($H56&amp;"!"&amp;$W56&amp;($X56+AE$15+1))&lt;&gt;"",INDIRECT($H56&amp;"!"&amp;$W56&amp;($X56+AE$15+1)),""),""))</f>
        <v/>
      </c>
      <c r="AF56" s="296" t="str" cm="1">
        <f t="array" aca="1" ref="AF56" ca="1">IF(OR($J56="Pluviomètre",LEFT($J56,5)="Sonde"),"",IF($H56&lt;&gt;"",IF(INDIRECT($H56&amp;"!"&amp;$W56&amp;($X56+AF$15+1))&lt;&gt;"",INDIRECT($H56&amp;"!"&amp;$W56&amp;($X56+AF$15+1)),""),""))</f>
        <v/>
      </c>
      <c r="AG56" s="296" t="str" cm="1">
        <f t="array" aca="1" ref="AG56" ca="1">IF(OR($J56="Pluviomètre",LEFT($J56,5)="Sonde"),"",IF($H56&lt;&gt;"",IF(INDIRECT($H56&amp;"!"&amp;$W56&amp;($X56+AG$15+1))&lt;&gt;"",INDIRECT($H56&amp;"!"&amp;$W56&amp;($X56+AG$15+1)),""),""))</f>
        <v/>
      </c>
      <c r="AH56" s="296" t="str" cm="1">
        <f t="array" aca="1" ref="AH56" ca="1">IF(OR($J56="Pluviomètre",LEFT($J56,5)="Sonde"),"",IF($H56&lt;&gt;"",IF(INDIRECT($H56&amp;"!"&amp;$W56&amp;($X56+AH$15+1))&lt;&gt;"",INDIRECT($H56&amp;"!"&amp;$W56&amp;($X56+AH$15+1)),""),""))</f>
        <v/>
      </c>
      <c r="AI56" s="294" t="str">
        <f t="shared" ca="1" si="9"/>
        <v/>
      </c>
      <c r="AJ56" s="295" t="str">
        <f t="shared" ca="1" si="10"/>
        <v/>
      </c>
      <c r="AK56" s="296" t="str" cm="1">
        <f t="array" aca="1" ref="AK56" ca="1">IF($H56&lt;&gt;"",IF(INDIRECT($H56&amp;"!"&amp;$AI56&amp;($AJ56+AK$15+1))&lt;&gt;"",INDIRECT($H56&amp;"!"&amp;$AI56&amp;($AJ56+AK$15+1)),""),"")</f>
        <v/>
      </c>
      <c r="AL56" s="296" t="str" cm="1">
        <f t="array" aca="1" ref="AL56" ca="1">IF($H56&lt;&gt;"",IF(INDIRECT($H56&amp;"!"&amp;$AI56&amp;($AJ56+AL$15+1))&lt;&gt;"",INDIRECT($H56&amp;"!"&amp;$AI56&amp;($AJ56+AL$15+1)),""),"")</f>
        <v/>
      </c>
      <c r="AM56" s="296" t="str" cm="1">
        <f t="array" aca="1" ref="AM56" ca="1">IF($H56&lt;&gt;"",IF(INDIRECT($H56&amp;"!"&amp;$AI56&amp;($AJ56+AM$15+1))&lt;&gt;"",INDIRECT($H56&amp;"!"&amp;$AI56&amp;($AJ56+AM$15+1)),""),"")</f>
        <v/>
      </c>
      <c r="AN56" s="296" t="str" cm="1">
        <f t="array" aca="1" ref="AN56" ca="1">IF($H56&lt;&gt;"",IF(INDIRECT($H56&amp;"!"&amp;$AI56&amp;($AJ56+AN$15+1))&lt;&gt;"",INDIRECT($H56&amp;"!"&amp;$AI56&amp;($AJ56+AN$15+1)),""),"")</f>
        <v/>
      </c>
      <c r="AO56" s="296" t="str" cm="1">
        <f t="array" aca="1" ref="AO56" ca="1">IF(LEFT($J56,5)="Sonde","",IF($H56&lt;&gt;"",IF(INDIRECT($H56&amp;"!"&amp;$AI56&amp;($AJ56+AO$15+1))&lt;&gt;"",INDIRECT($H56&amp;"!"&amp;$AI56&amp;($AJ56+AO$15+1)),""),""))</f>
        <v/>
      </c>
      <c r="AP56" s="296" t="str" cm="1">
        <f t="array" aca="1" ref="AP56" ca="1">IF(OR($J56="Pluviomètre",LEFT($J56,5)="Sonde"),"",IF($H56&lt;&gt;"",IF(INDIRECT($H56&amp;"!"&amp;$AI56&amp;($AJ56+AP$15+1))&lt;&gt;"",INDIRECT($H56&amp;"!"&amp;$AI56&amp;($AJ56+AP$15+1)),""),""))</f>
        <v/>
      </c>
      <c r="AQ56" s="296" t="str" cm="1">
        <f t="array" aca="1" ref="AQ56" ca="1">IF(OR($J56="Pluviomètre",LEFT($J56,5)="Sonde"),"",IF($H56&lt;&gt;"",IF(INDIRECT($H56&amp;"!"&amp;$AI56&amp;($AJ56+AQ$15+1))&lt;&gt;"",INDIRECT($H56&amp;"!"&amp;$AI56&amp;($AJ56+AQ$15+1)),""),""))</f>
        <v/>
      </c>
      <c r="AR56" s="296" t="str" cm="1">
        <f t="array" aca="1" ref="AR56" ca="1">IF(OR($J56="Pluviomètre",LEFT($J56,5)="Sonde"),"",IF($H56&lt;&gt;"",IF(INDIRECT($H56&amp;"!"&amp;$AI56&amp;($AJ56+AR$15+1))&lt;&gt;"",INDIRECT($H56&amp;"!"&amp;$AI56&amp;($AJ56+AR$15+1)),""),""))</f>
        <v/>
      </c>
      <c r="AS56" s="296" t="str" cm="1">
        <f t="array" aca="1" ref="AS56" ca="1">IF(OR($J56="Pluviomètre",LEFT($J56,5)="Sonde"),"",IF($H56&lt;&gt;"",IF(INDIRECT($H56&amp;"!"&amp;$AI56&amp;($AJ56+AS$15+1))&lt;&gt;"",INDIRECT($H56&amp;"!"&amp;$AI56&amp;($AJ56+AS$15+1)),""),""))</f>
        <v/>
      </c>
      <c r="AT56" s="296" t="str" cm="1">
        <f t="array" aca="1" ref="AT56" ca="1">IF(OR($J56="Pluviomètre",LEFT($J56,5)="Sonde"),"",IF($H56&lt;&gt;"",IF(INDIRECT($H56&amp;"!"&amp;$AI56&amp;($AJ56+AT$15+1))&lt;&gt;"",INDIRECT($H56&amp;"!"&amp;$AI56&amp;($AJ56+AT$15+1)),""),""))</f>
        <v/>
      </c>
      <c r="AU56" s="412" cm="1">
        <f t="array" aca="1" ref="AU56" ca="1">SUMPRODUCT((Y56:AH56&lt;&gt;"")*(Y56:AH56&lt;&gt;"Non contrôlé")*(Y56:AH56&lt;&gt;"Non applicable"))</f>
        <v>0</v>
      </c>
      <c r="AV56" s="414">
        <f t="shared" ca="1" si="11"/>
        <v>-1</v>
      </c>
    </row>
    <row r="57" spans="1:48" x14ac:dyDescent="0.4">
      <c r="A57" s="80">
        <v>42</v>
      </c>
      <c r="B57" s="134" t="b">
        <f t="shared" si="6"/>
        <v>0</v>
      </c>
      <c r="C57" s="139" t="str" cm="1">
        <f t="array" aca="1" ref="C57" ca="1">IF(
    AND(
        $B57,
        OR(
            INDIRECT("Descriptif!$M"&amp;($B$1+$A57-1))="Préleveur",
            LEFT(INDIRECT("Descriptif!$M"&amp;($B$1+$A57-1)),5)="Sonde",
            LEFT(INDIRECT("Descriptif!$M"&amp;($B$1+$A57-1)),10)="Débitmètre",
            LEFT(INDIRECT("Descriptif!$F"&amp;($B$1+$A57-1)),6)="PLUVIO"        )
    ),
    INDIRECT("Descriptif!$"&amp;C$15&amp;($B$1 +$A57 -1)),
    ""
)</f>
        <v/>
      </c>
      <c r="D57" s="277" t="str" cm="1">
        <f t="array" aca="1" ref="D57" ca="1">IF(
    AND(
        $B57,
        OR(
            INDIRECT("Descriptif!$M"&amp;($B$1+$A57-1))="Préleveur",
            LEFT(INDIRECT("Descriptif!$M"&amp;($B$1+$A57-1)),5)="Sonde",
            LEFT(INDIRECT("Descriptif!$M"&amp;($B$1+$A57-1)),10)="Débitmètre",
            LEFT(INDIRECT("Descriptif!$F"&amp;($B$1+$A57-1)),6)="PLUVIO"       )
    ),
    IF(
        LEFT(INDIRECT("Descriptif!$F"&amp;($B$1+$A57-1)),11)="PLUVIO_STEU",
        "A3",
        IF(
            LEFT(INDIRECT("Descriptif!$F"&amp;($B$1+$A57-1)),10)="PLUVIO_SCL",
            "A1",
            INDIRECT("Descriptif!$"&amp;D$15&amp;($B$1 +$A57 -1))
        )
    ),
    ""
)</f>
        <v/>
      </c>
      <c r="E57" s="277" t="str" cm="1">
        <f t="array" aca="1" ref="E57" ca="1">IF(
    AND(
        $B57,
        OR(
            INDIRECT("Descriptif!$M"&amp;($B$1+$A57-1))="Préleveur",
            LEFT(INDIRECT("Descriptif!$M"&amp;($B$1+$A57-1)),5)="Sonde",
            LEFT(INDIRECT("Descriptif!$M"&amp;($B$1+$A57-1)),10)="Débitmètre",
            LEFT(INDIRECT("Descriptif!$F"&amp;($B$1+$A57-1)),6)="PLUVIO"
        )
    ),
    IF(LEFT(INDIRECT("Descriptif!$F"&amp;($B$1+$A57-1)),6)="PLUVIO","Pluviomètre",INDIRECT("Descriptif!$"&amp;E$15&amp;($B$1 +$A57 -1))),
    ""
)</f>
        <v/>
      </c>
      <c r="F57" s="19" t="str" cm="1">
        <f t="array" aca="1" ref="F57" ca="1">IF(
    AND(
        $B57,
        OR(
            INDIRECT("Descriptif!$M"&amp;($B$1+$A57-1))="Préleveur",
            LEFT(INDIRECT("Descriptif!$M"&amp;($B$1+$A57-1)),5)="Sonde",
            LEFT(INDIRECT("Descriptif!$M"&amp;($B$1+$A57-1)),10)="Débitmètre",
            LEFT(INDIRECT("Descriptif!$F"&amp;($B$1+$A57-1)),6)="PLUVIO"
        )
    ),
    IF(LEFT(INDIRECT("Descriptif!$F"&amp;($B$1+$A57-1)),6)="PLUVIO","Pluviomètre",INDIRECT("Descriptif!$"&amp;F$15&amp;($B$1 +$A57 -1))),
    ""
)</f>
        <v/>
      </c>
      <c r="G57" s="19" t="str" cm="1">
        <f t="array" aca="1" ref="G57" ca="1">IF(
    AND(
        $B57,
        OR(
            INDIRECT("Descriptif!$M"&amp;($B$1+$A57-1))="Préleveur",
            LEFT(INDIRECT("Descriptif!$M"&amp;($B$1+$A57-1)),5)="Sonde",
            LEFT(INDIRECT("Descriptif!$M"&amp;($B$1+$A57-1)),10)="Débitmètre",
            LEFT(INDIRECT("Descriptif!$F"&amp;($B$1+$A57-1)),6)="PLUVIO"
        )
    ),
    IF(LEFT(INDIRECT("Descriptif!$F"&amp;($B$1+$A57-1)),6)="PLUVIO","",INDIRECT("Descriptif!$"&amp;G$15&amp;($B$1 +$A57 -1))),
    ""
)</f>
        <v/>
      </c>
      <c r="H57" s="141" t="str" cm="1">
        <f t="array" aca="1" ref="H57" ca="1">IFERROR(INDEX($C$16:$C$116,SMALL(IF($C$16:$C$116&lt;&gt;"",ROW($C$16:$C$116)-ROW($C$16)+1),ROW(A42))),"")</f>
        <v/>
      </c>
      <c r="I57" s="140" t="str" cm="1">
        <f t="array" aca="1" ref="I57" ca="1">IFERROR(INDEX($D$16:$D$116,SMALL(IF($D$16:$D$116&lt;&gt;"",ROW($D$16:$D$116)-ROW($D$16)+1),ROW(A42))),"")</f>
        <v/>
      </c>
      <c r="J57" s="140" t="str" cm="1">
        <f t="array" aca="1" ref="J57" ca="1">IFERROR(INDEX($E$16:$E$116,SMALL(IF($E$16:$E$116&lt;&gt;"",ROW($E$16:$E$116)-ROW($E$16)+1),ROW(A42))),"")</f>
        <v/>
      </c>
      <c r="K57" s="140" t="str" cm="1">
        <f t="array" aca="1" ref="K57" ca="1">IFERROR(INDEX($F$16:$F$116,SMALL(IF($F$16:$F$116&lt;&gt;"",ROW($F$16:$F$116)-ROW($F$16)+1),ROW(A42))),"")</f>
        <v/>
      </c>
      <c r="L57" s="140" t="str">
        <f t="shared" ca="1" si="0"/>
        <v/>
      </c>
      <c r="M57" s="140" t="str" cm="1">
        <f t="array" aca="1" ref="M57" ca="1">IFERROR(INDEX($G$16:$G$116,SMALL(IF($G$16:$G$116&lt;&gt;"",ROW($G$16:$G$116)-ROW($G$16)+1),ROW(A42))),"")</f>
        <v/>
      </c>
      <c r="N57" s="145" t="str">
        <f t="shared" ca="1" si="12"/>
        <v/>
      </c>
      <c r="O57" s="146" t="str">
        <f t="shared" ca="1" si="13"/>
        <v/>
      </c>
      <c r="P57" s="146" t="str" cm="1">
        <f t="array" aca="1" ref="P57" ca="1">IF($J57&lt;&gt;"",IF(INDIRECT($H57&amp;"!"&amp;$O57)&lt;&gt;"",INDIRECT($H57&amp;"!"&amp;$O57),""),"")</f>
        <v/>
      </c>
      <c r="Q57" s="146" t="str">
        <f t="shared" ca="1" si="14"/>
        <v/>
      </c>
      <c r="R57" s="146" t="str" cm="1">
        <f t="array" aca="1" ref="R57" ca="1">IF($J57&lt;&gt;"",IF(INDIRECT($H57&amp;"!"&amp;$Q57)&lt;&gt;"",INDIRECT($H57&amp;"!"&amp;$Q57),""),"")</f>
        <v/>
      </c>
      <c r="S57" s="146" t="str">
        <f t="shared" ca="1" si="15"/>
        <v/>
      </c>
      <c r="T57" s="146" t="str" cm="1">
        <f t="array" aca="1" ref="T57" ca="1">IF($J57&lt;&gt;"",IF(INDIRECT($H57&amp;"!"&amp;$S57)&lt;&gt;"",INDIRECT($H57&amp;"!"&amp;$S57),""),"")</f>
        <v/>
      </c>
      <c r="U57" s="146" t="str">
        <f t="shared" ca="1" si="16"/>
        <v/>
      </c>
      <c r="V57" s="147" t="str" cm="1">
        <f t="array" aca="1" ref="V57" ca="1">IF($J57&lt;&gt;"",IF(INDIRECT($H57&amp;"!"&amp;$U57)&lt;&gt;"",INDIRECT($H57&amp;"!"&amp;$U57),""),"")</f>
        <v/>
      </c>
      <c r="W57" s="294" t="str">
        <f t="shared" ca="1" si="7"/>
        <v/>
      </c>
      <c r="X57" s="295" t="str">
        <f t="shared" ca="1" si="8"/>
        <v/>
      </c>
      <c r="Y57" s="296" t="str" cm="1">
        <f t="array" aca="1" ref="Y57" ca="1">IF($H57&lt;&gt;"",IF(INDIRECT($H57&amp;"!"&amp;$W57&amp;($X57+Y$15+1))&lt;&gt;"",INDIRECT($H57&amp;"!"&amp;$W57&amp;($X57+Y$15+1)),""),"")</f>
        <v/>
      </c>
      <c r="Z57" s="296" t="str" cm="1">
        <f t="array" aca="1" ref="Z57" ca="1">IF($H57&lt;&gt;"",IF(INDIRECT($H57&amp;"!"&amp;$W57&amp;($X57+Z$15+1))&lt;&gt;"",INDIRECT($H57&amp;"!"&amp;$W57&amp;($X57+Z$15+1)),""),"")</f>
        <v/>
      </c>
      <c r="AA57" s="296" t="str" cm="1">
        <f t="array" aca="1" ref="AA57" ca="1">IF($H57&lt;&gt;"",IF(INDIRECT($H57&amp;"!"&amp;$W57&amp;($X57+AA$15+1))&lt;&gt;"",INDIRECT($H57&amp;"!"&amp;$W57&amp;($X57+AA$15+1)),""),"")</f>
        <v/>
      </c>
      <c r="AB57" s="296" t="str" cm="1">
        <f t="array" aca="1" ref="AB57" ca="1">IF($H57&lt;&gt;"",IF(INDIRECT($H57&amp;"!"&amp;$W57&amp;($X57+AB$15+1))&lt;&gt;"",INDIRECT($H57&amp;"!"&amp;$W57&amp;($X57+AB$15+1)),""),"")</f>
        <v/>
      </c>
      <c r="AC57" s="296" t="str" cm="1">
        <f t="array" aca="1" ref="AC57" ca="1">IF(LEFT($J57,5)="Sonde","",IF($H57&lt;&gt;"",IF(INDIRECT($H57&amp;"!"&amp;$W57&amp;($X57+AC$15+1))&lt;&gt;"",INDIRECT($H57&amp;"!"&amp;$W57&amp;($X57+AC$15+1)),""),""))</f>
        <v/>
      </c>
      <c r="AD57" s="296" t="str" cm="1">
        <f t="array" aca="1" ref="AD57" ca="1">IF(OR($J57="Pluviomètre",LEFT($J57,5)="Sonde"),"",IF($H57&lt;&gt;"",IF(INDIRECT($H57&amp;"!"&amp;$W57&amp;($X57+AD$15+1))&lt;&gt;"",INDIRECT($H57&amp;"!"&amp;$W57&amp;($X57+AD$15+1)),""),""))</f>
        <v/>
      </c>
      <c r="AE57" s="296" t="str" cm="1">
        <f t="array" aca="1" ref="AE57" ca="1">IF(OR($J57="Pluviomètre",LEFT($J57,5)="Sonde"),"",IF($H57&lt;&gt;"",IF(INDIRECT($H57&amp;"!"&amp;$W57&amp;($X57+AE$15+1))&lt;&gt;"",INDIRECT($H57&amp;"!"&amp;$W57&amp;($X57+AE$15+1)),""),""))</f>
        <v/>
      </c>
      <c r="AF57" s="296" t="str" cm="1">
        <f t="array" aca="1" ref="AF57" ca="1">IF(OR($J57="Pluviomètre",LEFT($J57,5)="Sonde"),"",IF($H57&lt;&gt;"",IF(INDIRECT($H57&amp;"!"&amp;$W57&amp;($X57+AF$15+1))&lt;&gt;"",INDIRECT($H57&amp;"!"&amp;$W57&amp;($X57+AF$15+1)),""),""))</f>
        <v/>
      </c>
      <c r="AG57" s="296" t="str" cm="1">
        <f t="array" aca="1" ref="AG57" ca="1">IF(OR($J57="Pluviomètre",LEFT($J57,5)="Sonde"),"",IF($H57&lt;&gt;"",IF(INDIRECT($H57&amp;"!"&amp;$W57&amp;($X57+AG$15+1))&lt;&gt;"",INDIRECT($H57&amp;"!"&amp;$W57&amp;($X57+AG$15+1)),""),""))</f>
        <v/>
      </c>
      <c r="AH57" s="296" t="str" cm="1">
        <f t="array" aca="1" ref="AH57" ca="1">IF(OR($J57="Pluviomètre",LEFT($J57,5)="Sonde"),"",IF($H57&lt;&gt;"",IF(INDIRECT($H57&amp;"!"&amp;$W57&amp;($X57+AH$15+1))&lt;&gt;"",INDIRECT($H57&amp;"!"&amp;$W57&amp;($X57+AH$15+1)),""),""))</f>
        <v/>
      </c>
      <c r="AI57" s="294" t="str">
        <f t="shared" ca="1" si="9"/>
        <v/>
      </c>
      <c r="AJ57" s="295" t="str">
        <f t="shared" ca="1" si="10"/>
        <v/>
      </c>
      <c r="AK57" s="296" t="str" cm="1">
        <f t="array" aca="1" ref="AK57" ca="1">IF($H57&lt;&gt;"",IF(INDIRECT($H57&amp;"!"&amp;$AI57&amp;($AJ57+AK$15+1))&lt;&gt;"",INDIRECT($H57&amp;"!"&amp;$AI57&amp;($AJ57+AK$15+1)),""),"")</f>
        <v/>
      </c>
      <c r="AL57" s="296" t="str" cm="1">
        <f t="array" aca="1" ref="AL57" ca="1">IF($H57&lt;&gt;"",IF(INDIRECT($H57&amp;"!"&amp;$AI57&amp;($AJ57+AL$15+1))&lt;&gt;"",INDIRECT($H57&amp;"!"&amp;$AI57&amp;($AJ57+AL$15+1)),""),"")</f>
        <v/>
      </c>
      <c r="AM57" s="296" t="str" cm="1">
        <f t="array" aca="1" ref="AM57" ca="1">IF($H57&lt;&gt;"",IF(INDIRECT($H57&amp;"!"&amp;$AI57&amp;($AJ57+AM$15+1))&lt;&gt;"",INDIRECT($H57&amp;"!"&amp;$AI57&amp;($AJ57+AM$15+1)),""),"")</f>
        <v/>
      </c>
      <c r="AN57" s="296" t="str" cm="1">
        <f t="array" aca="1" ref="AN57" ca="1">IF($H57&lt;&gt;"",IF(INDIRECT($H57&amp;"!"&amp;$AI57&amp;($AJ57+AN$15+1))&lt;&gt;"",INDIRECT($H57&amp;"!"&amp;$AI57&amp;($AJ57+AN$15+1)),""),"")</f>
        <v/>
      </c>
      <c r="AO57" s="296" t="str" cm="1">
        <f t="array" aca="1" ref="AO57" ca="1">IF(LEFT($J57,5)="Sonde","",IF($H57&lt;&gt;"",IF(INDIRECT($H57&amp;"!"&amp;$AI57&amp;($AJ57+AO$15+1))&lt;&gt;"",INDIRECT($H57&amp;"!"&amp;$AI57&amp;($AJ57+AO$15+1)),""),""))</f>
        <v/>
      </c>
      <c r="AP57" s="296" t="str" cm="1">
        <f t="array" aca="1" ref="AP57" ca="1">IF(OR($J57="Pluviomètre",LEFT($J57,5)="Sonde"),"",IF($H57&lt;&gt;"",IF(INDIRECT($H57&amp;"!"&amp;$AI57&amp;($AJ57+AP$15+1))&lt;&gt;"",INDIRECT($H57&amp;"!"&amp;$AI57&amp;($AJ57+AP$15+1)),""),""))</f>
        <v/>
      </c>
      <c r="AQ57" s="296" t="str" cm="1">
        <f t="array" aca="1" ref="AQ57" ca="1">IF(OR($J57="Pluviomètre",LEFT($J57,5)="Sonde"),"",IF($H57&lt;&gt;"",IF(INDIRECT($H57&amp;"!"&amp;$AI57&amp;($AJ57+AQ$15+1))&lt;&gt;"",INDIRECT($H57&amp;"!"&amp;$AI57&amp;($AJ57+AQ$15+1)),""),""))</f>
        <v/>
      </c>
      <c r="AR57" s="296" t="str" cm="1">
        <f t="array" aca="1" ref="AR57" ca="1">IF(OR($J57="Pluviomètre",LEFT($J57,5)="Sonde"),"",IF($H57&lt;&gt;"",IF(INDIRECT($H57&amp;"!"&amp;$AI57&amp;($AJ57+AR$15+1))&lt;&gt;"",INDIRECT($H57&amp;"!"&amp;$AI57&amp;($AJ57+AR$15+1)),""),""))</f>
        <v/>
      </c>
      <c r="AS57" s="296" t="str" cm="1">
        <f t="array" aca="1" ref="AS57" ca="1">IF(OR($J57="Pluviomètre",LEFT($J57,5)="Sonde"),"",IF($H57&lt;&gt;"",IF(INDIRECT($H57&amp;"!"&amp;$AI57&amp;($AJ57+AS$15+1))&lt;&gt;"",INDIRECT($H57&amp;"!"&amp;$AI57&amp;($AJ57+AS$15+1)),""),""))</f>
        <v/>
      </c>
      <c r="AT57" s="296" t="str" cm="1">
        <f t="array" aca="1" ref="AT57" ca="1">IF(OR($J57="Pluviomètre",LEFT($J57,5)="Sonde"),"",IF($H57&lt;&gt;"",IF(INDIRECT($H57&amp;"!"&amp;$AI57&amp;($AJ57+AT$15+1))&lt;&gt;"",INDIRECT($H57&amp;"!"&amp;$AI57&amp;($AJ57+AT$15+1)),""),""))</f>
        <v/>
      </c>
      <c r="AU57" s="412" cm="1">
        <f t="array" aca="1" ref="AU57" ca="1">SUMPRODUCT((Y57:AH57&lt;&gt;"")*(Y57:AH57&lt;&gt;"Non contrôlé")*(Y57:AH57&lt;&gt;"Non applicable"))</f>
        <v>0</v>
      </c>
      <c r="AV57" s="414">
        <f t="shared" ca="1" si="11"/>
        <v>-1</v>
      </c>
    </row>
    <row r="58" spans="1:48" x14ac:dyDescent="0.4">
      <c r="A58" s="80">
        <v>43</v>
      </c>
      <c r="B58" s="134" t="b">
        <f t="shared" si="6"/>
        <v>0</v>
      </c>
      <c r="C58" s="139" t="str" cm="1">
        <f t="array" aca="1" ref="C58" ca="1">IF(
    AND(
        $B58,
        OR(
            INDIRECT("Descriptif!$M"&amp;($B$1+$A58-1))="Préleveur",
            LEFT(INDIRECT("Descriptif!$M"&amp;($B$1+$A58-1)),5)="Sonde",
            LEFT(INDIRECT("Descriptif!$M"&amp;($B$1+$A58-1)),10)="Débitmètre",
            LEFT(INDIRECT("Descriptif!$F"&amp;($B$1+$A58-1)),6)="PLUVIO"        )
    ),
    INDIRECT("Descriptif!$"&amp;C$15&amp;($B$1 +$A58 -1)),
    ""
)</f>
        <v/>
      </c>
      <c r="D58" s="277" t="str" cm="1">
        <f t="array" aca="1" ref="D58" ca="1">IF(
    AND(
        $B58,
        OR(
            INDIRECT("Descriptif!$M"&amp;($B$1+$A58-1))="Préleveur",
            LEFT(INDIRECT("Descriptif!$M"&amp;($B$1+$A58-1)),5)="Sonde",
            LEFT(INDIRECT("Descriptif!$M"&amp;($B$1+$A58-1)),10)="Débitmètre",
            LEFT(INDIRECT("Descriptif!$F"&amp;($B$1+$A58-1)),6)="PLUVIO"       )
    ),
    IF(
        LEFT(INDIRECT("Descriptif!$F"&amp;($B$1+$A58-1)),11)="PLUVIO_STEU",
        "A3",
        IF(
            LEFT(INDIRECT("Descriptif!$F"&amp;($B$1+$A58-1)),10)="PLUVIO_SCL",
            "A1",
            INDIRECT("Descriptif!$"&amp;D$15&amp;($B$1 +$A58 -1))
        )
    ),
    ""
)</f>
        <v/>
      </c>
      <c r="E58" s="277" t="str" cm="1">
        <f t="array" aca="1" ref="E58" ca="1">IF(
    AND(
        $B58,
        OR(
            INDIRECT("Descriptif!$M"&amp;($B$1+$A58-1))="Préleveur",
            LEFT(INDIRECT("Descriptif!$M"&amp;($B$1+$A58-1)),5)="Sonde",
            LEFT(INDIRECT("Descriptif!$M"&amp;($B$1+$A58-1)),10)="Débitmètre",
            LEFT(INDIRECT("Descriptif!$F"&amp;($B$1+$A58-1)),6)="PLUVIO"
        )
    ),
    IF(LEFT(INDIRECT("Descriptif!$F"&amp;($B$1+$A58-1)),6)="PLUVIO","Pluviomètre",INDIRECT("Descriptif!$"&amp;E$15&amp;($B$1 +$A58 -1))),
    ""
)</f>
        <v/>
      </c>
      <c r="F58" s="19" t="str" cm="1">
        <f t="array" aca="1" ref="F58" ca="1">IF(
    AND(
        $B58,
        OR(
            INDIRECT("Descriptif!$M"&amp;($B$1+$A58-1))="Préleveur",
            LEFT(INDIRECT("Descriptif!$M"&amp;($B$1+$A58-1)),5)="Sonde",
            LEFT(INDIRECT("Descriptif!$M"&amp;($B$1+$A58-1)),10)="Débitmètre",
            LEFT(INDIRECT("Descriptif!$F"&amp;($B$1+$A58-1)),6)="PLUVIO"
        )
    ),
    IF(LEFT(INDIRECT("Descriptif!$F"&amp;($B$1+$A58-1)),6)="PLUVIO","Pluviomètre",INDIRECT("Descriptif!$"&amp;F$15&amp;($B$1 +$A58 -1))),
    ""
)</f>
        <v/>
      </c>
      <c r="G58" s="19" t="str" cm="1">
        <f t="array" aca="1" ref="G58" ca="1">IF(
    AND(
        $B58,
        OR(
            INDIRECT("Descriptif!$M"&amp;($B$1+$A58-1))="Préleveur",
            LEFT(INDIRECT("Descriptif!$M"&amp;($B$1+$A58-1)),5)="Sonde",
            LEFT(INDIRECT("Descriptif!$M"&amp;($B$1+$A58-1)),10)="Débitmètre",
            LEFT(INDIRECT("Descriptif!$F"&amp;($B$1+$A58-1)),6)="PLUVIO"
        )
    ),
    IF(LEFT(INDIRECT("Descriptif!$F"&amp;($B$1+$A58-1)),6)="PLUVIO","",INDIRECT("Descriptif!$"&amp;G$15&amp;($B$1 +$A58 -1))),
    ""
)</f>
        <v/>
      </c>
      <c r="H58" s="141" t="str" cm="1">
        <f t="array" aca="1" ref="H58" ca="1">IFERROR(INDEX($C$16:$C$116,SMALL(IF($C$16:$C$116&lt;&gt;"",ROW($C$16:$C$116)-ROW($C$16)+1),ROW(A43))),"")</f>
        <v/>
      </c>
      <c r="I58" s="140" t="str" cm="1">
        <f t="array" aca="1" ref="I58" ca="1">IFERROR(INDEX($D$16:$D$116,SMALL(IF($D$16:$D$116&lt;&gt;"",ROW($D$16:$D$116)-ROW($D$16)+1),ROW(A43))),"")</f>
        <v/>
      </c>
      <c r="J58" s="140" t="str" cm="1">
        <f t="array" aca="1" ref="J58" ca="1">IFERROR(INDEX($E$16:$E$116,SMALL(IF($E$16:$E$116&lt;&gt;"",ROW($E$16:$E$116)-ROW($E$16)+1),ROW(A43))),"")</f>
        <v/>
      </c>
      <c r="K58" s="140" t="str" cm="1">
        <f t="array" aca="1" ref="K58" ca="1">IFERROR(INDEX($F$16:$F$116,SMALL(IF($F$16:$F$116&lt;&gt;"",ROW($F$16:$F$116)-ROW($F$16)+1),ROW(A43))),"")</f>
        <v/>
      </c>
      <c r="L58" s="140" t="str">
        <f t="shared" ca="1" si="0"/>
        <v/>
      </c>
      <c r="M58" s="140" t="str" cm="1">
        <f t="array" aca="1" ref="M58" ca="1">IFERROR(INDEX($G$16:$G$116,SMALL(IF($G$16:$G$116&lt;&gt;"",ROW($G$16:$G$116)-ROW($G$16)+1),ROW(A43))),"")</f>
        <v/>
      </c>
      <c r="N58" s="145" t="str">
        <f t="shared" ca="1" si="12"/>
        <v/>
      </c>
      <c r="O58" s="146" t="str">
        <f t="shared" ca="1" si="13"/>
        <v/>
      </c>
      <c r="P58" s="146" t="str" cm="1">
        <f t="array" aca="1" ref="P58" ca="1">IF($J58&lt;&gt;"",IF(INDIRECT($H58&amp;"!"&amp;$O58)&lt;&gt;"",INDIRECT($H58&amp;"!"&amp;$O58),""),"")</f>
        <v/>
      </c>
      <c r="Q58" s="146" t="str">
        <f t="shared" ca="1" si="14"/>
        <v/>
      </c>
      <c r="R58" s="146" t="str" cm="1">
        <f t="array" aca="1" ref="R58" ca="1">IF($J58&lt;&gt;"",IF(INDIRECT($H58&amp;"!"&amp;$Q58)&lt;&gt;"",INDIRECT($H58&amp;"!"&amp;$Q58),""),"")</f>
        <v/>
      </c>
      <c r="S58" s="146" t="str">
        <f t="shared" ca="1" si="15"/>
        <v/>
      </c>
      <c r="T58" s="146" t="str" cm="1">
        <f t="array" aca="1" ref="T58" ca="1">IF($J58&lt;&gt;"",IF(INDIRECT($H58&amp;"!"&amp;$S58)&lt;&gt;"",INDIRECT($H58&amp;"!"&amp;$S58),""),"")</f>
        <v/>
      </c>
      <c r="U58" s="146" t="str">
        <f t="shared" ca="1" si="16"/>
        <v/>
      </c>
      <c r="V58" s="147" t="str" cm="1">
        <f t="array" aca="1" ref="V58" ca="1">IF($J58&lt;&gt;"",IF(INDIRECT($H58&amp;"!"&amp;$U58)&lt;&gt;"",INDIRECT($H58&amp;"!"&amp;$U58),""),"")</f>
        <v/>
      </c>
      <c r="W58" s="294" t="str">
        <f t="shared" ca="1" si="7"/>
        <v/>
      </c>
      <c r="X58" s="295" t="str">
        <f t="shared" ca="1" si="8"/>
        <v/>
      </c>
      <c r="Y58" s="296" t="str" cm="1">
        <f t="array" aca="1" ref="Y58" ca="1">IF($H58&lt;&gt;"",IF(INDIRECT($H58&amp;"!"&amp;$W58&amp;($X58+Y$15+1))&lt;&gt;"",INDIRECT($H58&amp;"!"&amp;$W58&amp;($X58+Y$15+1)),""),"")</f>
        <v/>
      </c>
      <c r="Z58" s="296" t="str" cm="1">
        <f t="array" aca="1" ref="Z58" ca="1">IF($H58&lt;&gt;"",IF(INDIRECT($H58&amp;"!"&amp;$W58&amp;($X58+Z$15+1))&lt;&gt;"",INDIRECT($H58&amp;"!"&amp;$W58&amp;($X58+Z$15+1)),""),"")</f>
        <v/>
      </c>
      <c r="AA58" s="296" t="str" cm="1">
        <f t="array" aca="1" ref="AA58" ca="1">IF($H58&lt;&gt;"",IF(INDIRECT($H58&amp;"!"&amp;$W58&amp;($X58+AA$15+1))&lt;&gt;"",INDIRECT($H58&amp;"!"&amp;$W58&amp;($X58+AA$15+1)),""),"")</f>
        <v/>
      </c>
      <c r="AB58" s="296" t="str" cm="1">
        <f t="array" aca="1" ref="AB58" ca="1">IF($H58&lt;&gt;"",IF(INDIRECT($H58&amp;"!"&amp;$W58&amp;($X58+AB$15+1))&lt;&gt;"",INDIRECT($H58&amp;"!"&amp;$W58&amp;($X58+AB$15+1)),""),"")</f>
        <v/>
      </c>
      <c r="AC58" s="296" t="str" cm="1">
        <f t="array" aca="1" ref="AC58" ca="1">IF(LEFT($J58,5)="Sonde","",IF($H58&lt;&gt;"",IF(INDIRECT($H58&amp;"!"&amp;$W58&amp;($X58+AC$15+1))&lt;&gt;"",INDIRECT($H58&amp;"!"&amp;$W58&amp;($X58+AC$15+1)),""),""))</f>
        <v/>
      </c>
      <c r="AD58" s="296" t="str" cm="1">
        <f t="array" aca="1" ref="AD58" ca="1">IF(OR($J58="Pluviomètre",LEFT($J58,5)="Sonde"),"",IF($H58&lt;&gt;"",IF(INDIRECT($H58&amp;"!"&amp;$W58&amp;($X58+AD$15+1))&lt;&gt;"",INDIRECT($H58&amp;"!"&amp;$W58&amp;($X58+AD$15+1)),""),""))</f>
        <v/>
      </c>
      <c r="AE58" s="296" t="str" cm="1">
        <f t="array" aca="1" ref="AE58" ca="1">IF(OR($J58="Pluviomètre",LEFT($J58,5)="Sonde"),"",IF($H58&lt;&gt;"",IF(INDIRECT($H58&amp;"!"&amp;$W58&amp;($X58+AE$15+1))&lt;&gt;"",INDIRECT($H58&amp;"!"&amp;$W58&amp;($X58+AE$15+1)),""),""))</f>
        <v/>
      </c>
      <c r="AF58" s="296" t="str" cm="1">
        <f t="array" aca="1" ref="AF58" ca="1">IF(OR($J58="Pluviomètre",LEFT($J58,5)="Sonde"),"",IF($H58&lt;&gt;"",IF(INDIRECT($H58&amp;"!"&amp;$W58&amp;($X58+AF$15+1))&lt;&gt;"",INDIRECT($H58&amp;"!"&amp;$W58&amp;($X58+AF$15+1)),""),""))</f>
        <v/>
      </c>
      <c r="AG58" s="296" t="str" cm="1">
        <f t="array" aca="1" ref="AG58" ca="1">IF(OR($J58="Pluviomètre",LEFT($J58,5)="Sonde"),"",IF($H58&lt;&gt;"",IF(INDIRECT($H58&amp;"!"&amp;$W58&amp;($X58+AG$15+1))&lt;&gt;"",INDIRECT($H58&amp;"!"&amp;$W58&amp;($X58+AG$15+1)),""),""))</f>
        <v/>
      </c>
      <c r="AH58" s="296" t="str" cm="1">
        <f t="array" aca="1" ref="AH58" ca="1">IF(OR($J58="Pluviomètre",LEFT($J58,5)="Sonde"),"",IF($H58&lt;&gt;"",IF(INDIRECT($H58&amp;"!"&amp;$W58&amp;($X58+AH$15+1))&lt;&gt;"",INDIRECT($H58&amp;"!"&amp;$W58&amp;($X58+AH$15+1)),""),""))</f>
        <v/>
      </c>
      <c r="AI58" s="294" t="str">
        <f t="shared" ca="1" si="9"/>
        <v/>
      </c>
      <c r="AJ58" s="295" t="str">
        <f t="shared" ca="1" si="10"/>
        <v/>
      </c>
      <c r="AK58" s="296" t="str" cm="1">
        <f t="array" aca="1" ref="AK58" ca="1">IF($H58&lt;&gt;"",IF(INDIRECT($H58&amp;"!"&amp;$AI58&amp;($AJ58+AK$15+1))&lt;&gt;"",INDIRECT($H58&amp;"!"&amp;$AI58&amp;($AJ58+AK$15+1)),""),"")</f>
        <v/>
      </c>
      <c r="AL58" s="296" t="str" cm="1">
        <f t="array" aca="1" ref="AL58" ca="1">IF($H58&lt;&gt;"",IF(INDIRECT($H58&amp;"!"&amp;$AI58&amp;($AJ58+AL$15+1))&lt;&gt;"",INDIRECT($H58&amp;"!"&amp;$AI58&amp;($AJ58+AL$15+1)),""),"")</f>
        <v/>
      </c>
      <c r="AM58" s="296" t="str" cm="1">
        <f t="array" aca="1" ref="AM58" ca="1">IF($H58&lt;&gt;"",IF(INDIRECT($H58&amp;"!"&amp;$AI58&amp;($AJ58+AM$15+1))&lt;&gt;"",INDIRECT($H58&amp;"!"&amp;$AI58&amp;($AJ58+AM$15+1)),""),"")</f>
        <v/>
      </c>
      <c r="AN58" s="296" t="str" cm="1">
        <f t="array" aca="1" ref="AN58" ca="1">IF($H58&lt;&gt;"",IF(INDIRECT($H58&amp;"!"&amp;$AI58&amp;($AJ58+AN$15+1))&lt;&gt;"",INDIRECT($H58&amp;"!"&amp;$AI58&amp;($AJ58+AN$15+1)),""),"")</f>
        <v/>
      </c>
      <c r="AO58" s="296" t="str" cm="1">
        <f t="array" aca="1" ref="AO58" ca="1">IF(LEFT($J58,5)="Sonde","",IF($H58&lt;&gt;"",IF(INDIRECT($H58&amp;"!"&amp;$AI58&amp;($AJ58+AO$15+1))&lt;&gt;"",INDIRECT($H58&amp;"!"&amp;$AI58&amp;($AJ58+AO$15+1)),""),""))</f>
        <v/>
      </c>
      <c r="AP58" s="296" t="str" cm="1">
        <f t="array" aca="1" ref="AP58" ca="1">IF(OR($J58="Pluviomètre",LEFT($J58,5)="Sonde"),"",IF($H58&lt;&gt;"",IF(INDIRECT($H58&amp;"!"&amp;$AI58&amp;($AJ58+AP$15+1))&lt;&gt;"",INDIRECT($H58&amp;"!"&amp;$AI58&amp;($AJ58+AP$15+1)),""),""))</f>
        <v/>
      </c>
      <c r="AQ58" s="296" t="str" cm="1">
        <f t="array" aca="1" ref="AQ58" ca="1">IF(OR($J58="Pluviomètre",LEFT($J58,5)="Sonde"),"",IF($H58&lt;&gt;"",IF(INDIRECT($H58&amp;"!"&amp;$AI58&amp;($AJ58+AQ$15+1))&lt;&gt;"",INDIRECT($H58&amp;"!"&amp;$AI58&amp;($AJ58+AQ$15+1)),""),""))</f>
        <v/>
      </c>
      <c r="AR58" s="296" t="str" cm="1">
        <f t="array" aca="1" ref="AR58" ca="1">IF(OR($J58="Pluviomètre",LEFT($J58,5)="Sonde"),"",IF($H58&lt;&gt;"",IF(INDIRECT($H58&amp;"!"&amp;$AI58&amp;($AJ58+AR$15+1))&lt;&gt;"",INDIRECT($H58&amp;"!"&amp;$AI58&amp;($AJ58+AR$15+1)),""),""))</f>
        <v/>
      </c>
      <c r="AS58" s="296" t="str" cm="1">
        <f t="array" aca="1" ref="AS58" ca="1">IF(OR($J58="Pluviomètre",LEFT($J58,5)="Sonde"),"",IF($H58&lt;&gt;"",IF(INDIRECT($H58&amp;"!"&amp;$AI58&amp;($AJ58+AS$15+1))&lt;&gt;"",INDIRECT($H58&amp;"!"&amp;$AI58&amp;($AJ58+AS$15+1)),""),""))</f>
        <v/>
      </c>
      <c r="AT58" s="296" t="str" cm="1">
        <f t="array" aca="1" ref="AT58" ca="1">IF(OR($J58="Pluviomètre",LEFT($J58,5)="Sonde"),"",IF($H58&lt;&gt;"",IF(INDIRECT($H58&amp;"!"&amp;$AI58&amp;($AJ58+AT$15+1))&lt;&gt;"",INDIRECT($H58&amp;"!"&amp;$AI58&amp;($AJ58+AT$15+1)),""),""))</f>
        <v/>
      </c>
      <c r="AU58" s="412" cm="1">
        <f t="array" aca="1" ref="AU58" ca="1">SUMPRODUCT((Y58:AH58&lt;&gt;"")*(Y58:AH58&lt;&gt;"Non contrôlé")*(Y58:AH58&lt;&gt;"Non applicable"))</f>
        <v>0</v>
      </c>
      <c r="AV58" s="414">
        <f t="shared" ca="1" si="11"/>
        <v>-1</v>
      </c>
    </row>
    <row r="59" spans="1:48" x14ac:dyDescent="0.4">
      <c r="A59" s="80">
        <v>44</v>
      </c>
      <c r="B59" s="134" t="b">
        <f t="shared" si="6"/>
        <v>0</v>
      </c>
      <c r="C59" s="139" t="str" cm="1">
        <f t="array" aca="1" ref="C59" ca="1">IF(
    AND(
        $B59,
        OR(
            INDIRECT("Descriptif!$M"&amp;($B$1+$A59-1))="Préleveur",
            LEFT(INDIRECT("Descriptif!$M"&amp;($B$1+$A59-1)),5)="Sonde",
            LEFT(INDIRECT("Descriptif!$M"&amp;($B$1+$A59-1)),10)="Débitmètre",
            LEFT(INDIRECT("Descriptif!$F"&amp;($B$1+$A59-1)),6)="PLUVIO"        )
    ),
    INDIRECT("Descriptif!$"&amp;C$15&amp;($B$1 +$A59 -1)),
    ""
)</f>
        <v/>
      </c>
      <c r="D59" s="277" t="str" cm="1">
        <f t="array" aca="1" ref="D59" ca="1">IF(
    AND(
        $B59,
        OR(
            INDIRECT("Descriptif!$M"&amp;($B$1+$A59-1))="Préleveur",
            LEFT(INDIRECT("Descriptif!$M"&amp;($B$1+$A59-1)),5)="Sonde",
            LEFT(INDIRECT("Descriptif!$M"&amp;($B$1+$A59-1)),10)="Débitmètre",
            LEFT(INDIRECT("Descriptif!$F"&amp;($B$1+$A59-1)),6)="PLUVIO"       )
    ),
    IF(
        LEFT(INDIRECT("Descriptif!$F"&amp;($B$1+$A59-1)),11)="PLUVIO_STEU",
        "A3",
        IF(
            LEFT(INDIRECT("Descriptif!$F"&amp;($B$1+$A59-1)),10)="PLUVIO_SCL",
            "A1",
            INDIRECT("Descriptif!$"&amp;D$15&amp;($B$1 +$A59 -1))
        )
    ),
    ""
)</f>
        <v/>
      </c>
      <c r="E59" s="277" t="str" cm="1">
        <f t="array" aca="1" ref="E59" ca="1">IF(
    AND(
        $B59,
        OR(
            INDIRECT("Descriptif!$M"&amp;($B$1+$A59-1))="Préleveur",
            LEFT(INDIRECT("Descriptif!$M"&amp;($B$1+$A59-1)),5)="Sonde",
            LEFT(INDIRECT("Descriptif!$M"&amp;($B$1+$A59-1)),10)="Débitmètre",
            LEFT(INDIRECT("Descriptif!$F"&amp;($B$1+$A59-1)),6)="PLUVIO"
        )
    ),
    IF(LEFT(INDIRECT("Descriptif!$F"&amp;($B$1+$A59-1)),6)="PLUVIO","Pluviomètre",INDIRECT("Descriptif!$"&amp;E$15&amp;($B$1 +$A59 -1))),
    ""
)</f>
        <v/>
      </c>
      <c r="F59" s="19" t="str" cm="1">
        <f t="array" aca="1" ref="F59" ca="1">IF(
    AND(
        $B59,
        OR(
            INDIRECT("Descriptif!$M"&amp;($B$1+$A59-1))="Préleveur",
            LEFT(INDIRECT("Descriptif!$M"&amp;($B$1+$A59-1)),5)="Sonde",
            LEFT(INDIRECT("Descriptif!$M"&amp;($B$1+$A59-1)),10)="Débitmètre",
            LEFT(INDIRECT("Descriptif!$F"&amp;($B$1+$A59-1)),6)="PLUVIO"
        )
    ),
    IF(LEFT(INDIRECT("Descriptif!$F"&amp;($B$1+$A59-1)),6)="PLUVIO","Pluviomètre",INDIRECT("Descriptif!$"&amp;F$15&amp;($B$1 +$A59 -1))),
    ""
)</f>
        <v/>
      </c>
      <c r="G59" s="19" t="str" cm="1">
        <f t="array" aca="1" ref="G59" ca="1">IF(
    AND(
        $B59,
        OR(
            INDIRECT("Descriptif!$M"&amp;($B$1+$A59-1))="Préleveur",
            LEFT(INDIRECT("Descriptif!$M"&amp;($B$1+$A59-1)),5)="Sonde",
            LEFT(INDIRECT("Descriptif!$M"&amp;($B$1+$A59-1)),10)="Débitmètre",
            LEFT(INDIRECT("Descriptif!$F"&amp;($B$1+$A59-1)),6)="PLUVIO"
        )
    ),
    IF(LEFT(INDIRECT("Descriptif!$F"&amp;($B$1+$A59-1)),6)="PLUVIO","",INDIRECT("Descriptif!$"&amp;G$15&amp;($B$1 +$A59 -1))),
    ""
)</f>
        <v/>
      </c>
      <c r="H59" s="141" t="str" cm="1">
        <f t="array" aca="1" ref="H59" ca="1">IFERROR(INDEX($C$16:$C$116,SMALL(IF($C$16:$C$116&lt;&gt;"",ROW($C$16:$C$116)-ROW($C$16)+1),ROW(A44))),"")</f>
        <v/>
      </c>
      <c r="I59" s="140" t="str" cm="1">
        <f t="array" aca="1" ref="I59" ca="1">IFERROR(INDEX($D$16:$D$116,SMALL(IF($D$16:$D$116&lt;&gt;"",ROW($D$16:$D$116)-ROW($D$16)+1),ROW(A44))),"")</f>
        <v/>
      </c>
      <c r="J59" s="140" t="str" cm="1">
        <f t="array" aca="1" ref="J59" ca="1">IFERROR(INDEX($E$16:$E$116,SMALL(IF($E$16:$E$116&lt;&gt;"",ROW($E$16:$E$116)-ROW($E$16)+1),ROW(A44))),"")</f>
        <v/>
      </c>
      <c r="K59" s="140" t="str" cm="1">
        <f t="array" aca="1" ref="K59" ca="1">IFERROR(INDEX($F$16:$F$116,SMALL(IF($F$16:$F$116&lt;&gt;"",ROW($F$16:$F$116)-ROW($F$16)+1),ROW(A44))),"")</f>
        <v/>
      </c>
      <c r="L59" s="140" t="str">
        <f t="shared" ca="1" si="0"/>
        <v/>
      </c>
      <c r="M59" s="140" t="str" cm="1">
        <f t="array" aca="1" ref="M59" ca="1">IFERROR(INDEX($G$16:$G$116,SMALL(IF($G$16:$G$116&lt;&gt;"",ROW($G$16:$G$116)-ROW($G$16)+1),ROW(A44))),"")</f>
        <v/>
      </c>
      <c r="N59" s="145" t="str">
        <f t="shared" ca="1" si="12"/>
        <v/>
      </c>
      <c r="O59" s="146" t="str">
        <f t="shared" ca="1" si="13"/>
        <v/>
      </c>
      <c r="P59" s="146" t="str" cm="1">
        <f t="array" aca="1" ref="P59" ca="1">IF($J59&lt;&gt;"",IF(INDIRECT($H59&amp;"!"&amp;$O59)&lt;&gt;"",INDIRECT($H59&amp;"!"&amp;$O59),""),"")</f>
        <v/>
      </c>
      <c r="Q59" s="146" t="str">
        <f t="shared" ca="1" si="14"/>
        <v/>
      </c>
      <c r="R59" s="146" t="str" cm="1">
        <f t="array" aca="1" ref="R59" ca="1">IF($J59&lt;&gt;"",IF(INDIRECT($H59&amp;"!"&amp;$Q59)&lt;&gt;"",INDIRECT($H59&amp;"!"&amp;$Q59),""),"")</f>
        <v/>
      </c>
      <c r="S59" s="146" t="str">
        <f t="shared" ca="1" si="15"/>
        <v/>
      </c>
      <c r="T59" s="146" t="str" cm="1">
        <f t="array" aca="1" ref="T59" ca="1">IF($J59&lt;&gt;"",IF(INDIRECT($H59&amp;"!"&amp;$S59)&lt;&gt;"",INDIRECT($H59&amp;"!"&amp;$S59),""),"")</f>
        <v/>
      </c>
      <c r="U59" s="146" t="str">
        <f t="shared" ca="1" si="16"/>
        <v/>
      </c>
      <c r="V59" s="147" t="str" cm="1">
        <f t="array" aca="1" ref="V59" ca="1">IF($J59&lt;&gt;"",IF(INDIRECT($H59&amp;"!"&amp;$U59)&lt;&gt;"",INDIRECT($H59&amp;"!"&amp;$U59),""),"")</f>
        <v/>
      </c>
      <c r="W59" s="294" t="str">
        <f t="shared" ca="1" si="7"/>
        <v/>
      </c>
      <c r="X59" s="295" t="str">
        <f t="shared" ca="1" si="8"/>
        <v/>
      </c>
      <c r="Y59" s="296" t="str" cm="1">
        <f t="array" aca="1" ref="Y59" ca="1">IF($H59&lt;&gt;"",IF(INDIRECT($H59&amp;"!"&amp;$W59&amp;($X59+Y$15+1))&lt;&gt;"",INDIRECT($H59&amp;"!"&amp;$W59&amp;($X59+Y$15+1)),""),"")</f>
        <v/>
      </c>
      <c r="Z59" s="296" t="str" cm="1">
        <f t="array" aca="1" ref="Z59" ca="1">IF($H59&lt;&gt;"",IF(INDIRECT($H59&amp;"!"&amp;$W59&amp;($X59+Z$15+1))&lt;&gt;"",INDIRECT($H59&amp;"!"&amp;$W59&amp;($X59+Z$15+1)),""),"")</f>
        <v/>
      </c>
      <c r="AA59" s="296" t="str" cm="1">
        <f t="array" aca="1" ref="AA59" ca="1">IF($H59&lt;&gt;"",IF(INDIRECT($H59&amp;"!"&amp;$W59&amp;($X59+AA$15+1))&lt;&gt;"",INDIRECT($H59&amp;"!"&amp;$W59&amp;($X59+AA$15+1)),""),"")</f>
        <v/>
      </c>
      <c r="AB59" s="296" t="str" cm="1">
        <f t="array" aca="1" ref="AB59" ca="1">IF($H59&lt;&gt;"",IF(INDIRECT($H59&amp;"!"&amp;$W59&amp;($X59+AB$15+1))&lt;&gt;"",INDIRECT($H59&amp;"!"&amp;$W59&amp;($X59+AB$15+1)),""),"")</f>
        <v/>
      </c>
      <c r="AC59" s="296" t="str" cm="1">
        <f t="array" aca="1" ref="AC59" ca="1">IF(LEFT($J59,5)="Sonde","",IF($H59&lt;&gt;"",IF(INDIRECT($H59&amp;"!"&amp;$W59&amp;($X59+AC$15+1))&lt;&gt;"",INDIRECT($H59&amp;"!"&amp;$W59&amp;($X59+AC$15+1)),""),""))</f>
        <v/>
      </c>
      <c r="AD59" s="296" t="str" cm="1">
        <f t="array" aca="1" ref="AD59" ca="1">IF(OR($J59="Pluviomètre",LEFT($J59,5)="Sonde"),"",IF($H59&lt;&gt;"",IF(INDIRECT($H59&amp;"!"&amp;$W59&amp;($X59+AD$15+1))&lt;&gt;"",INDIRECT($H59&amp;"!"&amp;$W59&amp;($X59+AD$15+1)),""),""))</f>
        <v/>
      </c>
      <c r="AE59" s="296" t="str" cm="1">
        <f t="array" aca="1" ref="AE59" ca="1">IF(OR($J59="Pluviomètre",LEFT($J59,5)="Sonde"),"",IF($H59&lt;&gt;"",IF(INDIRECT($H59&amp;"!"&amp;$W59&amp;($X59+AE$15+1))&lt;&gt;"",INDIRECT($H59&amp;"!"&amp;$W59&amp;($X59+AE$15+1)),""),""))</f>
        <v/>
      </c>
      <c r="AF59" s="296" t="str" cm="1">
        <f t="array" aca="1" ref="AF59" ca="1">IF(OR($J59="Pluviomètre",LEFT($J59,5)="Sonde"),"",IF($H59&lt;&gt;"",IF(INDIRECT($H59&amp;"!"&amp;$W59&amp;($X59+AF$15+1))&lt;&gt;"",INDIRECT($H59&amp;"!"&amp;$W59&amp;($X59+AF$15+1)),""),""))</f>
        <v/>
      </c>
      <c r="AG59" s="296" t="str" cm="1">
        <f t="array" aca="1" ref="AG59" ca="1">IF(OR($J59="Pluviomètre",LEFT($J59,5)="Sonde"),"",IF($H59&lt;&gt;"",IF(INDIRECT($H59&amp;"!"&amp;$W59&amp;($X59+AG$15+1))&lt;&gt;"",INDIRECT($H59&amp;"!"&amp;$W59&amp;($X59+AG$15+1)),""),""))</f>
        <v/>
      </c>
      <c r="AH59" s="296" t="str" cm="1">
        <f t="array" aca="1" ref="AH59" ca="1">IF(OR($J59="Pluviomètre",LEFT($J59,5)="Sonde"),"",IF($H59&lt;&gt;"",IF(INDIRECT($H59&amp;"!"&amp;$W59&amp;($X59+AH$15+1))&lt;&gt;"",INDIRECT($H59&amp;"!"&amp;$W59&amp;($X59+AH$15+1)),""),""))</f>
        <v/>
      </c>
      <c r="AI59" s="294" t="str">
        <f t="shared" ca="1" si="9"/>
        <v/>
      </c>
      <c r="AJ59" s="295" t="str">
        <f t="shared" ca="1" si="10"/>
        <v/>
      </c>
      <c r="AK59" s="296" t="str" cm="1">
        <f t="array" aca="1" ref="AK59" ca="1">IF($H59&lt;&gt;"",IF(INDIRECT($H59&amp;"!"&amp;$AI59&amp;($AJ59+AK$15+1))&lt;&gt;"",INDIRECT($H59&amp;"!"&amp;$AI59&amp;($AJ59+AK$15+1)),""),"")</f>
        <v/>
      </c>
      <c r="AL59" s="296" t="str" cm="1">
        <f t="array" aca="1" ref="AL59" ca="1">IF($H59&lt;&gt;"",IF(INDIRECT($H59&amp;"!"&amp;$AI59&amp;($AJ59+AL$15+1))&lt;&gt;"",INDIRECT($H59&amp;"!"&amp;$AI59&amp;($AJ59+AL$15+1)),""),"")</f>
        <v/>
      </c>
      <c r="AM59" s="296" t="str" cm="1">
        <f t="array" aca="1" ref="AM59" ca="1">IF($H59&lt;&gt;"",IF(INDIRECT($H59&amp;"!"&amp;$AI59&amp;($AJ59+AM$15+1))&lt;&gt;"",INDIRECT($H59&amp;"!"&amp;$AI59&amp;($AJ59+AM$15+1)),""),"")</f>
        <v/>
      </c>
      <c r="AN59" s="296" t="str" cm="1">
        <f t="array" aca="1" ref="AN59" ca="1">IF($H59&lt;&gt;"",IF(INDIRECT($H59&amp;"!"&amp;$AI59&amp;($AJ59+AN$15+1))&lt;&gt;"",INDIRECT($H59&amp;"!"&amp;$AI59&amp;($AJ59+AN$15+1)),""),"")</f>
        <v/>
      </c>
      <c r="AO59" s="296" t="str" cm="1">
        <f t="array" aca="1" ref="AO59" ca="1">IF(LEFT($J59,5)="Sonde","",IF($H59&lt;&gt;"",IF(INDIRECT($H59&amp;"!"&amp;$AI59&amp;($AJ59+AO$15+1))&lt;&gt;"",INDIRECT($H59&amp;"!"&amp;$AI59&amp;($AJ59+AO$15+1)),""),""))</f>
        <v/>
      </c>
      <c r="AP59" s="296" t="str" cm="1">
        <f t="array" aca="1" ref="AP59" ca="1">IF(OR($J59="Pluviomètre",LEFT($J59,5)="Sonde"),"",IF($H59&lt;&gt;"",IF(INDIRECT($H59&amp;"!"&amp;$AI59&amp;($AJ59+AP$15+1))&lt;&gt;"",INDIRECT($H59&amp;"!"&amp;$AI59&amp;($AJ59+AP$15+1)),""),""))</f>
        <v/>
      </c>
      <c r="AQ59" s="296" t="str" cm="1">
        <f t="array" aca="1" ref="AQ59" ca="1">IF(OR($J59="Pluviomètre",LEFT($J59,5)="Sonde"),"",IF($H59&lt;&gt;"",IF(INDIRECT($H59&amp;"!"&amp;$AI59&amp;($AJ59+AQ$15+1))&lt;&gt;"",INDIRECT($H59&amp;"!"&amp;$AI59&amp;($AJ59+AQ$15+1)),""),""))</f>
        <v/>
      </c>
      <c r="AR59" s="296" t="str" cm="1">
        <f t="array" aca="1" ref="AR59" ca="1">IF(OR($J59="Pluviomètre",LEFT($J59,5)="Sonde"),"",IF($H59&lt;&gt;"",IF(INDIRECT($H59&amp;"!"&amp;$AI59&amp;($AJ59+AR$15+1))&lt;&gt;"",INDIRECT($H59&amp;"!"&amp;$AI59&amp;($AJ59+AR$15+1)),""),""))</f>
        <v/>
      </c>
      <c r="AS59" s="296" t="str" cm="1">
        <f t="array" aca="1" ref="AS59" ca="1">IF(OR($J59="Pluviomètre",LEFT($J59,5)="Sonde"),"",IF($H59&lt;&gt;"",IF(INDIRECT($H59&amp;"!"&amp;$AI59&amp;($AJ59+AS$15+1))&lt;&gt;"",INDIRECT($H59&amp;"!"&amp;$AI59&amp;($AJ59+AS$15+1)),""),""))</f>
        <v/>
      </c>
      <c r="AT59" s="296" t="str" cm="1">
        <f t="array" aca="1" ref="AT59" ca="1">IF(OR($J59="Pluviomètre",LEFT($J59,5)="Sonde"),"",IF($H59&lt;&gt;"",IF(INDIRECT($H59&amp;"!"&amp;$AI59&amp;($AJ59+AT$15+1))&lt;&gt;"",INDIRECT($H59&amp;"!"&amp;$AI59&amp;($AJ59+AT$15+1)),""),""))</f>
        <v/>
      </c>
      <c r="AU59" s="412" cm="1">
        <f t="array" aca="1" ref="AU59" ca="1">SUMPRODUCT((Y59:AH59&lt;&gt;"")*(Y59:AH59&lt;&gt;"Non contrôlé")*(Y59:AH59&lt;&gt;"Non applicable"))</f>
        <v>0</v>
      </c>
      <c r="AV59" s="414">
        <f t="shared" ca="1" si="11"/>
        <v>-1</v>
      </c>
    </row>
    <row r="60" spans="1:48" x14ac:dyDescent="0.4">
      <c r="A60" s="80">
        <v>45</v>
      </c>
      <c r="B60" s="134" t="b">
        <f t="shared" si="6"/>
        <v>0</v>
      </c>
      <c r="C60" s="139" t="str" cm="1">
        <f t="array" aca="1" ref="C60" ca="1">IF(
    AND(
        $B60,
        OR(
            INDIRECT("Descriptif!$M"&amp;($B$1+$A60-1))="Préleveur",
            LEFT(INDIRECT("Descriptif!$M"&amp;($B$1+$A60-1)),5)="Sonde",
            LEFT(INDIRECT("Descriptif!$M"&amp;($B$1+$A60-1)),10)="Débitmètre",
            LEFT(INDIRECT("Descriptif!$F"&amp;($B$1+$A60-1)),6)="PLUVIO"        )
    ),
    INDIRECT("Descriptif!$"&amp;C$15&amp;($B$1 +$A60 -1)),
    ""
)</f>
        <v/>
      </c>
      <c r="D60" s="277" t="str" cm="1">
        <f t="array" aca="1" ref="D60" ca="1">IF(
    AND(
        $B60,
        OR(
            INDIRECT("Descriptif!$M"&amp;($B$1+$A60-1))="Préleveur",
            LEFT(INDIRECT("Descriptif!$M"&amp;($B$1+$A60-1)),5)="Sonde",
            LEFT(INDIRECT("Descriptif!$M"&amp;($B$1+$A60-1)),10)="Débitmètre",
            LEFT(INDIRECT("Descriptif!$F"&amp;($B$1+$A60-1)),6)="PLUVIO"       )
    ),
    IF(
        LEFT(INDIRECT("Descriptif!$F"&amp;($B$1+$A60-1)),11)="PLUVIO_STEU",
        "A3",
        IF(
            LEFT(INDIRECT("Descriptif!$F"&amp;($B$1+$A60-1)),10)="PLUVIO_SCL",
            "A1",
            INDIRECT("Descriptif!$"&amp;D$15&amp;($B$1 +$A60 -1))
        )
    ),
    ""
)</f>
        <v/>
      </c>
      <c r="E60" s="277" t="str" cm="1">
        <f t="array" aca="1" ref="E60" ca="1">IF(
    AND(
        $B60,
        OR(
            INDIRECT("Descriptif!$M"&amp;($B$1+$A60-1))="Préleveur",
            LEFT(INDIRECT("Descriptif!$M"&amp;($B$1+$A60-1)),5)="Sonde",
            LEFT(INDIRECT("Descriptif!$M"&amp;($B$1+$A60-1)),10)="Débitmètre",
            LEFT(INDIRECT("Descriptif!$F"&amp;($B$1+$A60-1)),6)="PLUVIO"
        )
    ),
    IF(LEFT(INDIRECT("Descriptif!$F"&amp;($B$1+$A60-1)),6)="PLUVIO","Pluviomètre",INDIRECT("Descriptif!$"&amp;E$15&amp;($B$1 +$A60 -1))),
    ""
)</f>
        <v/>
      </c>
      <c r="F60" s="19" t="str" cm="1">
        <f t="array" aca="1" ref="F60" ca="1">IF(
    AND(
        $B60,
        OR(
            INDIRECT("Descriptif!$M"&amp;($B$1+$A60-1))="Préleveur",
            LEFT(INDIRECT("Descriptif!$M"&amp;($B$1+$A60-1)),5)="Sonde",
            LEFT(INDIRECT("Descriptif!$M"&amp;($B$1+$A60-1)),10)="Débitmètre",
            LEFT(INDIRECT("Descriptif!$F"&amp;($B$1+$A60-1)),6)="PLUVIO"
        )
    ),
    IF(LEFT(INDIRECT("Descriptif!$F"&amp;($B$1+$A60-1)),6)="PLUVIO","Pluviomètre",INDIRECT("Descriptif!$"&amp;F$15&amp;($B$1 +$A60 -1))),
    ""
)</f>
        <v/>
      </c>
      <c r="G60" s="19" t="str" cm="1">
        <f t="array" aca="1" ref="G60" ca="1">IF(
    AND(
        $B60,
        OR(
            INDIRECT("Descriptif!$M"&amp;($B$1+$A60-1))="Préleveur",
            LEFT(INDIRECT("Descriptif!$M"&amp;($B$1+$A60-1)),5)="Sonde",
            LEFT(INDIRECT("Descriptif!$M"&amp;($B$1+$A60-1)),10)="Débitmètre",
            LEFT(INDIRECT("Descriptif!$F"&amp;($B$1+$A60-1)),6)="PLUVIO"
        )
    ),
    IF(LEFT(INDIRECT("Descriptif!$F"&amp;($B$1+$A60-1)),6)="PLUVIO","",INDIRECT("Descriptif!$"&amp;G$15&amp;($B$1 +$A60 -1))),
    ""
)</f>
        <v/>
      </c>
      <c r="H60" s="141" t="str" cm="1">
        <f t="array" aca="1" ref="H60" ca="1">IFERROR(INDEX($C$16:$C$116,SMALL(IF($C$16:$C$116&lt;&gt;"",ROW($C$16:$C$116)-ROW($C$16)+1),ROW(A45))),"")</f>
        <v/>
      </c>
      <c r="I60" s="140" t="str" cm="1">
        <f t="array" aca="1" ref="I60" ca="1">IFERROR(INDEX($D$16:$D$116,SMALL(IF($D$16:$D$116&lt;&gt;"",ROW($D$16:$D$116)-ROW($D$16)+1),ROW(A45))),"")</f>
        <v/>
      </c>
      <c r="J60" s="140" t="str" cm="1">
        <f t="array" aca="1" ref="J60" ca="1">IFERROR(INDEX($E$16:$E$116,SMALL(IF($E$16:$E$116&lt;&gt;"",ROW($E$16:$E$116)-ROW($E$16)+1),ROW(A45))),"")</f>
        <v/>
      </c>
      <c r="K60" s="140" t="str" cm="1">
        <f t="array" aca="1" ref="K60" ca="1">IFERROR(INDEX($F$16:$F$116,SMALL(IF($F$16:$F$116&lt;&gt;"",ROW($F$16:$F$116)-ROW($F$16)+1),ROW(A45))),"")</f>
        <v/>
      </c>
      <c r="L60" s="140" t="str">
        <f t="shared" ca="1" si="0"/>
        <v/>
      </c>
      <c r="M60" s="140" t="str" cm="1">
        <f t="array" aca="1" ref="M60" ca="1">IFERROR(INDEX($G$16:$G$116,SMALL(IF($G$16:$G$116&lt;&gt;"",ROW($G$16:$G$116)-ROW($G$16)+1),ROW(A45))),"")</f>
        <v/>
      </c>
      <c r="N60" s="145" t="str">
        <f t="shared" ca="1" si="12"/>
        <v/>
      </c>
      <c r="O60" s="146" t="str">
        <f t="shared" ca="1" si="13"/>
        <v/>
      </c>
      <c r="P60" s="146" t="str" cm="1">
        <f t="array" aca="1" ref="P60" ca="1">IF($J60&lt;&gt;"",IF(INDIRECT($H60&amp;"!"&amp;$O60)&lt;&gt;"",INDIRECT($H60&amp;"!"&amp;$O60),""),"")</f>
        <v/>
      </c>
      <c r="Q60" s="146" t="str">
        <f t="shared" ca="1" si="14"/>
        <v/>
      </c>
      <c r="R60" s="146" t="str" cm="1">
        <f t="array" aca="1" ref="R60" ca="1">IF($J60&lt;&gt;"",IF(INDIRECT($H60&amp;"!"&amp;$Q60)&lt;&gt;"",INDIRECT($H60&amp;"!"&amp;$Q60),""),"")</f>
        <v/>
      </c>
      <c r="S60" s="146" t="str">
        <f t="shared" ca="1" si="15"/>
        <v/>
      </c>
      <c r="T60" s="146" t="str" cm="1">
        <f t="array" aca="1" ref="T60" ca="1">IF($J60&lt;&gt;"",IF(INDIRECT($H60&amp;"!"&amp;$S60)&lt;&gt;"",INDIRECT($H60&amp;"!"&amp;$S60),""),"")</f>
        <v/>
      </c>
      <c r="U60" s="146" t="str">
        <f t="shared" ca="1" si="16"/>
        <v/>
      </c>
      <c r="V60" s="147" t="str" cm="1">
        <f t="array" aca="1" ref="V60" ca="1">IF($J60&lt;&gt;"",IF(INDIRECT($H60&amp;"!"&amp;$U60)&lt;&gt;"",INDIRECT($H60&amp;"!"&amp;$U60),""),"")</f>
        <v/>
      </c>
      <c r="W60" s="294" t="str">
        <f t="shared" ca="1" si="7"/>
        <v/>
      </c>
      <c r="X60" s="295" t="str">
        <f t="shared" ca="1" si="8"/>
        <v/>
      </c>
      <c r="Y60" s="296" t="str" cm="1">
        <f t="array" aca="1" ref="Y60" ca="1">IF($H60&lt;&gt;"",IF(INDIRECT($H60&amp;"!"&amp;$W60&amp;($X60+Y$15+1))&lt;&gt;"",INDIRECT($H60&amp;"!"&amp;$W60&amp;($X60+Y$15+1)),""),"")</f>
        <v/>
      </c>
      <c r="Z60" s="296" t="str" cm="1">
        <f t="array" aca="1" ref="Z60" ca="1">IF($H60&lt;&gt;"",IF(INDIRECT($H60&amp;"!"&amp;$W60&amp;($X60+Z$15+1))&lt;&gt;"",INDIRECT($H60&amp;"!"&amp;$W60&amp;($X60+Z$15+1)),""),"")</f>
        <v/>
      </c>
      <c r="AA60" s="296" t="str" cm="1">
        <f t="array" aca="1" ref="AA60" ca="1">IF($H60&lt;&gt;"",IF(INDIRECT($H60&amp;"!"&amp;$W60&amp;($X60+AA$15+1))&lt;&gt;"",INDIRECT($H60&amp;"!"&amp;$W60&amp;($X60+AA$15+1)),""),"")</f>
        <v/>
      </c>
      <c r="AB60" s="296" t="str" cm="1">
        <f t="array" aca="1" ref="AB60" ca="1">IF($H60&lt;&gt;"",IF(INDIRECT($H60&amp;"!"&amp;$W60&amp;($X60+AB$15+1))&lt;&gt;"",INDIRECT($H60&amp;"!"&amp;$W60&amp;($X60+AB$15+1)),""),"")</f>
        <v/>
      </c>
      <c r="AC60" s="296" t="str" cm="1">
        <f t="array" aca="1" ref="AC60" ca="1">IF(LEFT($J60,5)="Sonde","",IF($H60&lt;&gt;"",IF(INDIRECT($H60&amp;"!"&amp;$W60&amp;($X60+AC$15+1))&lt;&gt;"",INDIRECT($H60&amp;"!"&amp;$W60&amp;($X60+AC$15+1)),""),""))</f>
        <v/>
      </c>
      <c r="AD60" s="296" t="str" cm="1">
        <f t="array" aca="1" ref="AD60" ca="1">IF(OR($J60="Pluviomètre",LEFT($J60,5)="Sonde"),"",IF($H60&lt;&gt;"",IF(INDIRECT($H60&amp;"!"&amp;$W60&amp;($X60+AD$15+1))&lt;&gt;"",INDIRECT($H60&amp;"!"&amp;$W60&amp;($X60+AD$15+1)),""),""))</f>
        <v/>
      </c>
      <c r="AE60" s="296" t="str" cm="1">
        <f t="array" aca="1" ref="AE60" ca="1">IF(OR($J60="Pluviomètre",LEFT($J60,5)="Sonde"),"",IF($H60&lt;&gt;"",IF(INDIRECT($H60&amp;"!"&amp;$W60&amp;($X60+AE$15+1))&lt;&gt;"",INDIRECT($H60&amp;"!"&amp;$W60&amp;($X60+AE$15+1)),""),""))</f>
        <v/>
      </c>
      <c r="AF60" s="296" t="str" cm="1">
        <f t="array" aca="1" ref="AF60" ca="1">IF(OR($J60="Pluviomètre",LEFT($J60,5)="Sonde"),"",IF($H60&lt;&gt;"",IF(INDIRECT($H60&amp;"!"&amp;$W60&amp;($X60+AF$15+1))&lt;&gt;"",INDIRECT($H60&amp;"!"&amp;$W60&amp;($X60+AF$15+1)),""),""))</f>
        <v/>
      </c>
      <c r="AG60" s="296" t="str" cm="1">
        <f t="array" aca="1" ref="AG60" ca="1">IF(OR($J60="Pluviomètre",LEFT($J60,5)="Sonde"),"",IF($H60&lt;&gt;"",IF(INDIRECT($H60&amp;"!"&amp;$W60&amp;($X60+AG$15+1))&lt;&gt;"",INDIRECT($H60&amp;"!"&amp;$W60&amp;($X60+AG$15+1)),""),""))</f>
        <v/>
      </c>
      <c r="AH60" s="296" t="str" cm="1">
        <f t="array" aca="1" ref="AH60" ca="1">IF(OR($J60="Pluviomètre",LEFT($J60,5)="Sonde"),"",IF($H60&lt;&gt;"",IF(INDIRECT($H60&amp;"!"&amp;$W60&amp;($X60+AH$15+1))&lt;&gt;"",INDIRECT($H60&amp;"!"&amp;$W60&amp;($X60+AH$15+1)),""),""))</f>
        <v/>
      </c>
      <c r="AI60" s="294" t="str">
        <f t="shared" ca="1" si="9"/>
        <v/>
      </c>
      <c r="AJ60" s="295" t="str">
        <f t="shared" ca="1" si="10"/>
        <v/>
      </c>
      <c r="AK60" s="296" t="str" cm="1">
        <f t="array" aca="1" ref="AK60" ca="1">IF($H60&lt;&gt;"",IF(INDIRECT($H60&amp;"!"&amp;$AI60&amp;($AJ60+AK$15+1))&lt;&gt;"",INDIRECT($H60&amp;"!"&amp;$AI60&amp;($AJ60+AK$15+1)),""),"")</f>
        <v/>
      </c>
      <c r="AL60" s="296" t="str" cm="1">
        <f t="array" aca="1" ref="AL60" ca="1">IF($H60&lt;&gt;"",IF(INDIRECT($H60&amp;"!"&amp;$AI60&amp;($AJ60+AL$15+1))&lt;&gt;"",INDIRECT($H60&amp;"!"&amp;$AI60&amp;($AJ60+AL$15+1)),""),"")</f>
        <v/>
      </c>
      <c r="AM60" s="296" t="str" cm="1">
        <f t="array" aca="1" ref="AM60" ca="1">IF($H60&lt;&gt;"",IF(INDIRECT($H60&amp;"!"&amp;$AI60&amp;($AJ60+AM$15+1))&lt;&gt;"",INDIRECT($H60&amp;"!"&amp;$AI60&amp;($AJ60+AM$15+1)),""),"")</f>
        <v/>
      </c>
      <c r="AN60" s="296" t="str" cm="1">
        <f t="array" aca="1" ref="AN60" ca="1">IF($H60&lt;&gt;"",IF(INDIRECT($H60&amp;"!"&amp;$AI60&amp;($AJ60+AN$15+1))&lt;&gt;"",INDIRECT($H60&amp;"!"&amp;$AI60&amp;($AJ60+AN$15+1)),""),"")</f>
        <v/>
      </c>
      <c r="AO60" s="296" t="str" cm="1">
        <f t="array" aca="1" ref="AO60" ca="1">IF(LEFT($J60,5)="Sonde","",IF($H60&lt;&gt;"",IF(INDIRECT($H60&amp;"!"&amp;$AI60&amp;($AJ60+AO$15+1))&lt;&gt;"",INDIRECT($H60&amp;"!"&amp;$AI60&amp;($AJ60+AO$15+1)),""),""))</f>
        <v/>
      </c>
      <c r="AP60" s="296" t="str" cm="1">
        <f t="array" aca="1" ref="AP60" ca="1">IF(OR($J60="Pluviomètre",LEFT($J60,5)="Sonde"),"",IF($H60&lt;&gt;"",IF(INDIRECT($H60&amp;"!"&amp;$AI60&amp;($AJ60+AP$15+1))&lt;&gt;"",INDIRECT($H60&amp;"!"&amp;$AI60&amp;($AJ60+AP$15+1)),""),""))</f>
        <v/>
      </c>
      <c r="AQ60" s="296" t="str" cm="1">
        <f t="array" aca="1" ref="AQ60" ca="1">IF(OR($J60="Pluviomètre",LEFT($J60,5)="Sonde"),"",IF($H60&lt;&gt;"",IF(INDIRECT($H60&amp;"!"&amp;$AI60&amp;($AJ60+AQ$15+1))&lt;&gt;"",INDIRECT($H60&amp;"!"&amp;$AI60&amp;($AJ60+AQ$15+1)),""),""))</f>
        <v/>
      </c>
      <c r="AR60" s="296" t="str" cm="1">
        <f t="array" aca="1" ref="AR60" ca="1">IF(OR($J60="Pluviomètre",LEFT($J60,5)="Sonde"),"",IF($H60&lt;&gt;"",IF(INDIRECT($H60&amp;"!"&amp;$AI60&amp;($AJ60+AR$15+1))&lt;&gt;"",INDIRECT($H60&amp;"!"&amp;$AI60&amp;($AJ60+AR$15+1)),""),""))</f>
        <v/>
      </c>
      <c r="AS60" s="296" t="str" cm="1">
        <f t="array" aca="1" ref="AS60" ca="1">IF(OR($J60="Pluviomètre",LEFT($J60,5)="Sonde"),"",IF($H60&lt;&gt;"",IF(INDIRECT($H60&amp;"!"&amp;$AI60&amp;($AJ60+AS$15+1))&lt;&gt;"",INDIRECT($H60&amp;"!"&amp;$AI60&amp;($AJ60+AS$15+1)),""),""))</f>
        <v/>
      </c>
      <c r="AT60" s="296" t="str" cm="1">
        <f t="array" aca="1" ref="AT60" ca="1">IF(OR($J60="Pluviomètre",LEFT($J60,5)="Sonde"),"",IF($H60&lt;&gt;"",IF(INDIRECT($H60&amp;"!"&amp;$AI60&amp;($AJ60+AT$15+1))&lt;&gt;"",INDIRECT($H60&amp;"!"&amp;$AI60&amp;($AJ60+AT$15+1)),""),""))</f>
        <v/>
      </c>
      <c r="AU60" s="412" cm="1">
        <f t="array" aca="1" ref="AU60" ca="1">SUMPRODUCT((Y60:AH60&lt;&gt;"")*(Y60:AH60&lt;&gt;"Non contrôlé")*(Y60:AH60&lt;&gt;"Non applicable"))</f>
        <v>0</v>
      </c>
      <c r="AV60" s="414">
        <f t="shared" ca="1" si="11"/>
        <v>-1</v>
      </c>
    </row>
    <row r="61" spans="1:48" x14ac:dyDescent="0.4">
      <c r="A61" s="80">
        <v>46</v>
      </c>
      <c r="B61" s="134" t="b">
        <f t="shared" si="6"/>
        <v>0</v>
      </c>
      <c r="C61" s="139" t="str" cm="1">
        <f t="array" aca="1" ref="C61" ca="1">IF(
    AND(
        $B61,
        OR(
            INDIRECT("Descriptif!$M"&amp;($B$1+$A61-1))="Préleveur",
            LEFT(INDIRECT("Descriptif!$M"&amp;($B$1+$A61-1)),5)="Sonde",
            LEFT(INDIRECT("Descriptif!$M"&amp;($B$1+$A61-1)),10)="Débitmètre",
            LEFT(INDIRECT("Descriptif!$F"&amp;($B$1+$A61-1)),6)="PLUVIO"        )
    ),
    INDIRECT("Descriptif!$"&amp;C$15&amp;($B$1 +$A61 -1)),
    ""
)</f>
        <v/>
      </c>
      <c r="D61" s="277" t="str" cm="1">
        <f t="array" aca="1" ref="D61" ca="1">IF(
    AND(
        $B61,
        OR(
            INDIRECT("Descriptif!$M"&amp;($B$1+$A61-1))="Préleveur",
            LEFT(INDIRECT("Descriptif!$M"&amp;($B$1+$A61-1)),5)="Sonde",
            LEFT(INDIRECT("Descriptif!$M"&amp;($B$1+$A61-1)),10)="Débitmètre",
            LEFT(INDIRECT("Descriptif!$F"&amp;($B$1+$A61-1)),6)="PLUVIO"       )
    ),
    IF(
        LEFT(INDIRECT("Descriptif!$F"&amp;($B$1+$A61-1)),11)="PLUVIO_STEU",
        "A3",
        IF(
            LEFT(INDIRECT("Descriptif!$F"&amp;($B$1+$A61-1)),10)="PLUVIO_SCL",
            "A1",
            INDIRECT("Descriptif!$"&amp;D$15&amp;($B$1 +$A61 -1))
        )
    ),
    ""
)</f>
        <v/>
      </c>
      <c r="E61" s="277" t="str" cm="1">
        <f t="array" aca="1" ref="E61" ca="1">IF(
    AND(
        $B61,
        OR(
            INDIRECT("Descriptif!$M"&amp;($B$1+$A61-1))="Préleveur",
            LEFT(INDIRECT("Descriptif!$M"&amp;($B$1+$A61-1)),5)="Sonde",
            LEFT(INDIRECT("Descriptif!$M"&amp;($B$1+$A61-1)),10)="Débitmètre",
            LEFT(INDIRECT("Descriptif!$F"&amp;($B$1+$A61-1)),6)="PLUVIO"
        )
    ),
    IF(LEFT(INDIRECT("Descriptif!$F"&amp;($B$1+$A61-1)),6)="PLUVIO","Pluviomètre",INDIRECT("Descriptif!$"&amp;E$15&amp;($B$1 +$A61 -1))),
    ""
)</f>
        <v/>
      </c>
      <c r="F61" s="19" t="str" cm="1">
        <f t="array" aca="1" ref="F61" ca="1">IF(
    AND(
        $B61,
        OR(
            INDIRECT("Descriptif!$M"&amp;($B$1+$A61-1))="Préleveur",
            LEFT(INDIRECT("Descriptif!$M"&amp;($B$1+$A61-1)),5)="Sonde",
            LEFT(INDIRECT("Descriptif!$M"&amp;($B$1+$A61-1)),10)="Débitmètre",
            LEFT(INDIRECT("Descriptif!$F"&amp;($B$1+$A61-1)),6)="PLUVIO"
        )
    ),
    IF(LEFT(INDIRECT("Descriptif!$F"&amp;($B$1+$A61-1)),6)="PLUVIO","Pluviomètre",INDIRECT("Descriptif!$"&amp;F$15&amp;($B$1 +$A61 -1))),
    ""
)</f>
        <v/>
      </c>
      <c r="G61" s="19" t="str" cm="1">
        <f t="array" aca="1" ref="G61" ca="1">IF(
    AND(
        $B61,
        OR(
            INDIRECT("Descriptif!$M"&amp;($B$1+$A61-1))="Préleveur",
            LEFT(INDIRECT("Descriptif!$M"&amp;($B$1+$A61-1)),5)="Sonde",
            LEFT(INDIRECT("Descriptif!$M"&amp;($B$1+$A61-1)),10)="Débitmètre",
            LEFT(INDIRECT("Descriptif!$F"&amp;($B$1+$A61-1)),6)="PLUVIO"
        )
    ),
    IF(LEFT(INDIRECT("Descriptif!$F"&amp;($B$1+$A61-1)),6)="PLUVIO","",INDIRECT("Descriptif!$"&amp;G$15&amp;($B$1 +$A61 -1))),
    ""
)</f>
        <v/>
      </c>
      <c r="H61" s="141" t="str" cm="1">
        <f t="array" aca="1" ref="H61" ca="1">IFERROR(INDEX($C$16:$C$116,SMALL(IF($C$16:$C$116&lt;&gt;"",ROW($C$16:$C$116)-ROW($C$16)+1),ROW(A46))),"")</f>
        <v/>
      </c>
      <c r="I61" s="140" t="str" cm="1">
        <f t="array" aca="1" ref="I61" ca="1">IFERROR(INDEX($D$16:$D$116,SMALL(IF($D$16:$D$116&lt;&gt;"",ROW($D$16:$D$116)-ROW($D$16)+1),ROW(A46))),"")</f>
        <v/>
      </c>
      <c r="J61" s="140" t="str" cm="1">
        <f t="array" aca="1" ref="J61" ca="1">IFERROR(INDEX($E$16:$E$116,SMALL(IF($E$16:$E$116&lt;&gt;"",ROW($E$16:$E$116)-ROW($E$16)+1),ROW(A46))),"")</f>
        <v/>
      </c>
      <c r="K61" s="140" t="str" cm="1">
        <f t="array" aca="1" ref="K61" ca="1">IFERROR(INDEX($F$16:$F$116,SMALL(IF($F$16:$F$116&lt;&gt;"",ROW($F$16:$F$116)-ROW($F$16)+1),ROW(A46))),"")</f>
        <v/>
      </c>
      <c r="L61" s="140" t="str">
        <f t="shared" ca="1" si="0"/>
        <v/>
      </c>
      <c r="M61" s="140" t="str" cm="1">
        <f t="array" aca="1" ref="M61" ca="1">IFERROR(INDEX($G$16:$G$116,SMALL(IF($G$16:$G$116&lt;&gt;"",ROW($G$16:$G$116)-ROW($G$16)+1),ROW(A46))),"")</f>
        <v/>
      </c>
      <c r="N61" s="145" t="str">
        <f t="shared" ca="1" si="12"/>
        <v/>
      </c>
      <c r="O61" s="146" t="str">
        <f t="shared" ca="1" si="13"/>
        <v/>
      </c>
      <c r="P61" s="146" t="str" cm="1">
        <f t="array" aca="1" ref="P61" ca="1">IF($J61&lt;&gt;"",IF(INDIRECT($H61&amp;"!"&amp;$O61)&lt;&gt;"",INDIRECT($H61&amp;"!"&amp;$O61),""),"")</f>
        <v/>
      </c>
      <c r="Q61" s="146" t="str">
        <f t="shared" ca="1" si="14"/>
        <v/>
      </c>
      <c r="R61" s="146" t="str" cm="1">
        <f t="array" aca="1" ref="R61" ca="1">IF($J61&lt;&gt;"",IF(INDIRECT($H61&amp;"!"&amp;$Q61)&lt;&gt;"",INDIRECT($H61&amp;"!"&amp;$Q61),""),"")</f>
        <v/>
      </c>
      <c r="S61" s="146" t="str">
        <f t="shared" ca="1" si="15"/>
        <v/>
      </c>
      <c r="T61" s="146" t="str" cm="1">
        <f t="array" aca="1" ref="T61" ca="1">IF($J61&lt;&gt;"",IF(INDIRECT($H61&amp;"!"&amp;$S61)&lt;&gt;"",INDIRECT($H61&amp;"!"&amp;$S61),""),"")</f>
        <v/>
      </c>
      <c r="U61" s="146" t="str">
        <f t="shared" ca="1" si="16"/>
        <v/>
      </c>
      <c r="V61" s="147" t="str" cm="1">
        <f t="array" aca="1" ref="V61" ca="1">IF($J61&lt;&gt;"",IF(INDIRECT($H61&amp;"!"&amp;$U61)&lt;&gt;"",INDIRECT($H61&amp;"!"&amp;$U61),""),"")</f>
        <v/>
      </c>
      <c r="W61" s="294" t="str">
        <f t="shared" ca="1" si="7"/>
        <v/>
      </c>
      <c r="X61" s="295" t="str">
        <f t="shared" ca="1" si="8"/>
        <v/>
      </c>
      <c r="Y61" s="296" t="str" cm="1">
        <f t="array" aca="1" ref="Y61" ca="1">IF($H61&lt;&gt;"",IF(INDIRECT($H61&amp;"!"&amp;$W61&amp;($X61+Y$15+1))&lt;&gt;"",INDIRECT($H61&amp;"!"&amp;$W61&amp;($X61+Y$15+1)),""),"")</f>
        <v/>
      </c>
      <c r="Z61" s="296" t="str" cm="1">
        <f t="array" aca="1" ref="Z61" ca="1">IF($H61&lt;&gt;"",IF(INDIRECT($H61&amp;"!"&amp;$W61&amp;($X61+Z$15+1))&lt;&gt;"",INDIRECT($H61&amp;"!"&amp;$W61&amp;($X61+Z$15+1)),""),"")</f>
        <v/>
      </c>
      <c r="AA61" s="296" t="str" cm="1">
        <f t="array" aca="1" ref="AA61" ca="1">IF($H61&lt;&gt;"",IF(INDIRECT($H61&amp;"!"&amp;$W61&amp;($X61+AA$15+1))&lt;&gt;"",INDIRECT($H61&amp;"!"&amp;$W61&amp;($X61+AA$15+1)),""),"")</f>
        <v/>
      </c>
      <c r="AB61" s="296" t="str" cm="1">
        <f t="array" aca="1" ref="AB61" ca="1">IF($H61&lt;&gt;"",IF(INDIRECT($H61&amp;"!"&amp;$W61&amp;($X61+AB$15+1))&lt;&gt;"",INDIRECT($H61&amp;"!"&amp;$W61&amp;($X61+AB$15+1)),""),"")</f>
        <v/>
      </c>
      <c r="AC61" s="296" t="str" cm="1">
        <f t="array" aca="1" ref="AC61" ca="1">IF(LEFT($J61,5)="Sonde","",IF($H61&lt;&gt;"",IF(INDIRECT($H61&amp;"!"&amp;$W61&amp;($X61+AC$15+1))&lt;&gt;"",INDIRECT($H61&amp;"!"&amp;$W61&amp;($X61+AC$15+1)),""),""))</f>
        <v/>
      </c>
      <c r="AD61" s="296" t="str" cm="1">
        <f t="array" aca="1" ref="AD61" ca="1">IF(OR($J61="Pluviomètre",LEFT($J61,5)="Sonde"),"",IF($H61&lt;&gt;"",IF(INDIRECT($H61&amp;"!"&amp;$W61&amp;($X61+AD$15+1))&lt;&gt;"",INDIRECT($H61&amp;"!"&amp;$W61&amp;($X61+AD$15+1)),""),""))</f>
        <v/>
      </c>
      <c r="AE61" s="296" t="str" cm="1">
        <f t="array" aca="1" ref="AE61" ca="1">IF(OR($J61="Pluviomètre",LEFT($J61,5)="Sonde"),"",IF($H61&lt;&gt;"",IF(INDIRECT($H61&amp;"!"&amp;$W61&amp;($X61+AE$15+1))&lt;&gt;"",INDIRECT($H61&amp;"!"&amp;$W61&amp;($X61+AE$15+1)),""),""))</f>
        <v/>
      </c>
      <c r="AF61" s="296" t="str" cm="1">
        <f t="array" aca="1" ref="AF61" ca="1">IF(OR($J61="Pluviomètre",LEFT($J61,5)="Sonde"),"",IF($H61&lt;&gt;"",IF(INDIRECT($H61&amp;"!"&amp;$W61&amp;($X61+AF$15+1))&lt;&gt;"",INDIRECT($H61&amp;"!"&amp;$W61&amp;($X61+AF$15+1)),""),""))</f>
        <v/>
      </c>
      <c r="AG61" s="296" t="str" cm="1">
        <f t="array" aca="1" ref="AG61" ca="1">IF(OR($J61="Pluviomètre",LEFT($J61,5)="Sonde"),"",IF($H61&lt;&gt;"",IF(INDIRECT($H61&amp;"!"&amp;$W61&amp;($X61+AG$15+1))&lt;&gt;"",INDIRECT($H61&amp;"!"&amp;$W61&amp;($X61+AG$15+1)),""),""))</f>
        <v/>
      </c>
      <c r="AH61" s="296" t="str" cm="1">
        <f t="array" aca="1" ref="AH61" ca="1">IF(OR($J61="Pluviomètre",LEFT($J61,5)="Sonde"),"",IF($H61&lt;&gt;"",IF(INDIRECT($H61&amp;"!"&amp;$W61&amp;($X61+AH$15+1))&lt;&gt;"",INDIRECT($H61&amp;"!"&amp;$W61&amp;($X61+AH$15+1)),""),""))</f>
        <v/>
      </c>
      <c r="AI61" s="294" t="str">
        <f t="shared" ca="1" si="9"/>
        <v/>
      </c>
      <c r="AJ61" s="295" t="str">
        <f t="shared" ca="1" si="10"/>
        <v/>
      </c>
      <c r="AK61" s="296" t="str" cm="1">
        <f t="array" aca="1" ref="AK61" ca="1">IF($H61&lt;&gt;"",IF(INDIRECT($H61&amp;"!"&amp;$AI61&amp;($AJ61+AK$15+1))&lt;&gt;"",INDIRECT($H61&amp;"!"&amp;$AI61&amp;($AJ61+AK$15+1)),""),"")</f>
        <v/>
      </c>
      <c r="AL61" s="296" t="str" cm="1">
        <f t="array" aca="1" ref="AL61" ca="1">IF($H61&lt;&gt;"",IF(INDIRECT($H61&amp;"!"&amp;$AI61&amp;($AJ61+AL$15+1))&lt;&gt;"",INDIRECT($H61&amp;"!"&amp;$AI61&amp;($AJ61+AL$15+1)),""),"")</f>
        <v/>
      </c>
      <c r="AM61" s="296" t="str" cm="1">
        <f t="array" aca="1" ref="AM61" ca="1">IF($H61&lt;&gt;"",IF(INDIRECT($H61&amp;"!"&amp;$AI61&amp;($AJ61+AM$15+1))&lt;&gt;"",INDIRECT($H61&amp;"!"&amp;$AI61&amp;($AJ61+AM$15+1)),""),"")</f>
        <v/>
      </c>
      <c r="AN61" s="296" t="str" cm="1">
        <f t="array" aca="1" ref="AN61" ca="1">IF($H61&lt;&gt;"",IF(INDIRECT($H61&amp;"!"&amp;$AI61&amp;($AJ61+AN$15+1))&lt;&gt;"",INDIRECT($H61&amp;"!"&amp;$AI61&amp;($AJ61+AN$15+1)),""),"")</f>
        <v/>
      </c>
      <c r="AO61" s="296" t="str" cm="1">
        <f t="array" aca="1" ref="AO61" ca="1">IF(LEFT($J61,5)="Sonde","",IF($H61&lt;&gt;"",IF(INDIRECT($H61&amp;"!"&amp;$AI61&amp;($AJ61+AO$15+1))&lt;&gt;"",INDIRECT($H61&amp;"!"&amp;$AI61&amp;($AJ61+AO$15+1)),""),""))</f>
        <v/>
      </c>
      <c r="AP61" s="296" t="str" cm="1">
        <f t="array" aca="1" ref="AP61" ca="1">IF(OR($J61="Pluviomètre",LEFT($J61,5)="Sonde"),"",IF($H61&lt;&gt;"",IF(INDIRECT($H61&amp;"!"&amp;$AI61&amp;($AJ61+AP$15+1))&lt;&gt;"",INDIRECT($H61&amp;"!"&amp;$AI61&amp;($AJ61+AP$15+1)),""),""))</f>
        <v/>
      </c>
      <c r="AQ61" s="296" t="str" cm="1">
        <f t="array" aca="1" ref="AQ61" ca="1">IF(OR($J61="Pluviomètre",LEFT($J61,5)="Sonde"),"",IF($H61&lt;&gt;"",IF(INDIRECT($H61&amp;"!"&amp;$AI61&amp;($AJ61+AQ$15+1))&lt;&gt;"",INDIRECT($H61&amp;"!"&amp;$AI61&amp;($AJ61+AQ$15+1)),""),""))</f>
        <v/>
      </c>
      <c r="AR61" s="296" t="str" cm="1">
        <f t="array" aca="1" ref="AR61" ca="1">IF(OR($J61="Pluviomètre",LEFT($J61,5)="Sonde"),"",IF($H61&lt;&gt;"",IF(INDIRECT($H61&amp;"!"&amp;$AI61&amp;($AJ61+AR$15+1))&lt;&gt;"",INDIRECT($H61&amp;"!"&amp;$AI61&amp;($AJ61+AR$15+1)),""),""))</f>
        <v/>
      </c>
      <c r="AS61" s="296" t="str" cm="1">
        <f t="array" aca="1" ref="AS61" ca="1">IF(OR($J61="Pluviomètre",LEFT($J61,5)="Sonde"),"",IF($H61&lt;&gt;"",IF(INDIRECT($H61&amp;"!"&amp;$AI61&amp;($AJ61+AS$15+1))&lt;&gt;"",INDIRECT($H61&amp;"!"&amp;$AI61&amp;($AJ61+AS$15+1)),""),""))</f>
        <v/>
      </c>
      <c r="AT61" s="296" t="str" cm="1">
        <f t="array" aca="1" ref="AT61" ca="1">IF(OR($J61="Pluviomètre",LEFT($J61,5)="Sonde"),"",IF($H61&lt;&gt;"",IF(INDIRECT($H61&amp;"!"&amp;$AI61&amp;($AJ61+AT$15+1))&lt;&gt;"",INDIRECT($H61&amp;"!"&amp;$AI61&amp;($AJ61+AT$15+1)),""),""))</f>
        <v/>
      </c>
      <c r="AU61" s="412" cm="1">
        <f t="array" aca="1" ref="AU61" ca="1">SUMPRODUCT((Y61:AH61&lt;&gt;"")*(Y61:AH61&lt;&gt;"Non contrôlé")*(Y61:AH61&lt;&gt;"Non applicable"))</f>
        <v>0</v>
      </c>
      <c r="AV61" s="414">
        <f t="shared" ca="1" si="11"/>
        <v>-1</v>
      </c>
    </row>
    <row r="62" spans="1:48" x14ac:dyDescent="0.4">
      <c r="A62" s="80">
        <v>47</v>
      </c>
      <c r="B62" s="134" t="b">
        <f t="shared" si="6"/>
        <v>0</v>
      </c>
      <c r="C62" s="139" t="str" cm="1">
        <f t="array" aca="1" ref="C62" ca="1">IF(
    AND(
        $B62,
        OR(
            INDIRECT("Descriptif!$M"&amp;($B$1+$A62-1))="Préleveur",
            LEFT(INDIRECT("Descriptif!$M"&amp;($B$1+$A62-1)),5)="Sonde",
            LEFT(INDIRECT("Descriptif!$M"&amp;($B$1+$A62-1)),10)="Débitmètre",
            LEFT(INDIRECT("Descriptif!$F"&amp;($B$1+$A62-1)),6)="PLUVIO"        )
    ),
    INDIRECT("Descriptif!$"&amp;C$15&amp;($B$1 +$A62 -1)),
    ""
)</f>
        <v/>
      </c>
      <c r="D62" s="277" t="str" cm="1">
        <f t="array" aca="1" ref="D62" ca="1">IF(
    AND(
        $B62,
        OR(
            INDIRECT("Descriptif!$M"&amp;($B$1+$A62-1))="Préleveur",
            LEFT(INDIRECT("Descriptif!$M"&amp;($B$1+$A62-1)),5)="Sonde",
            LEFT(INDIRECT("Descriptif!$M"&amp;($B$1+$A62-1)),10)="Débitmètre",
            LEFT(INDIRECT("Descriptif!$F"&amp;($B$1+$A62-1)),6)="PLUVIO"       )
    ),
    IF(
        LEFT(INDIRECT("Descriptif!$F"&amp;($B$1+$A62-1)),11)="PLUVIO_STEU",
        "A3",
        IF(
            LEFT(INDIRECT("Descriptif!$F"&amp;($B$1+$A62-1)),10)="PLUVIO_SCL",
            "A1",
            INDIRECT("Descriptif!$"&amp;D$15&amp;($B$1 +$A62 -1))
        )
    ),
    ""
)</f>
        <v/>
      </c>
      <c r="E62" s="277" t="str" cm="1">
        <f t="array" aca="1" ref="E62" ca="1">IF(
    AND(
        $B62,
        OR(
            INDIRECT("Descriptif!$M"&amp;($B$1+$A62-1))="Préleveur",
            LEFT(INDIRECT("Descriptif!$M"&amp;($B$1+$A62-1)),5)="Sonde",
            LEFT(INDIRECT("Descriptif!$M"&amp;($B$1+$A62-1)),10)="Débitmètre",
            LEFT(INDIRECT("Descriptif!$F"&amp;($B$1+$A62-1)),6)="PLUVIO"
        )
    ),
    IF(LEFT(INDIRECT("Descriptif!$F"&amp;($B$1+$A62-1)),6)="PLUVIO","Pluviomètre",INDIRECT("Descriptif!$"&amp;E$15&amp;($B$1 +$A62 -1))),
    ""
)</f>
        <v/>
      </c>
      <c r="F62" s="19" t="str" cm="1">
        <f t="array" aca="1" ref="F62" ca="1">IF(
    AND(
        $B62,
        OR(
            INDIRECT("Descriptif!$M"&amp;($B$1+$A62-1))="Préleveur",
            LEFT(INDIRECT("Descriptif!$M"&amp;($B$1+$A62-1)),5)="Sonde",
            LEFT(INDIRECT("Descriptif!$M"&amp;($B$1+$A62-1)),10)="Débitmètre",
            LEFT(INDIRECT("Descriptif!$F"&amp;($B$1+$A62-1)),6)="PLUVIO"
        )
    ),
    IF(LEFT(INDIRECT("Descriptif!$F"&amp;($B$1+$A62-1)),6)="PLUVIO","Pluviomètre",INDIRECT("Descriptif!$"&amp;F$15&amp;($B$1 +$A62 -1))),
    ""
)</f>
        <v/>
      </c>
      <c r="G62" s="19" t="str" cm="1">
        <f t="array" aca="1" ref="G62" ca="1">IF(
    AND(
        $B62,
        OR(
            INDIRECT("Descriptif!$M"&amp;($B$1+$A62-1))="Préleveur",
            LEFT(INDIRECT("Descriptif!$M"&amp;($B$1+$A62-1)),5)="Sonde",
            LEFT(INDIRECT("Descriptif!$M"&amp;($B$1+$A62-1)),10)="Débitmètre",
            LEFT(INDIRECT("Descriptif!$F"&amp;($B$1+$A62-1)),6)="PLUVIO"
        )
    ),
    IF(LEFT(INDIRECT("Descriptif!$F"&amp;($B$1+$A62-1)),6)="PLUVIO","",INDIRECT("Descriptif!$"&amp;G$15&amp;($B$1 +$A62 -1))),
    ""
)</f>
        <v/>
      </c>
      <c r="H62" s="141" t="str" cm="1">
        <f t="array" aca="1" ref="H62" ca="1">IFERROR(INDEX($C$16:$C$116,SMALL(IF($C$16:$C$116&lt;&gt;"",ROW($C$16:$C$116)-ROW($C$16)+1),ROW(A47))),"")</f>
        <v/>
      </c>
      <c r="I62" s="140" t="str" cm="1">
        <f t="array" aca="1" ref="I62" ca="1">IFERROR(INDEX($D$16:$D$116,SMALL(IF($D$16:$D$116&lt;&gt;"",ROW($D$16:$D$116)-ROW($D$16)+1),ROW(A47))),"")</f>
        <v/>
      </c>
      <c r="J62" s="140" t="str" cm="1">
        <f t="array" aca="1" ref="J62" ca="1">IFERROR(INDEX($E$16:$E$116,SMALL(IF($E$16:$E$116&lt;&gt;"",ROW($E$16:$E$116)-ROW($E$16)+1),ROW(A47))),"")</f>
        <v/>
      </c>
      <c r="K62" s="140" t="str" cm="1">
        <f t="array" aca="1" ref="K62" ca="1">IFERROR(INDEX($F$16:$F$116,SMALL(IF($F$16:$F$116&lt;&gt;"",ROW($F$16:$F$116)-ROW($F$16)+1),ROW(A47))),"")</f>
        <v/>
      </c>
      <c r="L62" s="140" t="str">
        <f t="shared" ca="1" si="0"/>
        <v/>
      </c>
      <c r="M62" s="140" t="str" cm="1">
        <f t="array" aca="1" ref="M62" ca="1">IFERROR(INDEX($G$16:$G$116,SMALL(IF($G$16:$G$116&lt;&gt;"",ROW($G$16:$G$116)-ROW($G$16)+1),ROW(A47))),"")</f>
        <v/>
      </c>
      <c r="N62" s="145" t="str">
        <f t="shared" ca="1" si="12"/>
        <v/>
      </c>
      <c r="O62" s="146" t="str">
        <f t="shared" ca="1" si="13"/>
        <v/>
      </c>
      <c r="P62" s="146" t="str" cm="1">
        <f t="array" aca="1" ref="P62" ca="1">IF($J62&lt;&gt;"",IF(INDIRECT($H62&amp;"!"&amp;$O62)&lt;&gt;"",INDIRECT($H62&amp;"!"&amp;$O62),""),"")</f>
        <v/>
      </c>
      <c r="Q62" s="146" t="str">
        <f t="shared" ca="1" si="14"/>
        <v/>
      </c>
      <c r="R62" s="146" t="str" cm="1">
        <f t="array" aca="1" ref="R62" ca="1">IF($J62&lt;&gt;"",IF(INDIRECT($H62&amp;"!"&amp;$Q62)&lt;&gt;"",INDIRECT($H62&amp;"!"&amp;$Q62),""),"")</f>
        <v/>
      </c>
      <c r="S62" s="146" t="str">
        <f t="shared" ca="1" si="15"/>
        <v/>
      </c>
      <c r="T62" s="146" t="str" cm="1">
        <f t="array" aca="1" ref="T62" ca="1">IF($J62&lt;&gt;"",IF(INDIRECT($H62&amp;"!"&amp;$S62)&lt;&gt;"",INDIRECT($H62&amp;"!"&amp;$S62),""),"")</f>
        <v/>
      </c>
      <c r="U62" s="146" t="str">
        <f t="shared" ca="1" si="16"/>
        <v/>
      </c>
      <c r="V62" s="147" t="str" cm="1">
        <f t="array" aca="1" ref="V62" ca="1">IF($J62&lt;&gt;"",IF(INDIRECT($H62&amp;"!"&amp;$U62)&lt;&gt;"",INDIRECT($H62&amp;"!"&amp;$U62),""),"")</f>
        <v/>
      </c>
      <c r="W62" s="294" t="str">
        <f t="shared" ca="1" si="7"/>
        <v/>
      </c>
      <c r="X62" s="295" t="str">
        <f t="shared" ca="1" si="8"/>
        <v/>
      </c>
      <c r="Y62" s="296" t="str" cm="1">
        <f t="array" aca="1" ref="Y62" ca="1">IF($H62&lt;&gt;"",IF(INDIRECT($H62&amp;"!"&amp;$W62&amp;($X62+Y$15+1))&lt;&gt;"",INDIRECT($H62&amp;"!"&amp;$W62&amp;($X62+Y$15+1)),""),"")</f>
        <v/>
      </c>
      <c r="Z62" s="296" t="str" cm="1">
        <f t="array" aca="1" ref="Z62" ca="1">IF($H62&lt;&gt;"",IF(INDIRECT($H62&amp;"!"&amp;$W62&amp;($X62+Z$15+1))&lt;&gt;"",INDIRECT($H62&amp;"!"&amp;$W62&amp;($X62+Z$15+1)),""),"")</f>
        <v/>
      </c>
      <c r="AA62" s="296" t="str" cm="1">
        <f t="array" aca="1" ref="AA62" ca="1">IF($H62&lt;&gt;"",IF(INDIRECT($H62&amp;"!"&amp;$W62&amp;($X62+AA$15+1))&lt;&gt;"",INDIRECT($H62&amp;"!"&amp;$W62&amp;($X62+AA$15+1)),""),"")</f>
        <v/>
      </c>
      <c r="AB62" s="296" t="str" cm="1">
        <f t="array" aca="1" ref="AB62" ca="1">IF($H62&lt;&gt;"",IF(INDIRECT($H62&amp;"!"&amp;$W62&amp;($X62+AB$15+1))&lt;&gt;"",INDIRECT($H62&amp;"!"&amp;$W62&amp;($X62+AB$15+1)),""),"")</f>
        <v/>
      </c>
      <c r="AC62" s="296" t="str" cm="1">
        <f t="array" aca="1" ref="AC62" ca="1">IF(LEFT($J62,5)="Sonde","",IF($H62&lt;&gt;"",IF(INDIRECT($H62&amp;"!"&amp;$W62&amp;($X62+AC$15+1))&lt;&gt;"",INDIRECT($H62&amp;"!"&amp;$W62&amp;($X62+AC$15+1)),""),""))</f>
        <v/>
      </c>
      <c r="AD62" s="296" t="str" cm="1">
        <f t="array" aca="1" ref="AD62" ca="1">IF(OR($J62="Pluviomètre",LEFT($J62,5)="Sonde"),"",IF($H62&lt;&gt;"",IF(INDIRECT($H62&amp;"!"&amp;$W62&amp;($X62+AD$15+1))&lt;&gt;"",INDIRECT($H62&amp;"!"&amp;$W62&amp;($X62+AD$15+1)),""),""))</f>
        <v/>
      </c>
      <c r="AE62" s="296" t="str" cm="1">
        <f t="array" aca="1" ref="AE62" ca="1">IF(OR($J62="Pluviomètre",LEFT($J62,5)="Sonde"),"",IF($H62&lt;&gt;"",IF(INDIRECT($H62&amp;"!"&amp;$W62&amp;($X62+AE$15+1))&lt;&gt;"",INDIRECT($H62&amp;"!"&amp;$W62&amp;($X62+AE$15+1)),""),""))</f>
        <v/>
      </c>
      <c r="AF62" s="296" t="str" cm="1">
        <f t="array" aca="1" ref="AF62" ca="1">IF(OR($J62="Pluviomètre",LEFT($J62,5)="Sonde"),"",IF($H62&lt;&gt;"",IF(INDIRECT($H62&amp;"!"&amp;$W62&amp;($X62+AF$15+1))&lt;&gt;"",INDIRECT($H62&amp;"!"&amp;$W62&amp;($X62+AF$15+1)),""),""))</f>
        <v/>
      </c>
      <c r="AG62" s="296" t="str" cm="1">
        <f t="array" aca="1" ref="AG62" ca="1">IF(OR($J62="Pluviomètre",LEFT($J62,5)="Sonde"),"",IF($H62&lt;&gt;"",IF(INDIRECT($H62&amp;"!"&amp;$W62&amp;($X62+AG$15+1))&lt;&gt;"",INDIRECT($H62&amp;"!"&amp;$W62&amp;($X62+AG$15+1)),""),""))</f>
        <v/>
      </c>
      <c r="AH62" s="296" t="str" cm="1">
        <f t="array" aca="1" ref="AH62" ca="1">IF(OR($J62="Pluviomètre",LEFT($J62,5)="Sonde"),"",IF($H62&lt;&gt;"",IF(INDIRECT($H62&amp;"!"&amp;$W62&amp;($X62+AH$15+1))&lt;&gt;"",INDIRECT($H62&amp;"!"&amp;$W62&amp;($X62+AH$15+1)),""),""))</f>
        <v/>
      </c>
      <c r="AI62" s="294" t="str">
        <f t="shared" ca="1" si="9"/>
        <v/>
      </c>
      <c r="AJ62" s="295" t="str">
        <f t="shared" ca="1" si="10"/>
        <v/>
      </c>
      <c r="AK62" s="296" t="str" cm="1">
        <f t="array" aca="1" ref="AK62" ca="1">IF($H62&lt;&gt;"",IF(INDIRECT($H62&amp;"!"&amp;$AI62&amp;($AJ62+AK$15+1))&lt;&gt;"",INDIRECT($H62&amp;"!"&amp;$AI62&amp;($AJ62+AK$15+1)),""),"")</f>
        <v/>
      </c>
      <c r="AL62" s="296" t="str" cm="1">
        <f t="array" aca="1" ref="AL62" ca="1">IF($H62&lt;&gt;"",IF(INDIRECT($H62&amp;"!"&amp;$AI62&amp;($AJ62+AL$15+1))&lt;&gt;"",INDIRECT($H62&amp;"!"&amp;$AI62&amp;($AJ62+AL$15+1)),""),"")</f>
        <v/>
      </c>
      <c r="AM62" s="296" t="str" cm="1">
        <f t="array" aca="1" ref="AM62" ca="1">IF($H62&lt;&gt;"",IF(INDIRECT($H62&amp;"!"&amp;$AI62&amp;($AJ62+AM$15+1))&lt;&gt;"",INDIRECT($H62&amp;"!"&amp;$AI62&amp;($AJ62+AM$15+1)),""),"")</f>
        <v/>
      </c>
      <c r="AN62" s="296" t="str" cm="1">
        <f t="array" aca="1" ref="AN62" ca="1">IF($H62&lt;&gt;"",IF(INDIRECT($H62&amp;"!"&amp;$AI62&amp;($AJ62+AN$15+1))&lt;&gt;"",INDIRECT($H62&amp;"!"&amp;$AI62&amp;($AJ62+AN$15+1)),""),"")</f>
        <v/>
      </c>
      <c r="AO62" s="296" t="str" cm="1">
        <f t="array" aca="1" ref="AO62" ca="1">IF(LEFT($J62,5)="Sonde","",IF($H62&lt;&gt;"",IF(INDIRECT($H62&amp;"!"&amp;$AI62&amp;($AJ62+AO$15+1))&lt;&gt;"",INDIRECT($H62&amp;"!"&amp;$AI62&amp;($AJ62+AO$15+1)),""),""))</f>
        <v/>
      </c>
      <c r="AP62" s="296" t="str" cm="1">
        <f t="array" aca="1" ref="AP62" ca="1">IF(OR($J62="Pluviomètre",LEFT($J62,5)="Sonde"),"",IF($H62&lt;&gt;"",IF(INDIRECT($H62&amp;"!"&amp;$AI62&amp;($AJ62+AP$15+1))&lt;&gt;"",INDIRECT($H62&amp;"!"&amp;$AI62&amp;($AJ62+AP$15+1)),""),""))</f>
        <v/>
      </c>
      <c r="AQ62" s="296" t="str" cm="1">
        <f t="array" aca="1" ref="AQ62" ca="1">IF(OR($J62="Pluviomètre",LEFT($J62,5)="Sonde"),"",IF($H62&lt;&gt;"",IF(INDIRECT($H62&amp;"!"&amp;$AI62&amp;($AJ62+AQ$15+1))&lt;&gt;"",INDIRECT($H62&amp;"!"&amp;$AI62&amp;($AJ62+AQ$15+1)),""),""))</f>
        <v/>
      </c>
      <c r="AR62" s="296" t="str" cm="1">
        <f t="array" aca="1" ref="AR62" ca="1">IF(OR($J62="Pluviomètre",LEFT($J62,5)="Sonde"),"",IF($H62&lt;&gt;"",IF(INDIRECT($H62&amp;"!"&amp;$AI62&amp;($AJ62+AR$15+1))&lt;&gt;"",INDIRECT($H62&amp;"!"&amp;$AI62&amp;($AJ62+AR$15+1)),""),""))</f>
        <v/>
      </c>
      <c r="AS62" s="296" t="str" cm="1">
        <f t="array" aca="1" ref="AS62" ca="1">IF(OR($J62="Pluviomètre",LEFT($J62,5)="Sonde"),"",IF($H62&lt;&gt;"",IF(INDIRECT($H62&amp;"!"&amp;$AI62&amp;($AJ62+AS$15+1))&lt;&gt;"",INDIRECT($H62&amp;"!"&amp;$AI62&amp;($AJ62+AS$15+1)),""),""))</f>
        <v/>
      </c>
      <c r="AT62" s="296" t="str" cm="1">
        <f t="array" aca="1" ref="AT62" ca="1">IF(OR($J62="Pluviomètre",LEFT($J62,5)="Sonde"),"",IF($H62&lt;&gt;"",IF(INDIRECT($H62&amp;"!"&amp;$AI62&amp;($AJ62+AT$15+1))&lt;&gt;"",INDIRECT($H62&amp;"!"&amp;$AI62&amp;($AJ62+AT$15+1)),""),""))</f>
        <v/>
      </c>
      <c r="AU62" s="412" cm="1">
        <f t="array" aca="1" ref="AU62" ca="1">SUMPRODUCT((Y62:AH62&lt;&gt;"")*(Y62:AH62&lt;&gt;"Non contrôlé")*(Y62:AH62&lt;&gt;"Non applicable"))</f>
        <v>0</v>
      </c>
      <c r="AV62" s="414">
        <f t="shared" ca="1" si="11"/>
        <v>-1</v>
      </c>
    </row>
    <row r="63" spans="1:48" x14ac:dyDescent="0.4">
      <c r="A63" s="80">
        <v>48</v>
      </c>
      <c r="B63" s="134" t="b">
        <f t="shared" si="6"/>
        <v>0</v>
      </c>
      <c r="C63" s="139" t="str" cm="1">
        <f t="array" aca="1" ref="C63" ca="1">IF(
    AND(
        $B63,
        OR(
            INDIRECT("Descriptif!$M"&amp;($B$1+$A63-1))="Préleveur",
            LEFT(INDIRECT("Descriptif!$M"&amp;($B$1+$A63-1)),5)="Sonde",
            LEFT(INDIRECT("Descriptif!$M"&amp;($B$1+$A63-1)),10)="Débitmètre",
            LEFT(INDIRECT("Descriptif!$F"&amp;($B$1+$A63-1)),6)="PLUVIO"        )
    ),
    INDIRECT("Descriptif!$"&amp;C$15&amp;($B$1 +$A63 -1)),
    ""
)</f>
        <v/>
      </c>
      <c r="D63" s="277" t="str" cm="1">
        <f t="array" aca="1" ref="D63" ca="1">IF(
    AND(
        $B63,
        OR(
            INDIRECT("Descriptif!$M"&amp;($B$1+$A63-1))="Préleveur",
            LEFT(INDIRECT("Descriptif!$M"&amp;($B$1+$A63-1)),5)="Sonde",
            LEFT(INDIRECT("Descriptif!$M"&amp;($B$1+$A63-1)),10)="Débitmètre",
            LEFT(INDIRECT("Descriptif!$F"&amp;($B$1+$A63-1)),6)="PLUVIO"       )
    ),
    IF(
        LEFT(INDIRECT("Descriptif!$F"&amp;($B$1+$A63-1)),11)="PLUVIO_STEU",
        "A3",
        IF(
            LEFT(INDIRECT("Descriptif!$F"&amp;($B$1+$A63-1)),10)="PLUVIO_SCL",
            "A1",
            INDIRECT("Descriptif!$"&amp;D$15&amp;($B$1 +$A63 -1))
        )
    ),
    ""
)</f>
        <v/>
      </c>
      <c r="E63" s="277" t="str" cm="1">
        <f t="array" aca="1" ref="E63" ca="1">IF(
    AND(
        $B63,
        OR(
            INDIRECT("Descriptif!$M"&amp;($B$1+$A63-1))="Préleveur",
            LEFT(INDIRECT("Descriptif!$M"&amp;($B$1+$A63-1)),5)="Sonde",
            LEFT(INDIRECT("Descriptif!$M"&amp;($B$1+$A63-1)),10)="Débitmètre",
            LEFT(INDIRECT("Descriptif!$F"&amp;($B$1+$A63-1)),6)="PLUVIO"
        )
    ),
    IF(LEFT(INDIRECT("Descriptif!$F"&amp;($B$1+$A63-1)),6)="PLUVIO","Pluviomètre",INDIRECT("Descriptif!$"&amp;E$15&amp;($B$1 +$A63 -1))),
    ""
)</f>
        <v/>
      </c>
      <c r="F63" s="19" t="str" cm="1">
        <f t="array" aca="1" ref="F63" ca="1">IF(
    AND(
        $B63,
        OR(
            INDIRECT("Descriptif!$M"&amp;($B$1+$A63-1))="Préleveur",
            LEFT(INDIRECT("Descriptif!$M"&amp;($B$1+$A63-1)),5)="Sonde",
            LEFT(INDIRECT("Descriptif!$M"&amp;($B$1+$A63-1)),10)="Débitmètre",
            LEFT(INDIRECT("Descriptif!$F"&amp;($B$1+$A63-1)),6)="PLUVIO"
        )
    ),
    IF(LEFT(INDIRECT("Descriptif!$F"&amp;($B$1+$A63-1)),6)="PLUVIO","Pluviomètre",INDIRECT("Descriptif!$"&amp;F$15&amp;($B$1 +$A63 -1))),
    ""
)</f>
        <v/>
      </c>
      <c r="G63" s="19" t="str" cm="1">
        <f t="array" aca="1" ref="G63" ca="1">IF(
    AND(
        $B63,
        OR(
            INDIRECT("Descriptif!$M"&amp;($B$1+$A63-1))="Préleveur",
            LEFT(INDIRECT("Descriptif!$M"&amp;($B$1+$A63-1)),5)="Sonde",
            LEFT(INDIRECT("Descriptif!$M"&amp;($B$1+$A63-1)),10)="Débitmètre",
            LEFT(INDIRECT("Descriptif!$F"&amp;($B$1+$A63-1)),6)="PLUVIO"
        )
    ),
    IF(LEFT(INDIRECT("Descriptif!$F"&amp;($B$1+$A63-1)),6)="PLUVIO","",INDIRECT("Descriptif!$"&amp;G$15&amp;($B$1 +$A63 -1))),
    ""
)</f>
        <v/>
      </c>
      <c r="H63" s="141" t="str" cm="1">
        <f t="array" aca="1" ref="H63" ca="1">IFERROR(INDEX($C$16:$C$116,SMALL(IF($C$16:$C$116&lt;&gt;"",ROW($C$16:$C$116)-ROW($C$16)+1),ROW(A48))),"")</f>
        <v/>
      </c>
      <c r="I63" s="140" t="str" cm="1">
        <f t="array" aca="1" ref="I63" ca="1">IFERROR(INDEX($D$16:$D$116,SMALL(IF($D$16:$D$116&lt;&gt;"",ROW($D$16:$D$116)-ROW($D$16)+1),ROW(A48))),"")</f>
        <v/>
      </c>
      <c r="J63" s="140" t="str" cm="1">
        <f t="array" aca="1" ref="J63" ca="1">IFERROR(INDEX($E$16:$E$116,SMALL(IF($E$16:$E$116&lt;&gt;"",ROW($E$16:$E$116)-ROW($E$16)+1),ROW(A48))),"")</f>
        <v/>
      </c>
      <c r="K63" s="140" t="str" cm="1">
        <f t="array" aca="1" ref="K63" ca="1">IFERROR(INDEX($F$16:$F$116,SMALL(IF($F$16:$F$116&lt;&gt;"",ROW($F$16:$F$116)-ROW($F$16)+1),ROW(A48))),"")</f>
        <v/>
      </c>
      <c r="L63" s="140" t="str">
        <f t="shared" ca="1" si="0"/>
        <v/>
      </c>
      <c r="M63" s="140" t="str" cm="1">
        <f t="array" aca="1" ref="M63" ca="1">IFERROR(INDEX($G$16:$G$116,SMALL(IF($G$16:$G$116&lt;&gt;"",ROW($G$16:$G$116)-ROW($G$16)+1),ROW(A48))),"")</f>
        <v/>
      </c>
      <c r="N63" s="145" t="str">
        <f t="shared" ca="1" si="12"/>
        <v/>
      </c>
      <c r="O63" s="146" t="str">
        <f t="shared" ca="1" si="13"/>
        <v/>
      </c>
      <c r="P63" s="146" t="str" cm="1">
        <f t="array" aca="1" ref="P63" ca="1">IF($J63&lt;&gt;"",IF(INDIRECT($H63&amp;"!"&amp;$O63)&lt;&gt;"",INDIRECT($H63&amp;"!"&amp;$O63),""),"")</f>
        <v/>
      </c>
      <c r="Q63" s="146" t="str">
        <f t="shared" ca="1" si="14"/>
        <v/>
      </c>
      <c r="R63" s="146" t="str" cm="1">
        <f t="array" aca="1" ref="R63" ca="1">IF($J63&lt;&gt;"",IF(INDIRECT($H63&amp;"!"&amp;$Q63)&lt;&gt;"",INDIRECT($H63&amp;"!"&amp;$Q63),""),"")</f>
        <v/>
      </c>
      <c r="S63" s="146" t="str">
        <f t="shared" ca="1" si="15"/>
        <v/>
      </c>
      <c r="T63" s="146" t="str" cm="1">
        <f t="array" aca="1" ref="T63" ca="1">IF($J63&lt;&gt;"",IF(INDIRECT($H63&amp;"!"&amp;$S63)&lt;&gt;"",INDIRECT($H63&amp;"!"&amp;$S63),""),"")</f>
        <v/>
      </c>
      <c r="U63" s="146" t="str">
        <f t="shared" ca="1" si="16"/>
        <v/>
      </c>
      <c r="V63" s="147" t="str" cm="1">
        <f t="array" aca="1" ref="V63" ca="1">IF($J63&lt;&gt;"",IF(INDIRECT($H63&amp;"!"&amp;$U63)&lt;&gt;"",INDIRECT($H63&amp;"!"&amp;$U63),""),"")</f>
        <v/>
      </c>
      <c r="W63" s="294" t="str">
        <f t="shared" ca="1" si="7"/>
        <v/>
      </c>
      <c r="X63" s="295" t="str">
        <f t="shared" ca="1" si="8"/>
        <v/>
      </c>
      <c r="Y63" s="296" t="str" cm="1">
        <f t="array" aca="1" ref="Y63" ca="1">IF($H63&lt;&gt;"",IF(INDIRECT($H63&amp;"!"&amp;$W63&amp;($X63+Y$15+1))&lt;&gt;"",INDIRECT($H63&amp;"!"&amp;$W63&amp;($X63+Y$15+1)),""),"")</f>
        <v/>
      </c>
      <c r="Z63" s="296" t="str" cm="1">
        <f t="array" aca="1" ref="Z63" ca="1">IF($H63&lt;&gt;"",IF(INDIRECT($H63&amp;"!"&amp;$W63&amp;($X63+Z$15+1))&lt;&gt;"",INDIRECT($H63&amp;"!"&amp;$W63&amp;($X63+Z$15+1)),""),"")</f>
        <v/>
      </c>
      <c r="AA63" s="296" t="str" cm="1">
        <f t="array" aca="1" ref="AA63" ca="1">IF($H63&lt;&gt;"",IF(INDIRECT($H63&amp;"!"&amp;$W63&amp;($X63+AA$15+1))&lt;&gt;"",INDIRECT($H63&amp;"!"&amp;$W63&amp;($X63+AA$15+1)),""),"")</f>
        <v/>
      </c>
      <c r="AB63" s="296" t="str" cm="1">
        <f t="array" aca="1" ref="AB63" ca="1">IF($H63&lt;&gt;"",IF(INDIRECT($H63&amp;"!"&amp;$W63&amp;($X63+AB$15+1))&lt;&gt;"",INDIRECT($H63&amp;"!"&amp;$W63&amp;($X63+AB$15+1)),""),"")</f>
        <v/>
      </c>
      <c r="AC63" s="296" t="str" cm="1">
        <f t="array" aca="1" ref="AC63" ca="1">IF(LEFT($J63,5)="Sonde","",IF($H63&lt;&gt;"",IF(INDIRECT($H63&amp;"!"&amp;$W63&amp;($X63+AC$15+1))&lt;&gt;"",INDIRECT($H63&amp;"!"&amp;$W63&amp;($X63+AC$15+1)),""),""))</f>
        <v/>
      </c>
      <c r="AD63" s="296" t="str" cm="1">
        <f t="array" aca="1" ref="AD63" ca="1">IF(OR($J63="Pluviomètre",LEFT($J63,5)="Sonde"),"",IF($H63&lt;&gt;"",IF(INDIRECT($H63&amp;"!"&amp;$W63&amp;($X63+AD$15+1))&lt;&gt;"",INDIRECT($H63&amp;"!"&amp;$W63&amp;($X63+AD$15+1)),""),""))</f>
        <v/>
      </c>
      <c r="AE63" s="296" t="str" cm="1">
        <f t="array" aca="1" ref="AE63" ca="1">IF(OR($J63="Pluviomètre",LEFT($J63,5)="Sonde"),"",IF($H63&lt;&gt;"",IF(INDIRECT($H63&amp;"!"&amp;$W63&amp;($X63+AE$15+1))&lt;&gt;"",INDIRECT($H63&amp;"!"&amp;$W63&amp;($X63+AE$15+1)),""),""))</f>
        <v/>
      </c>
      <c r="AF63" s="296" t="str" cm="1">
        <f t="array" aca="1" ref="AF63" ca="1">IF(OR($J63="Pluviomètre",LEFT($J63,5)="Sonde"),"",IF($H63&lt;&gt;"",IF(INDIRECT($H63&amp;"!"&amp;$W63&amp;($X63+AF$15+1))&lt;&gt;"",INDIRECT($H63&amp;"!"&amp;$W63&amp;($X63+AF$15+1)),""),""))</f>
        <v/>
      </c>
      <c r="AG63" s="296" t="str" cm="1">
        <f t="array" aca="1" ref="AG63" ca="1">IF(OR($J63="Pluviomètre",LEFT($J63,5)="Sonde"),"",IF($H63&lt;&gt;"",IF(INDIRECT($H63&amp;"!"&amp;$W63&amp;($X63+AG$15+1))&lt;&gt;"",INDIRECT($H63&amp;"!"&amp;$W63&amp;($X63+AG$15+1)),""),""))</f>
        <v/>
      </c>
      <c r="AH63" s="296" t="str" cm="1">
        <f t="array" aca="1" ref="AH63" ca="1">IF(OR($J63="Pluviomètre",LEFT($J63,5)="Sonde"),"",IF($H63&lt;&gt;"",IF(INDIRECT($H63&amp;"!"&amp;$W63&amp;($X63+AH$15+1))&lt;&gt;"",INDIRECT($H63&amp;"!"&amp;$W63&amp;($X63+AH$15+1)),""),""))</f>
        <v/>
      </c>
      <c r="AI63" s="294" t="str">
        <f t="shared" ca="1" si="9"/>
        <v/>
      </c>
      <c r="AJ63" s="295" t="str">
        <f t="shared" ca="1" si="10"/>
        <v/>
      </c>
      <c r="AK63" s="296" t="str" cm="1">
        <f t="array" aca="1" ref="AK63" ca="1">IF($H63&lt;&gt;"",IF(INDIRECT($H63&amp;"!"&amp;$AI63&amp;($AJ63+AK$15+1))&lt;&gt;"",INDIRECT($H63&amp;"!"&amp;$AI63&amp;($AJ63+AK$15+1)),""),"")</f>
        <v/>
      </c>
      <c r="AL63" s="296" t="str" cm="1">
        <f t="array" aca="1" ref="AL63" ca="1">IF($H63&lt;&gt;"",IF(INDIRECT($H63&amp;"!"&amp;$AI63&amp;($AJ63+AL$15+1))&lt;&gt;"",INDIRECT($H63&amp;"!"&amp;$AI63&amp;($AJ63+AL$15+1)),""),"")</f>
        <v/>
      </c>
      <c r="AM63" s="296" t="str" cm="1">
        <f t="array" aca="1" ref="AM63" ca="1">IF($H63&lt;&gt;"",IF(INDIRECT($H63&amp;"!"&amp;$AI63&amp;($AJ63+AM$15+1))&lt;&gt;"",INDIRECT($H63&amp;"!"&amp;$AI63&amp;($AJ63+AM$15+1)),""),"")</f>
        <v/>
      </c>
      <c r="AN63" s="296" t="str" cm="1">
        <f t="array" aca="1" ref="AN63" ca="1">IF($H63&lt;&gt;"",IF(INDIRECT($H63&amp;"!"&amp;$AI63&amp;($AJ63+AN$15+1))&lt;&gt;"",INDIRECT($H63&amp;"!"&amp;$AI63&amp;($AJ63+AN$15+1)),""),"")</f>
        <v/>
      </c>
      <c r="AO63" s="296" t="str" cm="1">
        <f t="array" aca="1" ref="AO63" ca="1">IF(LEFT($J63,5)="Sonde","",IF($H63&lt;&gt;"",IF(INDIRECT($H63&amp;"!"&amp;$AI63&amp;($AJ63+AO$15+1))&lt;&gt;"",INDIRECT($H63&amp;"!"&amp;$AI63&amp;($AJ63+AO$15+1)),""),""))</f>
        <v/>
      </c>
      <c r="AP63" s="296" t="str" cm="1">
        <f t="array" aca="1" ref="AP63" ca="1">IF(OR($J63="Pluviomètre",LEFT($J63,5)="Sonde"),"",IF($H63&lt;&gt;"",IF(INDIRECT($H63&amp;"!"&amp;$AI63&amp;($AJ63+AP$15+1))&lt;&gt;"",INDIRECT($H63&amp;"!"&amp;$AI63&amp;($AJ63+AP$15+1)),""),""))</f>
        <v/>
      </c>
      <c r="AQ63" s="296" t="str" cm="1">
        <f t="array" aca="1" ref="AQ63" ca="1">IF(OR($J63="Pluviomètre",LEFT($J63,5)="Sonde"),"",IF($H63&lt;&gt;"",IF(INDIRECT($H63&amp;"!"&amp;$AI63&amp;($AJ63+AQ$15+1))&lt;&gt;"",INDIRECT($H63&amp;"!"&amp;$AI63&amp;($AJ63+AQ$15+1)),""),""))</f>
        <v/>
      </c>
      <c r="AR63" s="296" t="str" cm="1">
        <f t="array" aca="1" ref="AR63" ca="1">IF(OR($J63="Pluviomètre",LEFT($J63,5)="Sonde"),"",IF($H63&lt;&gt;"",IF(INDIRECT($H63&amp;"!"&amp;$AI63&amp;($AJ63+AR$15+1))&lt;&gt;"",INDIRECT($H63&amp;"!"&amp;$AI63&amp;($AJ63+AR$15+1)),""),""))</f>
        <v/>
      </c>
      <c r="AS63" s="296" t="str" cm="1">
        <f t="array" aca="1" ref="AS63" ca="1">IF(OR($J63="Pluviomètre",LEFT($J63,5)="Sonde"),"",IF($H63&lt;&gt;"",IF(INDIRECT($H63&amp;"!"&amp;$AI63&amp;($AJ63+AS$15+1))&lt;&gt;"",INDIRECT($H63&amp;"!"&amp;$AI63&amp;($AJ63+AS$15+1)),""),""))</f>
        <v/>
      </c>
      <c r="AT63" s="296" t="str" cm="1">
        <f t="array" aca="1" ref="AT63" ca="1">IF(OR($J63="Pluviomètre",LEFT($J63,5)="Sonde"),"",IF($H63&lt;&gt;"",IF(INDIRECT($H63&amp;"!"&amp;$AI63&amp;($AJ63+AT$15+1))&lt;&gt;"",INDIRECT($H63&amp;"!"&amp;$AI63&amp;($AJ63+AT$15+1)),""),""))</f>
        <v/>
      </c>
      <c r="AU63" s="412" cm="1">
        <f t="array" aca="1" ref="AU63" ca="1">SUMPRODUCT((Y63:AH63&lt;&gt;"")*(Y63:AH63&lt;&gt;"Non contrôlé")*(Y63:AH63&lt;&gt;"Non applicable"))</f>
        <v>0</v>
      </c>
      <c r="AV63" s="414">
        <f t="shared" ca="1" si="11"/>
        <v>-1</v>
      </c>
    </row>
    <row r="64" spans="1:48" x14ac:dyDescent="0.4">
      <c r="A64" s="80">
        <v>49</v>
      </c>
      <c r="B64" s="134" t="b">
        <f t="shared" si="6"/>
        <v>0</v>
      </c>
      <c r="C64" s="139" t="str" cm="1">
        <f t="array" aca="1" ref="C64" ca="1">IF(
    AND(
        $B64,
        OR(
            INDIRECT("Descriptif!$M"&amp;($B$1+$A64-1))="Préleveur",
            LEFT(INDIRECT("Descriptif!$M"&amp;($B$1+$A64-1)),5)="Sonde",
            LEFT(INDIRECT("Descriptif!$M"&amp;($B$1+$A64-1)),10)="Débitmètre",
            LEFT(INDIRECT("Descriptif!$F"&amp;($B$1+$A64-1)),6)="PLUVIO"        )
    ),
    INDIRECT("Descriptif!$"&amp;C$15&amp;($B$1 +$A64 -1)),
    ""
)</f>
        <v/>
      </c>
      <c r="D64" s="277" t="str" cm="1">
        <f t="array" aca="1" ref="D64" ca="1">IF(
    AND(
        $B64,
        OR(
            INDIRECT("Descriptif!$M"&amp;($B$1+$A64-1))="Préleveur",
            LEFT(INDIRECT("Descriptif!$M"&amp;($B$1+$A64-1)),5)="Sonde",
            LEFT(INDIRECT("Descriptif!$M"&amp;($B$1+$A64-1)),10)="Débitmètre",
            LEFT(INDIRECT("Descriptif!$F"&amp;($B$1+$A64-1)),6)="PLUVIO"       )
    ),
    IF(
        LEFT(INDIRECT("Descriptif!$F"&amp;($B$1+$A64-1)),11)="PLUVIO_STEU",
        "A3",
        IF(
            LEFT(INDIRECT("Descriptif!$F"&amp;($B$1+$A64-1)),10)="PLUVIO_SCL",
            "A1",
            INDIRECT("Descriptif!$"&amp;D$15&amp;($B$1 +$A64 -1))
        )
    ),
    ""
)</f>
        <v/>
      </c>
      <c r="E64" s="277" t="str" cm="1">
        <f t="array" aca="1" ref="E64" ca="1">IF(
    AND(
        $B64,
        OR(
            INDIRECT("Descriptif!$M"&amp;($B$1+$A64-1))="Préleveur",
            LEFT(INDIRECT("Descriptif!$M"&amp;($B$1+$A64-1)),5)="Sonde",
            LEFT(INDIRECT("Descriptif!$M"&amp;($B$1+$A64-1)),10)="Débitmètre",
            LEFT(INDIRECT("Descriptif!$F"&amp;($B$1+$A64-1)),6)="PLUVIO"
        )
    ),
    IF(LEFT(INDIRECT("Descriptif!$F"&amp;($B$1+$A64-1)),6)="PLUVIO","Pluviomètre",INDIRECT("Descriptif!$"&amp;E$15&amp;($B$1 +$A64 -1))),
    ""
)</f>
        <v/>
      </c>
      <c r="F64" s="19" t="str" cm="1">
        <f t="array" aca="1" ref="F64" ca="1">IF(
    AND(
        $B64,
        OR(
            INDIRECT("Descriptif!$M"&amp;($B$1+$A64-1))="Préleveur",
            LEFT(INDIRECT("Descriptif!$M"&amp;($B$1+$A64-1)),5)="Sonde",
            LEFT(INDIRECT("Descriptif!$M"&amp;($B$1+$A64-1)),10)="Débitmètre",
            LEFT(INDIRECT("Descriptif!$F"&amp;($B$1+$A64-1)),6)="PLUVIO"
        )
    ),
    IF(LEFT(INDIRECT("Descriptif!$F"&amp;($B$1+$A64-1)),6)="PLUVIO","Pluviomètre",INDIRECT("Descriptif!$"&amp;F$15&amp;($B$1 +$A64 -1))),
    ""
)</f>
        <v/>
      </c>
      <c r="G64" s="19" t="str" cm="1">
        <f t="array" aca="1" ref="G64" ca="1">IF(
    AND(
        $B64,
        OR(
            INDIRECT("Descriptif!$M"&amp;($B$1+$A64-1))="Préleveur",
            LEFT(INDIRECT("Descriptif!$M"&amp;($B$1+$A64-1)),5)="Sonde",
            LEFT(INDIRECT("Descriptif!$M"&amp;($B$1+$A64-1)),10)="Débitmètre",
            LEFT(INDIRECT("Descriptif!$F"&amp;($B$1+$A64-1)),6)="PLUVIO"
        )
    ),
    IF(LEFT(INDIRECT("Descriptif!$F"&amp;($B$1+$A64-1)),6)="PLUVIO","",INDIRECT("Descriptif!$"&amp;G$15&amp;($B$1 +$A64 -1))),
    ""
)</f>
        <v/>
      </c>
      <c r="H64" s="141" t="str" cm="1">
        <f t="array" aca="1" ref="H64" ca="1">IFERROR(INDEX($C$16:$C$116,SMALL(IF($C$16:$C$116&lt;&gt;"",ROW($C$16:$C$116)-ROW($C$16)+1),ROW(A49))),"")</f>
        <v/>
      </c>
      <c r="I64" s="140" t="str" cm="1">
        <f t="array" aca="1" ref="I64" ca="1">IFERROR(INDEX($D$16:$D$116,SMALL(IF($D$16:$D$116&lt;&gt;"",ROW($D$16:$D$116)-ROW($D$16)+1),ROW(A49))),"")</f>
        <v/>
      </c>
      <c r="J64" s="140" t="str" cm="1">
        <f t="array" aca="1" ref="J64" ca="1">IFERROR(INDEX($E$16:$E$116,SMALL(IF($E$16:$E$116&lt;&gt;"",ROW($E$16:$E$116)-ROW($E$16)+1),ROW(A49))),"")</f>
        <v/>
      </c>
      <c r="K64" s="140" t="str" cm="1">
        <f t="array" aca="1" ref="K64" ca="1">IFERROR(INDEX($F$16:$F$116,SMALL(IF($F$16:$F$116&lt;&gt;"",ROW($F$16:$F$116)-ROW($F$16)+1),ROW(A49))),"")</f>
        <v/>
      </c>
      <c r="L64" s="140" t="str">
        <f t="shared" ca="1" si="0"/>
        <v/>
      </c>
      <c r="M64" s="140" t="str" cm="1">
        <f t="array" aca="1" ref="M64" ca="1">IFERROR(INDEX($G$16:$G$116,SMALL(IF($G$16:$G$116&lt;&gt;"",ROW($G$16:$G$116)-ROW($G$16)+1),ROW(A49))),"")</f>
        <v/>
      </c>
      <c r="N64" s="145" t="str">
        <f t="shared" ca="1" si="12"/>
        <v/>
      </c>
      <c r="O64" s="146" t="str">
        <f t="shared" ca="1" si="13"/>
        <v/>
      </c>
      <c r="P64" s="146" t="str" cm="1">
        <f t="array" aca="1" ref="P64" ca="1">IF($J64&lt;&gt;"",IF(INDIRECT($H64&amp;"!"&amp;$O64)&lt;&gt;"",INDIRECT($H64&amp;"!"&amp;$O64),""),"")</f>
        <v/>
      </c>
      <c r="Q64" s="146" t="str">
        <f t="shared" ca="1" si="14"/>
        <v/>
      </c>
      <c r="R64" s="146" t="str" cm="1">
        <f t="array" aca="1" ref="R64" ca="1">IF($J64&lt;&gt;"",IF(INDIRECT($H64&amp;"!"&amp;$Q64)&lt;&gt;"",INDIRECT($H64&amp;"!"&amp;$Q64),""),"")</f>
        <v/>
      </c>
      <c r="S64" s="146" t="str">
        <f t="shared" ca="1" si="15"/>
        <v/>
      </c>
      <c r="T64" s="146" t="str" cm="1">
        <f t="array" aca="1" ref="T64" ca="1">IF($J64&lt;&gt;"",IF(INDIRECT($H64&amp;"!"&amp;$S64)&lt;&gt;"",INDIRECT($H64&amp;"!"&amp;$S64),""),"")</f>
        <v/>
      </c>
      <c r="U64" s="146" t="str">
        <f t="shared" ca="1" si="16"/>
        <v/>
      </c>
      <c r="V64" s="147" t="str" cm="1">
        <f t="array" aca="1" ref="V64" ca="1">IF($J64&lt;&gt;"",IF(INDIRECT($H64&amp;"!"&amp;$U64)&lt;&gt;"",INDIRECT($H64&amp;"!"&amp;$U64),""),"")</f>
        <v/>
      </c>
      <c r="W64" s="294" t="str">
        <f t="shared" ca="1" si="7"/>
        <v/>
      </c>
      <c r="X64" s="295" t="str">
        <f t="shared" ca="1" si="8"/>
        <v/>
      </c>
      <c r="Y64" s="296" t="str" cm="1">
        <f t="array" aca="1" ref="Y64" ca="1">IF($H64&lt;&gt;"",IF(INDIRECT($H64&amp;"!"&amp;$W64&amp;($X64+Y$15+1))&lt;&gt;"",INDIRECT($H64&amp;"!"&amp;$W64&amp;($X64+Y$15+1)),""),"")</f>
        <v/>
      </c>
      <c r="Z64" s="296" t="str" cm="1">
        <f t="array" aca="1" ref="Z64" ca="1">IF($H64&lt;&gt;"",IF(INDIRECT($H64&amp;"!"&amp;$W64&amp;($X64+Z$15+1))&lt;&gt;"",INDIRECT($H64&amp;"!"&amp;$W64&amp;($X64+Z$15+1)),""),"")</f>
        <v/>
      </c>
      <c r="AA64" s="296" t="str" cm="1">
        <f t="array" aca="1" ref="AA64" ca="1">IF($H64&lt;&gt;"",IF(INDIRECT($H64&amp;"!"&amp;$W64&amp;($X64+AA$15+1))&lt;&gt;"",INDIRECT($H64&amp;"!"&amp;$W64&amp;($X64+AA$15+1)),""),"")</f>
        <v/>
      </c>
      <c r="AB64" s="296" t="str" cm="1">
        <f t="array" aca="1" ref="AB64" ca="1">IF($H64&lt;&gt;"",IF(INDIRECT($H64&amp;"!"&amp;$W64&amp;($X64+AB$15+1))&lt;&gt;"",INDIRECT($H64&amp;"!"&amp;$W64&amp;($X64+AB$15+1)),""),"")</f>
        <v/>
      </c>
      <c r="AC64" s="296" t="str" cm="1">
        <f t="array" aca="1" ref="AC64" ca="1">IF(LEFT($J64,5)="Sonde","",IF($H64&lt;&gt;"",IF(INDIRECT($H64&amp;"!"&amp;$W64&amp;($X64+AC$15+1))&lt;&gt;"",INDIRECT($H64&amp;"!"&amp;$W64&amp;($X64+AC$15+1)),""),""))</f>
        <v/>
      </c>
      <c r="AD64" s="296" t="str" cm="1">
        <f t="array" aca="1" ref="AD64" ca="1">IF(OR($J64="Pluviomètre",LEFT($J64,5)="Sonde"),"",IF($H64&lt;&gt;"",IF(INDIRECT($H64&amp;"!"&amp;$W64&amp;($X64+AD$15+1))&lt;&gt;"",INDIRECT($H64&amp;"!"&amp;$W64&amp;($X64+AD$15+1)),""),""))</f>
        <v/>
      </c>
      <c r="AE64" s="296" t="str" cm="1">
        <f t="array" aca="1" ref="AE64" ca="1">IF(OR($J64="Pluviomètre",LEFT($J64,5)="Sonde"),"",IF($H64&lt;&gt;"",IF(INDIRECT($H64&amp;"!"&amp;$W64&amp;($X64+AE$15+1))&lt;&gt;"",INDIRECT($H64&amp;"!"&amp;$W64&amp;($X64+AE$15+1)),""),""))</f>
        <v/>
      </c>
      <c r="AF64" s="296" t="str" cm="1">
        <f t="array" aca="1" ref="AF64" ca="1">IF(OR($J64="Pluviomètre",LEFT($J64,5)="Sonde"),"",IF($H64&lt;&gt;"",IF(INDIRECT($H64&amp;"!"&amp;$W64&amp;($X64+AF$15+1))&lt;&gt;"",INDIRECT($H64&amp;"!"&amp;$W64&amp;($X64+AF$15+1)),""),""))</f>
        <v/>
      </c>
      <c r="AG64" s="296" t="str" cm="1">
        <f t="array" aca="1" ref="AG64" ca="1">IF(OR($J64="Pluviomètre",LEFT($J64,5)="Sonde"),"",IF($H64&lt;&gt;"",IF(INDIRECT($H64&amp;"!"&amp;$W64&amp;($X64+AG$15+1))&lt;&gt;"",INDIRECT($H64&amp;"!"&amp;$W64&amp;($X64+AG$15+1)),""),""))</f>
        <v/>
      </c>
      <c r="AH64" s="296" t="str" cm="1">
        <f t="array" aca="1" ref="AH64" ca="1">IF(OR($J64="Pluviomètre",LEFT($J64,5)="Sonde"),"",IF($H64&lt;&gt;"",IF(INDIRECT($H64&amp;"!"&amp;$W64&amp;($X64+AH$15+1))&lt;&gt;"",INDIRECT($H64&amp;"!"&amp;$W64&amp;($X64+AH$15+1)),""),""))</f>
        <v/>
      </c>
      <c r="AI64" s="294" t="str">
        <f t="shared" ca="1" si="9"/>
        <v/>
      </c>
      <c r="AJ64" s="295" t="str">
        <f t="shared" ca="1" si="10"/>
        <v/>
      </c>
      <c r="AK64" s="296" t="str" cm="1">
        <f t="array" aca="1" ref="AK64" ca="1">IF($H64&lt;&gt;"",IF(INDIRECT($H64&amp;"!"&amp;$AI64&amp;($AJ64+AK$15+1))&lt;&gt;"",INDIRECT($H64&amp;"!"&amp;$AI64&amp;($AJ64+AK$15+1)),""),"")</f>
        <v/>
      </c>
      <c r="AL64" s="296" t="str" cm="1">
        <f t="array" aca="1" ref="AL64" ca="1">IF($H64&lt;&gt;"",IF(INDIRECT($H64&amp;"!"&amp;$AI64&amp;($AJ64+AL$15+1))&lt;&gt;"",INDIRECT($H64&amp;"!"&amp;$AI64&amp;($AJ64+AL$15+1)),""),"")</f>
        <v/>
      </c>
      <c r="AM64" s="296" t="str" cm="1">
        <f t="array" aca="1" ref="AM64" ca="1">IF($H64&lt;&gt;"",IF(INDIRECT($H64&amp;"!"&amp;$AI64&amp;($AJ64+AM$15+1))&lt;&gt;"",INDIRECT($H64&amp;"!"&amp;$AI64&amp;($AJ64+AM$15+1)),""),"")</f>
        <v/>
      </c>
      <c r="AN64" s="296" t="str" cm="1">
        <f t="array" aca="1" ref="AN64" ca="1">IF($H64&lt;&gt;"",IF(INDIRECT($H64&amp;"!"&amp;$AI64&amp;($AJ64+AN$15+1))&lt;&gt;"",INDIRECT($H64&amp;"!"&amp;$AI64&amp;($AJ64+AN$15+1)),""),"")</f>
        <v/>
      </c>
      <c r="AO64" s="296" t="str" cm="1">
        <f t="array" aca="1" ref="AO64" ca="1">IF(LEFT($J64,5)="Sonde","",IF($H64&lt;&gt;"",IF(INDIRECT($H64&amp;"!"&amp;$AI64&amp;($AJ64+AO$15+1))&lt;&gt;"",INDIRECT($H64&amp;"!"&amp;$AI64&amp;($AJ64+AO$15+1)),""),""))</f>
        <v/>
      </c>
      <c r="AP64" s="296" t="str" cm="1">
        <f t="array" aca="1" ref="AP64" ca="1">IF(OR($J64="Pluviomètre",LEFT($J64,5)="Sonde"),"",IF($H64&lt;&gt;"",IF(INDIRECT($H64&amp;"!"&amp;$AI64&amp;($AJ64+AP$15+1))&lt;&gt;"",INDIRECT($H64&amp;"!"&amp;$AI64&amp;($AJ64+AP$15+1)),""),""))</f>
        <v/>
      </c>
      <c r="AQ64" s="296" t="str" cm="1">
        <f t="array" aca="1" ref="AQ64" ca="1">IF(OR($J64="Pluviomètre",LEFT($J64,5)="Sonde"),"",IF($H64&lt;&gt;"",IF(INDIRECT($H64&amp;"!"&amp;$AI64&amp;($AJ64+AQ$15+1))&lt;&gt;"",INDIRECT($H64&amp;"!"&amp;$AI64&amp;($AJ64+AQ$15+1)),""),""))</f>
        <v/>
      </c>
      <c r="AR64" s="296" t="str" cm="1">
        <f t="array" aca="1" ref="AR64" ca="1">IF(OR($J64="Pluviomètre",LEFT($J64,5)="Sonde"),"",IF($H64&lt;&gt;"",IF(INDIRECT($H64&amp;"!"&amp;$AI64&amp;($AJ64+AR$15+1))&lt;&gt;"",INDIRECT($H64&amp;"!"&amp;$AI64&amp;($AJ64+AR$15+1)),""),""))</f>
        <v/>
      </c>
      <c r="AS64" s="296" t="str" cm="1">
        <f t="array" aca="1" ref="AS64" ca="1">IF(OR($J64="Pluviomètre",LEFT($J64,5)="Sonde"),"",IF($H64&lt;&gt;"",IF(INDIRECT($H64&amp;"!"&amp;$AI64&amp;($AJ64+AS$15+1))&lt;&gt;"",INDIRECT($H64&amp;"!"&amp;$AI64&amp;($AJ64+AS$15+1)),""),""))</f>
        <v/>
      </c>
      <c r="AT64" s="296" t="str" cm="1">
        <f t="array" aca="1" ref="AT64" ca="1">IF(OR($J64="Pluviomètre",LEFT($J64,5)="Sonde"),"",IF($H64&lt;&gt;"",IF(INDIRECT($H64&amp;"!"&amp;$AI64&amp;($AJ64+AT$15+1))&lt;&gt;"",INDIRECT($H64&amp;"!"&amp;$AI64&amp;($AJ64+AT$15+1)),""),""))</f>
        <v/>
      </c>
      <c r="AU64" s="412" cm="1">
        <f t="array" aca="1" ref="AU64" ca="1">SUMPRODUCT((Y64:AH64&lt;&gt;"")*(Y64:AH64&lt;&gt;"Non contrôlé")*(Y64:AH64&lt;&gt;"Non applicable"))</f>
        <v>0</v>
      </c>
      <c r="AV64" s="414">
        <f t="shared" ca="1" si="11"/>
        <v>-1</v>
      </c>
    </row>
    <row r="65" spans="1:48" x14ac:dyDescent="0.4">
      <c r="A65" s="80">
        <v>50</v>
      </c>
      <c r="B65" s="134" t="b">
        <f t="shared" si="6"/>
        <v>0</v>
      </c>
      <c r="C65" s="139" t="str" cm="1">
        <f t="array" aca="1" ref="C65" ca="1">IF(
    AND(
        $B65,
        OR(
            INDIRECT("Descriptif!$M"&amp;($B$1+$A65-1))="Préleveur",
            LEFT(INDIRECT("Descriptif!$M"&amp;($B$1+$A65-1)),5)="Sonde",
            LEFT(INDIRECT("Descriptif!$M"&amp;($B$1+$A65-1)),10)="Débitmètre",
            LEFT(INDIRECT("Descriptif!$F"&amp;($B$1+$A65-1)),6)="PLUVIO"        )
    ),
    INDIRECT("Descriptif!$"&amp;C$15&amp;($B$1 +$A65 -1)),
    ""
)</f>
        <v/>
      </c>
      <c r="D65" s="277" t="str" cm="1">
        <f t="array" aca="1" ref="D65" ca="1">IF(
    AND(
        $B65,
        OR(
            INDIRECT("Descriptif!$M"&amp;($B$1+$A65-1))="Préleveur",
            LEFT(INDIRECT("Descriptif!$M"&amp;($B$1+$A65-1)),5)="Sonde",
            LEFT(INDIRECT("Descriptif!$M"&amp;($B$1+$A65-1)),10)="Débitmètre",
            LEFT(INDIRECT("Descriptif!$F"&amp;($B$1+$A65-1)),6)="PLUVIO"       )
    ),
    IF(
        LEFT(INDIRECT("Descriptif!$F"&amp;($B$1+$A65-1)),11)="PLUVIO_STEU",
        "A3",
        IF(
            LEFT(INDIRECT("Descriptif!$F"&amp;($B$1+$A65-1)),10)="PLUVIO_SCL",
            "A1",
            INDIRECT("Descriptif!$"&amp;D$15&amp;($B$1 +$A65 -1))
        )
    ),
    ""
)</f>
        <v/>
      </c>
      <c r="E65" s="277" t="str" cm="1">
        <f t="array" aca="1" ref="E65" ca="1">IF(
    AND(
        $B65,
        OR(
            INDIRECT("Descriptif!$M"&amp;($B$1+$A65-1))="Préleveur",
            LEFT(INDIRECT("Descriptif!$M"&amp;($B$1+$A65-1)),5)="Sonde",
            LEFT(INDIRECT("Descriptif!$M"&amp;($B$1+$A65-1)),10)="Débitmètre",
            LEFT(INDIRECT("Descriptif!$F"&amp;($B$1+$A65-1)),6)="PLUVIO"
        )
    ),
    IF(LEFT(INDIRECT("Descriptif!$F"&amp;($B$1+$A65-1)),6)="PLUVIO","Pluviomètre",INDIRECT("Descriptif!$"&amp;E$15&amp;($B$1 +$A65 -1))),
    ""
)</f>
        <v/>
      </c>
      <c r="F65" s="19" t="str" cm="1">
        <f t="array" aca="1" ref="F65" ca="1">IF(
    AND(
        $B65,
        OR(
            INDIRECT("Descriptif!$M"&amp;($B$1+$A65-1))="Préleveur",
            LEFT(INDIRECT("Descriptif!$M"&amp;($B$1+$A65-1)),5)="Sonde",
            LEFT(INDIRECT("Descriptif!$M"&amp;($B$1+$A65-1)),10)="Débitmètre",
            LEFT(INDIRECT("Descriptif!$F"&amp;($B$1+$A65-1)),6)="PLUVIO"
        )
    ),
    IF(LEFT(INDIRECT("Descriptif!$F"&amp;($B$1+$A65-1)),6)="PLUVIO","Pluviomètre",INDIRECT("Descriptif!$"&amp;F$15&amp;($B$1 +$A65 -1))),
    ""
)</f>
        <v/>
      </c>
      <c r="G65" s="19" t="str" cm="1">
        <f t="array" aca="1" ref="G65" ca="1">IF(
    AND(
        $B65,
        OR(
            INDIRECT("Descriptif!$M"&amp;($B$1+$A65-1))="Préleveur",
            LEFT(INDIRECT("Descriptif!$M"&amp;($B$1+$A65-1)),5)="Sonde",
            LEFT(INDIRECT("Descriptif!$M"&amp;($B$1+$A65-1)),10)="Débitmètre",
            LEFT(INDIRECT("Descriptif!$F"&amp;($B$1+$A65-1)),6)="PLUVIO"
        )
    ),
    IF(LEFT(INDIRECT("Descriptif!$F"&amp;($B$1+$A65-1)),6)="PLUVIO","",INDIRECT("Descriptif!$"&amp;G$15&amp;($B$1 +$A65 -1))),
    ""
)</f>
        <v/>
      </c>
      <c r="H65" s="141" t="str" cm="1">
        <f t="array" aca="1" ref="H65" ca="1">IFERROR(INDEX($C$16:$C$116,SMALL(IF($C$16:$C$116&lt;&gt;"",ROW($C$16:$C$116)-ROW($C$16)+1),ROW(A50))),"")</f>
        <v/>
      </c>
      <c r="I65" s="140" t="str" cm="1">
        <f t="array" aca="1" ref="I65" ca="1">IFERROR(INDEX($D$16:$D$116,SMALL(IF($D$16:$D$116&lt;&gt;"",ROW($D$16:$D$116)-ROW($D$16)+1),ROW(A50))),"")</f>
        <v/>
      </c>
      <c r="J65" s="140" t="str" cm="1">
        <f t="array" aca="1" ref="J65" ca="1">IFERROR(INDEX($E$16:$E$116,SMALL(IF($E$16:$E$116&lt;&gt;"",ROW($E$16:$E$116)-ROW($E$16)+1),ROW(A50))),"")</f>
        <v/>
      </c>
      <c r="K65" s="140" t="str" cm="1">
        <f t="array" aca="1" ref="K65" ca="1">IFERROR(INDEX($F$16:$F$116,SMALL(IF($F$16:$F$116&lt;&gt;"",ROW($F$16:$F$116)-ROW($F$16)+1),ROW(A50))),"")</f>
        <v/>
      </c>
      <c r="L65" s="140" t="str">
        <f t="shared" ca="1" si="0"/>
        <v/>
      </c>
      <c r="M65" s="140" t="str" cm="1">
        <f t="array" aca="1" ref="M65" ca="1">IFERROR(INDEX($G$16:$G$116,SMALL(IF($G$16:$G$116&lt;&gt;"",ROW($G$16:$G$116)-ROW($G$16)+1),ROW(A50))),"")</f>
        <v/>
      </c>
      <c r="N65" s="145" t="str">
        <f t="shared" ca="1" si="12"/>
        <v/>
      </c>
      <c r="O65" s="146" t="str">
        <f t="shared" ca="1" si="13"/>
        <v/>
      </c>
      <c r="P65" s="146" t="str" cm="1">
        <f t="array" aca="1" ref="P65" ca="1">IF($J65&lt;&gt;"",IF(INDIRECT($H65&amp;"!"&amp;$O65)&lt;&gt;"",INDIRECT($H65&amp;"!"&amp;$O65),""),"")</f>
        <v/>
      </c>
      <c r="Q65" s="146" t="str">
        <f t="shared" ca="1" si="14"/>
        <v/>
      </c>
      <c r="R65" s="146" t="str" cm="1">
        <f t="array" aca="1" ref="R65" ca="1">IF($J65&lt;&gt;"",IF(INDIRECT($H65&amp;"!"&amp;$Q65)&lt;&gt;"",INDIRECT($H65&amp;"!"&amp;$Q65),""),"")</f>
        <v/>
      </c>
      <c r="S65" s="146" t="str">
        <f t="shared" ca="1" si="15"/>
        <v/>
      </c>
      <c r="T65" s="146" t="str" cm="1">
        <f t="array" aca="1" ref="T65" ca="1">IF($J65&lt;&gt;"",IF(INDIRECT($H65&amp;"!"&amp;$S65)&lt;&gt;"",INDIRECT($H65&amp;"!"&amp;$S65),""),"")</f>
        <v/>
      </c>
      <c r="U65" s="146" t="str">
        <f t="shared" ca="1" si="16"/>
        <v/>
      </c>
      <c r="V65" s="147" t="str" cm="1">
        <f t="array" aca="1" ref="V65" ca="1">IF($J65&lt;&gt;"",IF(INDIRECT($H65&amp;"!"&amp;$U65)&lt;&gt;"",INDIRECT($H65&amp;"!"&amp;$U65),""),"")</f>
        <v/>
      </c>
      <c r="W65" s="294" t="str">
        <f t="shared" ca="1" si="7"/>
        <v/>
      </c>
      <c r="X65" s="295" t="str">
        <f t="shared" ca="1" si="8"/>
        <v/>
      </c>
      <c r="Y65" s="296" t="str" cm="1">
        <f t="array" aca="1" ref="Y65" ca="1">IF($H65&lt;&gt;"",IF(INDIRECT($H65&amp;"!"&amp;$W65&amp;($X65+Y$15+1))&lt;&gt;"",INDIRECT($H65&amp;"!"&amp;$W65&amp;($X65+Y$15+1)),""),"")</f>
        <v/>
      </c>
      <c r="Z65" s="296" t="str" cm="1">
        <f t="array" aca="1" ref="Z65" ca="1">IF($H65&lt;&gt;"",IF(INDIRECT($H65&amp;"!"&amp;$W65&amp;($X65+Z$15+1))&lt;&gt;"",INDIRECT($H65&amp;"!"&amp;$W65&amp;($X65+Z$15+1)),""),"")</f>
        <v/>
      </c>
      <c r="AA65" s="296" t="str" cm="1">
        <f t="array" aca="1" ref="AA65" ca="1">IF($H65&lt;&gt;"",IF(INDIRECT($H65&amp;"!"&amp;$W65&amp;($X65+AA$15+1))&lt;&gt;"",INDIRECT($H65&amp;"!"&amp;$W65&amp;($X65+AA$15+1)),""),"")</f>
        <v/>
      </c>
      <c r="AB65" s="296" t="str" cm="1">
        <f t="array" aca="1" ref="AB65" ca="1">IF($H65&lt;&gt;"",IF(INDIRECT($H65&amp;"!"&amp;$W65&amp;($X65+AB$15+1))&lt;&gt;"",INDIRECT($H65&amp;"!"&amp;$W65&amp;($X65+AB$15+1)),""),"")</f>
        <v/>
      </c>
      <c r="AC65" s="296" t="str" cm="1">
        <f t="array" aca="1" ref="AC65" ca="1">IF(LEFT($J65,5)="Sonde","",IF($H65&lt;&gt;"",IF(INDIRECT($H65&amp;"!"&amp;$W65&amp;($X65+AC$15+1))&lt;&gt;"",INDIRECT($H65&amp;"!"&amp;$W65&amp;($X65+AC$15+1)),""),""))</f>
        <v/>
      </c>
      <c r="AD65" s="296" t="str" cm="1">
        <f t="array" aca="1" ref="AD65" ca="1">IF(OR($J65="Pluviomètre",LEFT($J65,5)="Sonde"),"",IF($H65&lt;&gt;"",IF(INDIRECT($H65&amp;"!"&amp;$W65&amp;($X65+AD$15+1))&lt;&gt;"",INDIRECT($H65&amp;"!"&amp;$W65&amp;($X65+AD$15+1)),""),""))</f>
        <v/>
      </c>
      <c r="AE65" s="296" t="str" cm="1">
        <f t="array" aca="1" ref="AE65" ca="1">IF(OR($J65="Pluviomètre",LEFT($J65,5)="Sonde"),"",IF($H65&lt;&gt;"",IF(INDIRECT($H65&amp;"!"&amp;$W65&amp;($X65+AE$15+1))&lt;&gt;"",INDIRECT($H65&amp;"!"&amp;$W65&amp;($X65+AE$15+1)),""),""))</f>
        <v/>
      </c>
      <c r="AF65" s="296" t="str" cm="1">
        <f t="array" aca="1" ref="AF65" ca="1">IF(OR($J65="Pluviomètre",LEFT($J65,5)="Sonde"),"",IF($H65&lt;&gt;"",IF(INDIRECT($H65&amp;"!"&amp;$W65&amp;($X65+AF$15+1))&lt;&gt;"",INDIRECT($H65&amp;"!"&amp;$W65&amp;($X65+AF$15+1)),""),""))</f>
        <v/>
      </c>
      <c r="AG65" s="296" t="str" cm="1">
        <f t="array" aca="1" ref="AG65" ca="1">IF(OR($J65="Pluviomètre",LEFT($J65,5)="Sonde"),"",IF($H65&lt;&gt;"",IF(INDIRECT($H65&amp;"!"&amp;$W65&amp;($X65+AG$15+1))&lt;&gt;"",INDIRECT($H65&amp;"!"&amp;$W65&amp;($X65+AG$15+1)),""),""))</f>
        <v/>
      </c>
      <c r="AH65" s="296" t="str" cm="1">
        <f t="array" aca="1" ref="AH65" ca="1">IF(OR($J65="Pluviomètre",LEFT($J65,5)="Sonde"),"",IF($H65&lt;&gt;"",IF(INDIRECT($H65&amp;"!"&amp;$W65&amp;($X65+AH$15+1))&lt;&gt;"",INDIRECT($H65&amp;"!"&amp;$W65&amp;($X65+AH$15+1)),""),""))</f>
        <v/>
      </c>
      <c r="AI65" s="294" t="str">
        <f t="shared" ca="1" si="9"/>
        <v/>
      </c>
      <c r="AJ65" s="295" t="str">
        <f t="shared" ca="1" si="10"/>
        <v/>
      </c>
      <c r="AK65" s="296" t="str" cm="1">
        <f t="array" aca="1" ref="AK65" ca="1">IF($H65&lt;&gt;"",IF(INDIRECT($H65&amp;"!"&amp;$AI65&amp;($AJ65+AK$15+1))&lt;&gt;"",INDIRECT($H65&amp;"!"&amp;$AI65&amp;($AJ65+AK$15+1)),""),"")</f>
        <v/>
      </c>
      <c r="AL65" s="296" t="str" cm="1">
        <f t="array" aca="1" ref="AL65" ca="1">IF($H65&lt;&gt;"",IF(INDIRECT($H65&amp;"!"&amp;$AI65&amp;($AJ65+AL$15+1))&lt;&gt;"",INDIRECT($H65&amp;"!"&amp;$AI65&amp;($AJ65+AL$15+1)),""),"")</f>
        <v/>
      </c>
      <c r="AM65" s="296" t="str" cm="1">
        <f t="array" aca="1" ref="AM65" ca="1">IF($H65&lt;&gt;"",IF(INDIRECT($H65&amp;"!"&amp;$AI65&amp;($AJ65+AM$15+1))&lt;&gt;"",INDIRECT($H65&amp;"!"&amp;$AI65&amp;($AJ65+AM$15+1)),""),"")</f>
        <v/>
      </c>
      <c r="AN65" s="296" t="str" cm="1">
        <f t="array" aca="1" ref="AN65" ca="1">IF($H65&lt;&gt;"",IF(INDIRECT($H65&amp;"!"&amp;$AI65&amp;($AJ65+AN$15+1))&lt;&gt;"",INDIRECT($H65&amp;"!"&amp;$AI65&amp;($AJ65+AN$15+1)),""),"")</f>
        <v/>
      </c>
      <c r="AO65" s="296" t="str" cm="1">
        <f t="array" aca="1" ref="AO65" ca="1">IF(LEFT($J65,5)="Sonde","",IF($H65&lt;&gt;"",IF(INDIRECT($H65&amp;"!"&amp;$AI65&amp;($AJ65+AO$15+1))&lt;&gt;"",INDIRECT($H65&amp;"!"&amp;$AI65&amp;($AJ65+AO$15+1)),""),""))</f>
        <v/>
      </c>
      <c r="AP65" s="296" t="str" cm="1">
        <f t="array" aca="1" ref="AP65" ca="1">IF(OR($J65="Pluviomètre",LEFT($J65,5)="Sonde"),"",IF($H65&lt;&gt;"",IF(INDIRECT($H65&amp;"!"&amp;$AI65&amp;($AJ65+AP$15+1))&lt;&gt;"",INDIRECT($H65&amp;"!"&amp;$AI65&amp;($AJ65+AP$15+1)),""),""))</f>
        <v/>
      </c>
      <c r="AQ65" s="296" t="str" cm="1">
        <f t="array" aca="1" ref="AQ65" ca="1">IF(OR($J65="Pluviomètre",LEFT($J65,5)="Sonde"),"",IF($H65&lt;&gt;"",IF(INDIRECT($H65&amp;"!"&amp;$AI65&amp;($AJ65+AQ$15+1))&lt;&gt;"",INDIRECT($H65&amp;"!"&amp;$AI65&amp;($AJ65+AQ$15+1)),""),""))</f>
        <v/>
      </c>
      <c r="AR65" s="296" t="str" cm="1">
        <f t="array" aca="1" ref="AR65" ca="1">IF(OR($J65="Pluviomètre",LEFT($J65,5)="Sonde"),"",IF($H65&lt;&gt;"",IF(INDIRECT($H65&amp;"!"&amp;$AI65&amp;($AJ65+AR$15+1))&lt;&gt;"",INDIRECT($H65&amp;"!"&amp;$AI65&amp;($AJ65+AR$15+1)),""),""))</f>
        <v/>
      </c>
      <c r="AS65" s="296" t="str" cm="1">
        <f t="array" aca="1" ref="AS65" ca="1">IF(OR($J65="Pluviomètre",LEFT($J65,5)="Sonde"),"",IF($H65&lt;&gt;"",IF(INDIRECT($H65&amp;"!"&amp;$AI65&amp;($AJ65+AS$15+1))&lt;&gt;"",INDIRECT($H65&amp;"!"&amp;$AI65&amp;($AJ65+AS$15+1)),""),""))</f>
        <v/>
      </c>
      <c r="AT65" s="296" t="str" cm="1">
        <f t="array" aca="1" ref="AT65" ca="1">IF(OR($J65="Pluviomètre",LEFT($J65,5)="Sonde"),"",IF($H65&lt;&gt;"",IF(INDIRECT($H65&amp;"!"&amp;$AI65&amp;($AJ65+AT$15+1))&lt;&gt;"",INDIRECT($H65&amp;"!"&amp;$AI65&amp;($AJ65+AT$15+1)),""),""))</f>
        <v/>
      </c>
      <c r="AU65" s="412" cm="1">
        <f t="array" aca="1" ref="AU65" ca="1">SUMPRODUCT((Y65:AH65&lt;&gt;"")*(Y65:AH65&lt;&gt;"Non contrôlé")*(Y65:AH65&lt;&gt;"Non applicable"))</f>
        <v>0</v>
      </c>
      <c r="AV65" s="414">
        <f t="shared" ca="1" si="11"/>
        <v>-1</v>
      </c>
    </row>
    <row r="66" spans="1:48" x14ac:dyDescent="0.4">
      <c r="A66" s="80">
        <v>51</v>
      </c>
      <c r="B66" s="134" t="b">
        <f t="shared" si="6"/>
        <v>0</v>
      </c>
      <c r="C66" s="139" t="str" cm="1">
        <f t="array" aca="1" ref="C66" ca="1">IF(
    AND(
        $B66,
        OR(
            INDIRECT("Descriptif!$M"&amp;($B$1+$A66-1))="Préleveur",
            LEFT(INDIRECT("Descriptif!$M"&amp;($B$1+$A66-1)),5)="Sonde",
            LEFT(INDIRECT("Descriptif!$M"&amp;($B$1+$A66-1)),10)="Débitmètre",
            LEFT(INDIRECT("Descriptif!$F"&amp;($B$1+$A66-1)),6)="PLUVIO"        )
    ),
    INDIRECT("Descriptif!$"&amp;C$15&amp;($B$1 +$A66 -1)),
    ""
)</f>
        <v/>
      </c>
      <c r="D66" s="277" t="str" cm="1">
        <f t="array" aca="1" ref="D66" ca="1">IF(
    AND(
        $B66,
        OR(
            INDIRECT("Descriptif!$M"&amp;($B$1+$A66-1))="Préleveur",
            LEFT(INDIRECT("Descriptif!$M"&amp;($B$1+$A66-1)),5)="Sonde",
            LEFT(INDIRECT("Descriptif!$M"&amp;($B$1+$A66-1)),10)="Débitmètre",
            LEFT(INDIRECT("Descriptif!$F"&amp;($B$1+$A66-1)),6)="PLUVIO"       )
    ),
    IF(
        LEFT(INDIRECT("Descriptif!$F"&amp;($B$1+$A66-1)),11)="PLUVIO_STEU",
        "A3",
        IF(
            LEFT(INDIRECT("Descriptif!$F"&amp;($B$1+$A66-1)),10)="PLUVIO_SCL",
            "A1",
            INDIRECT("Descriptif!$"&amp;D$15&amp;($B$1 +$A66 -1))
        )
    ),
    ""
)</f>
        <v/>
      </c>
      <c r="E66" s="277" t="str" cm="1">
        <f t="array" aca="1" ref="E66" ca="1">IF(
    AND(
        $B66,
        OR(
            INDIRECT("Descriptif!$M"&amp;($B$1+$A66-1))="Préleveur",
            LEFT(INDIRECT("Descriptif!$M"&amp;($B$1+$A66-1)),5)="Sonde",
            LEFT(INDIRECT("Descriptif!$M"&amp;($B$1+$A66-1)),10)="Débitmètre",
            LEFT(INDIRECT("Descriptif!$F"&amp;($B$1+$A66-1)),6)="PLUVIO"
        )
    ),
    IF(LEFT(INDIRECT("Descriptif!$F"&amp;($B$1+$A66-1)),6)="PLUVIO","Pluviomètre",INDIRECT("Descriptif!$"&amp;E$15&amp;($B$1 +$A66 -1))),
    ""
)</f>
        <v/>
      </c>
      <c r="F66" s="19" t="str" cm="1">
        <f t="array" aca="1" ref="F66" ca="1">IF(
    AND(
        $B66,
        OR(
            INDIRECT("Descriptif!$M"&amp;($B$1+$A66-1))="Préleveur",
            LEFT(INDIRECT("Descriptif!$M"&amp;($B$1+$A66-1)),5)="Sonde",
            LEFT(INDIRECT("Descriptif!$M"&amp;($B$1+$A66-1)),10)="Débitmètre",
            LEFT(INDIRECT("Descriptif!$F"&amp;($B$1+$A66-1)),6)="PLUVIO"
        )
    ),
    IF(LEFT(INDIRECT("Descriptif!$F"&amp;($B$1+$A66-1)),6)="PLUVIO","Pluviomètre",INDIRECT("Descriptif!$"&amp;F$15&amp;($B$1 +$A66 -1))),
    ""
)</f>
        <v/>
      </c>
      <c r="G66" s="19" t="str" cm="1">
        <f t="array" aca="1" ref="G66" ca="1">IF(
    AND(
        $B66,
        OR(
            INDIRECT("Descriptif!$M"&amp;($B$1+$A66-1))="Préleveur",
            LEFT(INDIRECT("Descriptif!$M"&amp;($B$1+$A66-1)),5)="Sonde",
            LEFT(INDIRECT("Descriptif!$M"&amp;($B$1+$A66-1)),10)="Débitmètre",
            LEFT(INDIRECT("Descriptif!$F"&amp;($B$1+$A66-1)),6)="PLUVIO"
        )
    ),
    IF(LEFT(INDIRECT("Descriptif!$F"&amp;($B$1+$A66-1)),6)="PLUVIO","",INDIRECT("Descriptif!$"&amp;G$15&amp;($B$1 +$A66 -1))),
    ""
)</f>
        <v/>
      </c>
      <c r="H66" s="141" t="str" cm="1">
        <f t="array" aca="1" ref="H66" ca="1">IFERROR(INDEX($C$16:$C$116,SMALL(IF($C$16:$C$116&lt;&gt;"",ROW($C$16:$C$116)-ROW($C$16)+1),ROW(A51))),"")</f>
        <v/>
      </c>
      <c r="I66" s="140" t="str" cm="1">
        <f t="array" aca="1" ref="I66" ca="1">IFERROR(INDEX($D$16:$D$116,SMALL(IF($D$16:$D$116&lt;&gt;"",ROW($D$16:$D$116)-ROW($D$16)+1),ROW(A51))),"")</f>
        <v/>
      </c>
      <c r="J66" s="140" t="str" cm="1">
        <f t="array" aca="1" ref="J66" ca="1">IFERROR(INDEX($E$16:$E$116,SMALL(IF($E$16:$E$116&lt;&gt;"",ROW($E$16:$E$116)-ROW($E$16)+1),ROW(A51))),"")</f>
        <v/>
      </c>
      <c r="K66" s="140" t="str" cm="1">
        <f t="array" aca="1" ref="K66" ca="1">IFERROR(INDEX($F$16:$F$116,SMALL(IF($F$16:$F$116&lt;&gt;"",ROW($F$16:$F$116)-ROW($F$16)+1),ROW(A51))),"")</f>
        <v/>
      </c>
      <c r="L66" s="140" t="str">
        <f t="shared" ca="1" si="0"/>
        <v/>
      </c>
      <c r="M66" s="140" t="str" cm="1">
        <f t="array" aca="1" ref="M66" ca="1">IFERROR(INDEX($G$16:$G$116,SMALL(IF($G$16:$G$116&lt;&gt;"",ROW($G$16:$G$116)-ROW($G$16)+1),ROW(A51))),"")</f>
        <v/>
      </c>
      <c r="N66" s="145" t="str">
        <f t="shared" ca="1" si="12"/>
        <v/>
      </c>
      <c r="O66" s="146" t="str">
        <f t="shared" ca="1" si="13"/>
        <v/>
      </c>
      <c r="P66" s="146" t="str" cm="1">
        <f t="array" aca="1" ref="P66" ca="1">IF($J66&lt;&gt;"",IF(INDIRECT($H66&amp;"!"&amp;$O66)&lt;&gt;"",INDIRECT($H66&amp;"!"&amp;$O66),""),"")</f>
        <v/>
      </c>
      <c r="Q66" s="146" t="str">
        <f t="shared" ca="1" si="14"/>
        <v/>
      </c>
      <c r="R66" s="146" t="str" cm="1">
        <f t="array" aca="1" ref="R66" ca="1">IF($J66&lt;&gt;"",IF(INDIRECT($H66&amp;"!"&amp;$Q66)&lt;&gt;"",INDIRECT($H66&amp;"!"&amp;$Q66),""),"")</f>
        <v/>
      </c>
      <c r="S66" s="146" t="str">
        <f t="shared" ca="1" si="15"/>
        <v/>
      </c>
      <c r="T66" s="146" t="str" cm="1">
        <f t="array" aca="1" ref="T66" ca="1">IF($J66&lt;&gt;"",IF(INDIRECT($H66&amp;"!"&amp;$S66)&lt;&gt;"",INDIRECT($H66&amp;"!"&amp;$S66),""),"")</f>
        <v/>
      </c>
      <c r="U66" s="146" t="str">
        <f t="shared" ca="1" si="16"/>
        <v/>
      </c>
      <c r="V66" s="147" t="str" cm="1">
        <f t="array" aca="1" ref="V66" ca="1">IF($J66&lt;&gt;"",IF(INDIRECT($H66&amp;"!"&amp;$U66)&lt;&gt;"",INDIRECT($H66&amp;"!"&amp;$U66),""),"")</f>
        <v/>
      </c>
      <c r="W66" s="294" t="str">
        <f t="shared" ca="1" si="7"/>
        <v/>
      </c>
      <c r="X66" s="295" t="str">
        <f t="shared" ca="1" si="8"/>
        <v/>
      </c>
      <c r="Y66" s="296" t="str" cm="1">
        <f t="array" aca="1" ref="Y66" ca="1">IF($H66&lt;&gt;"",IF(INDIRECT($H66&amp;"!"&amp;$W66&amp;($X66+Y$15+1))&lt;&gt;"",INDIRECT($H66&amp;"!"&amp;$W66&amp;($X66+Y$15+1)),""),"")</f>
        <v/>
      </c>
      <c r="Z66" s="296" t="str" cm="1">
        <f t="array" aca="1" ref="Z66" ca="1">IF($H66&lt;&gt;"",IF(INDIRECT($H66&amp;"!"&amp;$W66&amp;($X66+Z$15+1))&lt;&gt;"",INDIRECT($H66&amp;"!"&amp;$W66&amp;($X66+Z$15+1)),""),"")</f>
        <v/>
      </c>
      <c r="AA66" s="296" t="str" cm="1">
        <f t="array" aca="1" ref="AA66" ca="1">IF($H66&lt;&gt;"",IF(INDIRECT($H66&amp;"!"&amp;$W66&amp;($X66+AA$15+1))&lt;&gt;"",INDIRECT($H66&amp;"!"&amp;$W66&amp;($X66+AA$15+1)),""),"")</f>
        <v/>
      </c>
      <c r="AB66" s="296" t="str" cm="1">
        <f t="array" aca="1" ref="AB66" ca="1">IF($H66&lt;&gt;"",IF(INDIRECT($H66&amp;"!"&amp;$W66&amp;($X66+AB$15+1))&lt;&gt;"",INDIRECT($H66&amp;"!"&amp;$W66&amp;($X66+AB$15+1)),""),"")</f>
        <v/>
      </c>
      <c r="AC66" s="296" t="str" cm="1">
        <f t="array" aca="1" ref="AC66" ca="1">IF(LEFT($J66,5)="Sonde","",IF($H66&lt;&gt;"",IF(INDIRECT($H66&amp;"!"&amp;$W66&amp;($X66+AC$15+1))&lt;&gt;"",INDIRECT($H66&amp;"!"&amp;$W66&amp;($X66+AC$15+1)),""),""))</f>
        <v/>
      </c>
      <c r="AD66" s="296" t="str" cm="1">
        <f t="array" aca="1" ref="AD66" ca="1">IF(OR($J66="Pluviomètre",LEFT($J66,5)="Sonde"),"",IF($H66&lt;&gt;"",IF(INDIRECT($H66&amp;"!"&amp;$W66&amp;($X66+AD$15+1))&lt;&gt;"",INDIRECT($H66&amp;"!"&amp;$W66&amp;($X66+AD$15+1)),""),""))</f>
        <v/>
      </c>
      <c r="AE66" s="296" t="str" cm="1">
        <f t="array" aca="1" ref="AE66" ca="1">IF(OR($J66="Pluviomètre",LEFT($J66,5)="Sonde"),"",IF($H66&lt;&gt;"",IF(INDIRECT($H66&amp;"!"&amp;$W66&amp;($X66+AE$15+1))&lt;&gt;"",INDIRECT($H66&amp;"!"&amp;$W66&amp;($X66+AE$15+1)),""),""))</f>
        <v/>
      </c>
      <c r="AF66" s="296" t="str" cm="1">
        <f t="array" aca="1" ref="AF66" ca="1">IF(OR($J66="Pluviomètre",LEFT($J66,5)="Sonde"),"",IF($H66&lt;&gt;"",IF(INDIRECT($H66&amp;"!"&amp;$W66&amp;($X66+AF$15+1))&lt;&gt;"",INDIRECT($H66&amp;"!"&amp;$W66&amp;($X66+AF$15+1)),""),""))</f>
        <v/>
      </c>
      <c r="AG66" s="296" t="str" cm="1">
        <f t="array" aca="1" ref="AG66" ca="1">IF(OR($J66="Pluviomètre",LEFT($J66,5)="Sonde"),"",IF($H66&lt;&gt;"",IF(INDIRECT($H66&amp;"!"&amp;$W66&amp;($X66+AG$15+1))&lt;&gt;"",INDIRECT($H66&amp;"!"&amp;$W66&amp;($X66+AG$15+1)),""),""))</f>
        <v/>
      </c>
      <c r="AH66" s="296" t="str" cm="1">
        <f t="array" aca="1" ref="AH66" ca="1">IF(OR($J66="Pluviomètre",LEFT($J66,5)="Sonde"),"",IF($H66&lt;&gt;"",IF(INDIRECT($H66&amp;"!"&amp;$W66&amp;($X66+AH$15+1))&lt;&gt;"",INDIRECT($H66&amp;"!"&amp;$W66&amp;($X66+AH$15+1)),""),""))</f>
        <v/>
      </c>
      <c r="AI66" s="294" t="str">
        <f t="shared" ca="1" si="9"/>
        <v/>
      </c>
      <c r="AJ66" s="295" t="str">
        <f t="shared" ca="1" si="10"/>
        <v/>
      </c>
      <c r="AK66" s="296" t="str" cm="1">
        <f t="array" aca="1" ref="AK66" ca="1">IF($H66&lt;&gt;"",IF(INDIRECT($H66&amp;"!"&amp;$AI66&amp;($AJ66+AK$15+1))&lt;&gt;"",INDIRECT($H66&amp;"!"&amp;$AI66&amp;($AJ66+AK$15+1)),""),"")</f>
        <v/>
      </c>
      <c r="AL66" s="296" t="str" cm="1">
        <f t="array" aca="1" ref="AL66" ca="1">IF($H66&lt;&gt;"",IF(INDIRECT($H66&amp;"!"&amp;$AI66&amp;($AJ66+AL$15+1))&lt;&gt;"",INDIRECT($H66&amp;"!"&amp;$AI66&amp;($AJ66+AL$15+1)),""),"")</f>
        <v/>
      </c>
      <c r="AM66" s="296" t="str" cm="1">
        <f t="array" aca="1" ref="AM66" ca="1">IF($H66&lt;&gt;"",IF(INDIRECT($H66&amp;"!"&amp;$AI66&amp;($AJ66+AM$15+1))&lt;&gt;"",INDIRECT($H66&amp;"!"&amp;$AI66&amp;($AJ66+AM$15+1)),""),"")</f>
        <v/>
      </c>
      <c r="AN66" s="296" t="str" cm="1">
        <f t="array" aca="1" ref="AN66" ca="1">IF($H66&lt;&gt;"",IF(INDIRECT($H66&amp;"!"&amp;$AI66&amp;($AJ66+AN$15+1))&lt;&gt;"",INDIRECT($H66&amp;"!"&amp;$AI66&amp;($AJ66+AN$15+1)),""),"")</f>
        <v/>
      </c>
      <c r="AO66" s="296" t="str" cm="1">
        <f t="array" aca="1" ref="AO66" ca="1">IF(LEFT($J66,5)="Sonde","",IF($H66&lt;&gt;"",IF(INDIRECT($H66&amp;"!"&amp;$AI66&amp;($AJ66+AO$15+1))&lt;&gt;"",INDIRECT($H66&amp;"!"&amp;$AI66&amp;($AJ66+AO$15+1)),""),""))</f>
        <v/>
      </c>
      <c r="AP66" s="296" t="str" cm="1">
        <f t="array" aca="1" ref="AP66" ca="1">IF(OR($J66="Pluviomètre",LEFT($J66,5)="Sonde"),"",IF($H66&lt;&gt;"",IF(INDIRECT($H66&amp;"!"&amp;$AI66&amp;($AJ66+AP$15+1))&lt;&gt;"",INDIRECT($H66&amp;"!"&amp;$AI66&amp;($AJ66+AP$15+1)),""),""))</f>
        <v/>
      </c>
      <c r="AQ66" s="296" t="str" cm="1">
        <f t="array" aca="1" ref="AQ66" ca="1">IF(OR($J66="Pluviomètre",LEFT($J66,5)="Sonde"),"",IF($H66&lt;&gt;"",IF(INDIRECT($H66&amp;"!"&amp;$AI66&amp;($AJ66+AQ$15+1))&lt;&gt;"",INDIRECT($H66&amp;"!"&amp;$AI66&amp;($AJ66+AQ$15+1)),""),""))</f>
        <v/>
      </c>
      <c r="AR66" s="296" t="str" cm="1">
        <f t="array" aca="1" ref="AR66" ca="1">IF(OR($J66="Pluviomètre",LEFT($J66,5)="Sonde"),"",IF($H66&lt;&gt;"",IF(INDIRECT($H66&amp;"!"&amp;$AI66&amp;($AJ66+AR$15+1))&lt;&gt;"",INDIRECT($H66&amp;"!"&amp;$AI66&amp;($AJ66+AR$15+1)),""),""))</f>
        <v/>
      </c>
      <c r="AS66" s="296" t="str" cm="1">
        <f t="array" aca="1" ref="AS66" ca="1">IF(OR($J66="Pluviomètre",LEFT($J66,5)="Sonde"),"",IF($H66&lt;&gt;"",IF(INDIRECT($H66&amp;"!"&amp;$AI66&amp;($AJ66+AS$15+1))&lt;&gt;"",INDIRECT($H66&amp;"!"&amp;$AI66&amp;($AJ66+AS$15+1)),""),""))</f>
        <v/>
      </c>
      <c r="AT66" s="296" t="str" cm="1">
        <f t="array" aca="1" ref="AT66" ca="1">IF(OR($J66="Pluviomètre",LEFT($J66,5)="Sonde"),"",IF($H66&lt;&gt;"",IF(INDIRECT($H66&amp;"!"&amp;$AI66&amp;($AJ66+AT$15+1))&lt;&gt;"",INDIRECT($H66&amp;"!"&amp;$AI66&amp;($AJ66+AT$15+1)),""),""))</f>
        <v/>
      </c>
      <c r="AU66" s="412" cm="1">
        <f t="array" aca="1" ref="AU66" ca="1">SUMPRODUCT((Y66:AH66&lt;&gt;"")*(Y66:AH66&lt;&gt;"Non contrôlé")*(Y66:AH66&lt;&gt;"Non applicable"))</f>
        <v>0</v>
      </c>
      <c r="AV66" s="414">
        <f t="shared" ca="1" si="11"/>
        <v>-1</v>
      </c>
    </row>
    <row r="67" spans="1:48" x14ac:dyDescent="0.4">
      <c r="A67" s="80">
        <v>52</v>
      </c>
      <c r="B67" s="134" t="b">
        <f t="shared" si="6"/>
        <v>0</v>
      </c>
      <c r="C67" s="139" t="str" cm="1">
        <f t="array" aca="1" ref="C67" ca="1">IF(
    AND(
        $B67,
        OR(
            INDIRECT("Descriptif!$M"&amp;($B$1+$A67-1))="Préleveur",
            LEFT(INDIRECT("Descriptif!$M"&amp;($B$1+$A67-1)),5)="Sonde",
            LEFT(INDIRECT("Descriptif!$M"&amp;($B$1+$A67-1)),10)="Débitmètre",
            LEFT(INDIRECT("Descriptif!$F"&amp;($B$1+$A67-1)),6)="PLUVIO"        )
    ),
    INDIRECT("Descriptif!$"&amp;C$15&amp;($B$1 +$A67 -1)),
    ""
)</f>
        <v/>
      </c>
      <c r="D67" s="277" t="str" cm="1">
        <f t="array" aca="1" ref="D67" ca="1">IF(
    AND(
        $B67,
        OR(
            INDIRECT("Descriptif!$M"&amp;($B$1+$A67-1))="Préleveur",
            LEFT(INDIRECT("Descriptif!$M"&amp;($B$1+$A67-1)),5)="Sonde",
            LEFT(INDIRECT("Descriptif!$M"&amp;($B$1+$A67-1)),10)="Débitmètre",
            LEFT(INDIRECT("Descriptif!$F"&amp;($B$1+$A67-1)),6)="PLUVIO"       )
    ),
    IF(
        LEFT(INDIRECT("Descriptif!$F"&amp;($B$1+$A67-1)),11)="PLUVIO_STEU",
        "A3",
        IF(
            LEFT(INDIRECT("Descriptif!$F"&amp;($B$1+$A67-1)),10)="PLUVIO_SCL",
            "A1",
            INDIRECT("Descriptif!$"&amp;D$15&amp;($B$1 +$A67 -1))
        )
    ),
    ""
)</f>
        <v/>
      </c>
      <c r="E67" s="277" t="str" cm="1">
        <f t="array" aca="1" ref="E67" ca="1">IF(
    AND(
        $B67,
        OR(
            INDIRECT("Descriptif!$M"&amp;($B$1+$A67-1))="Préleveur",
            LEFT(INDIRECT("Descriptif!$M"&amp;($B$1+$A67-1)),5)="Sonde",
            LEFT(INDIRECT("Descriptif!$M"&amp;($B$1+$A67-1)),10)="Débitmètre",
            LEFT(INDIRECT("Descriptif!$F"&amp;($B$1+$A67-1)),6)="PLUVIO"
        )
    ),
    IF(LEFT(INDIRECT("Descriptif!$F"&amp;($B$1+$A67-1)),6)="PLUVIO","Pluviomètre",INDIRECT("Descriptif!$"&amp;E$15&amp;($B$1 +$A67 -1))),
    ""
)</f>
        <v/>
      </c>
      <c r="F67" s="19" t="str" cm="1">
        <f t="array" aca="1" ref="F67" ca="1">IF(
    AND(
        $B67,
        OR(
            INDIRECT("Descriptif!$M"&amp;($B$1+$A67-1))="Préleveur",
            LEFT(INDIRECT("Descriptif!$M"&amp;($B$1+$A67-1)),5)="Sonde",
            LEFT(INDIRECT("Descriptif!$M"&amp;($B$1+$A67-1)),10)="Débitmètre",
            LEFT(INDIRECT("Descriptif!$F"&amp;($B$1+$A67-1)),6)="PLUVIO"
        )
    ),
    IF(LEFT(INDIRECT("Descriptif!$F"&amp;($B$1+$A67-1)),6)="PLUVIO","Pluviomètre",INDIRECT("Descriptif!$"&amp;F$15&amp;($B$1 +$A67 -1))),
    ""
)</f>
        <v/>
      </c>
      <c r="G67" s="19" t="str" cm="1">
        <f t="array" aca="1" ref="G67" ca="1">IF(
    AND(
        $B67,
        OR(
            INDIRECT("Descriptif!$M"&amp;($B$1+$A67-1))="Préleveur",
            LEFT(INDIRECT("Descriptif!$M"&amp;($B$1+$A67-1)),5)="Sonde",
            LEFT(INDIRECT("Descriptif!$M"&amp;($B$1+$A67-1)),10)="Débitmètre",
            LEFT(INDIRECT("Descriptif!$F"&amp;($B$1+$A67-1)),6)="PLUVIO"
        )
    ),
    IF(LEFT(INDIRECT("Descriptif!$F"&amp;($B$1+$A67-1)),6)="PLUVIO","",INDIRECT("Descriptif!$"&amp;G$15&amp;($B$1 +$A67 -1))),
    ""
)</f>
        <v/>
      </c>
      <c r="H67" s="141" t="str" cm="1">
        <f t="array" aca="1" ref="H67" ca="1">IFERROR(INDEX($C$16:$C$116,SMALL(IF($C$16:$C$116&lt;&gt;"",ROW($C$16:$C$116)-ROW($C$16)+1),ROW(A52))),"")</f>
        <v/>
      </c>
      <c r="I67" s="140" t="str" cm="1">
        <f t="array" aca="1" ref="I67" ca="1">IFERROR(INDEX($D$16:$D$116,SMALL(IF($D$16:$D$116&lt;&gt;"",ROW($D$16:$D$116)-ROW($D$16)+1),ROW(A52))),"")</f>
        <v/>
      </c>
      <c r="J67" s="140" t="str" cm="1">
        <f t="array" aca="1" ref="J67" ca="1">IFERROR(INDEX($E$16:$E$116,SMALL(IF($E$16:$E$116&lt;&gt;"",ROW($E$16:$E$116)-ROW($E$16)+1),ROW(A52))),"")</f>
        <v/>
      </c>
      <c r="K67" s="140" t="str" cm="1">
        <f t="array" aca="1" ref="K67" ca="1">IFERROR(INDEX($F$16:$F$116,SMALL(IF($F$16:$F$116&lt;&gt;"",ROW($F$16:$F$116)-ROW($F$16)+1),ROW(A52))),"")</f>
        <v/>
      </c>
      <c r="L67" s="140" t="str">
        <f t="shared" ca="1" si="0"/>
        <v/>
      </c>
      <c r="M67" s="140" t="str" cm="1">
        <f t="array" aca="1" ref="M67" ca="1">IFERROR(INDEX($G$16:$G$116,SMALL(IF($G$16:$G$116&lt;&gt;"",ROW($G$16:$G$116)-ROW($G$16)+1),ROW(A52))),"")</f>
        <v/>
      </c>
      <c r="N67" s="145" t="str">
        <f t="shared" ca="1" si="12"/>
        <v/>
      </c>
      <c r="O67" s="146" t="str">
        <f t="shared" ca="1" si="13"/>
        <v/>
      </c>
      <c r="P67" s="146" t="str" cm="1">
        <f t="array" aca="1" ref="P67" ca="1">IF($J67&lt;&gt;"",IF(INDIRECT($H67&amp;"!"&amp;$O67)&lt;&gt;"",INDIRECT($H67&amp;"!"&amp;$O67),""),"")</f>
        <v/>
      </c>
      <c r="Q67" s="146" t="str">
        <f t="shared" ca="1" si="14"/>
        <v/>
      </c>
      <c r="R67" s="146" t="str" cm="1">
        <f t="array" aca="1" ref="R67" ca="1">IF($J67&lt;&gt;"",IF(INDIRECT($H67&amp;"!"&amp;$Q67)&lt;&gt;"",INDIRECT($H67&amp;"!"&amp;$Q67),""),"")</f>
        <v/>
      </c>
      <c r="S67" s="146" t="str">
        <f t="shared" ca="1" si="15"/>
        <v/>
      </c>
      <c r="T67" s="146" t="str" cm="1">
        <f t="array" aca="1" ref="T67" ca="1">IF($J67&lt;&gt;"",IF(INDIRECT($H67&amp;"!"&amp;$S67)&lt;&gt;"",INDIRECT($H67&amp;"!"&amp;$S67),""),"")</f>
        <v/>
      </c>
      <c r="U67" s="146" t="str">
        <f t="shared" ca="1" si="16"/>
        <v/>
      </c>
      <c r="V67" s="147" t="str" cm="1">
        <f t="array" aca="1" ref="V67" ca="1">IF($J67&lt;&gt;"",IF(INDIRECT($H67&amp;"!"&amp;$U67)&lt;&gt;"",INDIRECT($H67&amp;"!"&amp;$U67),""),"")</f>
        <v/>
      </c>
      <c r="W67" s="294" t="str">
        <f t="shared" ca="1" si="7"/>
        <v/>
      </c>
      <c r="X67" s="295" t="str">
        <f t="shared" ca="1" si="8"/>
        <v/>
      </c>
      <c r="Y67" s="296" t="str" cm="1">
        <f t="array" aca="1" ref="Y67" ca="1">IF($H67&lt;&gt;"",IF(INDIRECT($H67&amp;"!"&amp;$W67&amp;($X67+Y$15+1))&lt;&gt;"",INDIRECT($H67&amp;"!"&amp;$W67&amp;($X67+Y$15+1)),""),"")</f>
        <v/>
      </c>
      <c r="Z67" s="296" t="str" cm="1">
        <f t="array" aca="1" ref="Z67" ca="1">IF($H67&lt;&gt;"",IF(INDIRECT($H67&amp;"!"&amp;$W67&amp;($X67+Z$15+1))&lt;&gt;"",INDIRECT($H67&amp;"!"&amp;$W67&amp;($X67+Z$15+1)),""),"")</f>
        <v/>
      </c>
      <c r="AA67" s="296" t="str" cm="1">
        <f t="array" aca="1" ref="AA67" ca="1">IF($H67&lt;&gt;"",IF(INDIRECT($H67&amp;"!"&amp;$W67&amp;($X67+AA$15+1))&lt;&gt;"",INDIRECT($H67&amp;"!"&amp;$W67&amp;($X67+AA$15+1)),""),"")</f>
        <v/>
      </c>
      <c r="AB67" s="296" t="str" cm="1">
        <f t="array" aca="1" ref="AB67" ca="1">IF($H67&lt;&gt;"",IF(INDIRECT($H67&amp;"!"&amp;$W67&amp;($X67+AB$15+1))&lt;&gt;"",INDIRECT($H67&amp;"!"&amp;$W67&amp;($X67+AB$15+1)),""),"")</f>
        <v/>
      </c>
      <c r="AC67" s="296" t="str" cm="1">
        <f t="array" aca="1" ref="AC67" ca="1">IF(LEFT($J67,5)="Sonde","",IF($H67&lt;&gt;"",IF(INDIRECT($H67&amp;"!"&amp;$W67&amp;($X67+AC$15+1))&lt;&gt;"",INDIRECT($H67&amp;"!"&amp;$W67&amp;($X67+AC$15+1)),""),""))</f>
        <v/>
      </c>
      <c r="AD67" s="296" t="str" cm="1">
        <f t="array" aca="1" ref="AD67" ca="1">IF(OR($J67="Pluviomètre",LEFT($J67,5)="Sonde"),"",IF($H67&lt;&gt;"",IF(INDIRECT($H67&amp;"!"&amp;$W67&amp;($X67+AD$15+1))&lt;&gt;"",INDIRECT($H67&amp;"!"&amp;$W67&amp;($X67+AD$15+1)),""),""))</f>
        <v/>
      </c>
      <c r="AE67" s="296" t="str" cm="1">
        <f t="array" aca="1" ref="AE67" ca="1">IF(OR($J67="Pluviomètre",LEFT($J67,5)="Sonde"),"",IF($H67&lt;&gt;"",IF(INDIRECT($H67&amp;"!"&amp;$W67&amp;($X67+AE$15+1))&lt;&gt;"",INDIRECT($H67&amp;"!"&amp;$W67&amp;($X67+AE$15+1)),""),""))</f>
        <v/>
      </c>
      <c r="AF67" s="296" t="str" cm="1">
        <f t="array" aca="1" ref="AF67" ca="1">IF(OR($J67="Pluviomètre",LEFT($J67,5)="Sonde"),"",IF($H67&lt;&gt;"",IF(INDIRECT($H67&amp;"!"&amp;$W67&amp;($X67+AF$15+1))&lt;&gt;"",INDIRECT($H67&amp;"!"&amp;$W67&amp;($X67+AF$15+1)),""),""))</f>
        <v/>
      </c>
      <c r="AG67" s="296" t="str" cm="1">
        <f t="array" aca="1" ref="AG67" ca="1">IF(OR($J67="Pluviomètre",LEFT($J67,5)="Sonde"),"",IF($H67&lt;&gt;"",IF(INDIRECT($H67&amp;"!"&amp;$W67&amp;($X67+AG$15+1))&lt;&gt;"",INDIRECT($H67&amp;"!"&amp;$W67&amp;($X67+AG$15+1)),""),""))</f>
        <v/>
      </c>
      <c r="AH67" s="296" t="str" cm="1">
        <f t="array" aca="1" ref="AH67" ca="1">IF(OR($J67="Pluviomètre",LEFT($J67,5)="Sonde"),"",IF($H67&lt;&gt;"",IF(INDIRECT($H67&amp;"!"&amp;$W67&amp;($X67+AH$15+1))&lt;&gt;"",INDIRECT($H67&amp;"!"&amp;$W67&amp;($X67+AH$15+1)),""),""))</f>
        <v/>
      </c>
      <c r="AI67" s="294" t="str">
        <f t="shared" ca="1" si="9"/>
        <v/>
      </c>
      <c r="AJ67" s="295" t="str">
        <f t="shared" ca="1" si="10"/>
        <v/>
      </c>
      <c r="AK67" s="296" t="str" cm="1">
        <f t="array" aca="1" ref="AK67" ca="1">IF($H67&lt;&gt;"",IF(INDIRECT($H67&amp;"!"&amp;$AI67&amp;($AJ67+AK$15+1))&lt;&gt;"",INDIRECT($H67&amp;"!"&amp;$AI67&amp;($AJ67+AK$15+1)),""),"")</f>
        <v/>
      </c>
      <c r="AL67" s="296" t="str" cm="1">
        <f t="array" aca="1" ref="AL67" ca="1">IF($H67&lt;&gt;"",IF(INDIRECT($H67&amp;"!"&amp;$AI67&amp;($AJ67+AL$15+1))&lt;&gt;"",INDIRECT($H67&amp;"!"&amp;$AI67&amp;($AJ67+AL$15+1)),""),"")</f>
        <v/>
      </c>
      <c r="AM67" s="296" t="str" cm="1">
        <f t="array" aca="1" ref="AM67" ca="1">IF($H67&lt;&gt;"",IF(INDIRECT($H67&amp;"!"&amp;$AI67&amp;($AJ67+AM$15+1))&lt;&gt;"",INDIRECT($H67&amp;"!"&amp;$AI67&amp;($AJ67+AM$15+1)),""),"")</f>
        <v/>
      </c>
      <c r="AN67" s="296" t="str" cm="1">
        <f t="array" aca="1" ref="AN67" ca="1">IF($H67&lt;&gt;"",IF(INDIRECT($H67&amp;"!"&amp;$AI67&amp;($AJ67+AN$15+1))&lt;&gt;"",INDIRECT($H67&amp;"!"&amp;$AI67&amp;($AJ67+AN$15+1)),""),"")</f>
        <v/>
      </c>
      <c r="AO67" s="296" t="str" cm="1">
        <f t="array" aca="1" ref="AO67" ca="1">IF(LEFT($J67,5)="Sonde","",IF($H67&lt;&gt;"",IF(INDIRECT($H67&amp;"!"&amp;$AI67&amp;($AJ67+AO$15+1))&lt;&gt;"",INDIRECT($H67&amp;"!"&amp;$AI67&amp;($AJ67+AO$15+1)),""),""))</f>
        <v/>
      </c>
      <c r="AP67" s="296" t="str" cm="1">
        <f t="array" aca="1" ref="AP67" ca="1">IF(OR($J67="Pluviomètre",LEFT($J67,5)="Sonde"),"",IF($H67&lt;&gt;"",IF(INDIRECT($H67&amp;"!"&amp;$AI67&amp;($AJ67+AP$15+1))&lt;&gt;"",INDIRECT($H67&amp;"!"&amp;$AI67&amp;($AJ67+AP$15+1)),""),""))</f>
        <v/>
      </c>
      <c r="AQ67" s="296" t="str" cm="1">
        <f t="array" aca="1" ref="AQ67" ca="1">IF(OR($J67="Pluviomètre",LEFT($J67,5)="Sonde"),"",IF($H67&lt;&gt;"",IF(INDIRECT($H67&amp;"!"&amp;$AI67&amp;($AJ67+AQ$15+1))&lt;&gt;"",INDIRECT($H67&amp;"!"&amp;$AI67&amp;($AJ67+AQ$15+1)),""),""))</f>
        <v/>
      </c>
      <c r="AR67" s="296" t="str" cm="1">
        <f t="array" aca="1" ref="AR67" ca="1">IF(OR($J67="Pluviomètre",LEFT($J67,5)="Sonde"),"",IF($H67&lt;&gt;"",IF(INDIRECT($H67&amp;"!"&amp;$AI67&amp;($AJ67+AR$15+1))&lt;&gt;"",INDIRECT($H67&amp;"!"&amp;$AI67&amp;($AJ67+AR$15+1)),""),""))</f>
        <v/>
      </c>
      <c r="AS67" s="296" t="str" cm="1">
        <f t="array" aca="1" ref="AS67" ca="1">IF(OR($J67="Pluviomètre",LEFT($J67,5)="Sonde"),"",IF($H67&lt;&gt;"",IF(INDIRECT($H67&amp;"!"&amp;$AI67&amp;($AJ67+AS$15+1))&lt;&gt;"",INDIRECT($H67&amp;"!"&amp;$AI67&amp;($AJ67+AS$15+1)),""),""))</f>
        <v/>
      </c>
      <c r="AT67" s="296" t="str" cm="1">
        <f t="array" aca="1" ref="AT67" ca="1">IF(OR($J67="Pluviomètre",LEFT($J67,5)="Sonde"),"",IF($H67&lt;&gt;"",IF(INDIRECT($H67&amp;"!"&amp;$AI67&amp;($AJ67+AT$15+1))&lt;&gt;"",INDIRECT($H67&amp;"!"&amp;$AI67&amp;($AJ67+AT$15+1)),""),""))</f>
        <v/>
      </c>
      <c r="AU67" s="412" cm="1">
        <f t="array" aca="1" ref="AU67" ca="1">SUMPRODUCT((Y67:AH67&lt;&gt;"")*(Y67:AH67&lt;&gt;"Non contrôlé")*(Y67:AH67&lt;&gt;"Non applicable"))</f>
        <v>0</v>
      </c>
      <c r="AV67" s="414">
        <f t="shared" ca="1" si="11"/>
        <v>-1</v>
      </c>
    </row>
    <row r="68" spans="1:48" x14ac:dyDescent="0.4">
      <c r="A68" s="80">
        <v>53</v>
      </c>
      <c r="B68" s="134" t="b">
        <f t="shared" si="6"/>
        <v>0</v>
      </c>
      <c r="C68" s="139" t="str" cm="1">
        <f t="array" aca="1" ref="C68" ca="1">IF(
    AND(
        $B68,
        OR(
            INDIRECT("Descriptif!$M"&amp;($B$1+$A68-1))="Préleveur",
            LEFT(INDIRECT("Descriptif!$M"&amp;($B$1+$A68-1)),5)="Sonde",
            LEFT(INDIRECT("Descriptif!$M"&amp;($B$1+$A68-1)),10)="Débitmètre",
            LEFT(INDIRECT("Descriptif!$F"&amp;($B$1+$A68-1)),6)="PLUVIO"        )
    ),
    INDIRECT("Descriptif!$"&amp;C$15&amp;($B$1 +$A68 -1)),
    ""
)</f>
        <v/>
      </c>
      <c r="D68" s="277" t="str" cm="1">
        <f t="array" aca="1" ref="D68" ca="1">IF(
    AND(
        $B68,
        OR(
            INDIRECT("Descriptif!$M"&amp;($B$1+$A68-1))="Préleveur",
            LEFT(INDIRECT("Descriptif!$M"&amp;($B$1+$A68-1)),5)="Sonde",
            LEFT(INDIRECT("Descriptif!$M"&amp;($B$1+$A68-1)),10)="Débitmètre",
            LEFT(INDIRECT("Descriptif!$F"&amp;($B$1+$A68-1)),6)="PLUVIO"       )
    ),
    IF(
        LEFT(INDIRECT("Descriptif!$F"&amp;($B$1+$A68-1)),11)="PLUVIO_STEU",
        "A3",
        IF(
            LEFT(INDIRECT("Descriptif!$F"&amp;($B$1+$A68-1)),10)="PLUVIO_SCL",
            "A1",
            INDIRECT("Descriptif!$"&amp;D$15&amp;($B$1 +$A68 -1))
        )
    ),
    ""
)</f>
        <v/>
      </c>
      <c r="E68" s="277" t="str" cm="1">
        <f t="array" aca="1" ref="E68" ca="1">IF(
    AND(
        $B68,
        OR(
            INDIRECT("Descriptif!$M"&amp;($B$1+$A68-1))="Préleveur",
            LEFT(INDIRECT("Descriptif!$M"&amp;($B$1+$A68-1)),5)="Sonde",
            LEFT(INDIRECT("Descriptif!$M"&amp;($B$1+$A68-1)),10)="Débitmètre",
            LEFT(INDIRECT("Descriptif!$F"&amp;($B$1+$A68-1)),6)="PLUVIO"
        )
    ),
    IF(LEFT(INDIRECT("Descriptif!$F"&amp;($B$1+$A68-1)),6)="PLUVIO","Pluviomètre",INDIRECT("Descriptif!$"&amp;E$15&amp;($B$1 +$A68 -1))),
    ""
)</f>
        <v/>
      </c>
      <c r="F68" s="19" t="str" cm="1">
        <f t="array" aca="1" ref="F68" ca="1">IF(
    AND(
        $B68,
        OR(
            INDIRECT("Descriptif!$M"&amp;($B$1+$A68-1))="Préleveur",
            LEFT(INDIRECT("Descriptif!$M"&amp;($B$1+$A68-1)),5)="Sonde",
            LEFT(INDIRECT("Descriptif!$M"&amp;($B$1+$A68-1)),10)="Débitmètre",
            LEFT(INDIRECT("Descriptif!$F"&amp;($B$1+$A68-1)),6)="PLUVIO"
        )
    ),
    IF(LEFT(INDIRECT("Descriptif!$F"&amp;($B$1+$A68-1)),6)="PLUVIO","Pluviomètre",INDIRECT("Descriptif!$"&amp;F$15&amp;($B$1 +$A68 -1))),
    ""
)</f>
        <v/>
      </c>
      <c r="G68" s="19" t="str" cm="1">
        <f t="array" aca="1" ref="G68" ca="1">IF(
    AND(
        $B68,
        OR(
            INDIRECT("Descriptif!$M"&amp;($B$1+$A68-1))="Préleveur",
            LEFT(INDIRECT("Descriptif!$M"&amp;($B$1+$A68-1)),5)="Sonde",
            LEFT(INDIRECT("Descriptif!$M"&amp;($B$1+$A68-1)),10)="Débitmètre",
            LEFT(INDIRECT("Descriptif!$F"&amp;($B$1+$A68-1)),6)="PLUVIO"
        )
    ),
    IF(LEFT(INDIRECT("Descriptif!$F"&amp;($B$1+$A68-1)),6)="PLUVIO","",INDIRECT("Descriptif!$"&amp;G$15&amp;($B$1 +$A68 -1))),
    ""
)</f>
        <v/>
      </c>
      <c r="H68" s="141" t="str" cm="1">
        <f t="array" aca="1" ref="H68" ca="1">IFERROR(INDEX($C$16:$C$116,SMALL(IF($C$16:$C$116&lt;&gt;"",ROW($C$16:$C$116)-ROW($C$16)+1),ROW(A53))),"")</f>
        <v/>
      </c>
      <c r="I68" s="140" t="str" cm="1">
        <f t="array" aca="1" ref="I68" ca="1">IFERROR(INDEX($D$16:$D$116,SMALL(IF($D$16:$D$116&lt;&gt;"",ROW($D$16:$D$116)-ROW($D$16)+1),ROW(A53))),"")</f>
        <v/>
      </c>
      <c r="J68" s="140" t="str" cm="1">
        <f t="array" aca="1" ref="J68" ca="1">IFERROR(INDEX($E$16:$E$116,SMALL(IF($E$16:$E$116&lt;&gt;"",ROW($E$16:$E$116)-ROW($E$16)+1),ROW(A53))),"")</f>
        <v/>
      </c>
      <c r="K68" s="140" t="str" cm="1">
        <f t="array" aca="1" ref="K68" ca="1">IFERROR(INDEX($F$16:$F$116,SMALL(IF($F$16:$F$116&lt;&gt;"",ROW($F$16:$F$116)-ROW($F$16)+1),ROW(A53))),"")</f>
        <v/>
      </c>
      <c r="L68" s="140" t="str">
        <f t="shared" ca="1" si="0"/>
        <v/>
      </c>
      <c r="M68" s="140" t="str" cm="1">
        <f t="array" aca="1" ref="M68" ca="1">IFERROR(INDEX($G$16:$G$116,SMALL(IF($G$16:$G$116&lt;&gt;"",ROW($G$16:$G$116)-ROW($G$16)+1),ROW(A53))),"")</f>
        <v/>
      </c>
      <c r="N68" s="145" t="str">
        <f t="shared" ca="1" si="12"/>
        <v/>
      </c>
      <c r="O68" s="146" t="str">
        <f t="shared" ca="1" si="13"/>
        <v/>
      </c>
      <c r="P68" s="146" t="str" cm="1">
        <f t="array" aca="1" ref="P68" ca="1">IF($J68&lt;&gt;"",IF(INDIRECT($H68&amp;"!"&amp;$O68)&lt;&gt;"",INDIRECT($H68&amp;"!"&amp;$O68),""),"")</f>
        <v/>
      </c>
      <c r="Q68" s="146" t="str">
        <f t="shared" ca="1" si="14"/>
        <v/>
      </c>
      <c r="R68" s="146" t="str" cm="1">
        <f t="array" aca="1" ref="R68" ca="1">IF($J68&lt;&gt;"",IF(INDIRECT($H68&amp;"!"&amp;$Q68)&lt;&gt;"",INDIRECT($H68&amp;"!"&amp;$Q68),""),"")</f>
        <v/>
      </c>
      <c r="S68" s="146" t="str">
        <f t="shared" ca="1" si="15"/>
        <v/>
      </c>
      <c r="T68" s="146" t="str" cm="1">
        <f t="array" aca="1" ref="T68" ca="1">IF($J68&lt;&gt;"",IF(INDIRECT($H68&amp;"!"&amp;$S68)&lt;&gt;"",INDIRECT($H68&amp;"!"&amp;$S68),""),"")</f>
        <v/>
      </c>
      <c r="U68" s="146" t="str">
        <f t="shared" ca="1" si="16"/>
        <v/>
      </c>
      <c r="V68" s="147" t="str" cm="1">
        <f t="array" aca="1" ref="V68" ca="1">IF($J68&lt;&gt;"",IF(INDIRECT($H68&amp;"!"&amp;$U68)&lt;&gt;"",INDIRECT($H68&amp;"!"&amp;$U68),""),"")</f>
        <v/>
      </c>
      <c r="W68" s="294" t="str">
        <f t="shared" ca="1" si="7"/>
        <v/>
      </c>
      <c r="X68" s="295" t="str">
        <f t="shared" ca="1" si="8"/>
        <v/>
      </c>
      <c r="Y68" s="296" t="str" cm="1">
        <f t="array" aca="1" ref="Y68" ca="1">IF($H68&lt;&gt;"",IF(INDIRECT($H68&amp;"!"&amp;$W68&amp;($X68+Y$15+1))&lt;&gt;"",INDIRECT($H68&amp;"!"&amp;$W68&amp;($X68+Y$15+1)),""),"")</f>
        <v/>
      </c>
      <c r="Z68" s="296" t="str" cm="1">
        <f t="array" aca="1" ref="Z68" ca="1">IF($H68&lt;&gt;"",IF(INDIRECT($H68&amp;"!"&amp;$W68&amp;($X68+Z$15+1))&lt;&gt;"",INDIRECT($H68&amp;"!"&amp;$W68&amp;($X68+Z$15+1)),""),"")</f>
        <v/>
      </c>
      <c r="AA68" s="296" t="str" cm="1">
        <f t="array" aca="1" ref="AA68" ca="1">IF($H68&lt;&gt;"",IF(INDIRECT($H68&amp;"!"&amp;$W68&amp;($X68+AA$15+1))&lt;&gt;"",INDIRECT($H68&amp;"!"&amp;$W68&amp;($X68+AA$15+1)),""),"")</f>
        <v/>
      </c>
      <c r="AB68" s="296" t="str" cm="1">
        <f t="array" aca="1" ref="AB68" ca="1">IF($H68&lt;&gt;"",IF(INDIRECT($H68&amp;"!"&amp;$W68&amp;($X68+AB$15+1))&lt;&gt;"",INDIRECT($H68&amp;"!"&amp;$W68&amp;($X68+AB$15+1)),""),"")</f>
        <v/>
      </c>
      <c r="AC68" s="296" t="str" cm="1">
        <f t="array" aca="1" ref="AC68" ca="1">IF(LEFT($J68,5)="Sonde","",IF($H68&lt;&gt;"",IF(INDIRECT($H68&amp;"!"&amp;$W68&amp;($X68+AC$15+1))&lt;&gt;"",INDIRECT($H68&amp;"!"&amp;$W68&amp;($X68+AC$15+1)),""),""))</f>
        <v/>
      </c>
      <c r="AD68" s="296" t="str" cm="1">
        <f t="array" aca="1" ref="AD68" ca="1">IF(OR($J68="Pluviomètre",LEFT($J68,5)="Sonde"),"",IF($H68&lt;&gt;"",IF(INDIRECT($H68&amp;"!"&amp;$W68&amp;($X68+AD$15+1))&lt;&gt;"",INDIRECT($H68&amp;"!"&amp;$W68&amp;($X68+AD$15+1)),""),""))</f>
        <v/>
      </c>
      <c r="AE68" s="296" t="str" cm="1">
        <f t="array" aca="1" ref="AE68" ca="1">IF(OR($J68="Pluviomètre",LEFT($J68,5)="Sonde"),"",IF($H68&lt;&gt;"",IF(INDIRECT($H68&amp;"!"&amp;$W68&amp;($X68+AE$15+1))&lt;&gt;"",INDIRECT($H68&amp;"!"&amp;$W68&amp;($X68+AE$15+1)),""),""))</f>
        <v/>
      </c>
      <c r="AF68" s="296" t="str" cm="1">
        <f t="array" aca="1" ref="AF68" ca="1">IF(OR($J68="Pluviomètre",LEFT($J68,5)="Sonde"),"",IF($H68&lt;&gt;"",IF(INDIRECT($H68&amp;"!"&amp;$W68&amp;($X68+AF$15+1))&lt;&gt;"",INDIRECT($H68&amp;"!"&amp;$W68&amp;($X68+AF$15+1)),""),""))</f>
        <v/>
      </c>
      <c r="AG68" s="296" t="str" cm="1">
        <f t="array" aca="1" ref="AG68" ca="1">IF(OR($J68="Pluviomètre",LEFT($J68,5)="Sonde"),"",IF($H68&lt;&gt;"",IF(INDIRECT($H68&amp;"!"&amp;$W68&amp;($X68+AG$15+1))&lt;&gt;"",INDIRECT($H68&amp;"!"&amp;$W68&amp;($X68+AG$15+1)),""),""))</f>
        <v/>
      </c>
      <c r="AH68" s="296" t="str" cm="1">
        <f t="array" aca="1" ref="AH68" ca="1">IF(OR($J68="Pluviomètre",LEFT($J68,5)="Sonde"),"",IF($H68&lt;&gt;"",IF(INDIRECT($H68&amp;"!"&amp;$W68&amp;($X68+AH$15+1))&lt;&gt;"",INDIRECT($H68&amp;"!"&amp;$W68&amp;($X68+AH$15+1)),""),""))</f>
        <v/>
      </c>
      <c r="AI68" s="294" t="str">
        <f t="shared" ca="1" si="9"/>
        <v/>
      </c>
      <c r="AJ68" s="295" t="str">
        <f t="shared" ca="1" si="10"/>
        <v/>
      </c>
      <c r="AK68" s="296" t="str" cm="1">
        <f t="array" aca="1" ref="AK68" ca="1">IF($H68&lt;&gt;"",IF(INDIRECT($H68&amp;"!"&amp;$AI68&amp;($AJ68+AK$15+1))&lt;&gt;"",INDIRECT($H68&amp;"!"&amp;$AI68&amp;($AJ68+AK$15+1)),""),"")</f>
        <v/>
      </c>
      <c r="AL68" s="296" t="str" cm="1">
        <f t="array" aca="1" ref="AL68" ca="1">IF($H68&lt;&gt;"",IF(INDIRECT($H68&amp;"!"&amp;$AI68&amp;($AJ68+AL$15+1))&lt;&gt;"",INDIRECT($H68&amp;"!"&amp;$AI68&amp;($AJ68+AL$15+1)),""),"")</f>
        <v/>
      </c>
      <c r="AM68" s="296" t="str" cm="1">
        <f t="array" aca="1" ref="AM68" ca="1">IF($H68&lt;&gt;"",IF(INDIRECT($H68&amp;"!"&amp;$AI68&amp;($AJ68+AM$15+1))&lt;&gt;"",INDIRECT($H68&amp;"!"&amp;$AI68&amp;($AJ68+AM$15+1)),""),"")</f>
        <v/>
      </c>
      <c r="AN68" s="296" t="str" cm="1">
        <f t="array" aca="1" ref="AN68" ca="1">IF($H68&lt;&gt;"",IF(INDIRECT($H68&amp;"!"&amp;$AI68&amp;($AJ68+AN$15+1))&lt;&gt;"",INDIRECT($H68&amp;"!"&amp;$AI68&amp;($AJ68+AN$15+1)),""),"")</f>
        <v/>
      </c>
      <c r="AO68" s="296" t="str" cm="1">
        <f t="array" aca="1" ref="AO68" ca="1">IF(LEFT($J68,5)="Sonde","",IF($H68&lt;&gt;"",IF(INDIRECT($H68&amp;"!"&amp;$AI68&amp;($AJ68+AO$15+1))&lt;&gt;"",INDIRECT($H68&amp;"!"&amp;$AI68&amp;($AJ68+AO$15+1)),""),""))</f>
        <v/>
      </c>
      <c r="AP68" s="296" t="str" cm="1">
        <f t="array" aca="1" ref="AP68" ca="1">IF(OR($J68="Pluviomètre",LEFT($J68,5)="Sonde"),"",IF($H68&lt;&gt;"",IF(INDIRECT($H68&amp;"!"&amp;$AI68&amp;($AJ68+AP$15+1))&lt;&gt;"",INDIRECT($H68&amp;"!"&amp;$AI68&amp;($AJ68+AP$15+1)),""),""))</f>
        <v/>
      </c>
      <c r="AQ68" s="296" t="str" cm="1">
        <f t="array" aca="1" ref="AQ68" ca="1">IF(OR($J68="Pluviomètre",LEFT($J68,5)="Sonde"),"",IF($H68&lt;&gt;"",IF(INDIRECT($H68&amp;"!"&amp;$AI68&amp;($AJ68+AQ$15+1))&lt;&gt;"",INDIRECT($H68&amp;"!"&amp;$AI68&amp;($AJ68+AQ$15+1)),""),""))</f>
        <v/>
      </c>
      <c r="AR68" s="296" t="str" cm="1">
        <f t="array" aca="1" ref="AR68" ca="1">IF(OR($J68="Pluviomètre",LEFT($J68,5)="Sonde"),"",IF($H68&lt;&gt;"",IF(INDIRECT($H68&amp;"!"&amp;$AI68&amp;($AJ68+AR$15+1))&lt;&gt;"",INDIRECT($H68&amp;"!"&amp;$AI68&amp;($AJ68+AR$15+1)),""),""))</f>
        <v/>
      </c>
      <c r="AS68" s="296" t="str" cm="1">
        <f t="array" aca="1" ref="AS68" ca="1">IF(OR($J68="Pluviomètre",LEFT($J68,5)="Sonde"),"",IF($H68&lt;&gt;"",IF(INDIRECT($H68&amp;"!"&amp;$AI68&amp;($AJ68+AS$15+1))&lt;&gt;"",INDIRECT($H68&amp;"!"&amp;$AI68&amp;($AJ68+AS$15+1)),""),""))</f>
        <v/>
      </c>
      <c r="AT68" s="296" t="str" cm="1">
        <f t="array" aca="1" ref="AT68" ca="1">IF(OR($J68="Pluviomètre",LEFT($J68,5)="Sonde"),"",IF($H68&lt;&gt;"",IF(INDIRECT($H68&amp;"!"&amp;$AI68&amp;($AJ68+AT$15+1))&lt;&gt;"",INDIRECT($H68&amp;"!"&amp;$AI68&amp;($AJ68+AT$15+1)),""),""))</f>
        <v/>
      </c>
      <c r="AU68" s="412" cm="1">
        <f t="array" aca="1" ref="AU68" ca="1">SUMPRODUCT((Y68:AH68&lt;&gt;"")*(Y68:AH68&lt;&gt;"Non contrôlé")*(Y68:AH68&lt;&gt;"Non applicable"))</f>
        <v>0</v>
      </c>
      <c r="AV68" s="414">
        <f t="shared" ca="1" si="11"/>
        <v>-1</v>
      </c>
    </row>
    <row r="69" spans="1:48" x14ac:dyDescent="0.4">
      <c r="A69" s="80">
        <v>54</v>
      </c>
      <c r="B69" s="134" t="b">
        <f t="shared" si="6"/>
        <v>0</v>
      </c>
      <c r="C69" s="139" t="str" cm="1">
        <f t="array" aca="1" ref="C69" ca="1">IF(
    AND(
        $B69,
        OR(
            INDIRECT("Descriptif!$M"&amp;($B$1+$A69-1))="Préleveur",
            LEFT(INDIRECT("Descriptif!$M"&amp;($B$1+$A69-1)),5)="Sonde",
            LEFT(INDIRECT("Descriptif!$M"&amp;($B$1+$A69-1)),10)="Débitmètre",
            LEFT(INDIRECT("Descriptif!$F"&amp;($B$1+$A69-1)),6)="PLUVIO"        )
    ),
    INDIRECT("Descriptif!$"&amp;C$15&amp;($B$1 +$A69 -1)),
    ""
)</f>
        <v/>
      </c>
      <c r="D69" s="277" t="str" cm="1">
        <f t="array" aca="1" ref="D69" ca="1">IF(
    AND(
        $B69,
        OR(
            INDIRECT("Descriptif!$M"&amp;($B$1+$A69-1))="Préleveur",
            LEFT(INDIRECT("Descriptif!$M"&amp;($B$1+$A69-1)),5)="Sonde",
            LEFT(INDIRECT("Descriptif!$M"&amp;($B$1+$A69-1)),10)="Débitmètre",
            LEFT(INDIRECT("Descriptif!$F"&amp;($B$1+$A69-1)),6)="PLUVIO"       )
    ),
    IF(
        LEFT(INDIRECT("Descriptif!$F"&amp;($B$1+$A69-1)),11)="PLUVIO_STEU",
        "A3",
        IF(
            LEFT(INDIRECT("Descriptif!$F"&amp;($B$1+$A69-1)),10)="PLUVIO_SCL",
            "A1",
            INDIRECT("Descriptif!$"&amp;D$15&amp;($B$1 +$A69 -1))
        )
    ),
    ""
)</f>
        <v/>
      </c>
      <c r="E69" s="277" t="str" cm="1">
        <f t="array" aca="1" ref="E69" ca="1">IF(
    AND(
        $B69,
        OR(
            INDIRECT("Descriptif!$M"&amp;($B$1+$A69-1))="Préleveur",
            LEFT(INDIRECT("Descriptif!$M"&amp;($B$1+$A69-1)),5)="Sonde",
            LEFT(INDIRECT("Descriptif!$M"&amp;($B$1+$A69-1)),10)="Débitmètre",
            LEFT(INDIRECT("Descriptif!$F"&amp;($B$1+$A69-1)),6)="PLUVIO"
        )
    ),
    IF(LEFT(INDIRECT("Descriptif!$F"&amp;($B$1+$A69-1)),6)="PLUVIO","Pluviomètre",INDIRECT("Descriptif!$"&amp;E$15&amp;($B$1 +$A69 -1))),
    ""
)</f>
        <v/>
      </c>
      <c r="F69" s="19" t="str" cm="1">
        <f t="array" aca="1" ref="F69" ca="1">IF(
    AND(
        $B69,
        OR(
            INDIRECT("Descriptif!$M"&amp;($B$1+$A69-1))="Préleveur",
            LEFT(INDIRECT("Descriptif!$M"&amp;($B$1+$A69-1)),5)="Sonde",
            LEFT(INDIRECT("Descriptif!$M"&amp;($B$1+$A69-1)),10)="Débitmètre",
            LEFT(INDIRECT("Descriptif!$F"&amp;($B$1+$A69-1)),6)="PLUVIO"
        )
    ),
    IF(LEFT(INDIRECT("Descriptif!$F"&amp;($B$1+$A69-1)),6)="PLUVIO","Pluviomètre",INDIRECT("Descriptif!$"&amp;F$15&amp;($B$1 +$A69 -1))),
    ""
)</f>
        <v/>
      </c>
      <c r="G69" s="19" t="str" cm="1">
        <f t="array" aca="1" ref="G69" ca="1">IF(
    AND(
        $B69,
        OR(
            INDIRECT("Descriptif!$M"&amp;($B$1+$A69-1))="Préleveur",
            LEFT(INDIRECT("Descriptif!$M"&amp;($B$1+$A69-1)),5)="Sonde",
            LEFT(INDIRECT("Descriptif!$M"&amp;($B$1+$A69-1)),10)="Débitmètre",
            LEFT(INDIRECT("Descriptif!$F"&amp;($B$1+$A69-1)),6)="PLUVIO"
        )
    ),
    IF(LEFT(INDIRECT("Descriptif!$F"&amp;($B$1+$A69-1)),6)="PLUVIO","",INDIRECT("Descriptif!$"&amp;G$15&amp;($B$1 +$A69 -1))),
    ""
)</f>
        <v/>
      </c>
      <c r="H69" s="141" t="str" cm="1">
        <f t="array" aca="1" ref="H69" ca="1">IFERROR(INDEX($C$16:$C$116,SMALL(IF($C$16:$C$116&lt;&gt;"",ROW($C$16:$C$116)-ROW($C$16)+1),ROW(A54))),"")</f>
        <v/>
      </c>
      <c r="I69" s="140" t="str" cm="1">
        <f t="array" aca="1" ref="I69" ca="1">IFERROR(INDEX($D$16:$D$116,SMALL(IF($D$16:$D$116&lt;&gt;"",ROW($D$16:$D$116)-ROW($D$16)+1),ROW(A54))),"")</f>
        <v/>
      </c>
      <c r="J69" s="140" t="str" cm="1">
        <f t="array" aca="1" ref="J69" ca="1">IFERROR(INDEX($E$16:$E$116,SMALL(IF($E$16:$E$116&lt;&gt;"",ROW($E$16:$E$116)-ROW($E$16)+1),ROW(A54))),"")</f>
        <v/>
      </c>
      <c r="K69" s="140" t="str" cm="1">
        <f t="array" aca="1" ref="K69" ca="1">IFERROR(INDEX($F$16:$F$116,SMALL(IF($F$16:$F$116&lt;&gt;"",ROW($F$16:$F$116)-ROW($F$16)+1),ROW(A54))),"")</f>
        <v/>
      </c>
      <c r="L69" s="140" t="str">
        <f t="shared" ca="1" si="0"/>
        <v/>
      </c>
      <c r="M69" s="140" t="str" cm="1">
        <f t="array" aca="1" ref="M69" ca="1">IFERROR(INDEX($G$16:$G$116,SMALL(IF($G$16:$G$116&lt;&gt;"",ROW($G$16:$G$116)-ROW($G$16)+1),ROW(A54))),"")</f>
        <v/>
      </c>
      <c r="N69" s="145" t="str">
        <f t="shared" ca="1" si="12"/>
        <v/>
      </c>
      <c r="O69" s="146" t="str">
        <f t="shared" ca="1" si="13"/>
        <v/>
      </c>
      <c r="P69" s="146" t="str" cm="1">
        <f t="array" aca="1" ref="P69" ca="1">IF($J69&lt;&gt;"",IF(INDIRECT($H69&amp;"!"&amp;$O69)&lt;&gt;"",INDIRECT($H69&amp;"!"&amp;$O69),""),"")</f>
        <v/>
      </c>
      <c r="Q69" s="146" t="str">
        <f t="shared" ca="1" si="14"/>
        <v/>
      </c>
      <c r="R69" s="146" t="str" cm="1">
        <f t="array" aca="1" ref="R69" ca="1">IF($J69&lt;&gt;"",IF(INDIRECT($H69&amp;"!"&amp;$Q69)&lt;&gt;"",INDIRECT($H69&amp;"!"&amp;$Q69),""),"")</f>
        <v/>
      </c>
      <c r="S69" s="146" t="str">
        <f t="shared" ca="1" si="15"/>
        <v/>
      </c>
      <c r="T69" s="146" t="str" cm="1">
        <f t="array" aca="1" ref="T69" ca="1">IF($J69&lt;&gt;"",IF(INDIRECT($H69&amp;"!"&amp;$S69)&lt;&gt;"",INDIRECT($H69&amp;"!"&amp;$S69),""),"")</f>
        <v/>
      </c>
      <c r="U69" s="146" t="str">
        <f t="shared" ca="1" si="16"/>
        <v/>
      </c>
      <c r="V69" s="147" t="str" cm="1">
        <f t="array" aca="1" ref="V69" ca="1">IF($J69&lt;&gt;"",IF(INDIRECT($H69&amp;"!"&amp;$U69)&lt;&gt;"",INDIRECT($H69&amp;"!"&amp;$U69),""),"")</f>
        <v/>
      </c>
      <c r="W69" s="294" t="str">
        <f t="shared" ca="1" si="7"/>
        <v/>
      </c>
      <c r="X69" s="148" t="str">
        <f t="shared" ca="1" si="8"/>
        <v/>
      </c>
      <c r="Y69" s="149" t="str" cm="1">
        <f t="array" aca="1" ref="Y69" ca="1">IF($H69&lt;&gt;"",IF(INDIRECT($H69&amp;"!"&amp;$W69&amp;($X69+Y$15+1))&lt;&gt;"",INDIRECT($H69&amp;"!"&amp;$W69&amp;($X69+Y$15+1)),""),"")</f>
        <v/>
      </c>
      <c r="Z69" s="149" t="str" cm="1">
        <f t="array" aca="1" ref="Z69" ca="1">IF($H69&lt;&gt;"",IF(INDIRECT($H69&amp;"!"&amp;$W69&amp;($X69+Z$15+1))&lt;&gt;"",INDIRECT($H69&amp;"!"&amp;$W69&amp;($X69+Z$15+1)),""),"")</f>
        <v/>
      </c>
      <c r="AA69" s="149" t="str" cm="1">
        <f t="array" aca="1" ref="AA69" ca="1">IF($H69&lt;&gt;"",IF(INDIRECT($H69&amp;"!"&amp;$W69&amp;($X69+AA$15+1))&lt;&gt;"",INDIRECT($H69&amp;"!"&amp;$W69&amp;($X69+AA$15+1)),""),"")</f>
        <v/>
      </c>
      <c r="AB69" s="149" t="str" cm="1">
        <f t="array" aca="1" ref="AB69" ca="1">IF($H69&lt;&gt;"",IF(INDIRECT($H69&amp;"!"&amp;$W69&amp;($X69+AB$15+1))&lt;&gt;"",INDIRECT($H69&amp;"!"&amp;$W69&amp;($X69+AB$15+1)),""),"")</f>
        <v/>
      </c>
      <c r="AC69" s="296" t="str" cm="1">
        <f t="array" aca="1" ref="AC69" ca="1">IF(LEFT($J69,5)="Sonde","",IF($H69&lt;&gt;"",IF(INDIRECT($H69&amp;"!"&amp;$W69&amp;($X69+AC$15+1))&lt;&gt;"",INDIRECT($H69&amp;"!"&amp;$W69&amp;($X69+AC$15+1)),""),""))</f>
        <v/>
      </c>
      <c r="AD69" s="296" t="str" cm="1">
        <f t="array" aca="1" ref="AD69" ca="1">IF(OR($J69="Pluviomètre",LEFT($J69,5)="Sonde"),"",IF($H69&lt;&gt;"",IF(INDIRECT($H69&amp;"!"&amp;$W69&amp;($X69+AD$15+1))&lt;&gt;"",INDIRECT($H69&amp;"!"&amp;$W69&amp;($X69+AD$15+1)),""),""))</f>
        <v/>
      </c>
      <c r="AE69" s="296" t="str" cm="1">
        <f t="array" aca="1" ref="AE69" ca="1">IF(OR($J69="Pluviomètre",LEFT($J69,5)="Sonde"),"",IF($H69&lt;&gt;"",IF(INDIRECT($H69&amp;"!"&amp;$W69&amp;($X69+AE$15+1))&lt;&gt;"",INDIRECT($H69&amp;"!"&amp;$W69&amp;($X69+AE$15+1)),""),""))</f>
        <v/>
      </c>
      <c r="AF69" s="296" t="str" cm="1">
        <f t="array" aca="1" ref="AF69" ca="1">IF(OR($J69="Pluviomètre",LEFT($J69,5)="Sonde"),"",IF($H69&lt;&gt;"",IF(INDIRECT($H69&amp;"!"&amp;$W69&amp;($X69+AF$15+1))&lt;&gt;"",INDIRECT($H69&amp;"!"&amp;$W69&amp;($X69+AF$15+1)),""),""))</f>
        <v/>
      </c>
      <c r="AG69" s="296" t="str" cm="1">
        <f t="array" aca="1" ref="AG69" ca="1">IF(OR($J69="Pluviomètre",LEFT($J69,5)="Sonde"),"",IF($H69&lt;&gt;"",IF(INDIRECT($H69&amp;"!"&amp;$W69&amp;($X69+AG$15+1))&lt;&gt;"",INDIRECT($H69&amp;"!"&amp;$W69&amp;($X69+AG$15+1)),""),""))</f>
        <v/>
      </c>
      <c r="AH69" s="296" t="str" cm="1">
        <f t="array" aca="1" ref="AH69" ca="1">IF(OR($J69="Pluviomètre",LEFT($J69,5)="Sonde"),"",IF($H69&lt;&gt;"",IF(INDIRECT($H69&amp;"!"&amp;$W69&amp;($X69+AH$15+1))&lt;&gt;"",INDIRECT($H69&amp;"!"&amp;$W69&amp;($X69+AH$15+1)),""),""))</f>
        <v/>
      </c>
      <c r="AI69" s="294" t="str">
        <f t="shared" ca="1" si="9"/>
        <v/>
      </c>
      <c r="AJ69" s="148" t="str">
        <f t="shared" ca="1" si="10"/>
        <v/>
      </c>
      <c r="AK69" s="296" t="str" cm="1">
        <f t="array" aca="1" ref="AK69" ca="1">IF($H69&lt;&gt;"",IF(INDIRECT($H69&amp;"!"&amp;$AI69&amp;($AJ69+AK$15+1))&lt;&gt;"",INDIRECT($H69&amp;"!"&amp;$AI69&amp;($AJ69+AK$15+1)),""),"")</f>
        <v/>
      </c>
      <c r="AL69" s="296" t="str" cm="1">
        <f t="array" aca="1" ref="AL69" ca="1">IF($H69&lt;&gt;"",IF(INDIRECT($H69&amp;"!"&amp;$AI69&amp;($AJ69+AL$15+1))&lt;&gt;"",INDIRECT($H69&amp;"!"&amp;$AI69&amp;($AJ69+AL$15+1)),""),"")</f>
        <v/>
      </c>
      <c r="AM69" s="296" t="str" cm="1">
        <f t="array" aca="1" ref="AM69" ca="1">IF($H69&lt;&gt;"",IF(INDIRECT($H69&amp;"!"&amp;$AI69&amp;($AJ69+AM$15+1))&lt;&gt;"",INDIRECT($H69&amp;"!"&amp;$AI69&amp;($AJ69+AM$15+1)),""),"")</f>
        <v/>
      </c>
      <c r="AN69" s="296" t="str" cm="1">
        <f t="array" aca="1" ref="AN69" ca="1">IF($H69&lt;&gt;"",IF(INDIRECT($H69&amp;"!"&amp;$AI69&amp;($AJ69+AN$15+1))&lt;&gt;"",INDIRECT($H69&amp;"!"&amp;$AI69&amp;($AJ69+AN$15+1)),""),"")</f>
        <v/>
      </c>
      <c r="AO69" s="296" t="str" cm="1">
        <f t="array" aca="1" ref="AO69" ca="1">IF(LEFT($J69,5)="Sonde","",IF($H69&lt;&gt;"",IF(INDIRECT($H69&amp;"!"&amp;$AI69&amp;($AJ69+AO$15+1))&lt;&gt;"",INDIRECT($H69&amp;"!"&amp;$AI69&amp;($AJ69+AO$15+1)),""),""))</f>
        <v/>
      </c>
      <c r="AP69" s="296" t="str" cm="1">
        <f t="array" aca="1" ref="AP69" ca="1">IF(OR($J69="Pluviomètre",LEFT($J69,5)="Sonde"),"",IF($H69&lt;&gt;"",IF(INDIRECT($H69&amp;"!"&amp;$AI69&amp;($AJ69+AP$15+1))&lt;&gt;"",INDIRECT($H69&amp;"!"&amp;$AI69&amp;($AJ69+AP$15+1)),""),""))</f>
        <v/>
      </c>
      <c r="AQ69" s="296" t="str" cm="1">
        <f t="array" aca="1" ref="AQ69" ca="1">IF(OR($J69="Pluviomètre",LEFT($J69,5)="Sonde"),"",IF($H69&lt;&gt;"",IF(INDIRECT($H69&amp;"!"&amp;$AI69&amp;($AJ69+AQ$15+1))&lt;&gt;"",INDIRECT($H69&amp;"!"&amp;$AI69&amp;($AJ69+AQ$15+1)),""),""))</f>
        <v/>
      </c>
      <c r="AR69" s="296" t="str" cm="1">
        <f t="array" aca="1" ref="AR69" ca="1">IF(OR($J69="Pluviomètre",LEFT($J69,5)="Sonde"),"",IF($H69&lt;&gt;"",IF(INDIRECT($H69&amp;"!"&amp;$AI69&amp;($AJ69+AR$15+1))&lt;&gt;"",INDIRECT($H69&amp;"!"&amp;$AI69&amp;($AJ69+AR$15+1)),""),""))</f>
        <v/>
      </c>
      <c r="AS69" s="296" t="str" cm="1">
        <f t="array" aca="1" ref="AS69" ca="1">IF(OR($J69="Pluviomètre",LEFT($J69,5)="Sonde"),"",IF($H69&lt;&gt;"",IF(INDIRECT($H69&amp;"!"&amp;$AI69&amp;($AJ69+AS$15+1))&lt;&gt;"",INDIRECT($H69&amp;"!"&amp;$AI69&amp;($AJ69+AS$15+1)),""),""))</f>
        <v/>
      </c>
      <c r="AT69" s="296" t="str" cm="1">
        <f t="array" aca="1" ref="AT69" ca="1">IF(OR($J69="Pluviomètre",LEFT($J69,5)="Sonde"),"",IF($H69&lt;&gt;"",IF(INDIRECT($H69&amp;"!"&amp;$AI69&amp;($AJ69+AT$15+1))&lt;&gt;"",INDIRECT($H69&amp;"!"&amp;$AI69&amp;($AJ69+AT$15+1)),""),""))</f>
        <v/>
      </c>
      <c r="AU69" s="412" cm="1">
        <f t="array" aca="1" ref="AU69" ca="1">SUMPRODUCT((Y69:AH69&lt;&gt;"")*(Y69:AH69&lt;&gt;"Non contrôlé")*(Y69:AH69&lt;&gt;"Non applicable"))</f>
        <v>0</v>
      </c>
      <c r="AV69" s="414">
        <f t="shared" ca="1" si="11"/>
        <v>-1</v>
      </c>
    </row>
    <row r="70" spans="1:48" x14ac:dyDescent="0.4">
      <c r="A70" s="80">
        <v>55</v>
      </c>
      <c r="B70" s="134" t="b">
        <f t="shared" si="6"/>
        <v>0</v>
      </c>
      <c r="C70" s="139" t="str" cm="1">
        <f t="array" aca="1" ref="C70" ca="1">IF(
    AND(
        $B70,
        OR(
            INDIRECT("Descriptif!$M"&amp;($B$1+$A70-1))="Préleveur",
            LEFT(INDIRECT("Descriptif!$M"&amp;($B$1+$A70-1)),5)="Sonde",
            LEFT(INDIRECT("Descriptif!$M"&amp;($B$1+$A70-1)),10)="Débitmètre",
            LEFT(INDIRECT("Descriptif!$F"&amp;($B$1+$A70-1)),6)="PLUVIO"        )
    ),
    INDIRECT("Descriptif!$"&amp;C$15&amp;($B$1 +$A70 -1)),
    ""
)</f>
        <v/>
      </c>
      <c r="D70" s="277" t="str" cm="1">
        <f t="array" aca="1" ref="D70" ca="1">IF(
    AND(
        $B70,
        OR(
            INDIRECT("Descriptif!$M"&amp;($B$1+$A70-1))="Préleveur",
            LEFT(INDIRECT("Descriptif!$M"&amp;($B$1+$A70-1)),5)="Sonde",
            LEFT(INDIRECT("Descriptif!$M"&amp;($B$1+$A70-1)),10)="Débitmètre",
            LEFT(INDIRECT("Descriptif!$F"&amp;($B$1+$A70-1)),6)="PLUVIO"       )
    ),
    IF(
        LEFT(INDIRECT("Descriptif!$F"&amp;($B$1+$A70-1)),11)="PLUVIO_STEU",
        "A3",
        IF(
            LEFT(INDIRECT("Descriptif!$F"&amp;($B$1+$A70-1)),10)="PLUVIO_SCL",
            "A1",
            INDIRECT("Descriptif!$"&amp;D$15&amp;($B$1 +$A70 -1))
        )
    ),
    ""
)</f>
        <v/>
      </c>
      <c r="E70" s="277" t="str" cm="1">
        <f t="array" aca="1" ref="E70" ca="1">IF(
    AND(
        $B70,
        OR(
            INDIRECT("Descriptif!$M"&amp;($B$1+$A70-1))="Préleveur",
            LEFT(INDIRECT("Descriptif!$M"&amp;($B$1+$A70-1)),5)="Sonde",
            LEFT(INDIRECT("Descriptif!$M"&amp;($B$1+$A70-1)),10)="Débitmètre",
            LEFT(INDIRECT("Descriptif!$F"&amp;($B$1+$A70-1)),6)="PLUVIO"
        )
    ),
    IF(LEFT(INDIRECT("Descriptif!$F"&amp;($B$1+$A70-1)),6)="PLUVIO","Pluviomètre",INDIRECT("Descriptif!$"&amp;E$15&amp;($B$1 +$A70 -1))),
    ""
)</f>
        <v/>
      </c>
      <c r="F70" s="19" t="str" cm="1">
        <f t="array" aca="1" ref="F70" ca="1">IF(
    AND(
        $B70,
        OR(
            INDIRECT("Descriptif!$M"&amp;($B$1+$A70-1))="Préleveur",
            LEFT(INDIRECT("Descriptif!$M"&amp;($B$1+$A70-1)),5)="Sonde",
            LEFT(INDIRECT("Descriptif!$M"&amp;($B$1+$A70-1)),10)="Débitmètre",
            LEFT(INDIRECT("Descriptif!$F"&amp;($B$1+$A70-1)),6)="PLUVIO"
        )
    ),
    IF(LEFT(INDIRECT("Descriptif!$F"&amp;($B$1+$A70-1)),6)="PLUVIO","Pluviomètre",INDIRECT("Descriptif!$"&amp;F$15&amp;($B$1 +$A70 -1))),
    ""
)</f>
        <v/>
      </c>
      <c r="G70" s="19" t="str" cm="1">
        <f t="array" aca="1" ref="G70" ca="1">IF(
    AND(
        $B70,
        OR(
            INDIRECT("Descriptif!$M"&amp;($B$1+$A70-1))="Préleveur",
            LEFT(INDIRECT("Descriptif!$M"&amp;($B$1+$A70-1)),5)="Sonde",
            LEFT(INDIRECT("Descriptif!$M"&amp;($B$1+$A70-1)),10)="Débitmètre",
            LEFT(INDIRECT("Descriptif!$F"&amp;($B$1+$A70-1)),6)="PLUVIO"
        )
    ),
    IF(LEFT(INDIRECT("Descriptif!$F"&amp;($B$1+$A70-1)),6)="PLUVIO","",INDIRECT("Descriptif!$"&amp;G$15&amp;($B$1 +$A70 -1))),
    ""
)</f>
        <v/>
      </c>
      <c r="H70" s="141" t="str" cm="1">
        <f t="array" aca="1" ref="H70" ca="1">IFERROR(INDEX($C$16:$C$116,SMALL(IF($C$16:$C$116&lt;&gt;"",ROW($C$16:$C$116)-ROW($C$16)+1),ROW(A55))),"")</f>
        <v/>
      </c>
      <c r="I70" s="140" t="str" cm="1">
        <f t="array" aca="1" ref="I70" ca="1">IFERROR(INDEX($D$16:$D$116,SMALL(IF($D$16:$D$116&lt;&gt;"",ROW($D$16:$D$116)-ROW($D$16)+1),ROW(A55))),"")</f>
        <v/>
      </c>
      <c r="J70" s="140" t="str" cm="1">
        <f t="array" aca="1" ref="J70" ca="1">IFERROR(INDEX($E$16:$E$116,SMALL(IF($E$16:$E$116&lt;&gt;"",ROW($E$16:$E$116)-ROW($E$16)+1),ROW(A55))),"")</f>
        <v/>
      </c>
      <c r="K70" s="140" t="str" cm="1">
        <f t="array" aca="1" ref="K70" ca="1">IFERROR(INDEX($F$16:$F$116,SMALL(IF($F$16:$F$116&lt;&gt;"",ROW($F$16:$F$116)-ROW($F$16)+1),ROW(A55))),"")</f>
        <v/>
      </c>
      <c r="L70" s="140" t="str">
        <f t="shared" ca="1" si="0"/>
        <v/>
      </c>
      <c r="M70" s="140" t="str" cm="1">
        <f t="array" aca="1" ref="M70" ca="1">IFERROR(INDEX($G$16:$G$116,SMALL(IF($G$16:$G$116&lt;&gt;"",ROW($G$16:$G$116)-ROW($G$16)+1),ROW(A55))),"")</f>
        <v/>
      </c>
      <c r="N70" s="145" t="str">
        <f t="shared" ca="1" si="12"/>
        <v/>
      </c>
      <c r="O70" s="146" t="str">
        <f t="shared" ca="1" si="13"/>
        <v/>
      </c>
      <c r="P70" s="146" t="str" cm="1">
        <f t="array" aca="1" ref="P70" ca="1">IF($J70&lt;&gt;"",IF(INDIRECT($H70&amp;"!"&amp;$O70)&lt;&gt;"",INDIRECT($H70&amp;"!"&amp;$O70),""),"")</f>
        <v/>
      </c>
      <c r="Q70" s="146" t="str">
        <f t="shared" ca="1" si="14"/>
        <v/>
      </c>
      <c r="R70" s="146" t="str" cm="1">
        <f t="array" aca="1" ref="R70" ca="1">IF($J70&lt;&gt;"",IF(INDIRECT($H70&amp;"!"&amp;$Q70)&lt;&gt;"",INDIRECT($H70&amp;"!"&amp;$Q70),""),"")</f>
        <v/>
      </c>
      <c r="S70" s="146" t="str">
        <f t="shared" ca="1" si="15"/>
        <v/>
      </c>
      <c r="T70" s="146" t="str" cm="1">
        <f t="array" aca="1" ref="T70" ca="1">IF($J70&lt;&gt;"",IF(INDIRECT($H70&amp;"!"&amp;$S70)&lt;&gt;"",INDIRECT($H70&amp;"!"&amp;$S70),""),"")</f>
        <v/>
      </c>
      <c r="U70" s="146" t="str">
        <f t="shared" ca="1" si="16"/>
        <v/>
      </c>
      <c r="V70" s="147" t="str" cm="1">
        <f t="array" aca="1" ref="V70" ca="1">IF($J70&lt;&gt;"",IF(INDIRECT($H70&amp;"!"&amp;$U70)&lt;&gt;"",INDIRECT($H70&amp;"!"&amp;$U70),""),"")</f>
        <v/>
      </c>
      <c r="W70" s="294" t="str">
        <f t="shared" ca="1" si="7"/>
        <v/>
      </c>
      <c r="X70" s="148" t="str">
        <f t="shared" ca="1" si="8"/>
        <v/>
      </c>
      <c r="Y70" s="149" t="str" cm="1">
        <f t="array" aca="1" ref="Y70" ca="1">IF($H70&lt;&gt;"",IF(INDIRECT($H70&amp;"!"&amp;$W70&amp;($X70+Y$15+1))&lt;&gt;"",INDIRECT($H70&amp;"!"&amp;$W70&amp;($X70+Y$15+1)),""),"")</f>
        <v/>
      </c>
      <c r="Z70" s="149" t="str" cm="1">
        <f t="array" aca="1" ref="Z70" ca="1">IF($H70&lt;&gt;"",IF(INDIRECT($H70&amp;"!"&amp;$W70&amp;($X70+Z$15+1))&lt;&gt;"",INDIRECT($H70&amp;"!"&amp;$W70&amp;($X70+Z$15+1)),""),"")</f>
        <v/>
      </c>
      <c r="AA70" s="149" t="str" cm="1">
        <f t="array" aca="1" ref="AA70" ca="1">IF($H70&lt;&gt;"",IF(INDIRECT($H70&amp;"!"&amp;$W70&amp;($X70+AA$15+1))&lt;&gt;"",INDIRECT($H70&amp;"!"&amp;$W70&amp;($X70+AA$15+1)),""),"")</f>
        <v/>
      </c>
      <c r="AB70" s="149" t="str" cm="1">
        <f t="array" aca="1" ref="AB70" ca="1">IF($H70&lt;&gt;"",IF(INDIRECT($H70&amp;"!"&amp;$W70&amp;($X70+AB$15+1))&lt;&gt;"",INDIRECT($H70&amp;"!"&amp;$W70&amp;($X70+AB$15+1)),""),"")</f>
        <v/>
      </c>
      <c r="AC70" s="296" t="str" cm="1">
        <f t="array" aca="1" ref="AC70" ca="1">IF(LEFT($J70,5)="Sonde","",IF($H70&lt;&gt;"",IF(INDIRECT($H70&amp;"!"&amp;$W70&amp;($X70+AC$15+1))&lt;&gt;"",INDIRECT($H70&amp;"!"&amp;$W70&amp;($X70+AC$15+1)),""),""))</f>
        <v/>
      </c>
      <c r="AD70" s="296" t="str" cm="1">
        <f t="array" aca="1" ref="AD70" ca="1">IF(OR($J70="Pluviomètre",LEFT($J70,5)="Sonde"),"",IF($H70&lt;&gt;"",IF(INDIRECT($H70&amp;"!"&amp;$W70&amp;($X70+AD$15+1))&lt;&gt;"",INDIRECT($H70&amp;"!"&amp;$W70&amp;($X70+AD$15+1)),""),""))</f>
        <v/>
      </c>
      <c r="AE70" s="296" t="str" cm="1">
        <f t="array" aca="1" ref="AE70" ca="1">IF(OR($J70="Pluviomètre",LEFT($J70,5)="Sonde"),"",IF($H70&lt;&gt;"",IF(INDIRECT($H70&amp;"!"&amp;$W70&amp;($X70+AE$15+1))&lt;&gt;"",INDIRECT($H70&amp;"!"&amp;$W70&amp;($X70+AE$15+1)),""),""))</f>
        <v/>
      </c>
      <c r="AF70" s="296" t="str" cm="1">
        <f t="array" aca="1" ref="AF70" ca="1">IF(OR($J70="Pluviomètre",LEFT($J70,5)="Sonde"),"",IF($H70&lt;&gt;"",IF(INDIRECT($H70&amp;"!"&amp;$W70&amp;($X70+AF$15+1))&lt;&gt;"",INDIRECT($H70&amp;"!"&amp;$W70&amp;($X70+AF$15+1)),""),""))</f>
        <v/>
      </c>
      <c r="AG70" s="296" t="str" cm="1">
        <f t="array" aca="1" ref="AG70" ca="1">IF(OR($J70="Pluviomètre",LEFT($J70,5)="Sonde"),"",IF($H70&lt;&gt;"",IF(INDIRECT($H70&amp;"!"&amp;$W70&amp;($X70+AG$15+1))&lt;&gt;"",INDIRECT($H70&amp;"!"&amp;$W70&amp;($X70+AG$15+1)),""),""))</f>
        <v/>
      </c>
      <c r="AH70" s="296" t="str" cm="1">
        <f t="array" aca="1" ref="AH70" ca="1">IF(OR($J70="Pluviomètre",LEFT($J70,5)="Sonde"),"",IF($H70&lt;&gt;"",IF(INDIRECT($H70&amp;"!"&amp;$W70&amp;($X70+AH$15+1))&lt;&gt;"",INDIRECT($H70&amp;"!"&amp;$W70&amp;($X70+AH$15+1)),""),""))</f>
        <v/>
      </c>
      <c r="AI70" s="294" t="str">
        <f t="shared" ca="1" si="9"/>
        <v/>
      </c>
      <c r="AJ70" s="148" t="str">
        <f t="shared" ca="1" si="10"/>
        <v/>
      </c>
      <c r="AK70" s="296" t="str" cm="1">
        <f t="array" aca="1" ref="AK70" ca="1">IF($H70&lt;&gt;"",IF(INDIRECT($H70&amp;"!"&amp;$AI70&amp;($AJ70+AK$15+1))&lt;&gt;"",INDIRECT($H70&amp;"!"&amp;$AI70&amp;($AJ70+AK$15+1)),""),"")</f>
        <v/>
      </c>
      <c r="AL70" s="296" t="str" cm="1">
        <f t="array" aca="1" ref="AL70" ca="1">IF($H70&lt;&gt;"",IF(INDIRECT($H70&amp;"!"&amp;$AI70&amp;($AJ70+AL$15+1))&lt;&gt;"",INDIRECT($H70&amp;"!"&amp;$AI70&amp;($AJ70+AL$15+1)),""),"")</f>
        <v/>
      </c>
      <c r="AM70" s="296" t="str" cm="1">
        <f t="array" aca="1" ref="AM70" ca="1">IF($H70&lt;&gt;"",IF(INDIRECT($H70&amp;"!"&amp;$AI70&amp;($AJ70+AM$15+1))&lt;&gt;"",INDIRECT($H70&amp;"!"&amp;$AI70&amp;($AJ70+AM$15+1)),""),"")</f>
        <v/>
      </c>
      <c r="AN70" s="296" t="str" cm="1">
        <f t="array" aca="1" ref="AN70" ca="1">IF($H70&lt;&gt;"",IF(INDIRECT($H70&amp;"!"&amp;$AI70&amp;($AJ70+AN$15+1))&lt;&gt;"",INDIRECT($H70&amp;"!"&amp;$AI70&amp;($AJ70+AN$15+1)),""),"")</f>
        <v/>
      </c>
      <c r="AO70" s="296" t="str" cm="1">
        <f t="array" aca="1" ref="AO70" ca="1">IF(LEFT($J70,5)="Sonde","",IF($H70&lt;&gt;"",IF(INDIRECT($H70&amp;"!"&amp;$AI70&amp;($AJ70+AO$15+1))&lt;&gt;"",INDIRECT($H70&amp;"!"&amp;$AI70&amp;($AJ70+AO$15+1)),""),""))</f>
        <v/>
      </c>
      <c r="AP70" s="296" t="str" cm="1">
        <f t="array" aca="1" ref="AP70" ca="1">IF(OR($J70="Pluviomètre",LEFT($J70,5)="Sonde"),"",IF($H70&lt;&gt;"",IF(INDIRECT($H70&amp;"!"&amp;$AI70&amp;($AJ70+AP$15+1))&lt;&gt;"",INDIRECT($H70&amp;"!"&amp;$AI70&amp;($AJ70+AP$15+1)),""),""))</f>
        <v/>
      </c>
      <c r="AQ70" s="296" t="str" cm="1">
        <f t="array" aca="1" ref="AQ70" ca="1">IF(OR($J70="Pluviomètre",LEFT($J70,5)="Sonde"),"",IF($H70&lt;&gt;"",IF(INDIRECT($H70&amp;"!"&amp;$AI70&amp;($AJ70+AQ$15+1))&lt;&gt;"",INDIRECT($H70&amp;"!"&amp;$AI70&amp;($AJ70+AQ$15+1)),""),""))</f>
        <v/>
      </c>
      <c r="AR70" s="296" t="str" cm="1">
        <f t="array" aca="1" ref="AR70" ca="1">IF(OR($J70="Pluviomètre",LEFT($J70,5)="Sonde"),"",IF($H70&lt;&gt;"",IF(INDIRECT($H70&amp;"!"&amp;$AI70&amp;($AJ70+AR$15+1))&lt;&gt;"",INDIRECT($H70&amp;"!"&amp;$AI70&amp;($AJ70+AR$15+1)),""),""))</f>
        <v/>
      </c>
      <c r="AS70" s="296" t="str" cm="1">
        <f t="array" aca="1" ref="AS70" ca="1">IF(OR($J70="Pluviomètre",LEFT($J70,5)="Sonde"),"",IF($H70&lt;&gt;"",IF(INDIRECT($H70&amp;"!"&amp;$AI70&amp;($AJ70+AS$15+1))&lt;&gt;"",INDIRECT($H70&amp;"!"&amp;$AI70&amp;($AJ70+AS$15+1)),""),""))</f>
        <v/>
      </c>
      <c r="AT70" s="296" t="str" cm="1">
        <f t="array" aca="1" ref="AT70" ca="1">IF(OR($J70="Pluviomètre",LEFT($J70,5)="Sonde"),"",IF($H70&lt;&gt;"",IF(INDIRECT($H70&amp;"!"&amp;$AI70&amp;($AJ70+AT$15+1))&lt;&gt;"",INDIRECT($H70&amp;"!"&amp;$AI70&amp;($AJ70+AT$15+1)),""),""))</f>
        <v/>
      </c>
      <c r="AU70" s="412" cm="1">
        <f t="array" aca="1" ref="AU70" ca="1">SUMPRODUCT((Y70:AH70&lt;&gt;"")*(Y70:AH70&lt;&gt;"Non contrôlé")*(Y70:AH70&lt;&gt;"Non applicable"))</f>
        <v>0</v>
      </c>
      <c r="AV70" s="414">
        <f t="shared" ca="1" si="11"/>
        <v>-1</v>
      </c>
    </row>
    <row r="71" spans="1:48" x14ac:dyDescent="0.4">
      <c r="A71" s="80">
        <v>56</v>
      </c>
      <c r="B71" s="134" t="b">
        <f t="shared" si="6"/>
        <v>0</v>
      </c>
      <c r="C71" s="139" t="str" cm="1">
        <f t="array" aca="1" ref="C71" ca="1">IF(
    AND(
        $B71,
        OR(
            INDIRECT("Descriptif!$M"&amp;($B$1+$A71-1))="Préleveur",
            LEFT(INDIRECT("Descriptif!$M"&amp;($B$1+$A71-1)),5)="Sonde",
            LEFT(INDIRECT("Descriptif!$M"&amp;($B$1+$A71-1)),10)="Débitmètre",
            LEFT(INDIRECT("Descriptif!$F"&amp;($B$1+$A71-1)),6)="PLUVIO"        )
    ),
    INDIRECT("Descriptif!$"&amp;C$15&amp;($B$1 +$A71 -1)),
    ""
)</f>
        <v/>
      </c>
      <c r="D71" s="277" t="str" cm="1">
        <f t="array" aca="1" ref="D71" ca="1">IF(
    AND(
        $B71,
        OR(
            INDIRECT("Descriptif!$M"&amp;($B$1+$A71-1))="Préleveur",
            LEFT(INDIRECT("Descriptif!$M"&amp;($B$1+$A71-1)),5)="Sonde",
            LEFT(INDIRECT("Descriptif!$M"&amp;($B$1+$A71-1)),10)="Débitmètre",
            LEFT(INDIRECT("Descriptif!$F"&amp;($B$1+$A71-1)),6)="PLUVIO"       )
    ),
    IF(
        LEFT(INDIRECT("Descriptif!$F"&amp;($B$1+$A71-1)),11)="PLUVIO_STEU",
        "A3",
        IF(
            LEFT(INDIRECT("Descriptif!$F"&amp;($B$1+$A71-1)),10)="PLUVIO_SCL",
            "A1",
            INDIRECT("Descriptif!$"&amp;D$15&amp;($B$1 +$A71 -1))
        )
    ),
    ""
)</f>
        <v/>
      </c>
      <c r="E71" s="277" t="str" cm="1">
        <f t="array" aca="1" ref="E71" ca="1">IF(
    AND(
        $B71,
        OR(
            INDIRECT("Descriptif!$M"&amp;($B$1+$A71-1))="Préleveur",
            LEFT(INDIRECT("Descriptif!$M"&amp;($B$1+$A71-1)),5)="Sonde",
            LEFT(INDIRECT("Descriptif!$M"&amp;($B$1+$A71-1)),10)="Débitmètre",
            LEFT(INDIRECT("Descriptif!$F"&amp;($B$1+$A71-1)),6)="PLUVIO"
        )
    ),
    IF(LEFT(INDIRECT("Descriptif!$F"&amp;($B$1+$A71-1)),6)="PLUVIO","Pluviomètre",INDIRECT("Descriptif!$"&amp;E$15&amp;($B$1 +$A71 -1))),
    ""
)</f>
        <v/>
      </c>
      <c r="F71" s="19" t="str" cm="1">
        <f t="array" aca="1" ref="F71" ca="1">IF(
    AND(
        $B71,
        OR(
            INDIRECT("Descriptif!$M"&amp;($B$1+$A71-1))="Préleveur",
            LEFT(INDIRECT("Descriptif!$M"&amp;($B$1+$A71-1)),5)="Sonde",
            LEFT(INDIRECT("Descriptif!$M"&amp;($B$1+$A71-1)),10)="Débitmètre",
            LEFT(INDIRECT("Descriptif!$F"&amp;($B$1+$A71-1)),6)="PLUVIO"
        )
    ),
    IF(LEFT(INDIRECT("Descriptif!$F"&amp;($B$1+$A71-1)),6)="PLUVIO","Pluviomètre",INDIRECT("Descriptif!$"&amp;F$15&amp;($B$1 +$A71 -1))),
    ""
)</f>
        <v/>
      </c>
      <c r="G71" s="19" t="str" cm="1">
        <f t="array" aca="1" ref="G71" ca="1">IF(
    AND(
        $B71,
        OR(
            INDIRECT("Descriptif!$M"&amp;($B$1+$A71-1))="Préleveur",
            LEFT(INDIRECT("Descriptif!$M"&amp;($B$1+$A71-1)),5)="Sonde",
            LEFT(INDIRECT("Descriptif!$M"&amp;($B$1+$A71-1)),10)="Débitmètre",
            LEFT(INDIRECT("Descriptif!$F"&amp;($B$1+$A71-1)),6)="PLUVIO"
        )
    ),
    IF(LEFT(INDIRECT("Descriptif!$F"&amp;($B$1+$A71-1)),6)="PLUVIO","",INDIRECT("Descriptif!$"&amp;G$15&amp;($B$1 +$A71 -1))),
    ""
)</f>
        <v/>
      </c>
      <c r="H71" s="141" t="str" cm="1">
        <f t="array" aca="1" ref="H71" ca="1">IFERROR(INDEX($C$16:$C$116,SMALL(IF($C$16:$C$116&lt;&gt;"",ROW($C$16:$C$116)-ROW($C$16)+1),ROW(A56))),"")</f>
        <v/>
      </c>
      <c r="I71" s="140" t="str" cm="1">
        <f t="array" aca="1" ref="I71" ca="1">IFERROR(INDEX($D$16:$D$116,SMALL(IF($D$16:$D$116&lt;&gt;"",ROW($D$16:$D$116)-ROW($D$16)+1),ROW(A56))),"")</f>
        <v/>
      </c>
      <c r="J71" s="140" t="str" cm="1">
        <f t="array" aca="1" ref="J71" ca="1">IFERROR(INDEX($E$16:$E$116,SMALL(IF($E$16:$E$116&lt;&gt;"",ROW($E$16:$E$116)-ROW($E$16)+1),ROW(A56))),"")</f>
        <v/>
      </c>
      <c r="K71" s="140" t="str" cm="1">
        <f t="array" aca="1" ref="K71" ca="1">IFERROR(INDEX($F$16:$F$116,SMALL(IF($F$16:$F$116&lt;&gt;"",ROW($F$16:$F$116)-ROW($F$16)+1),ROW(A56))),"")</f>
        <v/>
      </c>
      <c r="L71" s="140" t="str">
        <f t="shared" ca="1" si="0"/>
        <v/>
      </c>
      <c r="M71" s="140" t="str" cm="1">
        <f t="array" aca="1" ref="M71" ca="1">IFERROR(INDEX($G$16:$G$116,SMALL(IF($G$16:$G$116&lt;&gt;"",ROW($G$16:$G$116)-ROW($G$16)+1),ROW(A56))),"")</f>
        <v/>
      </c>
      <c r="N71" s="145" t="str">
        <f t="shared" ca="1" si="12"/>
        <v/>
      </c>
      <c r="O71" s="146" t="str">
        <f t="shared" ca="1" si="13"/>
        <v/>
      </c>
      <c r="P71" s="146" t="str" cm="1">
        <f t="array" aca="1" ref="P71" ca="1">IF($J71&lt;&gt;"",IF(INDIRECT($H71&amp;"!"&amp;$O71)&lt;&gt;"",INDIRECT($H71&amp;"!"&amp;$O71),""),"")</f>
        <v/>
      </c>
      <c r="Q71" s="146" t="str">
        <f t="shared" ca="1" si="14"/>
        <v/>
      </c>
      <c r="R71" s="146" t="str" cm="1">
        <f t="array" aca="1" ref="R71" ca="1">IF($J71&lt;&gt;"",IF(INDIRECT($H71&amp;"!"&amp;$Q71)&lt;&gt;"",INDIRECT($H71&amp;"!"&amp;$Q71),""),"")</f>
        <v/>
      </c>
      <c r="S71" s="146" t="str">
        <f t="shared" ca="1" si="15"/>
        <v/>
      </c>
      <c r="T71" s="146" t="str" cm="1">
        <f t="array" aca="1" ref="T71" ca="1">IF($J71&lt;&gt;"",IF(INDIRECT($H71&amp;"!"&amp;$S71)&lt;&gt;"",INDIRECT($H71&amp;"!"&amp;$S71),""),"")</f>
        <v/>
      </c>
      <c r="U71" s="146" t="str">
        <f t="shared" ca="1" si="16"/>
        <v/>
      </c>
      <c r="V71" s="147" t="str" cm="1">
        <f t="array" aca="1" ref="V71" ca="1">IF($J71&lt;&gt;"",IF(INDIRECT($H71&amp;"!"&amp;$U71)&lt;&gt;"",INDIRECT($H71&amp;"!"&amp;$U71),""),"")</f>
        <v/>
      </c>
      <c r="W71" s="294" t="str">
        <f t="shared" ca="1" si="7"/>
        <v/>
      </c>
      <c r="X71" s="148" t="str">
        <f t="shared" ca="1" si="8"/>
        <v/>
      </c>
      <c r="Y71" s="149" t="str" cm="1">
        <f t="array" aca="1" ref="Y71" ca="1">IF($H71&lt;&gt;"",IF(INDIRECT($H71&amp;"!"&amp;$W71&amp;($X71+Y$15+1))&lt;&gt;"",INDIRECT($H71&amp;"!"&amp;$W71&amp;($X71+Y$15+1)),""),"")</f>
        <v/>
      </c>
      <c r="Z71" s="149" t="str" cm="1">
        <f t="array" aca="1" ref="Z71" ca="1">IF($H71&lt;&gt;"",IF(INDIRECT($H71&amp;"!"&amp;$W71&amp;($X71+Z$15+1))&lt;&gt;"",INDIRECT($H71&amp;"!"&amp;$W71&amp;($X71+Z$15+1)),""),"")</f>
        <v/>
      </c>
      <c r="AA71" s="149" t="str" cm="1">
        <f t="array" aca="1" ref="AA71" ca="1">IF($H71&lt;&gt;"",IF(INDIRECT($H71&amp;"!"&amp;$W71&amp;($X71+AA$15+1))&lt;&gt;"",INDIRECT($H71&amp;"!"&amp;$W71&amp;($X71+AA$15+1)),""),"")</f>
        <v/>
      </c>
      <c r="AB71" s="149" t="str" cm="1">
        <f t="array" aca="1" ref="AB71" ca="1">IF($H71&lt;&gt;"",IF(INDIRECT($H71&amp;"!"&amp;$W71&amp;($X71+AB$15+1))&lt;&gt;"",INDIRECT($H71&amp;"!"&amp;$W71&amp;($X71+AB$15+1)),""),"")</f>
        <v/>
      </c>
      <c r="AC71" s="296" t="str" cm="1">
        <f t="array" aca="1" ref="AC71" ca="1">IF(LEFT($J71,5)="Sonde","",IF($H71&lt;&gt;"",IF(INDIRECT($H71&amp;"!"&amp;$W71&amp;($X71+AC$15+1))&lt;&gt;"",INDIRECT($H71&amp;"!"&amp;$W71&amp;($X71+AC$15+1)),""),""))</f>
        <v/>
      </c>
      <c r="AD71" s="296" t="str" cm="1">
        <f t="array" aca="1" ref="AD71" ca="1">IF(OR($J71="Pluviomètre",LEFT($J71,5)="Sonde"),"",IF($H71&lt;&gt;"",IF(INDIRECT($H71&amp;"!"&amp;$W71&amp;($X71+AD$15+1))&lt;&gt;"",INDIRECT($H71&amp;"!"&amp;$W71&amp;($X71+AD$15+1)),""),""))</f>
        <v/>
      </c>
      <c r="AE71" s="296" t="str" cm="1">
        <f t="array" aca="1" ref="AE71" ca="1">IF(OR($J71="Pluviomètre",LEFT($J71,5)="Sonde"),"",IF($H71&lt;&gt;"",IF(INDIRECT($H71&amp;"!"&amp;$W71&amp;($X71+AE$15+1))&lt;&gt;"",INDIRECT($H71&amp;"!"&amp;$W71&amp;($X71+AE$15+1)),""),""))</f>
        <v/>
      </c>
      <c r="AF71" s="296" t="str" cm="1">
        <f t="array" aca="1" ref="AF71" ca="1">IF(OR($J71="Pluviomètre",LEFT($J71,5)="Sonde"),"",IF($H71&lt;&gt;"",IF(INDIRECT($H71&amp;"!"&amp;$W71&amp;($X71+AF$15+1))&lt;&gt;"",INDIRECT($H71&amp;"!"&amp;$W71&amp;($X71+AF$15+1)),""),""))</f>
        <v/>
      </c>
      <c r="AG71" s="296" t="str" cm="1">
        <f t="array" aca="1" ref="AG71" ca="1">IF(OR($J71="Pluviomètre",LEFT($J71,5)="Sonde"),"",IF($H71&lt;&gt;"",IF(INDIRECT($H71&amp;"!"&amp;$W71&amp;($X71+AG$15+1))&lt;&gt;"",INDIRECT($H71&amp;"!"&amp;$W71&amp;($X71+AG$15+1)),""),""))</f>
        <v/>
      </c>
      <c r="AH71" s="296" t="str" cm="1">
        <f t="array" aca="1" ref="AH71" ca="1">IF(OR($J71="Pluviomètre",LEFT($J71,5)="Sonde"),"",IF($H71&lt;&gt;"",IF(INDIRECT($H71&amp;"!"&amp;$W71&amp;($X71+AH$15+1))&lt;&gt;"",INDIRECT($H71&amp;"!"&amp;$W71&amp;($X71+AH$15+1)),""),""))</f>
        <v/>
      </c>
      <c r="AI71" s="294" t="str">
        <f t="shared" ca="1" si="9"/>
        <v/>
      </c>
      <c r="AJ71" s="148" t="str">
        <f t="shared" ca="1" si="10"/>
        <v/>
      </c>
      <c r="AK71" s="296" t="str" cm="1">
        <f t="array" aca="1" ref="AK71" ca="1">IF($H71&lt;&gt;"",IF(INDIRECT($H71&amp;"!"&amp;$AI71&amp;($AJ71+AK$15+1))&lt;&gt;"",INDIRECT($H71&amp;"!"&amp;$AI71&amp;($AJ71+AK$15+1)),""),"")</f>
        <v/>
      </c>
      <c r="AL71" s="296" t="str" cm="1">
        <f t="array" aca="1" ref="AL71" ca="1">IF($H71&lt;&gt;"",IF(INDIRECT($H71&amp;"!"&amp;$AI71&amp;($AJ71+AL$15+1))&lt;&gt;"",INDIRECT($H71&amp;"!"&amp;$AI71&amp;($AJ71+AL$15+1)),""),"")</f>
        <v/>
      </c>
      <c r="AM71" s="296" t="str" cm="1">
        <f t="array" aca="1" ref="AM71" ca="1">IF($H71&lt;&gt;"",IF(INDIRECT($H71&amp;"!"&amp;$AI71&amp;($AJ71+AM$15+1))&lt;&gt;"",INDIRECT($H71&amp;"!"&amp;$AI71&amp;($AJ71+AM$15+1)),""),"")</f>
        <v/>
      </c>
      <c r="AN71" s="296" t="str" cm="1">
        <f t="array" aca="1" ref="AN71" ca="1">IF($H71&lt;&gt;"",IF(INDIRECT($H71&amp;"!"&amp;$AI71&amp;($AJ71+AN$15+1))&lt;&gt;"",INDIRECT($H71&amp;"!"&amp;$AI71&amp;($AJ71+AN$15+1)),""),"")</f>
        <v/>
      </c>
      <c r="AO71" s="296" t="str" cm="1">
        <f t="array" aca="1" ref="AO71" ca="1">IF(LEFT($J71,5)="Sonde","",IF($H71&lt;&gt;"",IF(INDIRECT($H71&amp;"!"&amp;$AI71&amp;($AJ71+AO$15+1))&lt;&gt;"",INDIRECT($H71&amp;"!"&amp;$AI71&amp;($AJ71+AO$15+1)),""),""))</f>
        <v/>
      </c>
      <c r="AP71" s="296" t="str" cm="1">
        <f t="array" aca="1" ref="AP71" ca="1">IF(OR($J71="Pluviomètre",LEFT($J71,5)="Sonde"),"",IF($H71&lt;&gt;"",IF(INDIRECT($H71&amp;"!"&amp;$AI71&amp;($AJ71+AP$15+1))&lt;&gt;"",INDIRECT($H71&amp;"!"&amp;$AI71&amp;($AJ71+AP$15+1)),""),""))</f>
        <v/>
      </c>
      <c r="AQ71" s="296" t="str" cm="1">
        <f t="array" aca="1" ref="AQ71" ca="1">IF(OR($J71="Pluviomètre",LEFT($J71,5)="Sonde"),"",IF($H71&lt;&gt;"",IF(INDIRECT($H71&amp;"!"&amp;$AI71&amp;($AJ71+AQ$15+1))&lt;&gt;"",INDIRECT($H71&amp;"!"&amp;$AI71&amp;($AJ71+AQ$15+1)),""),""))</f>
        <v/>
      </c>
      <c r="AR71" s="296" t="str" cm="1">
        <f t="array" aca="1" ref="AR71" ca="1">IF(OR($J71="Pluviomètre",LEFT($J71,5)="Sonde"),"",IF($H71&lt;&gt;"",IF(INDIRECT($H71&amp;"!"&amp;$AI71&amp;($AJ71+AR$15+1))&lt;&gt;"",INDIRECT($H71&amp;"!"&amp;$AI71&amp;($AJ71+AR$15+1)),""),""))</f>
        <v/>
      </c>
      <c r="AS71" s="296" t="str" cm="1">
        <f t="array" aca="1" ref="AS71" ca="1">IF(OR($J71="Pluviomètre",LEFT($J71,5)="Sonde"),"",IF($H71&lt;&gt;"",IF(INDIRECT($H71&amp;"!"&amp;$AI71&amp;($AJ71+AS$15+1))&lt;&gt;"",INDIRECT($H71&amp;"!"&amp;$AI71&amp;($AJ71+AS$15+1)),""),""))</f>
        <v/>
      </c>
      <c r="AT71" s="296" t="str" cm="1">
        <f t="array" aca="1" ref="AT71" ca="1">IF(OR($J71="Pluviomètre",LEFT($J71,5)="Sonde"),"",IF($H71&lt;&gt;"",IF(INDIRECT($H71&amp;"!"&amp;$AI71&amp;($AJ71+AT$15+1))&lt;&gt;"",INDIRECT($H71&amp;"!"&amp;$AI71&amp;($AJ71+AT$15+1)),""),""))</f>
        <v/>
      </c>
      <c r="AU71" s="412" cm="1">
        <f t="array" aca="1" ref="AU71" ca="1">SUMPRODUCT((Y71:AH71&lt;&gt;"")*(Y71:AH71&lt;&gt;"Non contrôlé")*(Y71:AH71&lt;&gt;"Non applicable"))</f>
        <v>0</v>
      </c>
      <c r="AV71" s="414">
        <f t="shared" ca="1" si="11"/>
        <v>-1</v>
      </c>
    </row>
    <row r="72" spans="1:48" x14ac:dyDescent="0.4">
      <c r="A72" s="80">
        <v>57</v>
      </c>
      <c r="B72" s="134" t="b">
        <f t="shared" si="6"/>
        <v>0</v>
      </c>
      <c r="C72" s="139" t="str" cm="1">
        <f t="array" aca="1" ref="C72" ca="1">IF(
    AND(
        $B72,
        OR(
            INDIRECT("Descriptif!$M"&amp;($B$1+$A72-1))="Préleveur",
            LEFT(INDIRECT("Descriptif!$M"&amp;($B$1+$A72-1)),5)="Sonde",
            LEFT(INDIRECT("Descriptif!$M"&amp;($B$1+$A72-1)),10)="Débitmètre",
            LEFT(INDIRECT("Descriptif!$F"&amp;($B$1+$A72-1)),6)="PLUVIO"        )
    ),
    INDIRECT("Descriptif!$"&amp;C$15&amp;($B$1 +$A72 -1)),
    ""
)</f>
        <v/>
      </c>
      <c r="D72" s="277" t="str" cm="1">
        <f t="array" aca="1" ref="D72" ca="1">IF(
    AND(
        $B72,
        OR(
            INDIRECT("Descriptif!$M"&amp;($B$1+$A72-1))="Préleveur",
            LEFT(INDIRECT("Descriptif!$M"&amp;($B$1+$A72-1)),5)="Sonde",
            LEFT(INDIRECT("Descriptif!$M"&amp;($B$1+$A72-1)),10)="Débitmètre",
            LEFT(INDIRECT("Descriptif!$F"&amp;($B$1+$A72-1)),6)="PLUVIO"       )
    ),
    IF(
        LEFT(INDIRECT("Descriptif!$F"&amp;($B$1+$A72-1)),11)="PLUVIO_STEU",
        "A3",
        IF(
            LEFT(INDIRECT("Descriptif!$F"&amp;($B$1+$A72-1)),10)="PLUVIO_SCL",
            "A1",
            INDIRECT("Descriptif!$"&amp;D$15&amp;($B$1 +$A72 -1))
        )
    ),
    ""
)</f>
        <v/>
      </c>
      <c r="E72" s="277" t="str" cm="1">
        <f t="array" aca="1" ref="E72" ca="1">IF(
    AND(
        $B72,
        OR(
            INDIRECT("Descriptif!$M"&amp;($B$1+$A72-1))="Préleveur",
            LEFT(INDIRECT("Descriptif!$M"&amp;($B$1+$A72-1)),5)="Sonde",
            LEFT(INDIRECT("Descriptif!$M"&amp;($B$1+$A72-1)),10)="Débitmètre",
            LEFT(INDIRECT("Descriptif!$F"&amp;($B$1+$A72-1)),6)="PLUVIO"
        )
    ),
    IF(LEFT(INDIRECT("Descriptif!$F"&amp;($B$1+$A72-1)),6)="PLUVIO","Pluviomètre",INDIRECT("Descriptif!$"&amp;E$15&amp;($B$1 +$A72 -1))),
    ""
)</f>
        <v/>
      </c>
      <c r="F72" s="19" t="str" cm="1">
        <f t="array" aca="1" ref="F72" ca="1">IF(
    AND(
        $B72,
        OR(
            INDIRECT("Descriptif!$M"&amp;($B$1+$A72-1))="Préleveur",
            LEFT(INDIRECT("Descriptif!$M"&amp;($B$1+$A72-1)),5)="Sonde",
            LEFT(INDIRECT("Descriptif!$M"&amp;($B$1+$A72-1)),10)="Débitmètre",
            LEFT(INDIRECT("Descriptif!$F"&amp;($B$1+$A72-1)),6)="PLUVIO"
        )
    ),
    IF(LEFT(INDIRECT("Descriptif!$F"&amp;($B$1+$A72-1)),6)="PLUVIO","Pluviomètre",INDIRECT("Descriptif!$"&amp;F$15&amp;($B$1 +$A72 -1))),
    ""
)</f>
        <v/>
      </c>
      <c r="G72" s="19" t="str" cm="1">
        <f t="array" aca="1" ref="G72" ca="1">IF(
    AND(
        $B72,
        OR(
            INDIRECT("Descriptif!$M"&amp;($B$1+$A72-1))="Préleveur",
            LEFT(INDIRECT("Descriptif!$M"&amp;($B$1+$A72-1)),5)="Sonde",
            LEFT(INDIRECT("Descriptif!$M"&amp;($B$1+$A72-1)),10)="Débitmètre",
            LEFT(INDIRECT("Descriptif!$F"&amp;($B$1+$A72-1)),6)="PLUVIO"
        )
    ),
    IF(LEFT(INDIRECT("Descriptif!$F"&amp;($B$1+$A72-1)),6)="PLUVIO","",INDIRECT("Descriptif!$"&amp;G$15&amp;($B$1 +$A72 -1))),
    ""
)</f>
        <v/>
      </c>
      <c r="H72" s="141" t="str" cm="1">
        <f t="array" aca="1" ref="H72" ca="1">IFERROR(INDEX($C$16:$C$116,SMALL(IF($C$16:$C$116&lt;&gt;"",ROW($C$16:$C$116)-ROW($C$16)+1),ROW(A57))),"")</f>
        <v/>
      </c>
      <c r="I72" s="140" t="str" cm="1">
        <f t="array" aca="1" ref="I72" ca="1">IFERROR(INDEX($D$16:$D$116,SMALL(IF($D$16:$D$116&lt;&gt;"",ROW($D$16:$D$116)-ROW($D$16)+1),ROW(A57))),"")</f>
        <v/>
      </c>
      <c r="J72" s="140" t="str" cm="1">
        <f t="array" aca="1" ref="J72" ca="1">IFERROR(INDEX($E$16:$E$116,SMALL(IF($E$16:$E$116&lt;&gt;"",ROW($E$16:$E$116)-ROW($E$16)+1),ROW(A57))),"")</f>
        <v/>
      </c>
      <c r="K72" s="140" t="str" cm="1">
        <f t="array" aca="1" ref="K72" ca="1">IFERROR(INDEX($F$16:$F$116,SMALL(IF($F$16:$F$116&lt;&gt;"",ROW($F$16:$F$116)-ROW($F$16)+1),ROW(A57))),"")</f>
        <v/>
      </c>
      <c r="L72" s="140" t="str">
        <f t="shared" ca="1" si="0"/>
        <v/>
      </c>
      <c r="M72" s="140" t="str" cm="1">
        <f t="array" aca="1" ref="M72" ca="1">IFERROR(INDEX($G$16:$G$116,SMALL(IF($G$16:$G$116&lt;&gt;"",ROW($G$16:$G$116)-ROW($G$16)+1),ROW(A57))),"")</f>
        <v/>
      </c>
      <c r="N72" s="145" t="str">
        <f t="shared" ca="1" si="12"/>
        <v/>
      </c>
      <c r="O72" s="146" t="str">
        <f t="shared" ca="1" si="13"/>
        <v/>
      </c>
      <c r="P72" s="146" t="str" cm="1">
        <f t="array" aca="1" ref="P72" ca="1">IF($J72&lt;&gt;"",IF(INDIRECT($H72&amp;"!"&amp;$O72)&lt;&gt;"",INDIRECT($H72&amp;"!"&amp;$O72),""),"")</f>
        <v/>
      </c>
      <c r="Q72" s="146" t="str">
        <f t="shared" ca="1" si="14"/>
        <v/>
      </c>
      <c r="R72" s="146" t="str" cm="1">
        <f t="array" aca="1" ref="R72" ca="1">IF($J72&lt;&gt;"",IF(INDIRECT($H72&amp;"!"&amp;$Q72)&lt;&gt;"",INDIRECT($H72&amp;"!"&amp;$Q72),""),"")</f>
        <v/>
      </c>
      <c r="S72" s="146" t="str">
        <f t="shared" ca="1" si="15"/>
        <v/>
      </c>
      <c r="T72" s="146" t="str" cm="1">
        <f t="array" aca="1" ref="T72" ca="1">IF($J72&lt;&gt;"",IF(INDIRECT($H72&amp;"!"&amp;$S72)&lt;&gt;"",INDIRECT($H72&amp;"!"&amp;$S72),""),"")</f>
        <v/>
      </c>
      <c r="U72" s="146" t="str">
        <f t="shared" ca="1" si="16"/>
        <v/>
      </c>
      <c r="V72" s="147" t="str" cm="1">
        <f t="array" aca="1" ref="V72" ca="1">IF($J72&lt;&gt;"",IF(INDIRECT($H72&amp;"!"&amp;$U72)&lt;&gt;"",INDIRECT($H72&amp;"!"&amp;$U72),""),"")</f>
        <v/>
      </c>
      <c r="W72" s="294" t="str">
        <f t="shared" ca="1" si="7"/>
        <v/>
      </c>
      <c r="X72" s="148" t="str">
        <f t="shared" ca="1" si="8"/>
        <v/>
      </c>
      <c r="Y72" s="149" t="str" cm="1">
        <f t="array" aca="1" ref="Y72" ca="1">IF($H72&lt;&gt;"",IF(INDIRECT($H72&amp;"!"&amp;$W72&amp;($X72+Y$15+1))&lt;&gt;"",INDIRECT($H72&amp;"!"&amp;$W72&amp;($X72+Y$15+1)),""),"")</f>
        <v/>
      </c>
      <c r="Z72" s="149" t="str" cm="1">
        <f t="array" aca="1" ref="Z72" ca="1">IF($H72&lt;&gt;"",IF(INDIRECT($H72&amp;"!"&amp;$W72&amp;($X72+Z$15+1))&lt;&gt;"",INDIRECT($H72&amp;"!"&amp;$W72&amp;($X72+Z$15+1)),""),"")</f>
        <v/>
      </c>
      <c r="AA72" s="149" t="str" cm="1">
        <f t="array" aca="1" ref="AA72" ca="1">IF($H72&lt;&gt;"",IF(INDIRECT($H72&amp;"!"&amp;$W72&amp;($X72+AA$15+1))&lt;&gt;"",INDIRECT($H72&amp;"!"&amp;$W72&amp;($X72+AA$15+1)),""),"")</f>
        <v/>
      </c>
      <c r="AB72" s="149" t="str" cm="1">
        <f t="array" aca="1" ref="AB72" ca="1">IF($H72&lt;&gt;"",IF(INDIRECT($H72&amp;"!"&amp;$W72&amp;($X72+AB$15+1))&lt;&gt;"",INDIRECT($H72&amp;"!"&amp;$W72&amp;($X72+AB$15+1)),""),"")</f>
        <v/>
      </c>
      <c r="AC72" s="296" t="str" cm="1">
        <f t="array" aca="1" ref="AC72" ca="1">IF(LEFT($J72,5)="Sonde","",IF($H72&lt;&gt;"",IF(INDIRECT($H72&amp;"!"&amp;$W72&amp;($X72+AC$15+1))&lt;&gt;"",INDIRECT($H72&amp;"!"&amp;$W72&amp;($X72+AC$15+1)),""),""))</f>
        <v/>
      </c>
      <c r="AD72" s="296" t="str" cm="1">
        <f t="array" aca="1" ref="AD72" ca="1">IF(OR($J72="Pluviomètre",LEFT($J72,5)="Sonde"),"",IF($H72&lt;&gt;"",IF(INDIRECT($H72&amp;"!"&amp;$W72&amp;($X72+AD$15+1))&lt;&gt;"",INDIRECT($H72&amp;"!"&amp;$W72&amp;($X72+AD$15+1)),""),""))</f>
        <v/>
      </c>
      <c r="AE72" s="296" t="str" cm="1">
        <f t="array" aca="1" ref="AE72" ca="1">IF(OR($J72="Pluviomètre",LEFT($J72,5)="Sonde"),"",IF($H72&lt;&gt;"",IF(INDIRECT($H72&amp;"!"&amp;$W72&amp;($X72+AE$15+1))&lt;&gt;"",INDIRECT($H72&amp;"!"&amp;$W72&amp;($X72+AE$15+1)),""),""))</f>
        <v/>
      </c>
      <c r="AF72" s="296" t="str" cm="1">
        <f t="array" aca="1" ref="AF72" ca="1">IF(OR($J72="Pluviomètre",LEFT($J72,5)="Sonde"),"",IF($H72&lt;&gt;"",IF(INDIRECT($H72&amp;"!"&amp;$W72&amp;($X72+AF$15+1))&lt;&gt;"",INDIRECT($H72&amp;"!"&amp;$W72&amp;($X72+AF$15+1)),""),""))</f>
        <v/>
      </c>
      <c r="AG72" s="296" t="str" cm="1">
        <f t="array" aca="1" ref="AG72" ca="1">IF(OR($J72="Pluviomètre",LEFT($J72,5)="Sonde"),"",IF($H72&lt;&gt;"",IF(INDIRECT($H72&amp;"!"&amp;$W72&amp;($X72+AG$15+1))&lt;&gt;"",INDIRECT($H72&amp;"!"&amp;$W72&amp;($X72+AG$15+1)),""),""))</f>
        <v/>
      </c>
      <c r="AH72" s="296" t="str" cm="1">
        <f t="array" aca="1" ref="AH72" ca="1">IF(OR($J72="Pluviomètre",LEFT($J72,5)="Sonde"),"",IF($H72&lt;&gt;"",IF(INDIRECT($H72&amp;"!"&amp;$W72&amp;($X72+AH$15+1))&lt;&gt;"",INDIRECT($H72&amp;"!"&amp;$W72&amp;($X72+AH$15+1)),""),""))</f>
        <v/>
      </c>
      <c r="AI72" s="294" t="str">
        <f t="shared" ca="1" si="9"/>
        <v/>
      </c>
      <c r="AJ72" s="148" t="str">
        <f t="shared" ca="1" si="10"/>
        <v/>
      </c>
      <c r="AK72" s="296" t="str" cm="1">
        <f t="array" aca="1" ref="AK72" ca="1">IF($H72&lt;&gt;"",IF(INDIRECT($H72&amp;"!"&amp;$AI72&amp;($AJ72+AK$15+1))&lt;&gt;"",INDIRECT($H72&amp;"!"&amp;$AI72&amp;($AJ72+AK$15+1)),""),"")</f>
        <v/>
      </c>
      <c r="AL72" s="296" t="str" cm="1">
        <f t="array" aca="1" ref="AL72" ca="1">IF($H72&lt;&gt;"",IF(INDIRECT($H72&amp;"!"&amp;$AI72&amp;($AJ72+AL$15+1))&lt;&gt;"",INDIRECT($H72&amp;"!"&amp;$AI72&amp;($AJ72+AL$15+1)),""),"")</f>
        <v/>
      </c>
      <c r="AM72" s="296" t="str" cm="1">
        <f t="array" aca="1" ref="AM72" ca="1">IF($H72&lt;&gt;"",IF(INDIRECT($H72&amp;"!"&amp;$AI72&amp;($AJ72+AM$15+1))&lt;&gt;"",INDIRECT($H72&amp;"!"&amp;$AI72&amp;($AJ72+AM$15+1)),""),"")</f>
        <v/>
      </c>
      <c r="AN72" s="296" t="str" cm="1">
        <f t="array" aca="1" ref="AN72" ca="1">IF($H72&lt;&gt;"",IF(INDIRECT($H72&amp;"!"&amp;$AI72&amp;($AJ72+AN$15+1))&lt;&gt;"",INDIRECT($H72&amp;"!"&amp;$AI72&amp;($AJ72+AN$15+1)),""),"")</f>
        <v/>
      </c>
      <c r="AO72" s="296" t="str" cm="1">
        <f t="array" aca="1" ref="AO72" ca="1">IF(LEFT($J72,5)="Sonde","",IF($H72&lt;&gt;"",IF(INDIRECT($H72&amp;"!"&amp;$AI72&amp;($AJ72+AO$15+1))&lt;&gt;"",INDIRECT($H72&amp;"!"&amp;$AI72&amp;($AJ72+AO$15+1)),""),""))</f>
        <v/>
      </c>
      <c r="AP72" s="296" t="str" cm="1">
        <f t="array" aca="1" ref="AP72" ca="1">IF(OR($J72="Pluviomètre",LEFT($J72,5)="Sonde"),"",IF($H72&lt;&gt;"",IF(INDIRECT($H72&amp;"!"&amp;$AI72&amp;($AJ72+AP$15+1))&lt;&gt;"",INDIRECT($H72&amp;"!"&amp;$AI72&amp;($AJ72+AP$15+1)),""),""))</f>
        <v/>
      </c>
      <c r="AQ72" s="296" t="str" cm="1">
        <f t="array" aca="1" ref="AQ72" ca="1">IF(OR($J72="Pluviomètre",LEFT($J72,5)="Sonde"),"",IF($H72&lt;&gt;"",IF(INDIRECT($H72&amp;"!"&amp;$AI72&amp;($AJ72+AQ$15+1))&lt;&gt;"",INDIRECT($H72&amp;"!"&amp;$AI72&amp;($AJ72+AQ$15+1)),""),""))</f>
        <v/>
      </c>
      <c r="AR72" s="296" t="str" cm="1">
        <f t="array" aca="1" ref="AR72" ca="1">IF(OR($J72="Pluviomètre",LEFT($J72,5)="Sonde"),"",IF($H72&lt;&gt;"",IF(INDIRECT($H72&amp;"!"&amp;$AI72&amp;($AJ72+AR$15+1))&lt;&gt;"",INDIRECT($H72&amp;"!"&amp;$AI72&amp;($AJ72+AR$15+1)),""),""))</f>
        <v/>
      </c>
      <c r="AS72" s="296" t="str" cm="1">
        <f t="array" aca="1" ref="AS72" ca="1">IF(OR($J72="Pluviomètre",LEFT($J72,5)="Sonde"),"",IF($H72&lt;&gt;"",IF(INDIRECT($H72&amp;"!"&amp;$AI72&amp;($AJ72+AS$15+1))&lt;&gt;"",INDIRECT($H72&amp;"!"&amp;$AI72&amp;($AJ72+AS$15+1)),""),""))</f>
        <v/>
      </c>
      <c r="AT72" s="296" t="str" cm="1">
        <f t="array" aca="1" ref="AT72" ca="1">IF(OR($J72="Pluviomètre",LEFT($J72,5)="Sonde"),"",IF($H72&lt;&gt;"",IF(INDIRECT($H72&amp;"!"&amp;$AI72&amp;($AJ72+AT$15+1))&lt;&gt;"",INDIRECT($H72&amp;"!"&amp;$AI72&amp;($AJ72+AT$15+1)),""),""))</f>
        <v/>
      </c>
      <c r="AU72" s="412" cm="1">
        <f t="array" aca="1" ref="AU72" ca="1">SUMPRODUCT((Y72:AH72&lt;&gt;"")*(Y72:AH72&lt;&gt;"Non contrôlé")*(Y72:AH72&lt;&gt;"Non applicable"))</f>
        <v>0</v>
      </c>
      <c r="AV72" s="414">
        <f t="shared" ca="1" si="11"/>
        <v>-1</v>
      </c>
    </row>
  </sheetData>
  <sheetProtection algorithmName="SHA-512" hashValue="YBrmkUI/2NfgoqTf0kIv9pyCF2tls3ZooD9KtiCPOAAQaeq8Jdkc9b3APCeEqkzZ7B8Cr2K1vIP3RFy2CpeWzQ==" saltValue="cXtT0AB9Gg60GlOStpbB9A==" spinCount="100000" sheet="1" objects="1" scenarios="1" formatRows="0"/>
  <mergeCells count="8">
    <mergeCell ref="W14:AH14"/>
    <mergeCell ref="AI14:AT14"/>
    <mergeCell ref="B3:F3"/>
    <mergeCell ref="A14:B14"/>
    <mergeCell ref="O14:P14"/>
    <mergeCell ref="Q14:R14"/>
    <mergeCell ref="S14:T14"/>
    <mergeCell ref="U14:V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4"/>
  <dimension ref="A1:AT72"/>
  <sheetViews>
    <sheetView workbookViewId="0">
      <selection activeCell="B5" sqref="B5:F5"/>
    </sheetView>
  </sheetViews>
  <sheetFormatPr baseColWidth="10" defaultRowHeight="12.7" x14ac:dyDescent="0.4"/>
  <cols>
    <col min="1" max="1" width="25.41015625" customWidth="1"/>
    <col min="2" max="2" width="19.41015625" customWidth="1"/>
    <col min="3" max="3" width="16.1171875" customWidth="1"/>
    <col min="4" max="4" width="12.87890625" customWidth="1"/>
    <col min="5" max="5" width="19.41015625" customWidth="1"/>
    <col min="6" max="7" width="12.29296875" customWidth="1"/>
    <col min="8" max="8" width="19.5859375" customWidth="1"/>
    <col min="9" max="9" width="6.703125" customWidth="1"/>
    <col min="10" max="10" width="19.1171875" customWidth="1"/>
    <col min="11" max="14" width="16" customWidth="1"/>
  </cols>
  <sheetData>
    <row r="1" spans="1:46" x14ac:dyDescent="0.4">
      <c r="A1" s="129" t="s">
        <v>322</v>
      </c>
      <c r="B1" s="1">
        <f>Descriptif!$AD$3</f>
        <v>34</v>
      </c>
      <c r="C1" s="1">
        <f>Descriptif!$AF$3</f>
        <v>34</v>
      </c>
      <c r="D1" s="1"/>
      <c r="E1" s="1"/>
      <c r="F1" s="1"/>
      <c r="G1" s="1"/>
    </row>
    <row r="2" spans="1:46" x14ac:dyDescent="0.4">
      <c r="A2" t="s">
        <v>398</v>
      </c>
      <c r="B2" s="1">
        <f>Descriptif!$AH$3</f>
        <v>43</v>
      </c>
      <c r="C2" s="1">
        <f>Descriptif!$AI$3</f>
        <v>43</v>
      </c>
      <c r="D2" s="1"/>
      <c r="E2" s="1"/>
      <c r="F2" s="1"/>
      <c r="G2" s="1"/>
    </row>
    <row r="3" spans="1:46" x14ac:dyDescent="0.4">
      <c r="A3" s="102" t="s">
        <v>295</v>
      </c>
      <c r="B3" s="1186" t="s">
        <v>167</v>
      </c>
      <c r="C3" s="1186"/>
      <c r="D3" s="1186"/>
      <c r="E3" s="1186"/>
      <c r="F3" s="1186"/>
      <c r="G3" s="315"/>
    </row>
    <row r="4" spans="1:46" x14ac:dyDescent="0.4">
      <c r="A4" s="82"/>
      <c r="B4" s="82" t="s">
        <v>296</v>
      </c>
      <c r="C4" s="82" t="s">
        <v>335</v>
      </c>
      <c r="D4" s="82" t="s">
        <v>336</v>
      </c>
      <c r="E4" s="82" t="s">
        <v>298</v>
      </c>
      <c r="F4" s="82" t="s">
        <v>299</v>
      </c>
      <c r="G4" s="1"/>
    </row>
    <row r="5" spans="1:46" x14ac:dyDescent="0.4">
      <c r="A5" s="82" t="s">
        <v>12</v>
      </c>
      <c r="B5" s="83" t="s">
        <v>521</v>
      </c>
      <c r="C5" s="83" t="s">
        <v>359</v>
      </c>
      <c r="D5" s="83" t="s">
        <v>360</v>
      </c>
      <c r="E5" s="83" t="s">
        <v>300</v>
      </c>
      <c r="F5" s="83" t="s">
        <v>361</v>
      </c>
      <c r="G5" s="316"/>
    </row>
    <row r="6" spans="1:46" x14ac:dyDescent="0.4">
      <c r="A6" s="82" t="str">
        <f>PARAM!$C4</f>
        <v>Débitmètre en charge</v>
      </c>
      <c r="B6" s="81" t="s">
        <v>357</v>
      </c>
      <c r="C6" s="81" t="s">
        <v>367</v>
      </c>
      <c r="D6" s="81" t="s">
        <v>368</v>
      </c>
      <c r="E6" s="81" t="s">
        <v>369</v>
      </c>
      <c r="F6" s="81" t="s">
        <v>370</v>
      </c>
    </row>
    <row r="7" spans="1:46" x14ac:dyDescent="0.4">
      <c r="A7" s="82" t="str">
        <f>PARAM!$C5</f>
        <v>Débitmètre gravitaire</v>
      </c>
      <c r="B7" s="81" t="s">
        <v>371</v>
      </c>
      <c r="C7" s="81" t="s">
        <v>490</v>
      </c>
      <c r="D7" s="81" t="s">
        <v>372</v>
      </c>
      <c r="E7" s="81" t="s">
        <v>297</v>
      </c>
      <c r="F7" s="81" t="s">
        <v>373</v>
      </c>
    </row>
    <row r="8" spans="1:46" x14ac:dyDescent="0.4">
      <c r="A8" s="82" t="str">
        <f>PARAM!$C6</f>
        <v>Préleveur</v>
      </c>
      <c r="B8" s="81" t="s">
        <v>362</v>
      </c>
      <c r="C8" s="81" t="s">
        <v>363</v>
      </c>
      <c r="D8" s="81" t="s">
        <v>364</v>
      </c>
      <c r="E8" s="81" t="s">
        <v>365</v>
      </c>
      <c r="F8" s="81" t="s">
        <v>366</v>
      </c>
    </row>
    <row r="9" spans="1:46" x14ac:dyDescent="0.4">
      <c r="A9" s="82" t="str">
        <f>PARAM!$C7</f>
        <v>Sonde de température</v>
      </c>
      <c r="B9" s="81" t="s">
        <v>358</v>
      </c>
      <c r="C9" s="81" t="s">
        <v>359</v>
      </c>
      <c r="D9" s="81" t="s">
        <v>360</v>
      </c>
      <c r="E9" s="81" t="s">
        <v>300</v>
      </c>
      <c r="F9" s="81" t="s">
        <v>361</v>
      </c>
    </row>
    <row r="10" spans="1:46" x14ac:dyDescent="0.4">
      <c r="C10" s="98"/>
    </row>
    <row r="11" spans="1:46" x14ac:dyDescent="0.4">
      <c r="C11" s="98"/>
    </row>
    <row r="12" spans="1:46" x14ac:dyDescent="0.4">
      <c r="B12">
        <f>$B$2+A42-1</f>
        <v>69</v>
      </c>
      <c r="C12" s="98"/>
    </row>
    <row r="13" spans="1:46" s="132" customFormat="1" ht="13" thickBot="1" x14ac:dyDescent="0.45">
      <c r="A13" s="131" t="s">
        <v>319</v>
      </c>
      <c r="C13" s="133"/>
    </row>
    <row r="14" spans="1:46" s="84" customFormat="1" ht="17.45" customHeight="1" x14ac:dyDescent="0.4">
      <c r="A14" s="1199" t="s">
        <v>312</v>
      </c>
      <c r="B14" s="1200"/>
      <c r="C14" s="312" t="s">
        <v>329</v>
      </c>
      <c r="D14" s="313"/>
      <c r="E14" s="313"/>
      <c r="F14" s="314"/>
      <c r="G14" s="313"/>
      <c r="H14" s="312" t="s">
        <v>330</v>
      </c>
      <c r="I14" s="313"/>
      <c r="J14" s="313"/>
      <c r="K14" s="313"/>
      <c r="L14" s="276"/>
      <c r="M14" s="276"/>
      <c r="N14" s="135" t="s">
        <v>339</v>
      </c>
      <c r="O14" s="1197" t="s">
        <v>29</v>
      </c>
      <c r="P14" s="1197"/>
      <c r="Q14" s="1197" t="s">
        <v>164</v>
      </c>
      <c r="R14" s="1197"/>
      <c r="S14" s="1197" t="s">
        <v>331</v>
      </c>
      <c r="T14" s="1197"/>
      <c r="U14" s="1197" t="s">
        <v>334</v>
      </c>
      <c r="V14" s="1198"/>
      <c r="W14" s="1196" t="s">
        <v>413</v>
      </c>
      <c r="X14" s="1197"/>
      <c r="Y14" s="1197"/>
      <c r="Z14" s="1197"/>
      <c r="AA14" s="1197"/>
      <c r="AB14" s="1197"/>
      <c r="AC14" s="1197"/>
      <c r="AD14" s="1197"/>
      <c r="AE14" s="1197"/>
      <c r="AF14" s="1197"/>
      <c r="AG14" s="1197"/>
      <c r="AH14" s="1198"/>
      <c r="AI14" s="1196" t="s">
        <v>412</v>
      </c>
      <c r="AJ14" s="1197"/>
      <c r="AK14" s="1197"/>
      <c r="AL14" s="1197"/>
      <c r="AM14" s="1197"/>
      <c r="AN14" s="1197"/>
      <c r="AO14" s="1197"/>
      <c r="AP14" s="1197"/>
      <c r="AQ14" s="1197"/>
      <c r="AR14" s="1197"/>
      <c r="AS14" s="1197"/>
      <c r="AT14" s="1198"/>
    </row>
    <row r="15" spans="1:46" s="129" customFormat="1" x14ac:dyDescent="0.4">
      <c r="A15" s="136" t="s">
        <v>327</v>
      </c>
      <c r="B15" s="137" t="s">
        <v>328</v>
      </c>
      <c r="C15" s="138" t="s">
        <v>374</v>
      </c>
      <c r="D15" s="130" t="s">
        <v>320</v>
      </c>
      <c r="E15" s="130" t="s">
        <v>375</v>
      </c>
      <c r="F15" s="242" t="s">
        <v>376</v>
      </c>
      <c r="G15" s="130" t="s">
        <v>435</v>
      </c>
      <c r="H15" s="138" t="s">
        <v>323</v>
      </c>
      <c r="I15" s="130" t="s">
        <v>324</v>
      </c>
      <c r="J15" s="130" t="s">
        <v>325</v>
      </c>
      <c r="K15" s="130" t="s">
        <v>326</v>
      </c>
      <c r="L15" s="130" t="s">
        <v>399</v>
      </c>
      <c r="M15" s="130" t="s">
        <v>436</v>
      </c>
      <c r="N15" s="143" t="s">
        <v>332</v>
      </c>
      <c r="O15" s="142" t="s">
        <v>332</v>
      </c>
      <c r="P15" s="142" t="s">
        <v>333</v>
      </c>
      <c r="Q15" s="142" t="s">
        <v>332</v>
      </c>
      <c r="R15" s="142" t="s">
        <v>333</v>
      </c>
      <c r="S15" s="142" t="s">
        <v>332</v>
      </c>
      <c r="T15" s="142" t="s">
        <v>333</v>
      </c>
      <c r="U15" s="142" t="s">
        <v>332</v>
      </c>
      <c r="V15" s="144" t="s">
        <v>333</v>
      </c>
      <c r="W15" s="291" t="s">
        <v>337</v>
      </c>
      <c r="X15" s="292" t="s">
        <v>338</v>
      </c>
      <c r="Y15" s="292">
        <v>1</v>
      </c>
      <c r="Z15" s="292">
        <v>2</v>
      </c>
      <c r="AA15" s="292">
        <v>3</v>
      </c>
      <c r="AB15" s="292">
        <v>4</v>
      </c>
      <c r="AC15" s="292">
        <v>5</v>
      </c>
      <c r="AD15" s="292">
        <v>6</v>
      </c>
      <c r="AE15" s="292">
        <v>7</v>
      </c>
      <c r="AF15" s="292">
        <v>8</v>
      </c>
      <c r="AG15" s="292">
        <v>9</v>
      </c>
      <c r="AH15" s="293">
        <v>10</v>
      </c>
      <c r="AI15" s="291" t="s">
        <v>337</v>
      </c>
      <c r="AJ15" s="292" t="s">
        <v>338</v>
      </c>
      <c r="AK15" s="292">
        <v>1</v>
      </c>
      <c r="AL15" s="292">
        <v>2</v>
      </c>
      <c r="AM15" s="292">
        <v>3</v>
      </c>
      <c r="AN15" s="292">
        <v>4</v>
      </c>
      <c r="AO15" s="292">
        <v>5</v>
      </c>
      <c r="AP15" s="292">
        <v>6</v>
      </c>
      <c r="AQ15" s="292">
        <v>7</v>
      </c>
      <c r="AR15" s="292">
        <v>8</v>
      </c>
      <c r="AS15" s="292">
        <v>9</v>
      </c>
      <c r="AT15" s="293">
        <v>10</v>
      </c>
    </row>
    <row r="16" spans="1:46" x14ac:dyDescent="0.4">
      <c r="A16" s="80">
        <v>1</v>
      </c>
      <c r="B16" s="134" t="b">
        <f>IF(OR(AND(($B$1+A16-1)&gt;=$B$1,($B$1+A16-1)&lt;$C$1),AND(($B$1+A16-1)&gt;=$B$2,($B$1+A16-1)&lt;$C$2)),TRUE,FALSE)</f>
        <v>0</v>
      </c>
      <c r="C16" s="139" t="str" cm="1">
        <f t="array" aca="1" ref="C16" ca="1">IF(
    AND(
        $B16,
        OR(
            INDIRECT("Descriptif!$M"&amp;($B$1+$A16-1))="Préleveur",
            LEFT(INDIRECT("Descriptif!$M"&amp;($B$1+$A16-1)),5)="Sonde",
            LEFT(INDIRECT("Descriptif!$M"&amp;($B$1+$A16-1)),10)="Débitmètre",
            LEFT(INDIRECT("Descriptif!$F"&amp;($B$1+$A16-1)),6)="PLUVIO"
        )
    ),
    INDIRECT("Descriptif!$"&amp;C$15&amp;($B$1 +$A16 -1)),
    ""
)</f>
        <v/>
      </c>
      <c r="D16" s="277" t="str" cm="1">
        <f t="array" aca="1" ref="D16" ca="1">IF(
    AND(
        $B16,
        OR(
            INDIRECT("Descriptif!$M"&amp;($B$1+$A16-1))="Préleveur",
            LEFT(INDIRECT("Descriptif!$M"&amp;($B$1+$A16-1)),5)="Sonde",
            LEFT(INDIRECT("Descriptif!$M"&amp;($B$1+$A16-1)),10)="Débitmètre",
            LEFT(INDIRECT("Descriptif!$F"&amp;($B$1+$A16-1)),6)="PLUVIO"
        )
    ),
    IF(
        LEFT(INDIRECT("Descriptif!$F"&amp;($B$1+$A16-1)),11)="PLUVIO_STEU",
        "A3",
        IF(
            LEFT(INDIRECT("Descriptif!$F"&amp;($B$1+$A16-1)),10)="PLUVIO_SCL",
            "A1",
            INDIRECT("Descriptif!$"&amp;D$15&amp;($B$1 +$A16 -1))
        )
    ),
    ""
)</f>
        <v/>
      </c>
      <c r="E16" s="277" t="str" cm="1">
        <f t="array" aca="1" ref="E16" ca="1">IF(
    AND(
        $B16,
        OR(
            INDIRECT("Descriptif!$M"&amp;($B$1+$A16-1))="Préleveur",
            LEFT(INDIRECT("Descriptif!$M"&amp;($B$1+$A16-1)),5)="Sonde",
            LEFT(INDIRECT("Descriptif!$M"&amp;($B$1+$A16-1)),10)="Débitmètre",
            LEFT(INDIRECT("Descriptif!$F"&amp;($B$1+$A16-1)),6)="PLUVIO"
        )
    ),
    IF(LEFT(INDIRECT("Descriptif!$F"&amp;($B$1+$A16-1)),6)="PLUVIO","Pluviomètre",INDIRECT("Descriptif!$"&amp;E$15&amp;($B$1 +$A16 -1))),
    ""
)</f>
        <v/>
      </c>
      <c r="F16" s="19" t="str" cm="1">
        <f t="array" aca="1" ref="F16" ca="1">IF(
    AND(
        $B16,
        OR(
            INDIRECT("Descriptif!$M"&amp;($B$1+$A16-1))="Préleveur",
            LEFT(INDIRECT("Descriptif!$M"&amp;($B$1+$A16-1)),5)="Sonde",
            LEFT(INDIRECT("Descriptif!$M"&amp;($B$1+$A16-1)),10)="Débitmètre",
            LEFT(INDIRECT("Descriptif!$F"&amp;($B$1+$A16-1)),6)="PLUVIO"
        )
    ),
    IF(LEFT(INDIRECT("Descriptif!$F"&amp;($B$1+$A16-1)),6)="PLUVIO","Pluviomètre",INDIRECT("Descriptif!$"&amp;F$15&amp;($B$1 +$A16 -1))),
    ""
)</f>
        <v/>
      </c>
      <c r="G16" s="19" t="str" cm="1">
        <f t="array" aca="1" ref="G16" ca="1">IF(
    AND(
        $B16,
        OR(
            INDIRECT("Descriptif!$M"&amp;($B$1+$A16-1))="Préleveur",
            LEFT(INDIRECT("Descriptif!$M"&amp;($B$1+$A16-1)),5)="Sonde",
            LEFT(INDIRECT("Descriptif!$M"&amp;($B$1+$A16-1)),10)="Débitmètre",
            LEFT(INDIRECT("Descriptif!$F"&amp;($B$1+$A16-1)),6)="PLUVIO"
        )
    ),
    IF(LEFT(INDIRECT("Descriptif!$F"&amp;($B$1+$A16-1)),6)="PLUVIO","Pluviomètre",INDIRECT("Descriptif!$"&amp;G$15&amp;($B$1 +$A16 -1))),
    ""
)</f>
        <v/>
      </c>
      <c r="H16" s="141" t="str" cm="1">
        <f t="array" aca="1" ref="H16" ca="1">IFERROR(INDEX($C$16:$C$116,SMALL(IF($C$16:$C$116&lt;&gt;"",ROW($C$16:$C$116)-ROW($C$16)+1),ROW(A1))),"")</f>
        <v/>
      </c>
      <c r="I16" s="140" t="str" cm="1">
        <f t="array" aca="1" ref="I16" ca="1">IFERROR(INDEX($D$16:$D$116,SMALL(IF($D$16:$D$116&lt;&gt;"",ROW($D$16:$D$116)-ROW($D$16)+1),ROW(A1))),"")</f>
        <v/>
      </c>
      <c r="J16" s="140" t="str" cm="1">
        <f t="array" aca="1" ref="J16" ca="1">IFERROR(INDEX($E$16:$E$116,SMALL(IF($E$16:$E$116&lt;&gt;"",ROW($E$16:$E$116)-ROW($E$16)+1),ROW(A1))),"")</f>
        <v/>
      </c>
      <c r="K16" s="140" t="str" cm="1">
        <f t="array" aca="1" ref="K16" ca="1">IFERROR(INDEX($F$16:$F$116,SMALL(IF($F$16:$F$116&lt;&gt;"",ROW($F$16:$F$116)-ROW($F$16)+1),ROW(A1))),"")</f>
        <v/>
      </c>
      <c r="L16" s="140" t="str">
        <f t="shared" ref="L16:L47" ca="1" si="0">H16</f>
        <v/>
      </c>
      <c r="M16" s="140" t="str" cm="1">
        <f t="array" aca="1" ref="M16" ca="1">IFERROR(INDEX($G$16:$G$116,SMALL(IF($G$16:$G$116&lt;&gt;"",ROW($G$16:$G$116)-ROW($G$16)+1),ROW(A1))),"")</f>
        <v/>
      </c>
      <c r="N16" s="145" t="str">
        <f t="shared" ref="N16:N47" ca="1" si="1">IF($J16&lt;&gt;"",VLOOKUP($J16,$A$5:$F$9,2,FALSE),"")</f>
        <v/>
      </c>
      <c r="O16" s="146" t="str">
        <f t="shared" ref="O16:O47" ca="1" si="2">IF($J16&lt;&gt;"",VLOOKUP($J16,$A$5:$F$9,3,FALSE),"")</f>
        <v/>
      </c>
      <c r="P16" s="146" t="str" cm="1">
        <f t="array" aca="1" ref="P16" ca="1">IF($J16&lt;&gt;"",IF(INDIRECT($H16&amp;"!"&amp;$O16)&lt;&gt;"",INDIRECT($H16&amp;"!"&amp;$O16),""),"")</f>
        <v/>
      </c>
      <c r="Q16" s="146" t="str">
        <f t="shared" ref="Q16:Q47" ca="1" si="3">IF($J16&lt;&gt;"",VLOOKUP($J16,$A$5:$F$9,4,FALSE),"")</f>
        <v/>
      </c>
      <c r="R16" s="146" t="str" cm="1">
        <f t="array" aca="1" ref="R16" ca="1">IF($J16&lt;&gt;"",IF(INDIRECT($H16&amp;"!"&amp;$Q16)&lt;&gt;"",INDIRECT($H16&amp;"!"&amp;$Q16),""),"")</f>
        <v/>
      </c>
      <c r="S16" s="146" t="str">
        <f t="shared" ref="S16:S47" ca="1" si="4">IF($J16&lt;&gt;"",VLOOKUP($J16,$A$5:$F$9,5,FALSE),"")</f>
        <v/>
      </c>
      <c r="T16" s="146" t="str" cm="1">
        <f t="array" aca="1" ref="T16" ca="1">IF($J16&lt;&gt;"",IF(INDIRECT($H16&amp;"!"&amp;$S16)&lt;&gt;"",INDIRECT($H16&amp;"!"&amp;$S16),""),"")</f>
        <v/>
      </c>
      <c r="U16" s="146" t="str">
        <f t="shared" ref="U16:U47" ca="1" si="5">IF($J16&lt;&gt;"",VLOOKUP($J16,$A$5:$F$9,6,FALSE),"")</f>
        <v/>
      </c>
      <c r="V16" s="147" t="str" cm="1">
        <f t="array" aca="1" ref="V16" ca="1">IF($J16&lt;&gt;"",IF(INDIRECT($H16&amp;"!"&amp;$U16)&lt;&gt;"",INDIRECT($H16&amp;"!"&amp;$U16),""),"")</f>
        <v/>
      </c>
      <c r="W16" s="294" t="str">
        <f ca="1">LEFT($Q16,1)</f>
        <v/>
      </c>
      <c r="X16" s="295" t="str">
        <f ca="1">RIGHT($N16,2)</f>
        <v/>
      </c>
      <c r="Y16" s="296" t="str" cm="1">
        <f t="array" aca="1" ref="Y16" ca="1">IF($H16&lt;&gt;"",IF(INDIRECT($H16&amp;"!"&amp;$W16&amp;($X16+Y$15+1))&lt;&gt;"",INDIRECT($H16&amp;"!"&amp;$W16&amp;($X16+Y$15+1)),""),"")</f>
        <v/>
      </c>
      <c r="Z16" s="296" t="str" cm="1">
        <f t="array" aca="1" ref="Z16" ca="1">IF($H16&lt;&gt;"",IF(INDIRECT($H16&amp;"!"&amp;$W16&amp;($X16+Z$15+1))&lt;&gt;"",INDIRECT($H16&amp;"!"&amp;$W16&amp;($X16+Z$15+1)),""),"")</f>
        <v/>
      </c>
      <c r="AA16" s="296" t="str" cm="1">
        <f t="array" aca="1" ref="AA16" ca="1">IF($H16&lt;&gt;"",IF(INDIRECT($H16&amp;"!"&amp;$W16&amp;($X16+AA$15+1))&lt;&gt;"",INDIRECT($H16&amp;"!"&amp;$W16&amp;($X16+AA$15+1)),""),"")</f>
        <v/>
      </c>
      <c r="AB16" s="296" t="str" cm="1">
        <f t="array" aca="1" ref="AB16" ca="1">IF($H16&lt;&gt;"",IF(INDIRECT($H16&amp;"!"&amp;$W16&amp;($X16+AB$15+1))&lt;&gt;"",INDIRECT($H16&amp;"!"&amp;$W16&amp;($X16+AB$15+1)),""),"")</f>
        <v/>
      </c>
      <c r="AC16" s="296" t="str" cm="1">
        <f t="array" aca="1" ref="AC16" ca="1">IF(LEFT($J16,5)="Sonde","",IF($H16&lt;&gt;"",IF(INDIRECT($H16&amp;"!"&amp;$W16&amp;($X16+AC$15+1))&lt;&gt;"",INDIRECT($H16&amp;"!"&amp;$W16&amp;($X16+AC$15+1)),""),""))</f>
        <v/>
      </c>
      <c r="AD16" s="296" t="str" cm="1">
        <f t="array" aca="1" ref="AD16" ca="1">IF(OR($J16="Pluviomètre",LEFT($J16,5)="Sonde"),"",IF($H16&lt;&gt;"",IF(INDIRECT($H16&amp;"!"&amp;$W16&amp;($X16+AD$15+1))&lt;&gt;"",INDIRECT($H16&amp;"!"&amp;$W16&amp;($X16+AD$15+1)),""),""))</f>
        <v/>
      </c>
      <c r="AE16" s="296" t="str" cm="1">
        <f t="array" aca="1" ref="AE16" ca="1">IF(OR($J16="Pluviomètre",LEFT($J16,5)="Sonde"),"",IF($H16&lt;&gt;"",IF(INDIRECT($H16&amp;"!"&amp;$W16&amp;($X16+AE$15+1))&lt;&gt;"",INDIRECT($H16&amp;"!"&amp;$W16&amp;($X16+AE$15+1)),""),""))</f>
        <v/>
      </c>
      <c r="AF16" s="296" t="str" cm="1">
        <f t="array" aca="1" ref="AF16" ca="1">IF(OR($J16="Pluviomètre",LEFT($J16,5)="Sonde"),"",IF($H16&lt;&gt;"",IF(INDIRECT($H16&amp;"!"&amp;$W16&amp;($X16+AF$15+1))&lt;&gt;"",INDIRECT($H16&amp;"!"&amp;$W16&amp;($X16+AF$15+1)),""),""))</f>
        <v/>
      </c>
      <c r="AG16" s="296" t="str" cm="1">
        <f t="array" aca="1" ref="AG16" ca="1">IF(OR($J16="Pluviomètre",LEFT($J16,5)="Sonde"),"",IF($H16&lt;&gt;"",IF(INDIRECT($H16&amp;"!"&amp;$W16&amp;($X16+AG$15+1))&lt;&gt;"",INDIRECT($H16&amp;"!"&amp;$W16&amp;($X16+AG$15+1)),""),""))</f>
        <v/>
      </c>
      <c r="AH16" s="296" t="str" cm="1">
        <f t="array" aca="1" ref="AH16" ca="1">IF(OR($J16="Pluviomètre",LEFT($J16,5)="Sonde"),"",IF($H16&lt;&gt;"",IF(INDIRECT($H16&amp;"!"&amp;$W16&amp;($X16+AH$15+1))&lt;&gt;"",INDIRECT($H16&amp;"!"&amp;$W16&amp;($X16+AH$15+1)),""),""))</f>
        <v/>
      </c>
      <c r="AI16" s="294" t="str">
        <f ca="1">LEFT($O16,1)</f>
        <v/>
      </c>
      <c r="AJ16" s="295" t="str">
        <f ca="1">RIGHT($N16,2)</f>
        <v/>
      </c>
      <c r="AK16" s="296" t="str" cm="1">
        <f t="array" aca="1" ref="AK16" ca="1">IF($H16&lt;&gt;"",IF(INDIRECT($H16&amp;"!"&amp;$AI16&amp;($AJ16+AK$15+1))&lt;&gt;"",INDIRECT($H16&amp;"!"&amp;$AI16&amp;($AJ16+AK$15+1)),""),"")</f>
        <v/>
      </c>
      <c r="AL16" s="296" t="str" cm="1">
        <f t="array" aca="1" ref="AL16" ca="1">IF($H16&lt;&gt;"",IF(INDIRECT($H16&amp;"!"&amp;$AI16&amp;($AJ16+AL$15+1))&lt;&gt;"",INDIRECT($H16&amp;"!"&amp;$AI16&amp;($AJ16+AL$15+1)),""),"")</f>
        <v/>
      </c>
      <c r="AM16" s="296" t="str" cm="1">
        <f t="array" aca="1" ref="AM16" ca="1">IF($H16&lt;&gt;"",IF(INDIRECT($H16&amp;"!"&amp;$AI16&amp;($AJ16+AM$15+1))&lt;&gt;"",INDIRECT($H16&amp;"!"&amp;$AI16&amp;($AJ16+AM$15+1)),""),"")</f>
        <v/>
      </c>
      <c r="AN16" s="296" t="str" cm="1">
        <f t="array" aca="1" ref="AN16" ca="1">IF($H16&lt;&gt;"",IF(INDIRECT($H16&amp;"!"&amp;$AI16&amp;($AJ16+AN$15+1))&lt;&gt;"",INDIRECT($H16&amp;"!"&amp;$AI16&amp;($AJ16+AN$15+1)),""),"")</f>
        <v/>
      </c>
      <c r="AO16" s="296" t="str" cm="1">
        <f t="array" aca="1" ref="AO16" ca="1">IF(LEFT($J16,5)="Sonde","",IF($H16&lt;&gt;"",IF(INDIRECT($H16&amp;"!"&amp;$AI16&amp;($AJ16+AO$15+1))&lt;&gt;"",INDIRECT($H16&amp;"!"&amp;$AI16&amp;($AJ16+AO$15+1)),""),""))</f>
        <v/>
      </c>
      <c r="AP16" s="296" t="str" cm="1">
        <f t="array" aca="1" ref="AP16" ca="1">IF(OR($J16="Pluviomètre",LEFT($J16,5)="Sonde"),"",IF($H16&lt;&gt;"",IF(INDIRECT($H16&amp;"!"&amp;$AI16&amp;($AJ16+AP$15+1))&lt;&gt;"",INDIRECT($H16&amp;"!"&amp;$AI16&amp;($AJ16+AP$15+1)),""),""))</f>
        <v/>
      </c>
      <c r="AQ16" s="296" t="str" cm="1">
        <f t="array" aca="1" ref="AQ16" ca="1">IF(OR($J16="Pluviomètre",LEFT($J16,5)="Sonde"),"",IF($H16&lt;&gt;"",IF(INDIRECT($H16&amp;"!"&amp;$AI16&amp;($AJ16+AQ$15+1))&lt;&gt;"",INDIRECT($H16&amp;"!"&amp;$AI16&amp;($AJ16+AQ$15+1)),""),""))</f>
        <v/>
      </c>
      <c r="AR16" s="296" t="str" cm="1">
        <f t="array" aca="1" ref="AR16" ca="1">IF(OR($J16="Pluviomètre",LEFT($J16,5)="Sonde"),"",IF($H16&lt;&gt;"",IF(INDIRECT($H16&amp;"!"&amp;$AI16&amp;($AJ16+AR$15+1))&lt;&gt;"",INDIRECT($H16&amp;"!"&amp;$AI16&amp;($AJ16+AR$15+1)),""),""))</f>
        <v/>
      </c>
      <c r="AS16" s="296" t="str" cm="1">
        <f t="array" aca="1" ref="AS16" ca="1">IF(OR($J16="Pluviomètre",LEFT($J16,5)="Sonde"),"",IF($H16&lt;&gt;"",IF(INDIRECT($H16&amp;"!"&amp;$AI16&amp;($AJ16+AS$15+1))&lt;&gt;"",INDIRECT($H16&amp;"!"&amp;$AI16&amp;($AJ16+AS$15+1)),""),""))</f>
        <v/>
      </c>
      <c r="AT16" s="296" t="str" cm="1">
        <f t="array" aca="1" ref="AT16" ca="1">IF(OR($J16="Pluviomètre",LEFT($J16,5)="Sonde"),"",IF($H16&lt;&gt;"",IF(INDIRECT($H16&amp;"!"&amp;$AI16&amp;($AJ16+AT$15+1))&lt;&gt;"",INDIRECT($H16&amp;"!"&amp;$AI16&amp;($AJ16+AT$15+1)),""),""))</f>
        <v/>
      </c>
    </row>
    <row r="17" spans="1:46" x14ac:dyDescent="0.4">
      <c r="A17" s="80">
        <v>2</v>
      </c>
      <c r="B17" s="134" t="b">
        <f t="shared" ref="B17:B72" si="6">IF(OR(AND(($B$1+A17-1)&gt;=$B$1,($B$1+A17-1)&lt;$C$1),AND(($B$1+A17-1)&gt;=$B$2,($B$1+A17-1)&lt;$C$2)),TRUE,FALSE)</f>
        <v>0</v>
      </c>
      <c r="C17" s="139" t="str" cm="1">
        <f t="array" aca="1" ref="C17" ca="1">IF(
    AND(
        $B17,
        OR(
            INDIRECT("Descriptif!$M"&amp;($B$1+$A17-1))="Préleveur",
            LEFT(INDIRECT("Descriptif!$M"&amp;($B$1+$A17-1)),5)="Sonde",
            LEFT(INDIRECT("Descriptif!$M"&amp;($B$1+$A17-1)),10)="Débitmètre",
            LEFT(INDIRECT("Descriptif!$F"&amp;($B$1+$A17-1)),6)="PLUVIO"
        )
    ),
    INDIRECT("Descriptif!$"&amp;C$15&amp;($B$1 +$A17 -1)),
    ""
)</f>
        <v/>
      </c>
      <c r="D17" s="277" t="str" cm="1">
        <f t="array" aca="1" ref="D17" ca="1">IF(
    AND(
        $B17,
        OR(
            INDIRECT("Descriptif!$M"&amp;($B$1+$A17-1))="Préleveur",
            LEFT(INDIRECT("Descriptif!$M"&amp;($B$1+$A17-1)),5)="Sonde",
            LEFT(INDIRECT("Descriptif!$M"&amp;($B$1+$A17-1)),10)="Débitmètre",
            LEFT(INDIRECT("Descriptif!$F"&amp;($B$1+$A17-1)),6)="PLUVIO"
        )
    ),
    IF(
        LEFT(INDIRECT("Descriptif!$F"&amp;($B$1+$A17-1)),11)="PLUVIO_STEU",
        "A3",
        IF(
            LEFT(INDIRECT("Descriptif!$F"&amp;($B$1+$A17-1)),10)="PLUVIO_SCL",
            "A1",
            INDIRECT("Descriptif!$"&amp;D$15&amp;($B$1 +$A17 -1))
        )
    ),
    ""
)</f>
        <v/>
      </c>
      <c r="E17" s="277" t="str" cm="1">
        <f t="array" aca="1" ref="E17" ca="1">IF(
    AND(
        $B17,
        OR(
            INDIRECT("Descriptif!$M"&amp;($B$1+$A17-1))="Préleveur",
            LEFT(INDIRECT("Descriptif!$M"&amp;($B$1+$A17-1)),5)="Sonde",
            LEFT(INDIRECT("Descriptif!$M"&amp;($B$1+$A17-1)),10)="Débitmètre",
            LEFT(INDIRECT("Descriptif!$F"&amp;($B$1+$A17-1)),6)="PLUVIO"
        )
    ),
    IF(LEFT(INDIRECT("Descriptif!$F"&amp;($B$1+$A17-1)),6)="PLUVIO","Pluviomètre",INDIRECT("Descriptif!$"&amp;E$15&amp;($B$1 +$A17 -1))),
    ""
)</f>
        <v/>
      </c>
      <c r="F17" s="19" t="str" cm="1">
        <f t="array" aca="1" ref="F17" ca="1">IF(
    AND(
        $B17,
        OR(
            INDIRECT("Descriptif!$M"&amp;($B$1+$A17-1))="Préleveur",
            LEFT(INDIRECT("Descriptif!$M"&amp;($B$1+$A17-1)),5)="Sonde",
            LEFT(INDIRECT("Descriptif!$M"&amp;($B$1+$A17-1)),10)="Débitmètre",
            LEFT(INDIRECT("Descriptif!$F"&amp;($B$1+$A17-1)),6)="PLUVIO"
        )
    ),
    IF(LEFT(INDIRECT("Descriptif!$F"&amp;($B$1+$A17-1)),6)="PLUVIO","Pluviomètre",INDIRECT("Descriptif!$"&amp;F$15&amp;($B$1 +$A17 -1))),
    ""
)</f>
        <v/>
      </c>
      <c r="G17" s="19" t="str" cm="1">
        <f t="array" aca="1" ref="G17" ca="1">IF(
    AND(
        $B17,
        OR(
            INDIRECT("Descriptif!$M"&amp;($B$1+$A17-1))="Préleveur",
            LEFT(INDIRECT("Descriptif!$M"&amp;($B$1+$A17-1)),5)="Sonde",
            LEFT(INDIRECT("Descriptif!$M"&amp;($B$1+$A17-1)),10)="Débitmètre",
            LEFT(INDIRECT("Descriptif!$F"&amp;($B$1+$A17-1)),6)="PLUVIO"
        )
    ),
    IF(LEFT(INDIRECT("Descriptif!$F"&amp;($B$1+$A17-1)),6)="PLUVIO","Pluviomètre",INDIRECT("Descriptif!$"&amp;G$15&amp;($B$1 +$A17 -1))),
    ""
)</f>
        <v/>
      </c>
      <c r="H17" s="141" t="str" cm="1">
        <f t="array" aca="1" ref="H17" ca="1">IFERROR(INDEX($C$16:$C$116,SMALL(IF($C$16:$C$116&lt;&gt;"",ROW($C$16:$C$116)-ROW($C$16)+1),ROW(A2))),"")</f>
        <v/>
      </c>
      <c r="I17" s="140" t="str" cm="1">
        <f t="array" aca="1" ref="I17" ca="1">IFERROR(INDEX($D$16:$D$116,SMALL(IF($D$16:$D$116&lt;&gt;"",ROW($D$16:$D$116)-ROW($D$16)+1),ROW(A2))),"")</f>
        <v/>
      </c>
      <c r="J17" s="140" t="str" cm="1">
        <f t="array" aca="1" ref="J17" ca="1">IFERROR(INDEX($E$16:$E$116,SMALL(IF($E$16:$E$116&lt;&gt;"",ROW($E$16:$E$116)-ROW($E$16)+1),ROW(A2))),"")</f>
        <v/>
      </c>
      <c r="K17" s="140" t="str" cm="1">
        <f t="array" aca="1" ref="K17" ca="1">IFERROR(INDEX($F$16:$F$116,SMALL(IF($F$16:$F$116&lt;&gt;"",ROW($F$16:$F$116)-ROW($F$16)+1),ROW(A2))),"")</f>
        <v/>
      </c>
      <c r="L17" s="140" t="str">
        <f t="shared" ca="1" si="0"/>
        <v/>
      </c>
      <c r="M17" s="140" t="str" cm="1">
        <f t="array" aca="1" ref="M17" ca="1">IFERROR(INDEX($G$16:$G$116,SMALL(IF($G$16:$G$116&lt;&gt;"",ROW($G$16:$G$116)-ROW($G$16)+1),ROW(A2))),"")</f>
        <v/>
      </c>
      <c r="N17" s="145" t="str">
        <f t="shared" ca="1" si="1"/>
        <v/>
      </c>
      <c r="O17" s="146" t="str">
        <f t="shared" ca="1" si="2"/>
        <v/>
      </c>
      <c r="P17" s="146" t="str" cm="1">
        <f t="array" aca="1" ref="P17" ca="1">IF($J17&lt;&gt;"",IF(INDIRECT($H17&amp;"!"&amp;$O17)&lt;&gt;"",INDIRECT($H17&amp;"!"&amp;$O17),""),"")</f>
        <v/>
      </c>
      <c r="Q17" s="146" t="str">
        <f t="shared" ca="1" si="3"/>
        <v/>
      </c>
      <c r="R17" s="146" t="str" cm="1">
        <f t="array" aca="1" ref="R17" ca="1">IF($J17&lt;&gt;"",IF(INDIRECT($H17&amp;"!"&amp;$Q17)&lt;&gt;"",INDIRECT($H17&amp;"!"&amp;$Q17),""),"")</f>
        <v/>
      </c>
      <c r="S17" s="146" t="str">
        <f t="shared" ca="1" si="4"/>
        <v/>
      </c>
      <c r="T17" s="146" t="str" cm="1">
        <f t="array" aca="1" ref="T17" ca="1">IF($J17&lt;&gt;"",IF(INDIRECT($H17&amp;"!"&amp;$S17)&lt;&gt;"",INDIRECT($H17&amp;"!"&amp;$S17),""),"")</f>
        <v/>
      </c>
      <c r="U17" s="146" t="str">
        <f t="shared" ca="1" si="5"/>
        <v/>
      </c>
      <c r="V17" s="147" t="str" cm="1">
        <f t="array" aca="1" ref="V17" ca="1">IF($J17&lt;&gt;"",IF(INDIRECT($H17&amp;"!"&amp;$U17)&lt;&gt;"",INDIRECT($H17&amp;"!"&amp;$U17),""),"")</f>
        <v/>
      </c>
      <c r="W17" s="294" t="str">
        <f t="shared" ref="W17:W72" ca="1" si="7">LEFT($Q17,1)</f>
        <v/>
      </c>
      <c r="X17" s="295" t="str">
        <f t="shared" ref="X17:X72" ca="1" si="8">RIGHT($N17,2)</f>
        <v/>
      </c>
      <c r="Y17" s="296" t="str" cm="1">
        <f t="array" aca="1" ref="Y17" ca="1">IF($H17&lt;&gt;"",IF(INDIRECT($H17&amp;"!"&amp;$W17&amp;($X17+Y$15+1))&lt;&gt;"",INDIRECT($H17&amp;"!"&amp;$W17&amp;($X17+Y$15+1)),""),"")</f>
        <v/>
      </c>
      <c r="Z17" s="296" t="str" cm="1">
        <f t="array" aca="1" ref="Z17" ca="1">IF($H17&lt;&gt;"",IF(INDIRECT($H17&amp;"!"&amp;$W17&amp;($X17+Z$15+1))&lt;&gt;"",INDIRECT($H17&amp;"!"&amp;$W17&amp;($X17+Z$15+1)),""),"")</f>
        <v/>
      </c>
      <c r="AA17" s="296" t="str" cm="1">
        <f t="array" aca="1" ref="AA17" ca="1">IF($H17&lt;&gt;"",IF(INDIRECT($H17&amp;"!"&amp;$W17&amp;($X17+AA$15+1))&lt;&gt;"",INDIRECT($H17&amp;"!"&amp;$W17&amp;($X17+AA$15+1)),""),"")</f>
        <v/>
      </c>
      <c r="AB17" s="296" t="str" cm="1">
        <f t="array" aca="1" ref="AB17" ca="1">IF($H17&lt;&gt;"",IF(INDIRECT($H17&amp;"!"&amp;$W17&amp;($X17+AB$15+1))&lt;&gt;"",INDIRECT($H17&amp;"!"&amp;$W17&amp;($X17+AB$15+1)),""),"")</f>
        <v/>
      </c>
      <c r="AC17" s="296" t="str" cm="1">
        <f t="array" aca="1" ref="AC17" ca="1">IF(LEFT($J17,5)="Sonde","",IF($H17&lt;&gt;"",IF(INDIRECT($H17&amp;"!"&amp;$W17&amp;($X17+AC$15+1))&lt;&gt;"",INDIRECT($H17&amp;"!"&amp;$W17&amp;($X17+AC$15+1)),""),""))</f>
        <v/>
      </c>
      <c r="AD17" s="296" t="str" cm="1">
        <f t="array" aca="1" ref="AD17" ca="1">IF(OR($J17="Pluviomètre",LEFT($J17,5)="Sonde"),"",IF($H17&lt;&gt;"",IF(INDIRECT($H17&amp;"!"&amp;$W17&amp;($X17+AD$15+1))&lt;&gt;"",INDIRECT($H17&amp;"!"&amp;$W17&amp;($X17+AD$15+1)),""),""))</f>
        <v/>
      </c>
      <c r="AE17" s="296" t="str" cm="1">
        <f t="array" aca="1" ref="AE17" ca="1">IF(OR($J17="Pluviomètre",LEFT($J17,5)="Sonde"),"",IF($H17&lt;&gt;"",IF(INDIRECT($H17&amp;"!"&amp;$W17&amp;($X17+AE$15+1))&lt;&gt;"",INDIRECT($H17&amp;"!"&amp;$W17&amp;($X17+AE$15+1)),""),""))</f>
        <v/>
      </c>
      <c r="AF17" s="296" t="str" cm="1">
        <f t="array" aca="1" ref="AF17" ca="1">IF(OR($J17="Pluviomètre",LEFT($J17,5)="Sonde"),"",IF($H17&lt;&gt;"",IF(INDIRECT($H17&amp;"!"&amp;$W17&amp;($X17+AF$15+1))&lt;&gt;"",INDIRECT($H17&amp;"!"&amp;$W17&amp;($X17+AF$15+1)),""),""))</f>
        <v/>
      </c>
      <c r="AG17" s="296" t="str" cm="1">
        <f t="array" aca="1" ref="AG17" ca="1">IF(OR($J17="Pluviomètre",LEFT($J17,5)="Sonde"),"",IF($H17&lt;&gt;"",IF(INDIRECT($H17&amp;"!"&amp;$W17&amp;($X17+AG$15+1))&lt;&gt;"",INDIRECT($H17&amp;"!"&amp;$W17&amp;($X17+AG$15+1)),""),""))</f>
        <v/>
      </c>
      <c r="AH17" s="296" t="str" cm="1">
        <f t="array" aca="1" ref="AH17" ca="1">IF(OR($J17="Pluviomètre",LEFT($J17,5)="Sonde"),"",IF($H17&lt;&gt;"",IF(INDIRECT($H17&amp;"!"&amp;$W17&amp;($X17+AH$15+1))&lt;&gt;"",INDIRECT($H17&amp;"!"&amp;$W17&amp;($X17+AH$15+1)),""),""))</f>
        <v/>
      </c>
      <c r="AI17" s="294" t="str">
        <f t="shared" ref="AI17:AI72" ca="1" si="9">LEFT($O17,1)</f>
        <v/>
      </c>
      <c r="AJ17" s="295" t="str">
        <f t="shared" ref="AJ17:AJ72" ca="1" si="10">RIGHT($N17,2)</f>
        <v/>
      </c>
      <c r="AK17" s="296" t="str" cm="1">
        <f t="array" aca="1" ref="AK17" ca="1">IF($H17&lt;&gt;"",IF(INDIRECT($H17&amp;"!"&amp;$AI17&amp;($AJ17+AK$15+1))&lt;&gt;"",INDIRECT($H17&amp;"!"&amp;$AI17&amp;($AJ17+AK$15+1)),""),"")</f>
        <v/>
      </c>
      <c r="AL17" s="296" t="str" cm="1">
        <f t="array" aca="1" ref="AL17" ca="1">IF($H17&lt;&gt;"",IF(INDIRECT($H17&amp;"!"&amp;$AI17&amp;($AJ17+AL$15+1))&lt;&gt;"",INDIRECT($H17&amp;"!"&amp;$AI17&amp;($AJ17+AL$15+1)),""),"")</f>
        <v/>
      </c>
      <c r="AM17" s="296" t="str" cm="1">
        <f t="array" aca="1" ref="AM17" ca="1">IF($H17&lt;&gt;"",IF(INDIRECT($H17&amp;"!"&amp;$AI17&amp;($AJ17+AM$15+1))&lt;&gt;"",INDIRECT($H17&amp;"!"&amp;$AI17&amp;($AJ17+AM$15+1)),""),"")</f>
        <v/>
      </c>
      <c r="AN17" s="296" t="str" cm="1">
        <f t="array" aca="1" ref="AN17" ca="1">IF($H17&lt;&gt;"",IF(INDIRECT($H17&amp;"!"&amp;$AI17&amp;($AJ17+AN$15+1))&lt;&gt;"",INDIRECT($H17&amp;"!"&amp;$AI17&amp;($AJ17+AN$15+1)),""),"")</f>
        <v/>
      </c>
      <c r="AO17" s="296" t="str" cm="1">
        <f t="array" aca="1" ref="AO17" ca="1">IF(LEFT($J17,5)="Sonde","",IF($H17&lt;&gt;"",IF(INDIRECT($H17&amp;"!"&amp;$AI17&amp;($AJ17+AO$15+1))&lt;&gt;"",INDIRECT($H17&amp;"!"&amp;$AI17&amp;($AJ17+AO$15+1)),""),""))</f>
        <v/>
      </c>
      <c r="AP17" s="296" t="str" cm="1">
        <f t="array" aca="1" ref="AP17" ca="1">IF(OR($J17="Pluviomètre",LEFT($J17,5)="Sonde"),"",IF($H17&lt;&gt;"",IF(INDIRECT($H17&amp;"!"&amp;$AI17&amp;($AJ17+AP$15+1))&lt;&gt;"",INDIRECT($H17&amp;"!"&amp;$AI17&amp;($AJ17+AP$15+1)),""),""))</f>
        <v/>
      </c>
      <c r="AQ17" s="296" t="str" cm="1">
        <f t="array" aca="1" ref="AQ17" ca="1">IF(OR($J17="Pluviomètre",LEFT($J17,5)="Sonde"),"",IF($H17&lt;&gt;"",IF(INDIRECT($H17&amp;"!"&amp;$AI17&amp;($AJ17+AQ$15+1))&lt;&gt;"",INDIRECT($H17&amp;"!"&amp;$AI17&amp;($AJ17+AQ$15+1)),""),""))</f>
        <v/>
      </c>
      <c r="AR17" s="296" t="str" cm="1">
        <f t="array" aca="1" ref="AR17" ca="1">IF(OR($J17="Pluviomètre",LEFT($J17,5)="Sonde"),"",IF($H17&lt;&gt;"",IF(INDIRECT($H17&amp;"!"&amp;$AI17&amp;($AJ17+AR$15+1))&lt;&gt;"",INDIRECT($H17&amp;"!"&amp;$AI17&amp;($AJ17+AR$15+1)),""),""))</f>
        <v/>
      </c>
      <c r="AS17" s="296" t="str" cm="1">
        <f t="array" aca="1" ref="AS17" ca="1">IF(OR($J17="Pluviomètre",LEFT($J17,5)="Sonde"),"",IF($H17&lt;&gt;"",IF(INDIRECT($H17&amp;"!"&amp;$AI17&amp;($AJ17+AS$15+1))&lt;&gt;"",INDIRECT($H17&amp;"!"&amp;$AI17&amp;($AJ17+AS$15+1)),""),""))</f>
        <v/>
      </c>
      <c r="AT17" s="296" t="str" cm="1">
        <f t="array" aca="1" ref="AT17" ca="1">IF(OR($J17="Pluviomètre",LEFT($J17,5)="Sonde"),"",IF($H17&lt;&gt;"",IF(INDIRECT($H17&amp;"!"&amp;$AI17&amp;($AJ17+AT$15+1))&lt;&gt;"",INDIRECT($H17&amp;"!"&amp;$AI17&amp;($AJ17+AT$15+1)),""),""))</f>
        <v/>
      </c>
    </row>
    <row r="18" spans="1:46" x14ac:dyDescent="0.4">
      <c r="A18" s="80">
        <v>3</v>
      </c>
      <c r="B18" s="134" t="b">
        <f t="shared" si="6"/>
        <v>0</v>
      </c>
      <c r="C18" s="139" t="str" cm="1">
        <f t="array" aca="1" ref="C18" ca="1">IF(
    AND(
        $B18,
        OR(
            INDIRECT("Descriptif!$M"&amp;($B$1+$A18-1))="Préleveur",
            LEFT(INDIRECT("Descriptif!$M"&amp;($B$1+$A18-1)),5)="Sonde",
            LEFT(INDIRECT("Descriptif!$M"&amp;($B$1+$A18-1)),10)="Débitmètre",
            LEFT(INDIRECT("Descriptif!$F"&amp;($B$1+$A18-1)),6)="PLUVIO"
        )
    ),
    INDIRECT("Descriptif!$"&amp;C$15&amp;($B$1 +$A18 -1)),
    ""
)</f>
        <v/>
      </c>
      <c r="D18" s="277" t="str" cm="1">
        <f t="array" aca="1" ref="D18" ca="1">IF(
    AND(
        $B18,
        OR(
            INDIRECT("Descriptif!$M"&amp;($B$1+$A18-1))="Préleveur",
            LEFT(INDIRECT("Descriptif!$M"&amp;($B$1+$A18-1)),5)="Sonde",
            LEFT(INDIRECT("Descriptif!$M"&amp;($B$1+$A18-1)),10)="Débitmètre",
            LEFT(INDIRECT("Descriptif!$F"&amp;($B$1+$A18-1)),6)="PLUVIO"
        )
    ),
    IF(
        LEFT(INDIRECT("Descriptif!$F"&amp;($B$1+$A18-1)),11)="PLUVIO_STEU",
        "A3",
        IF(
            LEFT(INDIRECT("Descriptif!$F"&amp;($B$1+$A18-1)),10)="PLUVIO_SCL",
            "A1",
            INDIRECT("Descriptif!$"&amp;D$15&amp;($B$1 +$A18 -1))
        )
    ),
    ""
)</f>
        <v/>
      </c>
      <c r="E18" s="277" t="str" cm="1">
        <f t="array" aca="1" ref="E18" ca="1">IF(
    AND(
        $B18,
        OR(
            INDIRECT("Descriptif!$M"&amp;($B$1+$A18-1))="Préleveur",
            LEFT(INDIRECT("Descriptif!$M"&amp;($B$1+$A18-1)),5)="Sonde",
            LEFT(INDIRECT("Descriptif!$M"&amp;($B$1+$A18-1)),10)="Débitmètre",
            LEFT(INDIRECT("Descriptif!$F"&amp;($B$1+$A18-1)),6)="PLUVIO"
        )
    ),
    IF(LEFT(INDIRECT("Descriptif!$F"&amp;($B$1+$A18-1)),6)="PLUVIO","Pluviomètre",INDIRECT("Descriptif!$"&amp;E$15&amp;($B$1 +$A18 -1))),
    ""
)</f>
        <v/>
      </c>
      <c r="F18" s="19" t="str" cm="1">
        <f t="array" aca="1" ref="F18" ca="1">IF(
    AND(
        $B18,
        OR(
            INDIRECT("Descriptif!$M"&amp;($B$1+$A18-1))="Préleveur",
            LEFT(INDIRECT("Descriptif!$M"&amp;($B$1+$A18-1)),5)="Sonde",
            LEFT(INDIRECT("Descriptif!$M"&amp;($B$1+$A18-1)),10)="Débitmètre",
            LEFT(INDIRECT("Descriptif!$F"&amp;($B$1+$A18-1)),6)="PLUVIO"
        )
    ),
    IF(LEFT(INDIRECT("Descriptif!$F"&amp;($B$1+$A18-1)),6)="PLUVIO","Pluviomètre",INDIRECT("Descriptif!$"&amp;F$15&amp;($B$1 +$A18 -1))),
    ""
)</f>
        <v/>
      </c>
      <c r="G18" s="19" t="str" cm="1">
        <f t="array" aca="1" ref="G18" ca="1">IF(
    AND(
        $B18,
        OR(
            INDIRECT("Descriptif!$M"&amp;($B$1+$A18-1))="Préleveur",
            LEFT(INDIRECT("Descriptif!$M"&amp;($B$1+$A18-1)),5)="Sonde",
            LEFT(INDIRECT("Descriptif!$M"&amp;($B$1+$A18-1)),10)="Débitmètre",
            LEFT(INDIRECT("Descriptif!$F"&amp;($B$1+$A18-1)),6)="PLUVIO"
        )
    ),
    IF(LEFT(INDIRECT("Descriptif!$F"&amp;($B$1+$A18-1)),6)="PLUVIO","Pluviomètre",INDIRECT("Descriptif!$"&amp;G$15&amp;($B$1 +$A18 -1))),
    ""
)</f>
        <v/>
      </c>
      <c r="H18" s="141" t="str" cm="1">
        <f t="array" aca="1" ref="H18" ca="1">IFERROR(INDEX($C$16:$C$116,SMALL(IF($C$16:$C$116&lt;&gt;"",ROW($C$16:$C$116)-ROW($C$16)+1),ROW(A3))),"")</f>
        <v/>
      </c>
      <c r="I18" s="140" t="str" cm="1">
        <f t="array" aca="1" ref="I18" ca="1">IFERROR(INDEX($D$16:$D$116,SMALL(IF($D$16:$D$116&lt;&gt;"",ROW($D$16:$D$116)-ROW($D$16)+1),ROW(A3))),"")</f>
        <v/>
      </c>
      <c r="J18" s="140" t="str" cm="1">
        <f t="array" aca="1" ref="J18" ca="1">IFERROR(INDEX($E$16:$E$116,SMALL(IF($E$16:$E$116&lt;&gt;"",ROW($E$16:$E$116)-ROW($E$16)+1),ROW(A3))),"")</f>
        <v/>
      </c>
      <c r="K18" s="140" t="str" cm="1">
        <f t="array" aca="1" ref="K18" ca="1">IFERROR(INDEX($F$16:$F$116,SMALL(IF($F$16:$F$116&lt;&gt;"",ROW($F$16:$F$116)-ROW($F$16)+1),ROW(A3))),"")</f>
        <v/>
      </c>
      <c r="L18" s="140" t="str">
        <f t="shared" ca="1" si="0"/>
        <v/>
      </c>
      <c r="M18" s="140" t="str" cm="1">
        <f t="array" aca="1" ref="M18" ca="1">IFERROR(INDEX($G$16:$G$116,SMALL(IF($G$16:$G$116&lt;&gt;"",ROW($G$16:$G$116)-ROW($G$16)+1),ROW(A3))),"")</f>
        <v/>
      </c>
      <c r="N18" s="145" t="str">
        <f t="shared" ca="1" si="1"/>
        <v/>
      </c>
      <c r="O18" s="146" t="str">
        <f t="shared" ca="1" si="2"/>
        <v/>
      </c>
      <c r="P18" s="146" t="str" cm="1">
        <f t="array" aca="1" ref="P18" ca="1">IF($J18&lt;&gt;"",IF(INDIRECT($H18&amp;"!"&amp;$O18)&lt;&gt;"",INDIRECT($H18&amp;"!"&amp;$O18),""),"")</f>
        <v/>
      </c>
      <c r="Q18" s="146" t="str">
        <f t="shared" ca="1" si="3"/>
        <v/>
      </c>
      <c r="R18" s="146" t="str" cm="1">
        <f t="array" aca="1" ref="R18" ca="1">IF($J18&lt;&gt;"",IF(INDIRECT($H18&amp;"!"&amp;$Q18)&lt;&gt;"",INDIRECT($H18&amp;"!"&amp;$Q18),""),"")</f>
        <v/>
      </c>
      <c r="S18" s="146" t="str">
        <f t="shared" ca="1" si="4"/>
        <v/>
      </c>
      <c r="T18" s="146" t="str" cm="1">
        <f t="array" aca="1" ref="T18" ca="1">IF($J18&lt;&gt;"",IF(INDIRECT($H18&amp;"!"&amp;$S18)&lt;&gt;"",INDIRECT($H18&amp;"!"&amp;$S18),""),"")</f>
        <v/>
      </c>
      <c r="U18" s="146" t="str">
        <f t="shared" ca="1" si="5"/>
        <v/>
      </c>
      <c r="V18" s="147" t="str" cm="1">
        <f t="array" aca="1" ref="V18" ca="1">IF($J18&lt;&gt;"",IF(INDIRECT($H18&amp;"!"&amp;$U18)&lt;&gt;"",INDIRECT($H18&amp;"!"&amp;$U18),""),"")</f>
        <v/>
      </c>
      <c r="W18" s="294" t="str">
        <f t="shared" ca="1" si="7"/>
        <v/>
      </c>
      <c r="X18" s="295" t="str">
        <f t="shared" ca="1" si="8"/>
        <v/>
      </c>
      <c r="Y18" s="296" t="str" cm="1">
        <f t="array" aca="1" ref="Y18" ca="1">IF($H18&lt;&gt;"",IF(INDIRECT($H18&amp;"!"&amp;$W18&amp;($X18+Y$15+1))&lt;&gt;"",INDIRECT($H18&amp;"!"&amp;$W18&amp;($X18+Y$15+1)),""),"")</f>
        <v/>
      </c>
      <c r="Z18" s="296" t="str" cm="1">
        <f t="array" aca="1" ref="Z18" ca="1">IF($H18&lt;&gt;"",IF(INDIRECT($H18&amp;"!"&amp;$W18&amp;($X18+Z$15+1))&lt;&gt;"",INDIRECT($H18&amp;"!"&amp;$W18&amp;($X18+Z$15+1)),""),"")</f>
        <v/>
      </c>
      <c r="AA18" s="296" t="str" cm="1">
        <f t="array" aca="1" ref="AA18" ca="1">IF($H18&lt;&gt;"",IF(INDIRECT($H18&amp;"!"&amp;$W18&amp;($X18+AA$15+1))&lt;&gt;"",INDIRECT($H18&amp;"!"&amp;$W18&amp;($X18+AA$15+1)),""),"")</f>
        <v/>
      </c>
      <c r="AB18" s="296" t="str" cm="1">
        <f t="array" aca="1" ref="AB18" ca="1">IF($H18&lt;&gt;"",IF(INDIRECT($H18&amp;"!"&amp;$W18&amp;($X18+AB$15+1))&lt;&gt;"",INDIRECT($H18&amp;"!"&amp;$W18&amp;($X18+AB$15+1)),""),"")</f>
        <v/>
      </c>
      <c r="AC18" s="296" t="str" cm="1">
        <f t="array" aca="1" ref="AC18" ca="1">IF(LEFT($J18,5)="Sonde","",IF($H18&lt;&gt;"",IF(INDIRECT($H18&amp;"!"&amp;$W18&amp;($X18+AC$15+1))&lt;&gt;"",INDIRECT($H18&amp;"!"&amp;$W18&amp;($X18+AC$15+1)),""),""))</f>
        <v/>
      </c>
      <c r="AD18" s="296" t="str" cm="1">
        <f t="array" aca="1" ref="AD18" ca="1">IF(OR($J18="Pluviomètre",LEFT($J18,5)="Sonde"),"",IF($H18&lt;&gt;"",IF(INDIRECT($H18&amp;"!"&amp;$W18&amp;($X18+AD$15+1))&lt;&gt;"",INDIRECT($H18&amp;"!"&amp;$W18&amp;($X18+AD$15+1)),""),""))</f>
        <v/>
      </c>
      <c r="AE18" s="296" t="str" cm="1">
        <f t="array" aca="1" ref="AE18" ca="1">IF(OR($J18="Pluviomètre",LEFT($J18,5)="Sonde"),"",IF($H18&lt;&gt;"",IF(INDIRECT($H18&amp;"!"&amp;$W18&amp;($X18+AE$15+1))&lt;&gt;"",INDIRECT($H18&amp;"!"&amp;$W18&amp;($X18+AE$15+1)),""),""))</f>
        <v/>
      </c>
      <c r="AF18" s="296" t="str" cm="1">
        <f t="array" aca="1" ref="AF18" ca="1">IF(OR($J18="Pluviomètre",LEFT($J18,5)="Sonde"),"",IF($H18&lt;&gt;"",IF(INDIRECT($H18&amp;"!"&amp;$W18&amp;($X18+AF$15+1))&lt;&gt;"",INDIRECT($H18&amp;"!"&amp;$W18&amp;($X18+AF$15+1)),""),""))</f>
        <v/>
      </c>
      <c r="AG18" s="296" t="str" cm="1">
        <f t="array" aca="1" ref="AG18" ca="1">IF(OR($J18="Pluviomètre",LEFT($J18,5)="Sonde"),"",IF($H18&lt;&gt;"",IF(INDIRECT($H18&amp;"!"&amp;$W18&amp;($X18+AG$15+1))&lt;&gt;"",INDIRECT($H18&amp;"!"&amp;$W18&amp;($X18+AG$15+1)),""),""))</f>
        <v/>
      </c>
      <c r="AH18" s="296" t="str" cm="1">
        <f t="array" aca="1" ref="AH18" ca="1">IF(OR($J18="Pluviomètre",LEFT($J18,5)="Sonde"),"",IF($H18&lt;&gt;"",IF(INDIRECT($H18&amp;"!"&amp;$W18&amp;($X18+AH$15+1))&lt;&gt;"",INDIRECT($H18&amp;"!"&amp;$W18&amp;($X18+AH$15+1)),""),""))</f>
        <v/>
      </c>
      <c r="AI18" s="294" t="str">
        <f t="shared" ca="1" si="9"/>
        <v/>
      </c>
      <c r="AJ18" s="295" t="str">
        <f t="shared" ca="1" si="10"/>
        <v/>
      </c>
      <c r="AK18" s="296" t="str" cm="1">
        <f t="array" aca="1" ref="AK18" ca="1">IF($H18&lt;&gt;"",IF(INDIRECT($H18&amp;"!"&amp;$AI18&amp;($AJ18+AK$15+1))&lt;&gt;"",INDIRECT($H18&amp;"!"&amp;$AI18&amp;($AJ18+AK$15+1)),""),"")</f>
        <v/>
      </c>
      <c r="AL18" s="296" t="str" cm="1">
        <f t="array" aca="1" ref="AL18" ca="1">IF($H18&lt;&gt;"",IF(INDIRECT($H18&amp;"!"&amp;$AI18&amp;($AJ18+AL$15+1))&lt;&gt;"",INDIRECT($H18&amp;"!"&amp;$AI18&amp;($AJ18+AL$15+1)),""),"")</f>
        <v/>
      </c>
      <c r="AM18" s="296" t="str" cm="1">
        <f t="array" aca="1" ref="AM18" ca="1">IF($H18&lt;&gt;"",IF(INDIRECT($H18&amp;"!"&amp;$AI18&amp;($AJ18+AM$15+1))&lt;&gt;"",INDIRECT($H18&amp;"!"&amp;$AI18&amp;($AJ18+AM$15+1)),""),"")</f>
        <v/>
      </c>
      <c r="AN18" s="296" t="str" cm="1">
        <f t="array" aca="1" ref="AN18" ca="1">IF($H18&lt;&gt;"",IF(INDIRECT($H18&amp;"!"&amp;$AI18&amp;($AJ18+AN$15+1))&lt;&gt;"",INDIRECT($H18&amp;"!"&amp;$AI18&amp;($AJ18+AN$15+1)),""),"")</f>
        <v/>
      </c>
      <c r="AO18" s="296" t="str" cm="1">
        <f t="array" aca="1" ref="AO18" ca="1">IF(LEFT($J18,5)="Sonde","",IF($H18&lt;&gt;"",IF(INDIRECT($H18&amp;"!"&amp;$AI18&amp;($AJ18+AO$15+1))&lt;&gt;"",INDIRECT($H18&amp;"!"&amp;$AI18&amp;($AJ18+AO$15+1)),""),""))</f>
        <v/>
      </c>
      <c r="AP18" s="296" t="str" cm="1">
        <f t="array" aca="1" ref="AP18" ca="1">IF(OR($J18="Pluviomètre",LEFT($J18,5)="Sonde"),"",IF($H18&lt;&gt;"",IF(INDIRECT($H18&amp;"!"&amp;$AI18&amp;($AJ18+AP$15+1))&lt;&gt;"",INDIRECT($H18&amp;"!"&amp;$AI18&amp;($AJ18+AP$15+1)),""),""))</f>
        <v/>
      </c>
      <c r="AQ18" s="296" t="str" cm="1">
        <f t="array" aca="1" ref="AQ18" ca="1">IF(OR($J18="Pluviomètre",LEFT($J18,5)="Sonde"),"",IF($H18&lt;&gt;"",IF(INDIRECT($H18&amp;"!"&amp;$AI18&amp;($AJ18+AQ$15+1))&lt;&gt;"",INDIRECT($H18&amp;"!"&amp;$AI18&amp;($AJ18+AQ$15+1)),""),""))</f>
        <v/>
      </c>
      <c r="AR18" s="296" t="str" cm="1">
        <f t="array" aca="1" ref="AR18" ca="1">IF(OR($J18="Pluviomètre",LEFT($J18,5)="Sonde"),"",IF($H18&lt;&gt;"",IF(INDIRECT($H18&amp;"!"&amp;$AI18&amp;($AJ18+AR$15+1))&lt;&gt;"",INDIRECT($H18&amp;"!"&amp;$AI18&amp;($AJ18+AR$15+1)),""),""))</f>
        <v/>
      </c>
      <c r="AS18" s="296" t="str" cm="1">
        <f t="array" aca="1" ref="AS18" ca="1">IF(OR($J18="Pluviomètre",LEFT($J18,5)="Sonde"),"",IF($H18&lt;&gt;"",IF(INDIRECT($H18&amp;"!"&amp;$AI18&amp;($AJ18+AS$15+1))&lt;&gt;"",INDIRECT($H18&amp;"!"&amp;$AI18&amp;($AJ18+AS$15+1)),""),""))</f>
        <v/>
      </c>
      <c r="AT18" s="296" t="str" cm="1">
        <f t="array" aca="1" ref="AT18" ca="1">IF(OR($J18="Pluviomètre",LEFT($J18,5)="Sonde"),"",IF($H18&lt;&gt;"",IF(INDIRECT($H18&amp;"!"&amp;$AI18&amp;($AJ18+AT$15+1))&lt;&gt;"",INDIRECT($H18&amp;"!"&amp;$AI18&amp;($AJ18+AT$15+1)),""),""))</f>
        <v/>
      </c>
    </row>
    <row r="19" spans="1:46" x14ac:dyDescent="0.4">
      <c r="A19" s="80">
        <v>4</v>
      </c>
      <c r="B19" s="134" t="b">
        <f t="shared" si="6"/>
        <v>0</v>
      </c>
      <c r="C19" s="139" t="str" cm="1">
        <f t="array" aca="1" ref="C19" ca="1">IF(
    AND(
        $B19,
        OR(
            INDIRECT("Descriptif!$M"&amp;($B$1+$A19-1))="Préleveur",
            LEFT(INDIRECT("Descriptif!$M"&amp;($B$1+$A19-1)),5)="Sonde",
            LEFT(INDIRECT("Descriptif!$M"&amp;($B$1+$A19-1)),10)="Débitmètre",
            LEFT(INDIRECT("Descriptif!$F"&amp;($B$1+$A19-1)),6)="PLUVIO"
        )
    ),
    INDIRECT("Descriptif!$"&amp;C$15&amp;($B$1 +$A19 -1)),
    ""
)</f>
        <v/>
      </c>
      <c r="D19" s="277" t="str" cm="1">
        <f t="array" aca="1" ref="D19" ca="1">IF(
    AND(
        $B19,
        OR(
            INDIRECT("Descriptif!$M"&amp;($B$1+$A19-1))="Préleveur",
            LEFT(INDIRECT("Descriptif!$M"&amp;($B$1+$A19-1)),5)="Sonde",
            LEFT(INDIRECT("Descriptif!$M"&amp;($B$1+$A19-1)),10)="Débitmètre",
            LEFT(INDIRECT("Descriptif!$F"&amp;($B$1+$A19-1)),6)="PLUVIO"
        )
    ),
    IF(
        LEFT(INDIRECT("Descriptif!$F"&amp;($B$1+$A19-1)),11)="PLUVIO_STEU",
        "A3",
        IF(
            LEFT(INDIRECT("Descriptif!$F"&amp;($B$1+$A19-1)),10)="PLUVIO_SCL",
            "A1",
            INDIRECT("Descriptif!$"&amp;D$15&amp;($B$1 +$A19 -1))
        )
    ),
    ""
)</f>
        <v/>
      </c>
      <c r="E19" s="277" t="str" cm="1">
        <f t="array" aca="1" ref="E19" ca="1">IF(
    AND(
        $B19,
        OR(
            INDIRECT("Descriptif!$M"&amp;($B$1+$A19-1))="Préleveur",
            LEFT(INDIRECT("Descriptif!$M"&amp;($B$1+$A19-1)),5)="Sonde",
            LEFT(INDIRECT("Descriptif!$M"&amp;($B$1+$A19-1)),10)="Débitmètre",
            LEFT(INDIRECT("Descriptif!$F"&amp;($B$1+$A19-1)),6)="PLUVIO"
        )
    ),
    IF(LEFT(INDIRECT("Descriptif!$F"&amp;($B$1+$A19-1)),6)="PLUVIO","Pluviomètre",INDIRECT("Descriptif!$"&amp;E$15&amp;($B$1 +$A19 -1))),
    ""
)</f>
        <v/>
      </c>
      <c r="F19" s="19" t="str" cm="1">
        <f t="array" aca="1" ref="F19" ca="1">IF(
    AND(
        $B19,
        OR(
            INDIRECT("Descriptif!$M"&amp;($B$1+$A19-1))="Préleveur",
            LEFT(INDIRECT("Descriptif!$M"&amp;($B$1+$A19-1)),5)="Sonde",
            LEFT(INDIRECT("Descriptif!$M"&amp;($B$1+$A19-1)),10)="Débitmètre",
            LEFT(INDIRECT("Descriptif!$F"&amp;($B$1+$A19-1)),6)="PLUVIO"
        )
    ),
    IF(LEFT(INDIRECT("Descriptif!$F"&amp;($B$1+$A19-1)),6)="PLUVIO","Pluviomètre",INDIRECT("Descriptif!$"&amp;F$15&amp;($B$1 +$A19 -1))),
    ""
)</f>
        <v/>
      </c>
      <c r="G19" s="19" t="str" cm="1">
        <f t="array" aca="1" ref="G19" ca="1">IF(
    AND(
        $B19,
        OR(
            INDIRECT("Descriptif!$M"&amp;($B$1+$A19-1))="Préleveur",
            LEFT(INDIRECT("Descriptif!$M"&amp;($B$1+$A19-1)),5)="Sonde",
            LEFT(INDIRECT("Descriptif!$M"&amp;($B$1+$A19-1)),10)="Débitmètre",
            LEFT(INDIRECT("Descriptif!$F"&amp;($B$1+$A19-1)),6)="PLUVIO"
        )
    ),
    IF(LEFT(INDIRECT("Descriptif!$F"&amp;($B$1+$A19-1)),6)="PLUVIO","Pluviomètre",INDIRECT("Descriptif!$"&amp;G$15&amp;($B$1 +$A19 -1))),
    ""
)</f>
        <v/>
      </c>
      <c r="H19" s="141" t="str" cm="1">
        <f t="array" aca="1" ref="H19" ca="1">IFERROR(INDEX($C$16:$C$116,SMALL(IF($C$16:$C$116&lt;&gt;"",ROW($C$16:$C$116)-ROW($C$16)+1),ROW(A4))),"")</f>
        <v/>
      </c>
      <c r="I19" s="140" t="str" cm="1">
        <f t="array" aca="1" ref="I19" ca="1">IFERROR(INDEX($D$16:$D$116,SMALL(IF($D$16:$D$116&lt;&gt;"",ROW($D$16:$D$116)-ROW($D$16)+1),ROW(A4))),"")</f>
        <v/>
      </c>
      <c r="J19" s="140" t="str" cm="1">
        <f t="array" aca="1" ref="J19" ca="1">IFERROR(INDEX($E$16:$E$116,SMALL(IF($E$16:$E$116&lt;&gt;"",ROW($E$16:$E$116)-ROW($E$16)+1),ROW(A4))),"")</f>
        <v/>
      </c>
      <c r="K19" s="140" t="str" cm="1">
        <f t="array" aca="1" ref="K19" ca="1">IFERROR(INDEX($F$16:$F$116,SMALL(IF($F$16:$F$116&lt;&gt;"",ROW($F$16:$F$116)-ROW($F$16)+1),ROW(A4))),"")</f>
        <v/>
      </c>
      <c r="L19" s="140" t="str">
        <f t="shared" ca="1" si="0"/>
        <v/>
      </c>
      <c r="M19" s="140" t="str" cm="1">
        <f t="array" aca="1" ref="M19" ca="1">IFERROR(INDEX($G$16:$G$116,SMALL(IF($G$16:$G$116&lt;&gt;"",ROW($G$16:$G$116)-ROW($G$16)+1),ROW(A4))),"")</f>
        <v/>
      </c>
      <c r="N19" s="145" t="str">
        <f t="shared" ca="1" si="1"/>
        <v/>
      </c>
      <c r="O19" s="146" t="str">
        <f t="shared" ca="1" si="2"/>
        <v/>
      </c>
      <c r="P19" s="146" t="str" cm="1">
        <f t="array" aca="1" ref="P19" ca="1">IF($J19&lt;&gt;"",IF(INDIRECT($H19&amp;"!"&amp;$O19)&lt;&gt;"",INDIRECT($H19&amp;"!"&amp;$O19),""),"")</f>
        <v/>
      </c>
      <c r="Q19" s="146" t="str">
        <f t="shared" ca="1" si="3"/>
        <v/>
      </c>
      <c r="R19" s="146" t="str" cm="1">
        <f t="array" aca="1" ref="R19" ca="1">IF($J19&lt;&gt;"",IF(INDIRECT($H19&amp;"!"&amp;$Q19)&lt;&gt;"",INDIRECT($H19&amp;"!"&amp;$Q19),""),"")</f>
        <v/>
      </c>
      <c r="S19" s="146" t="str">
        <f t="shared" ca="1" si="4"/>
        <v/>
      </c>
      <c r="T19" s="146" t="str" cm="1">
        <f t="array" aca="1" ref="T19" ca="1">IF($J19&lt;&gt;"",IF(INDIRECT($H19&amp;"!"&amp;$S19)&lt;&gt;"",INDIRECT($H19&amp;"!"&amp;$S19),""),"")</f>
        <v/>
      </c>
      <c r="U19" s="146" t="str">
        <f t="shared" ca="1" si="5"/>
        <v/>
      </c>
      <c r="V19" s="147" t="str" cm="1">
        <f t="array" aca="1" ref="V19" ca="1">IF($J19&lt;&gt;"",IF(INDIRECT($H19&amp;"!"&amp;$U19)&lt;&gt;"",INDIRECT($H19&amp;"!"&amp;$U19),""),"")</f>
        <v/>
      </c>
      <c r="W19" s="294" t="str">
        <f t="shared" ca="1" si="7"/>
        <v/>
      </c>
      <c r="X19" s="295" t="str">
        <f t="shared" ca="1" si="8"/>
        <v/>
      </c>
      <c r="Y19" s="296" t="str" cm="1">
        <f t="array" aca="1" ref="Y19" ca="1">IF($H19&lt;&gt;"",IF(INDIRECT($H19&amp;"!"&amp;$W19&amp;($X19+Y$15+1))&lt;&gt;"",INDIRECT($H19&amp;"!"&amp;$W19&amp;($X19+Y$15+1)),""),"")</f>
        <v/>
      </c>
      <c r="Z19" s="296" t="str" cm="1">
        <f t="array" aca="1" ref="Z19" ca="1">IF($H19&lt;&gt;"",IF(INDIRECT($H19&amp;"!"&amp;$W19&amp;($X19+Z$15+1))&lt;&gt;"",INDIRECT($H19&amp;"!"&amp;$W19&amp;($X19+Z$15+1)),""),"")</f>
        <v/>
      </c>
      <c r="AA19" s="296" t="str" cm="1">
        <f t="array" aca="1" ref="AA19" ca="1">IF($H19&lt;&gt;"",IF(INDIRECT($H19&amp;"!"&amp;$W19&amp;($X19+AA$15+1))&lt;&gt;"",INDIRECT($H19&amp;"!"&amp;$W19&amp;($X19+AA$15+1)),""),"")</f>
        <v/>
      </c>
      <c r="AB19" s="296" t="str" cm="1">
        <f t="array" aca="1" ref="AB19" ca="1">IF($H19&lt;&gt;"",IF(INDIRECT($H19&amp;"!"&amp;$W19&amp;($X19+AB$15+1))&lt;&gt;"",INDIRECT($H19&amp;"!"&amp;$W19&amp;($X19+AB$15+1)),""),"")</f>
        <v/>
      </c>
      <c r="AC19" s="296" t="str" cm="1">
        <f t="array" aca="1" ref="AC19" ca="1">IF(LEFT($J19,5)="Sonde","",IF($H19&lt;&gt;"",IF(INDIRECT($H19&amp;"!"&amp;$W19&amp;($X19+AC$15+1))&lt;&gt;"",INDIRECT($H19&amp;"!"&amp;$W19&amp;($X19+AC$15+1)),""),""))</f>
        <v/>
      </c>
      <c r="AD19" s="296" t="str" cm="1">
        <f t="array" aca="1" ref="AD19" ca="1">IF(OR($J19="Pluviomètre",LEFT($J19,5)="Sonde"),"",IF($H19&lt;&gt;"",IF(INDIRECT($H19&amp;"!"&amp;$W19&amp;($X19+AD$15+1))&lt;&gt;"",INDIRECT($H19&amp;"!"&amp;$W19&amp;($X19+AD$15+1)),""),""))</f>
        <v/>
      </c>
      <c r="AE19" s="296" t="str" cm="1">
        <f t="array" aca="1" ref="AE19" ca="1">IF(OR($J19="Pluviomètre",LEFT($J19,5)="Sonde"),"",IF($H19&lt;&gt;"",IF(INDIRECT($H19&amp;"!"&amp;$W19&amp;($X19+AE$15+1))&lt;&gt;"",INDIRECT($H19&amp;"!"&amp;$W19&amp;($X19+AE$15+1)),""),""))</f>
        <v/>
      </c>
      <c r="AF19" s="296" t="str" cm="1">
        <f t="array" aca="1" ref="AF19" ca="1">IF(OR($J19="Pluviomètre",LEFT($J19,5)="Sonde"),"",IF($H19&lt;&gt;"",IF(INDIRECT($H19&amp;"!"&amp;$W19&amp;($X19+AF$15+1))&lt;&gt;"",INDIRECT($H19&amp;"!"&amp;$W19&amp;($X19+AF$15+1)),""),""))</f>
        <v/>
      </c>
      <c r="AG19" s="296" t="str" cm="1">
        <f t="array" aca="1" ref="AG19" ca="1">IF(OR($J19="Pluviomètre",LEFT($J19,5)="Sonde"),"",IF($H19&lt;&gt;"",IF(INDIRECT($H19&amp;"!"&amp;$W19&amp;($X19+AG$15+1))&lt;&gt;"",INDIRECT($H19&amp;"!"&amp;$W19&amp;($X19+AG$15+1)),""),""))</f>
        <v/>
      </c>
      <c r="AH19" s="296" t="str" cm="1">
        <f t="array" aca="1" ref="AH19" ca="1">IF(OR($J19="Pluviomètre",LEFT($J19,5)="Sonde"),"",IF($H19&lt;&gt;"",IF(INDIRECT($H19&amp;"!"&amp;$W19&amp;($X19+AH$15+1))&lt;&gt;"",INDIRECT($H19&amp;"!"&amp;$W19&amp;($X19+AH$15+1)),""),""))</f>
        <v/>
      </c>
      <c r="AI19" s="294" t="str">
        <f t="shared" ca="1" si="9"/>
        <v/>
      </c>
      <c r="AJ19" s="295" t="str">
        <f t="shared" ca="1" si="10"/>
        <v/>
      </c>
      <c r="AK19" s="296" t="str" cm="1">
        <f t="array" aca="1" ref="AK19" ca="1">IF($H19&lt;&gt;"",IF(INDIRECT($H19&amp;"!"&amp;$AI19&amp;($AJ19+AK$15+1))&lt;&gt;"",INDIRECT($H19&amp;"!"&amp;$AI19&amp;($AJ19+AK$15+1)),""),"")</f>
        <v/>
      </c>
      <c r="AL19" s="296" t="str" cm="1">
        <f t="array" aca="1" ref="AL19" ca="1">IF($H19&lt;&gt;"",IF(INDIRECT($H19&amp;"!"&amp;$AI19&amp;($AJ19+AL$15+1))&lt;&gt;"",INDIRECT($H19&amp;"!"&amp;$AI19&amp;($AJ19+AL$15+1)),""),"")</f>
        <v/>
      </c>
      <c r="AM19" s="296" t="str" cm="1">
        <f t="array" aca="1" ref="AM19" ca="1">IF($H19&lt;&gt;"",IF(INDIRECT($H19&amp;"!"&amp;$AI19&amp;($AJ19+AM$15+1))&lt;&gt;"",INDIRECT($H19&amp;"!"&amp;$AI19&amp;($AJ19+AM$15+1)),""),"")</f>
        <v/>
      </c>
      <c r="AN19" s="296" t="str" cm="1">
        <f t="array" aca="1" ref="AN19" ca="1">IF($H19&lt;&gt;"",IF(INDIRECT($H19&amp;"!"&amp;$AI19&amp;($AJ19+AN$15+1))&lt;&gt;"",INDIRECT($H19&amp;"!"&amp;$AI19&amp;($AJ19+AN$15+1)),""),"")</f>
        <v/>
      </c>
      <c r="AO19" s="296" t="str" cm="1">
        <f t="array" aca="1" ref="AO19" ca="1">IF(LEFT($J19,5)="Sonde","",IF($H19&lt;&gt;"",IF(INDIRECT($H19&amp;"!"&amp;$AI19&amp;($AJ19+AO$15+1))&lt;&gt;"",INDIRECT($H19&amp;"!"&amp;$AI19&amp;($AJ19+AO$15+1)),""),""))</f>
        <v/>
      </c>
      <c r="AP19" s="296" t="str" cm="1">
        <f t="array" aca="1" ref="AP19" ca="1">IF(OR($J19="Pluviomètre",LEFT($J19,5)="Sonde"),"",IF($H19&lt;&gt;"",IF(INDIRECT($H19&amp;"!"&amp;$AI19&amp;($AJ19+AP$15+1))&lt;&gt;"",INDIRECT($H19&amp;"!"&amp;$AI19&amp;($AJ19+AP$15+1)),""),""))</f>
        <v/>
      </c>
      <c r="AQ19" s="296" t="str" cm="1">
        <f t="array" aca="1" ref="AQ19" ca="1">IF(OR($J19="Pluviomètre",LEFT($J19,5)="Sonde"),"",IF($H19&lt;&gt;"",IF(INDIRECT($H19&amp;"!"&amp;$AI19&amp;($AJ19+AQ$15+1))&lt;&gt;"",INDIRECT($H19&amp;"!"&amp;$AI19&amp;($AJ19+AQ$15+1)),""),""))</f>
        <v/>
      </c>
      <c r="AR19" s="296" t="str" cm="1">
        <f t="array" aca="1" ref="AR19" ca="1">IF(OR($J19="Pluviomètre",LEFT($J19,5)="Sonde"),"",IF($H19&lt;&gt;"",IF(INDIRECT($H19&amp;"!"&amp;$AI19&amp;($AJ19+AR$15+1))&lt;&gt;"",INDIRECT($H19&amp;"!"&amp;$AI19&amp;($AJ19+AR$15+1)),""),""))</f>
        <v/>
      </c>
      <c r="AS19" s="296" t="str" cm="1">
        <f t="array" aca="1" ref="AS19" ca="1">IF(OR($J19="Pluviomètre",LEFT($J19,5)="Sonde"),"",IF($H19&lt;&gt;"",IF(INDIRECT($H19&amp;"!"&amp;$AI19&amp;($AJ19+AS$15+1))&lt;&gt;"",INDIRECT($H19&amp;"!"&amp;$AI19&amp;($AJ19+AS$15+1)),""),""))</f>
        <v/>
      </c>
      <c r="AT19" s="296" t="str" cm="1">
        <f t="array" aca="1" ref="AT19" ca="1">IF(OR($J19="Pluviomètre",LEFT($J19,5)="Sonde"),"",IF($H19&lt;&gt;"",IF(INDIRECT($H19&amp;"!"&amp;$AI19&amp;($AJ19+AT$15+1))&lt;&gt;"",INDIRECT($H19&amp;"!"&amp;$AI19&amp;($AJ19+AT$15+1)),""),""))</f>
        <v/>
      </c>
    </row>
    <row r="20" spans="1:46" x14ac:dyDescent="0.4">
      <c r="A20" s="80">
        <v>5</v>
      </c>
      <c r="B20" s="134" t="b">
        <f t="shared" si="6"/>
        <v>0</v>
      </c>
      <c r="C20" s="139" t="str" cm="1">
        <f t="array" aca="1" ref="C20" ca="1">IF(
    AND(
        $B20,
        OR(
            INDIRECT("Descriptif!$M"&amp;($B$1+$A20-1))="Préleveur",
            LEFT(INDIRECT("Descriptif!$M"&amp;($B$1+$A20-1)),5)="Sonde",
            LEFT(INDIRECT("Descriptif!$M"&amp;($B$1+$A20-1)),10)="Débitmètre",
            LEFT(INDIRECT("Descriptif!$F"&amp;($B$1+$A20-1)),6)="PLUVIO"
        )
    ),
    INDIRECT("Descriptif!$"&amp;C$15&amp;($B$1 +$A20 -1)),
    ""
)</f>
        <v/>
      </c>
      <c r="D20" s="277" t="str" cm="1">
        <f t="array" aca="1" ref="D20" ca="1">IF(
    AND(
        $B20,
        OR(
            INDIRECT("Descriptif!$M"&amp;($B$1+$A20-1))="Préleveur",
            LEFT(INDIRECT("Descriptif!$M"&amp;($B$1+$A20-1)),5)="Sonde",
            LEFT(INDIRECT("Descriptif!$M"&amp;($B$1+$A20-1)),10)="Débitmètre",
            LEFT(INDIRECT("Descriptif!$F"&amp;($B$1+$A20-1)),6)="PLUVIO"
        )
    ),
    IF(
        LEFT(INDIRECT("Descriptif!$F"&amp;($B$1+$A20-1)),11)="PLUVIO_STEU",
        "A3",
        IF(
            LEFT(INDIRECT("Descriptif!$F"&amp;($B$1+$A20-1)),10)="PLUVIO_SCL",
            "A1",
            INDIRECT("Descriptif!$"&amp;D$15&amp;($B$1 +$A20 -1))
        )
    ),
    ""
)</f>
        <v/>
      </c>
      <c r="E20" s="277" t="str" cm="1">
        <f t="array" aca="1" ref="E20" ca="1">IF(
    AND(
        $B20,
        OR(
            INDIRECT("Descriptif!$M"&amp;($B$1+$A20-1))="Préleveur",
            LEFT(INDIRECT("Descriptif!$M"&amp;($B$1+$A20-1)),5)="Sonde",
            LEFT(INDIRECT("Descriptif!$M"&amp;($B$1+$A20-1)),10)="Débitmètre",
            LEFT(INDIRECT("Descriptif!$F"&amp;($B$1+$A20-1)),6)="PLUVIO"
        )
    ),
    IF(LEFT(INDIRECT("Descriptif!$F"&amp;($B$1+$A20-1)),6)="PLUVIO","Pluviomètre",INDIRECT("Descriptif!$"&amp;E$15&amp;($B$1 +$A20 -1))),
    ""
)</f>
        <v/>
      </c>
      <c r="F20" s="19" t="str" cm="1">
        <f t="array" aca="1" ref="F20" ca="1">IF(
    AND(
        $B20,
        OR(
            INDIRECT("Descriptif!$M"&amp;($B$1+$A20-1))="Préleveur",
            LEFT(INDIRECT("Descriptif!$M"&amp;($B$1+$A20-1)),5)="Sonde",
            LEFT(INDIRECT("Descriptif!$M"&amp;($B$1+$A20-1)),10)="Débitmètre",
            LEFT(INDIRECT("Descriptif!$F"&amp;($B$1+$A20-1)),6)="PLUVIO"
        )
    ),
    IF(LEFT(INDIRECT("Descriptif!$F"&amp;($B$1+$A20-1)),6)="PLUVIO","Pluviomètre",INDIRECT("Descriptif!$"&amp;F$15&amp;($B$1 +$A20 -1))),
    ""
)</f>
        <v/>
      </c>
      <c r="G20" s="19" t="str" cm="1">
        <f t="array" aca="1" ref="G20" ca="1">IF(
    AND(
        $B20,
        OR(
            INDIRECT("Descriptif!$M"&amp;($B$1+$A20-1))="Préleveur",
            LEFT(INDIRECT("Descriptif!$M"&amp;($B$1+$A20-1)),5)="Sonde",
            LEFT(INDIRECT("Descriptif!$M"&amp;($B$1+$A20-1)),10)="Débitmètre",
            LEFT(INDIRECT("Descriptif!$F"&amp;($B$1+$A20-1)),6)="PLUVIO"
        )
    ),
    IF(LEFT(INDIRECT("Descriptif!$F"&amp;($B$1+$A20-1)),6)="PLUVIO","Pluviomètre",INDIRECT("Descriptif!$"&amp;G$15&amp;($B$1 +$A20 -1))),
    ""
)</f>
        <v/>
      </c>
      <c r="H20" s="141" t="str" cm="1">
        <f t="array" aca="1" ref="H20" ca="1">IFERROR(INDEX($C$16:$C$116,SMALL(IF($C$16:$C$116&lt;&gt;"",ROW($C$16:$C$116)-ROW($C$16)+1),ROW(A5))),"")</f>
        <v/>
      </c>
      <c r="I20" s="140" t="str" cm="1">
        <f t="array" aca="1" ref="I20" ca="1">IFERROR(INDEX($D$16:$D$116,SMALL(IF($D$16:$D$116&lt;&gt;"",ROW($D$16:$D$116)-ROW($D$16)+1),ROW(A5))),"")</f>
        <v/>
      </c>
      <c r="J20" s="140" t="str" cm="1">
        <f t="array" aca="1" ref="J20" ca="1">IFERROR(INDEX($E$16:$E$116,SMALL(IF($E$16:$E$116&lt;&gt;"",ROW($E$16:$E$116)-ROW($E$16)+1),ROW(A5))),"")</f>
        <v/>
      </c>
      <c r="K20" s="140" t="str" cm="1">
        <f t="array" aca="1" ref="K20" ca="1">IFERROR(INDEX($F$16:$F$116,SMALL(IF($F$16:$F$116&lt;&gt;"",ROW($F$16:$F$116)-ROW($F$16)+1),ROW(A5))),"")</f>
        <v/>
      </c>
      <c r="L20" s="140" t="str">
        <f t="shared" ca="1" si="0"/>
        <v/>
      </c>
      <c r="M20" s="140" t="str" cm="1">
        <f t="array" aca="1" ref="M20" ca="1">IFERROR(INDEX($G$16:$G$116,SMALL(IF($G$16:$G$116&lt;&gt;"",ROW($G$16:$G$116)-ROW($G$16)+1),ROW(A5))),"")</f>
        <v/>
      </c>
      <c r="N20" s="145" t="str">
        <f t="shared" ca="1" si="1"/>
        <v/>
      </c>
      <c r="O20" s="146" t="str">
        <f t="shared" ca="1" si="2"/>
        <v/>
      </c>
      <c r="P20" s="146" t="str" cm="1">
        <f t="array" aca="1" ref="P20" ca="1">IF($J20&lt;&gt;"",IF(INDIRECT($H20&amp;"!"&amp;$O20)&lt;&gt;"",INDIRECT($H20&amp;"!"&amp;$O20),""),"")</f>
        <v/>
      </c>
      <c r="Q20" s="146" t="str">
        <f t="shared" ca="1" si="3"/>
        <v/>
      </c>
      <c r="R20" s="146" t="str" cm="1">
        <f t="array" aca="1" ref="R20" ca="1">IF($J20&lt;&gt;"",IF(INDIRECT($H20&amp;"!"&amp;$Q20)&lt;&gt;"",INDIRECT($H20&amp;"!"&amp;$Q20),""),"")</f>
        <v/>
      </c>
      <c r="S20" s="146" t="str">
        <f t="shared" ca="1" si="4"/>
        <v/>
      </c>
      <c r="T20" s="146" t="str" cm="1">
        <f t="array" aca="1" ref="T20" ca="1">IF($J20&lt;&gt;"",IF(INDIRECT($H20&amp;"!"&amp;$S20)&lt;&gt;"",INDIRECT($H20&amp;"!"&amp;$S20),""),"")</f>
        <v/>
      </c>
      <c r="U20" s="146" t="str">
        <f t="shared" ca="1" si="5"/>
        <v/>
      </c>
      <c r="V20" s="147" t="str" cm="1">
        <f t="array" aca="1" ref="V20" ca="1">IF($J20&lt;&gt;"",IF(INDIRECT($H20&amp;"!"&amp;$U20)&lt;&gt;"",INDIRECT($H20&amp;"!"&amp;$U20),""),"")</f>
        <v/>
      </c>
      <c r="W20" s="294" t="str">
        <f t="shared" ca="1" si="7"/>
        <v/>
      </c>
      <c r="X20" s="295" t="str">
        <f t="shared" ca="1" si="8"/>
        <v/>
      </c>
      <c r="Y20" s="296" t="str" cm="1">
        <f t="array" aca="1" ref="Y20" ca="1">IF($H20&lt;&gt;"",IF(INDIRECT($H20&amp;"!"&amp;$W20&amp;($X20+Y$15+1))&lt;&gt;"",INDIRECT($H20&amp;"!"&amp;$W20&amp;($X20+Y$15+1)),""),"")</f>
        <v/>
      </c>
      <c r="Z20" s="296" t="str" cm="1">
        <f t="array" aca="1" ref="Z20" ca="1">IF($H20&lt;&gt;"",IF(INDIRECT($H20&amp;"!"&amp;$W20&amp;($X20+Z$15+1))&lt;&gt;"",INDIRECT($H20&amp;"!"&amp;$W20&amp;($X20+Z$15+1)),""),"")</f>
        <v/>
      </c>
      <c r="AA20" s="296" t="str" cm="1">
        <f t="array" aca="1" ref="AA20" ca="1">IF($H20&lt;&gt;"",IF(INDIRECT($H20&amp;"!"&amp;$W20&amp;($X20+AA$15+1))&lt;&gt;"",INDIRECT($H20&amp;"!"&amp;$W20&amp;($X20+AA$15+1)),""),"")</f>
        <v/>
      </c>
      <c r="AB20" s="296" t="str" cm="1">
        <f t="array" aca="1" ref="AB20" ca="1">IF($H20&lt;&gt;"",IF(INDIRECT($H20&amp;"!"&amp;$W20&amp;($X20+AB$15+1))&lt;&gt;"",INDIRECT($H20&amp;"!"&amp;$W20&amp;($X20+AB$15+1)),""),"")</f>
        <v/>
      </c>
      <c r="AC20" s="296" t="str" cm="1">
        <f t="array" aca="1" ref="AC20" ca="1">IF(LEFT($J20,5)="Sonde","",IF($H20&lt;&gt;"",IF(INDIRECT($H20&amp;"!"&amp;$W20&amp;($X20+AC$15+1))&lt;&gt;"",INDIRECT($H20&amp;"!"&amp;$W20&amp;($X20+AC$15+1)),""),""))</f>
        <v/>
      </c>
      <c r="AD20" s="296" t="str" cm="1">
        <f t="array" aca="1" ref="AD20" ca="1">IF(OR($J20="Pluviomètre",LEFT($J20,5)="Sonde"),"",IF($H20&lt;&gt;"",IF(INDIRECT($H20&amp;"!"&amp;$W20&amp;($X20+AD$15+1))&lt;&gt;"",INDIRECT($H20&amp;"!"&amp;$W20&amp;($X20+AD$15+1)),""),""))</f>
        <v/>
      </c>
      <c r="AE20" s="296" t="str" cm="1">
        <f t="array" aca="1" ref="AE20" ca="1">IF(OR($J20="Pluviomètre",LEFT($J20,5)="Sonde"),"",IF($H20&lt;&gt;"",IF(INDIRECT($H20&amp;"!"&amp;$W20&amp;($X20+AE$15+1))&lt;&gt;"",INDIRECT($H20&amp;"!"&amp;$W20&amp;($X20+AE$15+1)),""),""))</f>
        <v/>
      </c>
      <c r="AF20" s="296" t="str" cm="1">
        <f t="array" aca="1" ref="AF20" ca="1">IF(OR($J20="Pluviomètre",LEFT($J20,5)="Sonde"),"",IF($H20&lt;&gt;"",IF(INDIRECT($H20&amp;"!"&amp;$W20&amp;($X20+AF$15+1))&lt;&gt;"",INDIRECT($H20&amp;"!"&amp;$W20&amp;($X20+AF$15+1)),""),""))</f>
        <v/>
      </c>
      <c r="AG20" s="296" t="str" cm="1">
        <f t="array" aca="1" ref="AG20" ca="1">IF(OR($J20="Pluviomètre",LEFT($J20,5)="Sonde"),"",IF($H20&lt;&gt;"",IF(INDIRECT($H20&amp;"!"&amp;$W20&amp;($X20+AG$15+1))&lt;&gt;"",INDIRECT($H20&amp;"!"&amp;$W20&amp;($X20+AG$15+1)),""),""))</f>
        <v/>
      </c>
      <c r="AH20" s="296" t="str" cm="1">
        <f t="array" aca="1" ref="AH20" ca="1">IF(OR($J20="Pluviomètre",LEFT($J20,5)="Sonde"),"",IF($H20&lt;&gt;"",IF(INDIRECT($H20&amp;"!"&amp;$W20&amp;($X20+AH$15+1))&lt;&gt;"",INDIRECT($H20&amp;"!"&amp;$W20&amp;($X20+AH$15+1)),""),""))</f>
        <v/>
      </c>
      <c r="AI20" s="294" t="str">
        <f t="shared" ca="1" si="9"/>
        <v/>
      </c>
      <c r="AJ20" s="295" t="str">
        <f t="shared" ca="1" si="10"/>
        <v/>
      </c>
      <c r="AK20" s="296" t="str" cm="1">
        <f t="array" aca="1" ref="AK20" ca="1">IF($H20&lt;&gt;"",IF(INDIRECT($H20&amp;"!"&amp;$AI20&amp;($AJ20+AK$15+1))&lt;&gt;"",INDIRECT($H20&amp;"!"&amp;$AI20&amp;($AJ20+AK$15+1)),""),"")</f>
        <v/>
      </c>
      <c r="AL20" s="296" t="str" cm="1">
        <f t="array" aca="1" ref="AL20" ca="1">IF($H20&lt;&gt;"",IF(INDIRECT($H20&amp;"!"&amp;$AI20&amp;($AJ20+AL$15+1))&lt;&gt;"",INDIRECT($H20&amp;"!"&amp;$AI20&amp;($AJ20+AL$15+1)),""),"")</f>
        <v/>
      </c>
      <c r="AM20" s="296" t="str" cm="1">
        <f t="array" aca="1" ref="AM20" ca="1">IF($H20&lt;&gt;"",IF(INDIRECT($H20&amp;"!"&amp;$AI20&amp;($AJ20+AM$15+1))&lt;&gt;"",INDIRECT($H20&amp;"!"&amp;$AI20&amp;($AJ20+AM$15+1)),""),"")</f>
        <v/>
      </c>
      <c r="AN20" s="296" t="str" cm="1">
        <f t="array" aca="1" ref="AN20" ca="1">IF($H20&lt;&gt;"",IF(INDIRECT($H20&amp;"!"&amp;$AI20&amp;($AJ20+AN$15+1))&lt;&gt;"",INDIRECT($H20&amp;"!"&amp;$AI20&amp;($AJ20+AN$15+1)),""),"")</f>
        <v/>
      </c>
      <c r="AO20" s="296" t="str" cm="1">
        <f t="array" aca="1" ref="AO20" ca="1">IF(LEFT($J20,5)="Sonde","",IF($H20&lt;&gt;"",IF(INDIRECT($H20&amp;"!"&amp;$AI20&amp;($AJ20+AO$15+1))&lt;&gt;"",INDIRECT($H20&amp;"!"&amp;$AI20&amp;($AJ20+AO$15+1)),""),""))</f>
        <v/>
      </c>
      <c r="AP20" s="296" t="str" cm="1">
        <f t="array" aca="1" ref="AP20" ca="1">IF(OR($J20="Pluviomètre",LEFT($J20,5)="Sonde"),"",IF($H20&lt;&gt;"",IF(INDIRECT($H20&amp;"!"&amp;$AI20&amp;($AJ20+AP$15+1))&lt;&gt;"",INDIRECT($H20&amp;"!"&amp;$AI20&amp;($AJ20+AP$15+1)),""),""))</f>
        <v/>
      </c>
      <c r="AQ20" s="296" t="str" cm="1">
        <f t="array" aca="1" ref="AQ20" ca="1">IF(OR($J20="Pluviomètre",LEFT($J20,5)="Sonde"),"",IF($H20&lt;&gt;"",IF(INDIRECT($H20&amp;"!"&amp;$AI20&amp;($AJ20+AQ$15+1))&lt;&gt;"",INDIRECT($H20&amp;"!"&amp;$AI20&amp;($AJ20+AQ$15+1)),""),""))</f>
        <v/>
      </c>
      <c r="AR20" s="296" t="str" cm="1">
        <f t="array" aca="1" ref="AR20" ca="1">IF(OR($J20="Pluviomètre",LEFT($J20,5)="Sonde"),"",IF($H20&lt;&gt;"",IF(INDIRECT($H20&amp;"!"&amp;$AI20&amp;($AJ20+AR$15+1))&lt;&gt;"",INDIRECT($H20&amp;"!"&amp;$AI20&amp;($AJ20+AR$15+1)),""),""))</f>
        <v/>
      </c>
      <c r="AS20" s="296" t="str" cm="1">
        <f t="array" aca="1" ref="AS20" ca="1">IF(OR($J20="Pluviomètre",LEFT($J20,5)="Sonde"),"",IF($H20&lt;&gt;"",IF(INDIRECT($H20&amp;"!"&amp;$AI20&amp;($AJ20+AS$15+1))&lt;&gt;"",INDIRECT($H20&amp;"!"&amp;$AI20&amp;($AJ20+AS$15+1)),""),""))</f>
        <v/>
      </c>
      <c r="AT20" s="296" t="str" cm="1">
        <f t="array" aca="1" ref="AT20" ca="1">IF(OR($J20="Pluviomètre",LEFT($J20,5)="Sonde"),"",IF($H20&lt;&gt;"",IF(INDIRECT($H20&amp;"!"&amp;$AI20&amp;($AJ20+AT$15+1))&lt;&gt;"",INDIRECT($H20&amp;"!"&amp;$AI20&amp;($AJ20+AT$15+1)),""),""))</f>
        <v/>
      </c>
    </row>
    <row r="21" spans="1:46" x14ac:dyDescent="0.4">
      <c r="A21" s="80">
        <v>6</v>
      </c>
      <c r="B21" s="134" t="b">
        <f t="shared" si="6"/>
        <v>0</v>
      </c>
      <c r="C21" s="139" t="str" cm="1">
        <f t="array" aca="1" ref="C21" ca="1">IF(
    AND(
        $B21,
        OR(
            INDIRECT("Descriptif!$M"&amp;($B$1+$A21-1))="Préleveur",
            LEFT(INDIRECT("Descriptif!$M"&amp;($B$1+$A21-1)),5)="Sonde",
            LEFT(INDIRECT("Descriptif!$M"&amp;($B$1+$A21-1)),10)="Débitmètre",
            LEFT(INDIRECT("Descriptif!$F"&amp;($B$1+$A21-1)),6)="PLUVIO"
        )
    ),
    INDIRECT("Descriptif!$"&amp;C$15&amp;($B$1 +$A21 -1)),
    ""
)</f>
        <v/>
      </c>
      <c r="D21" s="277" t="str" cm="1">
        <f t="array" aca="1" ref="D21" ca="1">IF(
    AND(
        $B21,
        OR(
            INDIRECT("Descriptif!$M"&amp;($B$1+$A21-1))="Préleveur",
            LEFT(INDIRECT("Descriptif!$M"&amp;($B$1+$A21-1)),5)="Sonde",
            LEFT(INDIRECT("Descriptif!$M"&amp;($B$1+$A21-1)),10)="Débitmètre",
            LEFT(INDIRECT("Descriptif!$F"&amp;($B$1+$A21-1)),6)="PLUVIO"
        )
    ),
    IF(
        LEFT(INDIRECT("Descriptif!$F"&amp;($B$1+$A21-1)),11)="PLUVIO_STEU",
        "A3",
        IF(
            LEFT(INDIRECT("Descriptif!$F"&amp;($B$1+$A21-1)),10)="PLUVIO_SCL",
            "A1",
            INDIRECT("Descriptif!$"&amp;D$15&amp;($B$1 +$A21 -1))
        )
    ),
    ""
)</f>
        <v/>
      </c>
      <c r="E21" s="277" t="str" cm="1">
        <f t="array" aca="1" ref="E21" ca="1">IF(
    AND(
        $B21,
        OR(
            INDIRECT("Descriptif!$M"&amp;($B$1+$A21-1))="Préleveur",
            LEFT(INDIRECT("Descriptif!$M"&amp;($B$1+$A21-1)),5)="Sonde",
            LEFT(INDIRECT("Descriptif!$M"&amp;($B$1+$A21-1)),10)="Débitmètre",
            LEFT(INDIRECT("Descriptif!$F"&amp;($B$1+$A21-1)),6)="PLUVIO"
        )
    ),
    IF(LEFT(INDIRECT("Descriptif!$F"&amp;($B$1+$A21-1)),6)="PLUVIO","Pluviomètre",INDIRECT("Descriptif!$"&amp;E$15&amp;($B$1 +$A21 -1))),
    ""
)</f>
        <v/>
      </c>
      <c r="F21" s="19" t="str" cm="1">
        <f t="array" aca="1" ref="F21" ca="1">IF(
    AND(
        $B21,
        OR(
            INDIRECT("Descriptif!$M"&amp;($B$1+$A21-1))="Préleveur",
            LEFT(INDIRECT("Descriptif!$M"&amp;($B$1+$A21-1)),5)="Sonde",
            LEFT(INDIRECT("Descriptif!$M"&amp;($B$1+$A21-1)),10)="Débitmètre",
            LEFT(INDIRECT("Descriptif!$F"&amp;($B$1+$A21-1)),6)="PLUVIO"
        )
    ),
    IF(LEFT(INDIRECT("Descriptif!$F"&amp;($B$1+$A21-1)),6)="PLUVIO","Pluviomètre",INDIRECT("Descriptif!$"&amp;F$15&amp;($B$1 +$A21 -1))),
    ""
)</f>
        <v/>
      </c>
      <c r="G21" s="19" t="str" cm="1">
        <f t="array" aca="1" ref="G21" ca="1">IF(
    AND(
        $B21,
        OR(
            INDIRECT("Descriptif!$M"&amp;($B$1+$A21-1))="Préleveur",
            LEFT(INDIRECT("Descriptif!$M"&amp;($B$1+$A21-1)),5)="Sonde",
            LEFT(INDIRECT("Descriptif!$M"&amp;($B$1+$A21-1)),10)="Débitmètre",
            LEFT(INDIRECT("Descriptif!$F"&amp;($B$1+$A21-1)),6)="PLUVIO"
        )
    ),
    IF(LEFT(INDIRECT("Descriptif!$F"&amp;($B$1+$A21-1)),6)="PLUVIO","Pluviomètre",INDIRECT("Descriptif!$"&amp;G$15&amp;($B$1 +$A21 -1))),
    ""
)</f>
        <v/>
      </c>
      <c r="H21" s="141" t="str" cm="1">
        <f t="array" aca="1" ref="H21" ca="1">IFERROR(INDEX($C$16:$C$116,SMALL(IF($C$16:$C$116&lt;&gt;"",ROW($C$16:$C$116)-ROW($C$16)+1),ROW(A6))),"")</f>
        <v/>
      </c>
      <c r="I21" s="140" t="str" cm="1">
        <f t="array" aca="1" ref="I21" ca="1">IFERROR(INDEX($D$16:$D$116,SMALL(IF($D$16:$D$116&lt;&gt;"",ROW($D$16:$D$116)-ROW($D$16)+1),ROW(A6))),"")</f>
        <v/>
      </c>
      <c r="J21" s="140" t="str" cm="1">
        <f t="array" aca="1" ref="J21" ca="1">IFERROR(INDEX($E$16:$E$116,SMALL(IF($E$16:$E$116&lt;&gt;"",ROW($E$16:$E$116)-ROW($E$16)+1),ROW(A6))),"")</f>
        <v/>
      </c>
      <c r="K21" s="140" t="str" cm="1">
        <f t="array" aca="1" ref="K21" ca="1">IFERROR(INDEX($F$16:$F$116,SMALL(IF($F$16:$F$116&lt;&gt;"",ROW($F$16:$F$116)-ROW($F$16)+1),ROW(A6))),"")</f>
        <v/>
      </c>
      <c r="L21" s="140" t="str">
        <f t="shared" ca="1" si="0"/>
        <v/>
      </c>
      <c r="M21" s="140" t="str" cm="1">
        <f t="array" aca="1" ref="M21" ca="1">IFERROR(INDEX($G$16:$G$116,SMALL(IF($G$16:$G$116&lt;&gt;"",ROW($G$16:$G$116)-ROW($G$16)+1),ROW(A6))),"")</f>
        <v/>
      </c>
      <c r="N21" s="145" t="str">
        <f t="shared" ca="1" si="1"/>
        <v/>
      </c>
      <c r="O21" s="146" t="str">
        <f t="shared" ca="1" si="2"/>
        <v/>
      </c>
      <c r="P21" s="146" t="str" cm="1">
        <f t="array" aca="1" ref="P21" ca="1">IF($J21&lt;&gt;"",IF(INDIRECT($H21&amp;"!"&amp;$O21)&lt;&gt;"",INDIRECT($H21&amp;"!"&amp;$O21),""),"")</f>
        <v/>
      </c>
      <c r="Q21" s="146" t="str">
        <f t="shared" ca="1" si="3"/>
        <v/>
      </c>
      <c r="R21" s="146" t="str" cm="1">
        <f t="array" aca="1" ref="R21" ca="1">IF($J21&lt;&gt;"",IF(INDIRECT($H21&amp;"!"&amp;$Q21)&lt;&gt;"",INDIRECT($H21&amp;"!"&amp;$Q21),""),"")</f>
        <v/>
      </c>
      <c r="S21" s="146" t="str">
        <f t="shared" ca="1" si="4"/>
        <v/>
      </c>
      <c r="T21" s="146" t="str" cm="1">
        <f t="array" aca="1" ref="T21" ca="1">IF($J21&lt;&gt;"",IF(INDIRECT($H21&amp;"!"&amp;$S21)&lt;&gt;"",INDIRECT($H21&amp;"!"&amp;$S21),""),"")</f>
        <v/>
      </c>
      <c r="U21" s="146" t="str">
        <f t="shared" ca="1" si="5"/>
        <v/>
      </c>
      <c r="V21" s="147" t="str" cm="1">
        <f t="array" aca="1" ref="V21" ca="1">IF($J21&lt;&gt;"",IF(INDIRECT($H21&amp;"!"&amp;$U21)&lt;&gt;"",INDIRECT($H21&amp;"!"&amp;$U21),""),"")</f>
        <v/>
      </c>
      <c r="W21" s="294" t="str">
        <f t="shared" ca="1" si="7"/>
        <v/>
      </c>
      <c r="X21" s="295" t="str">
        <f t="shared" ca="1" si="8"/>
        <v/>
      </c>
      <c r="Y21" s="296" t="str" cm="1">
        <f t="array" aca="1" ref="Y21" ca="1">IF($H21&lt;&gt;"",IF(INDIRECT($H21&amp;"!"&amp;$W21&amp;($X21+Y$15+1))&lt;&gt;"",INDIRECT($H21&amp;"!"&amp;$W21&amp;($X21+Y$15+1)),""),"")</f>
        <v/>
      </c>
      <c r="Z21" s="296" t="str" cm="1">
        <f t="array" aca="1" ref="Z21" ca="1">IF($H21&lt;&gt;"",IF(INDIRECT($H21&amp;"!"&amp;$W21&amp;($X21+Z$15+1))&lt;&gt;"",INDIRECT($H21&amp;"!"&amp;$W21&amp;($X21+Z$15+1)),""),"")</f>
        <v/>
      </c>
      <c r="AA21" s="296" t="str" cm="1">
        <f t="array" aca="1" ref="AA21" ca="1">IF($H21&lt;&gt;"",IF(INDIRECT($H21&amp;"!"&amp;$W21&amp;($X21+AA$15+1))&lt;&gt;"",INDIRECT($H21&amp;"!"&amp;$W21&amp;($X21+AA$15+1)),""),"")</f>
        <v/>
      </c>
      <c r="AB21" s="296" t="str" cm="1">
        <f t="array" aca="1" ref="AB21" ca="1">IF($H21&lt;&gt;"",IF(INDIRECT($H21&amp;"!"&amp;$W21&amp;($X21+AB$15+1))&lt;&gt;"",INDIRECT($H21&amp;"!"&amp;$W21&amp;($X21+AB$15+1)),""),"")</f>
        <v/>
      </c>
      <c r="AC21" s="296" t="str" cm="1">
        <f t="array" aca="1" ref="AC21" ca="1">IF(LEFT($J21,5)="Sonde","",IF($H21&lt;&gt;"",IF(INDIRECT($H21&amp;"!"&amp;$W21&amp;($X21+AC$15+1))&lt;&gt;"",INDIRECT($H21&amp;"!"&amp;$W21&amp;($X21+AC$15+1)),""),""))</f>
        <v/>
      </c>
      <c r="AD21" s="296" t="str" cm="1">
        <f t="array" aca="1" ref="AD21" ca="1">IF(OR($J21="Pluviomètre",LEFT($J21,5)="Sonde"),"",IF($H21&lt;&gt;"",IF(INDIRECT($H21&amp;"!"&amp;$W21&amp;($X21+AD$15+1))&lt;&gt;"",INDIRECT($H21&amp;"!"&amp;$W21&amp;($X21+AD$15+1)),""),""))</f>
        <v/>
      </c>
      <c r="AE21" s="296" t="str" cm="1">
        <f t="array" aca="1" ref="AE21" ca="1">IF(OR($J21="Pluviomètre",LEFT($J21,5)="Sonde"),"",IF($H21&lt;&gt;"",IF(INDIRECT($H21&amp;"!"&amp;$W21&amp;($X21+AE$15+1))&lt;&gt;"",INDIRECT($H21&amp;"!"&amp;$W21&amp;($X21+AE$15+1)),""),""))</f>
        <v/>
      </c>
      <c r="AF21" s="296" t="str" cm="1">
        <f t="array" aca="1" ref="AF21" ca="1">IF(OR($J21="Pluviomètre",LEFT($J21,5)="Sonde"),"",IF($H21&lt;&gt;"",IF(INDIRECT($H21&amp;"!"&amp;$W21&amp;($X21+AF$15+1))&lt;&gt;"",INDIRECT($H21&amp;"!"&amp;$W21&amp;($X21+AF$15+1)),""),""))</f>
        <v/>
      </c>
      <c r="AG21" s="296" t="str" cm="1">
        <f t="array" aca="1" ref="AG21" ca="1">IF(OR($J21="Pluviomètre",LEFT($J21,5)="Sonde"),"",IF($H21&lt;&gt;"",IF(INDIRECT($H21&amp;"!"&amp;$W21&amp;($X21+AG$15+1))&lt;&gt;"",INDIRECT($H21&amp;"!"&amp;$W21&amp;($X21+AG$15+1)),""),""))</f>
        <v/>
      </c>
      <c r="AH21" s="296" t="str" cm="1">
        <f t="array" aca="1" ref="AH21" ca="1">IF(OR($J21="Pluviomètre",LEFT($J21,5)="Sonde"),"",IF($H21&lt;&gt;"",IF(INDIRECT($H21&amp;"!"&amp;$W21&amp;($X21+AH$15+1))&lt;&gt;"",INDIRECT($H21&amp;"!"&amp;$W21&amp;($X21+AH$15+1)),""),""))</f>
        <v/>
      </c>
      <c r="AI21" s="294" t="str">
        <f t="shared" ca="1" si="9"/>
        <v/>
      </c>
      <c r="AJ21" s="295" t="str">
        <f t="shared" ca="1" si="10"/>
        <v/>
      </c>
      <c r="AK21" s="296" t="str" cm="1">
        <f t="array" aca="1" ref="AK21" ca="1">IF($H21&lt;&gt;"",IF(INDIRECT($H21&amp;"!"&amp;$AI21&amp;($AJ21+AK$15+1))&lt;&gt;"",INDIRECT($H21&amp;"!"&amp;$AI21&amp;($AJ21+AK$15+1)),""),"")</f>
        <v/>
      </c>
      <c r="AL21" s="296" t="str" cm="1">
        <f t="array" aca="1" ref="AL21" ca="1">IF($H21&lt;&gt;"",IF(INDIRECT($H21&amp;"!"&amp;$AI21&amp;($AJ21+AL$15+1))&lt;&gt;"",INDIRECT($H21&amp;"!"&amp;$AI21&amp;($AJ21+AL$15+1)),""),"")</f>
        <v/>
      </c>
      <c r="AM21" s="296" t="str" cm="1">
        <f t="array" aca="1" ref="AM21" ca="1">IF($H21&lt;&gt;"",IF(INDIRECT($H21&amp;"!"&amp;$AI21&amp;($AJ21+AM$15+1))&lt;&gt;"",INDIRECT($H21&amp;"!"&amp;$AI21&amp;($AJ21+AM$15+1)),""),"")</f>
        <v/>
      </c>
      <c r="AN21" s="296" t="str" cm="1">
        <f t="array" aca="1" ref="AN21" ca="1">IF($H21&lt;&gt;"",IF(INDIRECT($H21&amp;"!"&amp;$AI21&amp;($AJ21+AN$15+1))&lt;&gt;"",INDIRECT($H21&amp;"!"&amp;$AI21&amp;($AJ21+AN$15+1)),""),"")</f>
        <v/>
      </c>
      <c r="AO21" s="296" t="str" cm="1">
        <f t="array" aca="1" ref="AO21" ca="1">IF(LEFT($J21,5)="Sonde","",IF($H21&lt;&gt;"",IF(INDIRECT($H21&amp;"!"&amp;$AI21&amp;($AJ21+AO$15+1))&lt;&gt;"",INDIRECT($H21&amp;"!"&amp;$AI21&amp;($AJ21+AO$15+1)),""),""))</f>
        <v/>
      </c>
      <c r="AP21" s="296" t="str" cm="1">
        <f t="array" aca="1" ref="AP21" ca="1">IF(OR($J21="Pluviomètre",LEFT($J21,5)="Sonde"),"",IF($H21&lt;&gt;"",IF(INDIRECT($H21&amp;"!"&amp;$AI21&amp;($AJ21+AP$15+1))&lt;&gt;"",INDIRECT($H21&amp;"!"&amp;$AI21&amp;($AJ21+AP$15+1)),""),""))</f>
        <v/>
      </c>
      <c r="AQ21" s="296" t="str" cm="1">
        <f t="array" aca="1" ref="AQ21" ca="1">IF(OR($J21="Pluviomètre",LEFT($J21,5)="Sonde"),"",IF($H21&lt;&gt;"",IF(INDIRECT($H21&amp;"!"&amp;$AI21&amp;($AJ21+AQ$15+1))&lt;&gt;"",INDIRECT($H21&amp;"!"&amp;$AI21&amp;($AJ21+AQ$15+1)),""),""))</f>
        <v/>
      </c>
      <c r="AR21" s="296" t="str" cm="1">
        <f t="array" aca="1" ref="AR21" ca="1">IF(OR($J21="Pluviomètre",LEFT($J21,5)="Sonde"),"",IF($H21&lt;&gt;"",IF(INDIRECT($H21&amp;"!"&amp;$AI21&amp;($AJ21+AR$15+1))&lt;&gt;"",INDIRECT($H21&amp;"!"&amp;$AI21&amp;($AJ21+AR$15+1)),""),""))</f>
        <v/>
      </c>
      <c r="AS21" s="296" t="str" cm="1">
        <f t="array" aca="1" ref="AS21" ca="1">IF(OR($J21="Pluviomètre",LEFT($J21,5)="Sonde"),"",IF($H21&lt;&gt;"",IF(INDIRECT($H21&amp;"!"&amp;$AI21&amp;($AJ21+AS$15+1))&lt;&gt;"",INDIRECT($H21&amp;"!"&amp;$AI21&amp;($AJ21+AS$15+1)),""),""))</f>
        <v/>
      </c>
      <c r="AT21" s="296" t="str" cm="1">
        <f t="array" aca="1" ref="AT21" ca="1">IF(OR($J21="Pluviomètre",LEFT($J21,5)="Sonde"),"",IF($H21&lt;&gt;"",IF(INDIRECT($H21&amp;"!"&amp;$AI21&amp;($AJ21+AT$15+1))&lt;&gt;"",INDIRECT($H21&amp;"!"&amp;$AI21&amp;($AJ21+AT$15+1)),""),""))</f>
        <v/>
      </c>
    </row>
    <row r="22" spans="1:46" x14ac:dyDescent="0.4">
      <c r="A22" s="80">
        <v>7</v>
      </c>
      <c r="B22" s="134" t="b">
        <f t="shared" si="6"/>
        <v>0</v>
      </c>
      <c r="C22" s="139" t="str" cm="1">
        <f t="array" aca="1" ref="C22" ca="1">IF(
    AND(
        $B22,
        OR(
            INDIRECT("Descriptif!$M"&amp;($B$1+$A22-1))="Préleveur",
            LEFT(INDIRECT("Descriptif!$M"&amp;($B$1+$A22-1)),5)="Sonde",
            LEFT(INDIRECT("Descriptif!$M"&amp;($B$1+$A22-1)),10)="Débitmètre",
            LEFT(INDIRECT("Descriptif!$F"&amp;($B$1+$A22-1)),6)="PLUVIO"
        )
    ),
    INDIRECT("Descriptif!$"&amp;C$15&amp;($B$1 +$A22 -1)),
    ""
)</f>
        <v/>
      </c>
      <c r="D22" s="277" t="str" cm="1">
        <f t="array" aca="1" ref="D22" ca="1">IF(
    AND(
        $B22,
        OR(
            INDIRECT("Descriptif!$M"&amp;($B$1+$A22-1))="Préleveur",
            LEFT(INDIRECT("Descriptif!$M"&amp;($B$1+$A22-1)),5)="Sonde",
            LEFT(INDIRECT("Descriptif!$M"&amp;($B$1+$A22-1)),10)="Débitmètre",
            LEFT(INDIRECT("Descriptif!$F"&amp;($B$1+$A22-1)),6)="PLUVIO"
        )
    ),
    IF(
        LEFT(INDIRECT("Descriptif!$F"&amp;($B$1+$A22-1)),11)="PLUVIO_STEU",
        "A3",
        IF(
            LEFT(INDIRECT("Descriptif!$F"&amp;($B$1+$A22-1)),10)="PLUVIO_SCL",
            "A1",
            INDIRECT("Descriptif!$"&amp;D$15&amp;($B$1 +$A22 -1))
        )
    ),
    ""
)</f>
        <v/>
      </c>
      <c r="E22" s="277" t="str" cm="1">
        <f t="array" aca="1" ref="E22" ca="1">IF(
    AND(
        $B22,
        OR(
            INDIRECT("Descriptif!$M"&amp;($B$1+$A22-1))="Préleveur",
            LEFT(INDIRECT("Descriptif!$M"&amp;($B$1+$A22-1)),5)="Sonde",
            LEFT(INDIRECT("Descriptif!$M"&amp;($B$1+$A22-1)),10)="Débitmètre",
            LEFT(INDIRECT("Descriptif!$F"&amp;($B$1+$A22-1)),6)="PLUVIO"
        )
    ),
    IF(LEFT(INDIRECT("Descriptif!$F"&amp;($B$1+$A22-1)),6)="PLUVIO","Pluviomètre",INDIRECT("Descriptif!$"&amp;E$15&amp;($B$1 +$A22 -1))),
    ""
)</f>
        <v/>
      </c>
      <c r="F22" s="19" t="str" cm="1">
        <f t="array" aca="1" ref="F22" ca="1">IF(
    AND(
        $B22,
        OR(
            INDIRECT("Descriptif!$M"&amp;($B$1+$A22-1))="Préleveur",
            LEFT(INDIRECT("Descriptif!$M"&amp;($B$1+$A22-1)),5)="Sonde",
            LEFT(INDIRECT("Descriptif!$M"&amp;($B$1+$A22-1)),10)="Débitmètre",
            LEFT(INDIRECT("Descriptif!$F"&amp;($B$1+$A22-1)),6)="PLUVIO"
        )
    ),
    IF(LEFT(INDIRECT("Descriptif!$F"&amp;($B$1+$A22-1)),6)="PLUVIO","Pluviomètre",INDIRECT("Descriptif!$"&amp;F$15&amp;($B$1 +$A22 -1))),
    ""
)</f>
        <v/>
      </c>
      <c r="G22" s="19" t="str" cm="1">
        <f t="array" aca="1" ref="G22" ca="1">IF(
    AND(
        $B22,
        OR(
            INDIRECT("Descriptif!$M"&amp;($B$1+$A22-1))="Préleveur",
            LEFT(INDIRECT("Descriptif!$M"&amp;($B$1+$A22-1)),5)="Sonde",
            LEFT(INDIRECT("Descriptif!$M"&amp;($B$1+$A22-1)),10)="Débitmètre",
            LEFT(INDIRECT("Descriptif!$F"&amp;($B$1+$A22-1)),6)="PLUVIO"
        )
    ),
    IF(LEFT(INDIRECT("Descriptif!$F"&amp;($B$1+$A22-1)),6)="PLUVIO","Pluviomètre",INDIRECT("Descriptif!$"&amp;G$15&amp;($B$1 +$A22 -1))),
    ""
)</f>
        <v/>
      </c>
      <c r="H22" s="141" t="str" cm="1">
        <f t="array" aca="1" ref="H22" ca="1">IFERROR(INDEX($C$16:$C$116,SMALL(IF($C$16:$C$116&lt;&gt;"",ROW($C$16:$C$116)-ROW($C$16)+1),ROW(A7))),"")</f>
        <v/>
      </c>
      <c r="I22" s="140" t="str" cm="1">
        <f t="array" aca="1" ref="I22" ca="1">IFERROR(INDEX($D$16:$D$116,SMALL(IF($D$16:$D$116&lt;&gt;"",ROW($D$16:$D$116)-ROW($D$16)+1),ROW(A7))),"")</f>
        <v/>
      </c>
      <c r="J22" s="140" t="str" cm="1">
        <f t="array" aca="1" ref="J22" ca="1">IFERROR(INDEX($E$16:$E$116,SMALL(IF($E$16:$E$116&lt;&gt;"",ROW($E$16:$E$116)-ROW($E$16)+1),ROW(A7))),"")</f>
        <v/>
      </c>
      <c r="K22" s="140" t="str" cm="1">
        <f t="array" aca="1" ref="K22" ca="1">IFERROR(INDEX($F$16:$F$116,SMALL(IF($F$16:$F$116&lt;&gt;"",ROW($F$16:$F$116)-ROW($F$16)+1),ROW(A7))),"")</f>
        <v/>
      </c>
      <c r="L22" s="140" t="str">
        <f t="shared" ca="1" si="0"/>
        <v/>
      </c>
      <c r="M22" s="140" t="str" cm="1">
        <f t="array" aca="1" ref="M22" ca="1">IFERROR(INDEX($G$16:$G$116,SMALL(IF($G$16:$G$116&lt;&gt;"",ROW($G$16:$G$116)-ROW($G$16)+1),ROW(A7))),"")</f>
        <v/>
      </c>
      <c r="N22" s="145" t="str">
        <f t="shared" ca="1" si="1"/>
        <v/>
      </c>
      <c r="O22" s="146" t="str">
        <f t="shared" ca="1" si="2"/>
        <v/>
      </c>
      <c r="P22" s="146" t="str" cm="1">
        <f t="array" aca="1" ref="P22" ca="1">IF($J22&lt;&gt;"",IF(INDIRECT($H22&amp;"!"&amp;$O22)&lt;&gt;"",INDIRECT($H22&amp;"!"&amp;$O22),""),"")</f>
        <v/>
      </c>
      <c r="Q22" s="146" t="str">
        <f t="shared" ca="1" si="3"/>
        <v/>
      </c>
      <c r="R22" s="146" t="str" cm="1">
        <f t="array" aca="1" ref="R22" ca="1">IF($J22&lt;&gt;"",IF(INDIRECT($H22&amp;"!"&amp;$Q22)&lt;&gt;"",INDIRECT($H22&amp;"!"&amp;$Q22),""),"")</f>
        <v/>
      </c>
      <c r="S22" s="146" t="str">
        <f t="shared" ca="1" si="4"/>
        <v/>
      </c>
      <c r="T22" s="146" t="str" cm="1">
        <f t="array" aca="1" ref="T22" ca="1">IF($J22&lt;&gt;"",IF(INDIRECT($H22&amp;"!"&amp;$S22)&lt;&gt;"",INDIRECT($H22&amp;"!"&amp;$S22),""),"")</f>
        <v/>
      </c>
      <c r="U22" s="146" t="str">
        <f t="shared" ca="1" si="5"/>
        <v/>
      </c>
      <c r="V22" s="147" t="str" cm="1">
        <f t="array" aca="1" ref="V22" ca="1">IF($J22&lt;&gt;"",IF(INDIRECT($H22&amp;"!"&amp;$U22)&lt;&gt;"",INDIRECT($H22&amp;"!"&amp;$U22),""),"")</f>
        <v/>
      </c>
      <c r="W22" s="294" t="str">
        <f t="shared" ca="1" si="7"/>
        <v/>
      </c>
      <c r="X22" s="295" t="str">
        <f t="shared" ca="1" si="8"/>
        <v/>
      </c>
      <c r="Y22" s="296" t="str" cm="1">
        <f t="array" aca="1" ref="Y22" ca="1">IF($H22&lt;&gt;"",IF(INDIRECT($H22&amp;"!"&amp;$W22&amp;($X22+Y$15+1))&lt;&gt;"",INDIRECT($H22&amp;"!"&amp;$W22&amp;($X22+Y$15+1)),""),"")</f>
        <v/>
      </c>
      <c r="Z22" s="296" t="str" cm="1">
        <f t="array" aca="1" ref="Z22" ca="1">IF($H22&lt;&gt;"",IF(INDIRECT($H22&amp;"!"&amp;$W22&amp;($X22+Z$15+1))&lt;&gt;"",INDIRECT($H22&amp;"!"&amp;$W22&amp;($X22+Z$15+1)),""),"")</f>
        <v/>
      </c>
      <c r="AA22" s="296" t="str" cm="1">
        <f t="array" aca="1" ref="AA22" ca="1">IF($H22&lt;&gt;"",IF(INDIRECT($H22&amp;"!"&amp;$W22&amp;($X22+AA$15+1))&lt;&gt;"",INDIRECT($H22&amp;"!"&amp;$W22&amp;($X22+AA$15+1)),""),"")</f>
        <v/>
      </c>
      <c r="AB22" s="296" t="str" cm="1">
        <f t="array" aca="1" ref="AB22" ca="1">IF($H22&lt;&gt;"",IF(INDIRECT($H22&amp;"!"&amp;$W22&amp;($X22+AB$15+1))&lt;&gt;"",INDIRECT($H22&amp;"!"&amp;$W22&amp;($X22+AB$15+1)),""),"")</f>
        <v/>
      </c>
      <c r="AC22" s="296" t="str" cm="1">
        <f t="array" aca="1" ref="AC22" ca="1">IF(LEFT($J22,5)="Sonde","",IF($H22&lt;&gt;"",IF(INDIRECT($H22&amp;"!"&amp;$W22&amp;($X22+AC$15+1))&lt;&gt;"",INDIRECT($H22&amp;"!"&amp;$W22&amp;($X22+AC$15+1)),""),""))</f>
        <v/>
      </c>
      <c r="AD22" s="296" t="str" cm="1">
        <f t="array" aca="1" ref="AD22" ca="1">IF(OR($J22="Pluviomètre",LEFT($J22,5)="Sonde"),"",IF($H22&lt;&gt;"",IF(INDIRECT($H22&amp;"!"&amp;$W22&amp;($X22+AD$15+1))&lt;&gt;"",INDIRECT($H22&amp;"!"&amp;$W22&amp;($X22+AD$15+1)),""),""))</f>
        <v/>
      </c>
      <c r="AE22" s="296" t="str" cm="1">
        <f t="array" aca="1" ref="AE22" ca="1">IF(OR($J22="Pluviomètre",LEFT($J22,5)="Sonde"),"",IF($H22&lt;&gt;"",IF(INDIRECT($H22&amp;"!"&amp;$W22&amp;($X22+AE$15+1))&lt;&gt;"",INDIRECT($H22&amp;"!"&amp;$W22&amp;($X22+AE$15+1)),""),""))</f>
        <v/>
      </c>
      <c r="AF22" s="296" t="str" cm="1">
        <f t="array" aca="1" ref="AF22" ca="1">IF(OR($J22="Pluviomètre",LEFT($J22,5)="Sonde"),"",IF($H22&lt;&gt;"",IF(INDIRECT($H22&amp;"!"&amp;$W22&amp;($X22+AF$15+1))&lt;&gt;"",INDIRECT($H22&amp;"!"&amp;$W22&amp;($X22+AF$15+1)),""),""))</f>
        <v/>
      </c>
      <c r="AG22" s="296" t="str" cm="1">
        <f t="array" aca="1" ref="AG22" ca="1">IF(OR($J22="Pluviomètre",LEFT($J22,5)="Sonde"),"",IF($H22&lt;&gt;"",IF(INDIRECT($H22&amp;"!"&amp;$W22&amp;($X22+AG$15+1))&lt;&gt;"",INDIRECT($H22&amp;"!"&amp;$W22&amp;($X22+AG$15+1)),""),""))</f>
        <v/>
      </c>
      <c r="AH22" s="296" t="str" cm="1">
        <f t="array" aca="1" ref="AH22" ca="1">IF(OR($J22="Pluviomètre",LEFT($J22,5)="Sonde"),"",IF($H22&lt;&gt;"",IF(INDIRECT($H22&amp;"!"&amp;$W22&amp;($X22+AH$15+1))&lt;&gt;"",INDIRECT($H22&amp;"!"&amp;$W22&amp;($X22+AH$15+1)),""),""))</f>
        <v/>
      </c>
      <c r="AI22" s="294" t="str">
        <f t="shared" ca="1" si="9"/>
        <v/>
      </c>
      <c r="AJ22" s="295" t="str">
        <f t="shared" ca="1" si="10"/>
        <v/>
      </c>
      <c r="AK22" s="296" t="str" cm="1">
        <f t="array" aca="1" ref="AK22" ca="1">IF($H22&lt;&gt;"",IF(INDIRECT($H22&amp;"!"&amp;$AI22&amp;($AJ22+AK$15+1))&lt;&gt;"",INDIRECT($H22&amp;"!"&amp;$AI22&amp;($AJ22+AK$15+1)),""),"")</f>
        <v/>
      </c>
      <c r="AL22" s="296" t="str" cm="1">
        <f t="array" aca="1" ref="AL22" ca="1">IF($H22&lt;&gt;"",IF(INDIRECT($H22&amp;"!"&amp;$AI22&amp;($AJ22+AL$15+1))&lt;&gt;"",INDIRECT($H22&amp;"!"&amp;$AI22&amp;($AJ22+AL$15+1)),""),"")</f>
        <v/>
      </c>
      <c r="AM22" s="296" t="str" cm="1">
        <f t="array" aca="1" ref="AM22" ca="1">IF($H22&lt;&gt;"",IF(INDIRECT($H22&amp;"!"&amp;$AI22&amp;($AJ22+AM$15+1))&lt;&gt;"",INDIRECT($H22&amp;"!"&amp;$AI22&amp;($AJ22+AM$15+1)),""),"")</f>
        <v/>
      </c>
      <c r="AN22" s="296" t="str" cm="1">
        <f t="array" aca="1" ref="AN22" ca="1">IF($H22&lt;&gt;"",IF(INDIRECT($H22&amp;"!"&amp;$AI22&amp;($AJ22+AN$15+1))&lt;&gt;"",INDIRECT($H22&amp;"!"&amp;$AI22&amp;($AJ22+AN$15+1)),""),"")</f>
        <v/>
      </c>
      <c r="AO22" s="296" t="str" cm="1">
        <f t="array" aca="1" ref="AO22" ca="1">IF(LEFT($J22,5)="Sonde","",IF($H22&lt;&gt;"",IF(INDIRECT($H22&amp;"!"&amp;$AI22&amp;($AJ22+AO$15+1))&lt;&gt;"",INDIRECT($H22&amp;"!"&amp;$AI22&amp;($AJ22+AO$15+1)),""),""))</f>
        <v/>
      </c>
      <c r="AP22" s="296" t="str" cm="1">
        <f t="array" aca="1" ref="AP22" ca="1">IF(OR($J22="Pluviomètre",LEFT($J22,5)="Sonde"),"",IF($H22&lt;&gt;"",IF(INDIRECT($H22&amp;"!"&amp;$AI22&amp;($AJ22+AP$15+1))&lt;&gt;"",INDIRECT($H22&amp;"!"&amp;$AI22&amp;($AJ22+AP$15+1)),""),""))</f>
        <v/>
      </c>
      <c r="AQ22" s="296" t="str" cm="1">
        <f t="array" aca="1" ref="AQ22" ca="1">IF(OR($J22="Pluviomètre",LEFT($J22,5)="Sonde"),"",IF($H22&lt;&gt;"",IF(INDIRECT($H22&amp;"!"&amp;$AI22&amp;($AJ22+AQ$15+1))&lt;&gt;"",INDIRECT($H22&amp;"!"&amp;$AI22&amp;($AJ22+AQ$15+1)),""),""))</f>
        <v/>
      </c>
      <c r="AR22" s="296" t="str" cm="1">
        <f t="array" aca="1" ref="AR22" ca="1">IF(OR($J22="Pluviomètre",LEFT($J22,5)="Sonde"),"",IF($H22&lt;&gt;"",IF(INDIRECT($H22&amp;"!"&amp;$AI22&amp;($AJ22+AR$15+1))&lt;&gt;"",INDIRECT($H22&amp;"!"&amp;$AI22&amp;($AJ22+AR$15+1)),""),""))</f>
        <v/>
      </c>
      <c r="AS22" s="296" t="str" cm="1">
        <f t="array" aca="1" ref="AS22" ca="1">IF(OR($J22="Pluviomètre",LEFT($J22,5)="Sonde"),"",IF($H22&lt;&gt;"",IF(INDIRECT($H22&amp;"!"&amp;$AI22&amp;($AJ22+AS$15+1))&lt;&gt;"",INDIRECT($H22&amp;"!"&amp;$AI22&amp;($AJ22+AS$15+1)),""),""))</f>
        <v/>
      </c>
      <c r="AT22" s="296" t="str" cm="1">
        <f t="array" aca="1" ref="AT22" ca="1">IF(OR($J22="Pluviomètre",LEFT($J22,5)="Sonde"),"",IF($H22&lt;&gt;"",IF(INDIRECT($H22&amp;"!"&amp;$AI22&amp;($AJ22+AT$15+1))&lt;&gt;"",INDIRECT($H22&amp;"!"&amp;$AI22&amp;($AJ22+AT$15+1)),""),""))</f>
        <v/>
      </c>
    </row>
    <row r="23" spans="1:46" x14ac:dyDescent="0.4">
      <c r="A23" s="80">
        <v>8</v>
      </c>
      <c r="B23" s="134" t="b">
        <f t="shared" si="6"/>
        <v>0</v>
      </c>
      <c r="C23" s="139" t="str" cm="1">
        <f t="array" aca="1" ref="C23" ca="1">IF(
    AND(
        $B23,
        OR(
            INDIRECT("Descriptif!$M"&amp;($B$1+$A23-1))="Préleveur",
            LEFT(INDIRECT("Descriptif!$M"&amp;($B$1+$A23-1)),5)="Sonde",
            LEFT(INDIRECT("Descriptif!$M"&amp;($B$1+$A23-1)),10)="Débitmètre",
            LEFT(INDIRECT("Descriptif!$F"&amp;($B$1+$A23-1)),6)="PLUVIO"
        )
    ),
    INDIRECT("Descriptif!$"&amp;C$15&amp;($B$1 +$A23 -1)),
    ""
)</f>
        <v/>
      </c>
      <c r="D23" s="277" t="str" cm="1">
        <f t="array" aca="1" ref="D23" ca="1">IF(
    AND(
        $B23,
        OR(
            INDIRECT("Descriptif!$M"&amp;($B$1+$A23-1))="Préleveur",
            LEFT(INDIRECT("Descriptif!$M"&amp;($B$1+$A23-1)),5)="Sonde",
            LEFT(INDIRECT("Descriptif!$M"&amp;($B$1+$A23-1)),10)="Débitmètre",
            LEFT(INDIRECT("Descriptif!$F"&amp;($B$1+$A23-1)),6)="PLUVIO"
        )
    ),
    IF(
        LEFT(INDIRECT("Descriptif!$F"&amp;($B$1+$A23-1)),11)="PLUVIO_STEU",
        "A3",
        IF(
            LEFT(INDIRECT("Descriptif!$F"&amp;($B$1+$A23-1)),10)="PLUVIO_SCL",
            "A1",
            INDIRECT("Descriptif!$"&amp;D$15&amp;($B$1 +$A23 -1))
        )
    ),
    ""
)</f>
        <v/>
      </c>
      <c r="E23" s="277" t="str" cm="1">
        <f t="array" aca="1" ref="E23" ca="1">IF(
    AND(
        $B23,
        OR(
            INDIRECT("Descriptif!$M"&amp;($B$1+$A23-1))="Préleveur",
            LEFT(INDIRECT("Descriptif!$M"&amp;($B$1+$A23-1)),5)="Sonde",
            LEFT(INDIRECT("Descriptif!$M"&amp;($B$1+$A23-1)),10)="Débitmètre",
            LEFT(INDIRECT("Descriptif!$F"&amp;($B$1+$A23-1)),6)="PLUVIO"
        )
    ),
    IF(LEFT(INDIRECT("Descriptif!$F"&amp;($B$1+$A23-1)),6)="PLUVIO","Pluviomètre",INDIRECT("Descriptif!$"&amp;E$15&amp;($B$1 +$A23 -1))),
    ""
)</f>
        <v/>
      </c>
      <c r="F23" s="19" t="str" cm="1">
        <f t="array" aca="1" ref="F23" ca="1">IF(
    AND(
        $B23,
        OR(
            INDIRECT("Descriptif!$M"&amp;($B$1+$A23-1))="Préleveur",
            LEFT(INDIRECT("Descriptif!$M"&amp;($B$1+$A23-1)),5)="Sonde",
            LEFT(INDIRECT("Descriptif!$M"&amp;($B$1+$A23-1)),10)="Débitmètre",
            LEFT(INDIRECT("Descriptif!$F"&amp;($B$1+$A23-1)),6)="PLUVIO"
        )
    ),
    IF(LEFT(INDIRECT("Descriptif!$F"&amp;($B$1+$A23-1)),6)="PLUVIO","Pluviomètre",INDIRECT("Descriptif!$"&amp;F$15&amp;($B$1 +$A23 -1))),
    ""
)</f>
        <v/>
      </c>
      <c r="G23" s="19" t="str" cm="1">
        <f t="array" aca="1" ref="G23" ca="1">IF(
    AND(
        $B23,
        OR(
            INDIRECT("Descriptif!$M"&amp;($B$1+$A23-1))="Préleveur",
            LEFT(INDIRECT("Descriptif!$M"&amp;($B$1+$A23-1)),5)="Sonde",
            LEFT(INDIRECT("Descriptif!$M"&amp;($B$1+$A23-1)),10)="Débitmètre",
            LEFT(INDIRECT("Descriptif!$F"&amp;($B$1+$A23-1)),6)="PLUVIO"
        )
    ),
    IF(LEFT(INDIRECT("Descriptif!$F"&amp;($B$1+$A23-1)),6)="PLUVIO","Pluviomètre",INDIRECT("Descriptif!$"&amp;G$15&amp;($B$1 +$A23 -1))),
    ""
)</f>
        <v/>
      </c>
      <c r="H23" s="141" t="str" cm="1">
        <f t="array" aca="1" ref="H23" ca="1">IFERROR(INDEX($C$16:$C$116,SMALL(IF($C$16:$C$116&lt;&gt;"",ROW($C$16:$C$116)-ROW($C$16)+1),ROW(A8))),"")</f>
        <v/>
      </c>
      <c r="I23" s="140" t="str" cm="1">
        <f t="array" aca="1" ref="I23" ca="1">IFERROR(INDEX($D$16:$D$116,SMALL(IF($D$16:$D$116&lt;&gt;"",ROW($D$16:$D$116)-ROW($D$16)+1),ROW(A8))),"")</f>
        <v/>
      </c>
      <c r="J23" s="140" t="str" cm="1">
        <f t="array" aca="1" ref="J23" ca="1">IFERROR(INDEX($E$16:$E$116,SMALL(IF($E$16:$E$116&lt;&gt;"",ROW($E$16:$E$116)-ROW($E$16)+1),ROW(A8))),"")</f>
        <v/>
      </c>
      <c r="K23" s="140" t="str" cm="1">
        <f t="array" aca="1" ref="K23" ca="1">IFERROR(INDEX($F$16:$F$116,SMALL(IF($F$16:$F$116&lt;&gt;"",ROW($F$16:$F$116)-ROW($F$16)+1),ROW(A8))),"")</f>
        <v/>
      </c>
      <c r="L23" s="140" t="str">
        <f t="shared" ca="1" si="0"/>
        <v/>
      </c>
      <c r="M23" s="140" t="str" cm="1">
        <f t="array" aca="1" ref="M23" ca="1">IFERROR(INDEX($G$16:$G$116,SMALL(IF($G$16:$G$116&lt;&gt;"",ROW($G$16:$G$116)-ROW($G$16)+1),ROW(A8))),"")</f>
        <v/>
      </c>
      <c r="N23" s="145" t="str">
        <f t="shared" ca="1" si="1"/>
        <v/>
      </c>
      <c r="O23" s="146" t="str">
        <f t="shared" ca="1" si="2"/>
        <v/>
      </c>
      <c r="P23" s="146" t="str" cm="1">
        <f t="array" aca="1" ref="P23" ca="1">IF($J23&lt;&gt;"",IF(INDIRECT($H23&amp;"!"&amp;$O23)&lt;&gt;"",INDIRECT($H23&amp;"!"&amp;$O23),""),"")</f>
        <v/>
      </c>
      <c r="Q23" s="146" t="str">
        <f t="shared" ca="1" si="3"/>
        <v/>
      </c>
      <c r="R23" s="146" t="str" cm="1">
        <f t="array" aca="1" ref="R23" ca="1">IF($J23&lt;&gt;"",IF(INDIRECT($H23&amp;"!"&amp;$Q23)&lt;&gt;"",INDIRECT($H23&amp;"!"&amp;$Q23),""),"")</f>
        <v/>
      </c>
      <c r="S23" s="146" t="str">
        <f t="shared" ca="1" si="4"/>
        <v/>
      </c>
      <c r="T23" s="146" t="str" cm="1">
        <f t="array" aca="1" ref="T23" ca="1">IF($J23&lt;&gt;"",IF(INDIRECT($H23&amp;"!"&amp;$S23)&lt;&gt;"",INDIRECT($H23&amp;"!"&amp;$S23),""),"")</f>
        <v/>
      </c>
      <c r="U23" s="146" t="str">
        <f t="shared" ca="1" si="5"/>
        <v/>
      </c>
      <c r="V23" s="147" t="str" cm="1">
        <f t="array" aca="1" ref="V23" ca="1">IF($J23&lt;&gt;"",IF(INDIRECT($H23&amp;"!"&amp;$U23)&lt;&gt;"",INDIRECT($H23&amp;"!"&amp;$U23),""),"")</f>
        <v/>
      </c>
      <c r="W23" s="294" t="str">
        <f t="shared" ca="1" si="7"/>
        <v/>
      </c>
      <c r="X23" s="295" t="str">
        <f t="shared" ca="1" si="8"/>
        <v/>
      </c>
      <c r="Y23" s="296" t="str" cm="1">
        <f t="array" aca="1" ref="Y23" ca="1">IF($H23&lt;&gt;"",IF(INDIRECT($H23&amp;"!"&amp;$W23&amp;($X23+Y$15+1))&lt;&gt;"",INDIRECT($H23&amp;"!"&amp;$W23&amp;($X23+Y$15+1)),""),"")</f>
        <v/>
      </c>
      <c r="Z23" s="296" t="str" cm="1">
        <f t="array" aca="1" ref="Z23" ca="1">IF($H23&lt;&gt;"",IF(INDIRECT($H23&amp;"!"&amp;$W23&amp;($X23+Z$15+1))&lt;&gt;"",INDIRECT($H23&amp;"!"&amp;$W23&amp;($X23+Z$15+1)),""),"")</f>
        <v/>
      </c>
      <c r="AA23" s="296" t="str" cm="1">
        <f t="array" aca="1" ref="AA23" ca="1">IF($H23&lt;&gt;"",IF(INDIRECT($H23&amp;"!"&amp;$W23&amp;($X23+AA$15+1))&lt;&gt;"",INDIRECT($H23&amp;"!"&amp;$W23&amp;($X23+AA$15+1)),""),"")</f>
        <v/>
      </c>
      <c r="AB23" s="296" t="str" cm="1">
        <f t="array" aca="1" ref="AB23" ca="1">IF($H23&lt;&gt;"",IF(INDIRECT($H23&amp;"!"&amp;$W23&amp;($X23+AB$15+1))&lt;&gt;"",INDIRECT($H23&amp;"!"&amp;$W23&amp;($X23+AB$15+1)),""),"")</f>
        <v/>
      </c>
      <c r="AC23" s="296" t="str" cm="1">
        <f t="array" aca="1" ref="AC23" ca="1">IF(LEFT($J23,5)="Sonde","",IF($H23&lt;&gt;"",IF(INDIRECT($H23&amp;"!"&amp;$W23&amp;($X23+AC$15+1))&lt;&gt;"",INDIRECT($H23&amp;"!"&amp;$W23&amp;($X23+AC$15+1)),""),""))</f>
        <v/>
      </c>
      <c r="AD23" s="296" t="str" cm="1">
        <f t="array" aca="1" ref="AD23" ca="1">IF(OR($J23="Pluviomètre",LEFT($J23,5)="Sonde"),"",IF($H23&lt;&gt;"",IF(INDIRECT($H23&amp;"!"&amp;$W23&amp;($X23+AD$15+1))&lt;&gt;"",INDIRECT($H23&amp;"!"&amp;$W23&amp;($X23+AD$15+1)),""),""))</f>
        <v/>
      </c>
      <c r="AE23" s="296" t="str" cm="1">
        <f t="array" aca="1" ref="AE23" ca="1">IF(OR($J23="Pluviomètre",LEFT($J23,5)="Sonde"),"",IF($H23&lt;&gt;"",IF(INDIRECT($H23&amp;"!"&amp;$W23&amp;($X23+AE$15+1))&lt;&gt;"",INDIRECT($H23&amp;"!"&amp;$W23&amp;($X23+AE$15+1)),""),""))</f>
        <v/>
      </c>
      <c r="AF23" s="296" t="str" cm="1">
        <f t="array" aca="1" ref="AF23" ca="1">IF(OR($J23="Pluviomètre",LEFT($J23,5)="Sonde"),"",IF($H23&lt;&gt;"",IF(INDIRECT($H23&amp;"!"&amp;$W23&amp;($X23+AF$15+1))&lt;&gt;"",INDIRECT($H23&amp;"!"&amp;$W23&amp;($X23+AF$15+1)),""),""))</f>
        <v/>
      </c>
      <c r="AG23" s="296" t="str" cm="1">
        <f t="array" aca="1" ref="AG23" ca="1">IF(OR($J23="Pluviomètre",LEFT($J23,5)="Sonde"),"",IF($H23&lt;&gt;"",IF(INDIRECT($H23&amp;"!"&amp;$W23&amp;($X23+AG$15+1))&lt;&gt;"",INDIRECT($H23&amp;"!"&amp;$W23&amp;($X23+AG$15+1)),""),""))</f>
        <v/>
      </c>
      <c r="AH23" s="296" t="str" cm="1">
        <f t="array" aca="1" ref="AH23" ca="1">IF(OR($J23="Pluviomètre",LEFT($J23,5)="Sonde"),"",IF($H23&lt;&gt;"",IF(INDIRECT($H23&amp;"!"&amp;$W23&amp;($X23+AH$15+1))&lt;&gt;"",INDIRECT($H23&amp;"!"&amp;$W23&amp;($X23+AH$15+1)),""),""))</f>
        <v/>
      </c>
      <c r="AI23" s="294" t="str">
        <f t="shared" ca="1" si="9"/>
        <v/>
      </c>
      <c r="AJ23" s="295" t="str">
        <f t="shared" ca="1" si="10"/>
        <v/>
      </c>
      <c r="AK23" s="296" t="str" cm="1">
        <f t="array" aca="1" ref="AK23" ca="1">IF($H23&lt;&gt;"",IF(INDIRECT($H23&amp;"!"&amp;$AI23&amp;($AJ23+AK$15+1))&lt;&gt;"",INDIRECT($H23&amp;"!"&amp;$AI23&amp;($AJ23+AK$15+1)),""),"")</f>
        <v/>
      </c>
      <c r="AL23" s="296" t="str" cm="1">
        <f t="array" aca="1" ref="AL23" ca="1">IF($H23&lt;&gt;"",IF(INDIRECT($H23&amp;"!"&amp;$AI23&amp;($AJ23+AL$15+1))&lt;&gt;"",INDIRECT($H23&amp;"!"&amp;$AI23&amp;($AJ23+AL$15+1)),""),"")</f>
        <v/>
      </c>
      <c r="AM23" s="296" t="str" cm="1">
        <f t="array" aca="1" ref="AM23" ca="1">IF($H23&lt;&gt;"",IF(INDIRECT($H23&amp;"!"&amp;$AI23&amp;($AJ23+AM$15+1))&lt;&gt;"",INDIRECT($H23&amp;"!"&amp;$AI23&amp;($AJ23+AM$15+1)),""),"")</f>
        <v/>
      </c>
      <c r="AN23" s="296" t="str" cm="1">
        <f t="array" aca="1" ref="AN23" ca="1">IF($H23&lt;&gt;"",IF(INDIRECT($H23&amp;"!"&amp;$AI23&amp;($AJ23+AN$15+1))&lt;&gt;"",INDIRECT($H23&amp;"!"&amp;$AI23&amp;($AJ23+AN$15+1)),""),"")</f>
        <v/>
      </c>
      <c r="AO23" s="296" t="str" cm="1">
        <f t="array" aca="1" ref="AO23" ca="1">IF(LEFT($J23,5)="Sonde","",IF($H23&lt;&gt;"",IF(INDIRECT($H23&amp;"!"&amp;$AI23&amp;($AJ23+AO$15+1))&lt;&gt;"",INDIRECT($H23&amp;"!"&amp;$AI23&amp;($AJ23+AO$15+1)),""),""))</f>
        <v/>
      </c>
      <c r="AP23" s="296" t="str" cm="1">
        <f t="array" aca="1" ref="AP23" ca="1">IF(OR($J23="Pluviomètre",LEFT($J23,5)="Sonde"),"",IF($H23&lt;&gt;"",IF(INDIRECT($H23&amp;"!"&amp;$AI23&amp;($AJ23+AP$15+1))&lt;&gt;"",INDIRECT($H23&amp;"!"&amp;$AI23&amp;($AJ23+AP$15+1)),""),""))</f>
        <v/>
      </c>
      <c r="AQ23" s="296" t="str" cm="1">
        <f t="array" aca="1" ref="AQ23" ca="1">IF(OR($J23="Pluviomètre",LEFT($J23,5)="Sonde"),"",IF($H23&lt;&gt;"",IF(INDIRECT($H23&amp;"!"&amp;$AI23&amp;($AJ23+AQ$15+1))&lt;&gt;"",INDIRECT($H23&amp;"!"&amp;$AI23&amp;($AJ23+AQ$15+1)),""),""))</f>
        <v/>
      </c>
      <c r="AR23" s="296" t="str" cm="1">
        <f t="array" aca="1" ref="AR23" ca="1">IF(OR($J23="Pluviomètre",LEFT($J23,5)="Sonde"),"",IF($H23&lt;&gt;"",IF(INDIRECT($H23&amp;"!"&amp;$AI23&amp;($AJ23+AR$15+1))&lt;&gt;"",INDIRECT($H23&amp;"!"&amp;$AI23&amp;($AJ23+AR$15+1)),""),""))</f>
        <v/>
      </c>
      <c r="AS23" s="296" t="str" cm="1">
        <f t="array" aca="1" ref="AS23" ca="1">IF(OR($J23="Pluviomètre",LEFT($J23,5)="Sonde"),"",IF($H23&lt;&gt;"",IF(INDIRECT($H23&amp;"!"&amp;$AI23&amp;($AJ23+AS$15+1))&lt;&gt;"",INDIRECT($H23&amp;"!"&amp;$AI23&amp;($AJ23+AS$15+1)),""),""))</f>
        <v/>
      </c>
      <c r="AT23" s="296" t="str" cm="1">
        <f t="array" aca="1" ref="AT23" ca="1">IF(OR($J23="Pluviomètre",LEFT($J23,5)="Sonde"),"",IF($H23&lt;&gt;"",IF(INDIRECT($H23&amp;"!"&amp;$AI23&amp;($AJ23+AT$15+1))&lt;&gt;"",INDIRECT($H23&amp;"!"&amp;$AI23&amp;($AJ23+AT$15+1)),""),""))</f>
        <v/>
      </c>
    </row>
    <row r="24" spans="1:46" x14ac:dyDescent="0.4">
      <c r="A24" s="80">
        <v>9</v>
      </c>
      <c r="B24" s="134" t="b">
        <f t="shared" si="6"/>
        <v>0</v>
      </c>
      <c r="C24" s="139" t="str" cm="1">
        <f t="array" aca="1" ref="C24" ca="1">IF(
    AND(
        $B24,
        OR(
            INDIRECT("Descriptif!$M"&amp;($B$1+$A24-1))="Préleveur",
            LEFT(INDIRECT("Descriptif!$M"&amp;($B$1+$A24-1)),5)="Sonde",
            LEFT(INDIRECT("Descriptif!$M"&amp;($B$1+$A24-1)),10)="Débitmètre",
            LEFT(INDIRECT("Descriptif!$F"&amp;($B$1+$A24-1)),6)="PLUVIO"
        )
    ),
    INDIRECT("Descriptif!$"&amp;C$15&amp;($B$1 +$A24 -1)),
    ""
)</f>
        <v/>
      </c>
      <c r="D24" s="277" t="str" cm="1">
        <f t="array" aca="1" ref="D24" ca="1">IF(
    AND(
        $B24,
        OR(
            INDIRECT("Descriptif!$M"&amp;($B$1+$A24-1))="Préleveur",
            LEFT(INDIRECT("Descriptif!$M"&amp;($B$1+$A24-1)),5)="Sonde",
            LEFT(INDIRECT("Descriptif!$M"&amp;($B$1+$A24-1)),10)="Débitmètre",
            LEFT(INDIRECT("Descriptif!$F"&amp;($B$1+$A24-1)),6)="PLUVIO"
        )
    ),
    IF(
        LEFT(INDIRECT("Descriptif!$F"&amp;($B$1+$A24-1)),11)="PLUVIO_STEU",
        "A3",
        IF(
            LEFT(INDIRECT("Descriptif!$F"&amp;($B$1+$A24-1)),10)="PLUVIO_SCL",
            "A1",
            INDIRECT("Descriptif!$"&amp;D$15&amp;($B$1 +$A24 -1))
        )
    ),
    ""
)</f>
        <v/>
      </c>
      <c r="E24" s="277" t="str" cm="1">
        <f t="array" aca="1" ref="E24" ca="1">IF(
    AND(
        $B24,
        OR(
            INDIRECT("Descriptif!$M"&amp;($B$1+$A24-1))="Préleveur",
            LEFT(INDIRECT("Descriptif!$M"&amp;($B$1+$A24-1)),5)="Sonde",
            LEFT(INDIRECT("Descriptif!$M"&amp;($B$1+$A24-1)),10)="Débitmètre",
            LEFT(INDIRECT("Descriptif!$F"&amp;($B$1+$A24-1)),6)="PLUVIO"
        )
    ),
    IF(LEFT(INDIRECT("Descriptif!$F"&amp;($B$1+$A24-1)),6)="PLUVIO","Pluviomètre",INDIRECT("Descriptif!$"&amp;E$15&amp;($B$1 +$A24 -1))),
    ""
)</f>
        <v/>
      </c>
      <c r="F24" s="19" t="str" cm="1">
        <f t="array" aca="1" ref="F24" ca="1">IF(
    AND(
        $B24,
        OR(
            INDIRECT("Descriptif!$M"&amp;($B$1+$A24-1))="Préleveur",
            LEFT(INDIRECT("Descriptif!$M"&amp;($B$1+$A24-1)),5)="Sonde",
            LEFT(INDIRECT("Descriptif!$M"&amp;($B$1+$A24-1)),10)="Débitmètre",
            LEFT(INDIRECT("Descriptif!$F"&amp;($B$1+$A24-1)),6)="PLUVIO"
        )
    ),
    IF(LEFT(INDIRECT("Descriptif!$F"&amp;($B$1+$A24-1)),6)="PLUVIO","Pluviomètre",INDIRECT("Descriptif!$"&amp;F$15&amp;($B$1 +$A24 -1))),
    ""
)</f>
        <v/>
      </c>
      <c r="G24" s="19" t="str" cm="1">
        <f t="array" aca="1" ref="G24" ca="1">IF(
    AND(
        $B24,
        OR(
            INDIRECT("Descriptif!$M"&amp;($B$1+$A24-1))="Préleveur",
            LEFT(INDIRECT("Descriptif!$M"&amp;($B$1+$A24-1)),5)="Sonde",
            LEFT(INDIRECT("Descriptif!$M"&amp;($B$1+$A24-1)),10)="Débitmètre",
            LEFT(INDIRECT("Descriptif!$F"&amp;($B$1+$A24-1)),6)="PLUVIO"
        )
    ),
    IF(LEFT(INDIRECT("Descriptif!$F"&amp;($B$1+$A24-1)),6)="PLUVIO","Pluviomètre",INDIRECT("Descriptif!$"&amp;G$15&amp;($B$1 +$A24 -1))),
    ""
)</f>
        <v/>
      </c>
      <c r="H24" s="141" t="str" cm="1">
        <f t="array" aca="1" ref="H24" ca="1">IFERROR(INDEX($C$16:$C$116,SMALL(IF($C$16:$C$116&lt;&gt;"",ROW($C$16:$C$116)-ROW($C$16)+1),ROW(A9))),"")</f>
        <v/>
      </c>
      <c r="I24" s="140" t="str" cm="1">
        <f t="array" aca="1" ref="I24" ca="1">IFERROR(INDEX($D$16:$D$116,SMALL(IF($D$16:$D$116&lt;&gt;"",ROW($D$16:$D$116)-ROW($D$16)+1),ROW(A9))),"")</f>
        <v/>
      </c>
      <c r="J24" s="140" t="str" cm="1">
        <f t="array" aca="1" ref="J24" ca="1">IFERROR(INDEX($E$16:$E$116,SMALL(IF($E$16:$E$116&lt;&gt;"",ROW($E$16:$E$116)-ROW($E$16)+1),ROW(A9))),"")</f>
        <v/>
      </c>
      <c r="K24" s="140" t="str" cm="1">
        <f t="array" aca="1" ref="K24" ca="1">IFERROR(INDEX($F$16:$F$116,SMALL(IF($F$16:$F$116&lt;&gt;"",ROW($F$16:$F$116)-ROW($F$16)+1),ROW(A9))),"")</f>
        <v/>
      </c>
      <c r="L24" s="140" t="str">
        <f t="shared" ca="1" si="0"/>
        <v/>
      </c>
      <c r="M24" s="140" t="str" cm="1">
        <f t="array" aca="1" ref="M24" ca="1">IFERROR(INDEX($G$16:$G$116,SMALL(IF($G$16:$G$116&lt;&gt;"",ROW($G$16:$G$116)-ROW($G$16)+1),ROW(A9))),"")</f>
        <v/>
      </c>
      <c r="N24" s="145" t="str">
        <f t="shared" ca="1" si="1"/>
        <v/>
      </c>
      <c r="O24" s="146" t="str">
        <f t="shared" ca="1" si="2"/>
        <v/>
      </c>
      <c r="P24" s="146" t="str" cm="1">
        <f t="array" aca="1" ref="P24" ca="1">IF($J24&lt;&gt;"",IF(INDIRECT($H24&amp;"!"&amp;$O24)&lt;&gt;"",INDIRECT($H24&amp;"!"&amp;$O24),""),"")</f>
        <v/>
      </c>
      <c r="Q24" s="146" t="str">
        <f t="shared" ca="1" si="3"/>
        <v/>
      </c>
      <c r="R24" s="146" t="str" cm="1">
        <f t="array" aca="1" ref="R24" ca="1">IF($J24&lt;&gt;"",IF(INDIRECT($H24&amp;"!"&amp;$Q24)&lt;&gt;"",INDIRECT($H24&amp;"!"&amp;$Q24),""),"")</f>
        <v/>
      </c>
      <c r="S24" s="146" t="str">
        <f t="shared" ca="1" si="4"/>
        <v/>
      </c>
      <c r="T24" s="146" t="str" cm="1">
        <f t="array" aca="1" ref="T24" ca="1">IF($J24&lt;&gt;"",IF(INDIRECT($H24&amp;"!"&amp;$S24)&lt;&gt;"",INDIRECT($H24&amp;"!"&amp;$S24),""),"")</f>
        <v/>
      </c>
      <c r="U24" s="146" t="str">
        <f t="shared" ca="1" si="5"/>
        <v/>
      </c>
      <c r="V24" s="147" t="str" cm="1">
        <f t="array" aca="1" ref="V24" ca="1">IF($J24&lt;&gt;"",IF(INDIRECT($H24&amp;"!"&amp;$U24)&lt;&gt;"",INDIRECT($H24&amp;"!"&amp;$U24),""),"")</f>
        <v/>
      </c>
      <c r="W24" s="294" t="str">
        <f t="shared" ca="1" si="7"/>
        <v/>
      </c>
      <c r="X24" s="295" t="str">
        <f t="shared" ca="1" si="8"/>
        <v/>
      </c>
      <c r="Y24" s="296" t="str" cm="1">
        <f t="array" aca="1" ref="Y24" ca="1">IF($H24&lt;&gt;"",IF(INDIRECT($H24&amp;"!"&amp;$W24&amp;($X24+Y$15+1))&lt;&gt;"",INDIRECT($H24&amp;"!"&amp;$W24&amp;($X24+Y$15+1)),""),"")</f>
        <v/>
      </c>
      <c r="Z24" s="296" t="str" cm="1">
        <f t="array" aca="1" ref="Z24" ca="1">IF($H24&lt;&gt;"",IF(INDIRECT($H24&amp;"!"&amp;$W24&amp;($X24+Z$15+1))&lt;&gt;"",INDIRECT($H24&amp;"!"&amp;$W24&amp;($X24+Z$15+1)),""),"")</f>
        <v/>
      </c>
      <c r="AA24" s="296" t="str" cm="1">
        <f t="array" aca="1" ref="AA24" ca="1">IF($H24&lt;&gt;"",IF(INDIRECT($H24&amp;"!"&amp;$W24&amp;($X24+AA$15+1))&lt;&gt;"",INDIRECT($H24&amp;"!"&amp;$W24&amp;($X24+AA$15+1)),""),"")</f>
        <v/>
      </c>
      <c r="AB24" s="296" t="str" cm="1">
        <f t="array" aca="1" ref="AB24" ca="1">IF($H24&lt;&gt;"",IF(INDIRECT($H24&amp;"!"&amp;$W24&amp;($X24+AB$15+1))&lt;&gt;"",INDIRECT($H24&amp;"!"&amp;$W24&amp;($X24+AB$15+1)),""),"")</f>
        <v/>
      </c>
      <c r="AC24" s="296" t="str" cm="1">
        <f t="array" aca="1" ref="AC24" ca="1">IF(LEFT($J24,5)="Sonde","",IF($H24&lt;&gt;"",IF(INDIRECT($H24&amp;"!"&amp;$W24&amp;($X24+AC$15+1))&lt;&gt;"",INDIRECT($H24&amp;"!"&amp;$W24&amp;($X24+AC$15+1)),""),""))</f>
        <v/>
      </c>
      <c r="AD24" s="296" t="str" cm="1">
        <f t="array" aca="1" ref="AD24" ca="1">IF(OR($J24="Pluviomètre",LEFT($J24,5)="Sonde"),"",IF($H24&lt;&gt;"",IF(INDIRECT($H24&amp;"!"&amp;$W24&amp;($X24+AD$15+1))&lt;&gt;"",INDIRECT($H24&amp;"!"&amp;$W24&amp;($X24+AD$15+1)),""),""))</f>
        <v/>
      </c>
      <c r="AE24" s="296" t="str" cm="1">
        <f t="array" aca="1" ref="AE24" ca="1">IF(OR($J24="Pluviomètre",LEFT($J24,5)="Sonde"),"",IF($H24&lt;&gt;"",IF(INDIRECT($H24&amp;"!"&amp;$W24&amp;($X24+AE$15+1))&lt;&gt;"",INDIRECT($H24&amp;"!"&amp;$W24&amp;($X24+AE$15+1)),""),""))</f>
        <v/>
      </c>
      <c r="AF24" s="296" t="str" cm="1">
        <f t="array" aca="1" ref="AF24" ca="1">IF(OR($J24="Pluviomètre",LEFT($J24,5)="Sonde"),"",IF($H24&lt;&gt;"",IF(INDIRECT($H24&amp;"!"&amp;$W24&amp;($X24+AF$15+1))&lt;&gt;"",INDIRECT($H24&amp;"!"&amp;$W24&amp;($X24+AF$15+1)),""),""))</f>
        <v/>
      </c>
      <c r="AG24" s="296" t="str" cm="1">
        <f t="array" aca="1" ref="AG24" ca="1">IF(OR($J24="Pluviomètre",LEFT($J24,5)="Sonde"),"",IF($H24&lt;&gt;"",IF(INDIRECT($H24&amp;"!"&amp;$W24&amp;($X24+AG$15+1))&lt;&gt;"",INDIRECT($H24&amp;"!"&amp;$W24&amp;($X24+AG$15+1)),""),""))</f>
        <v/>
      </c>
      <c r="AH24" s="296" t="str" cm="1">
        <f t="array" aca="1" ref="AH24" ca="1">IF(OR($J24="Pluviomètre",LEFT($J24,5)="Sonde"),"",IF($H24&lt;&gt;"",IF(INDIRECT($H24&amp;"!"&amp;$W24&amp;($X24+AH$15+1))&lt;&gt;"",INDIRECT($H24&amp;"!"&amp;$W24&amp;($X24+AH$15+1)),""),""))</f>
        <v/>
      </c>
      <c r="AI24" s="294" t="str">
        <f t="shared" ca="1" si="9"/>
        <v/>
      </c>
      <c r="AJ24" s="295" t="str">
        <f t="shared" ca="1" si="10"/>
        <v/>
      </c>
      <c r="AK24" s="296" t="str" cm="1">
        <f t="array" aca="1" ref="AK24" ca="1">IF($H24&lt;&gt;"",IF(INDIRECT($H24&amp;"!"&amp;$AI24&amp;($AJ24+AK$15+1))&lt;&gt;"",INDIRECT($H24&amp;"!"&amp;$AI24&amp;($AJ24+AK$15+1)),""),"")</f>
        <v/>
      </c>
      <c r="AL24" s="296" t="str" cm="1">
        <f t="array" aca="1" ref="AL24" ca="1">IF($H24&lt;&gt;"",IF(INDIRECT($H24&amp;"!"&amp;$AI24&amp;($AJ24+AL$15+1))&lt;&gt;"",INDIRECT($H24&amp;"!"&amp;$AI24&amp;($AJ24+AL$15+1)),""),"")</f>
        <v/>
      </c>
      <c r="AM24" s="296" t="str" cm="1">
        <f t="array" aca="1" ref="AM24" ca="1">IF($H24&lt;&gt;"",IF(INDIRECT($H24&amp;"!"&amp;$AI24&amp;($AJ24+AM$15+1))&lt;&gt;"",INDIRECT($H24&amp;"!"&amp;$AI24&amp;($AJ24+AM$15+1)),""),"")</f>
        <v/>
      </c>
      <c r="AN24" s="296" t="str" cm="1">
        <f t="array" aca="1" ref="AN24" ca="1">IF($H24&lt;&gt;"",IF(INDIRECT($H24&amp;"!"&amp;$AI24&amp;($AJ24+AN$15+1))&lt;&gt;"",INDIRECT($H24&amp;"!"&amp;$AI24&amp;($AJ24+AN$15+1)),""),"")</f>
        <v/>
      </c>
      <c r="AO24" s="296" t="str" cm="1">
        <f t="array" aca="1" ref="AO24" ca="1">IF(LEFT($J24,5)="Sonde","",IF($H24&lt;&gt;"",IF(INDIRECT($H24&amp;"!"&amp;$AI24&amp;($AJ24+AO$15+1))&lt;&gt;"",INDIRECT($H24&amp;"!"&amp;$AI24&amp;($AJ24+AO$15+1)),""),""))</f>
        <v/>
      </c>
      <c r="AP24" s="296" t="str" cm="1">
        <f t="array" aca="1" ref="AP24" ca="1">IF(OR($J24="Pluviomètre",LEFT($J24,5)="Sonde"),"",IF($H24&lt;&gt;"",IF(INDIRECT($H24&amp;"!"&amp;$AI24&amp;($AJ24+AP$15+1))&lt;&gt;"",INDIRECT($H24&amp;"!"&amp;$AI24&amp;($AJ24+AP$15+1)),""),""))</f>
        <v/>
      </c>
      <c r="AQ24" s="296" t="str" cm="1">
        <f t="array" aca="1" ref="AQ24" ca="1">IF(OR($J24="Pluviomètre",LEFT($J24,5)="Sonde"),"",IF($H24&lt;&gt;"",IF(INDIRECT($H24&amp;"!"&amp;$AI24&amp;($AJ24+AQ$15+1))&lt;&gt;"",INDIRECT($H24&amp;"!"&amp;$AI24&amp;($AJ24+AQ$15+1)),""),""))</f>
        <v/>
      </c>
      <c r="AR24" s="296" t="str" cm="1">
        <f t="array" aca="1" ref="AR24" ca="1">IF(OR($J24="Pluviomètre",LEFT($J24,5)="Sonde"),"",IF($H24&lt;&gt;"",IF(INDIRECT($H24&amp;"!"&amp;$AI24&amp;($AJ24+AR$15+1))&lt;&gt;"",INDIRECT($H24&amp;"!"&amp;$AI24&amp;($AJ24+AR$15+1)),""),""))</f>
        <v/>
      </c>
      <c r="AS24" s="296" t="str" cm="1">
        <f t="array" aca="1" ref="AS24" ca="1">IF(OR($J24="Pluviomètre",LEFT($J24,5)="Sonde"),"",IF($H24&lt;&gt;"",IF(INDIRECT($H24&amp;"!"&amp;$AI24&amp;($AJ24+AS$15+1))&lt;&gt;"",INDIRECT($H24&amp;"!"&amp;$AI24&amp;($AJ24+AS$15+1)),""),""))</f>
        <v/>
      </c>
      <c r="AT24" s="296" t="str" cm="1">
        <f t="array" aca="1" ref="AT24" ca="1">IF(OR($J24="Pluviomètre",LEFT($J24,5)="Sonde"),"",IF($H24&lt;&gt;"",IF(INDIRECT($H24&amp;"!"&amp;$AI24&amp;($AJ24+AT$15+1))&lt;&gt;"",INDIRECT($H24&amp;"!"&amp;$AI24&amp;($AJ24+AT$15+1)),""),""))</f>
        <v/>
      </c>
    </row>
    <row r="25" spans="1:46" x14ac:dyDescent="0.4">
      <c r="A25" s="80">
        <v>10</v>
      </c>
      <c r="B25" s="134" t="b">
        <f t="shared" si="6"/>
        <v>0</v>
      </c>
      <c r="C25" s="139" t="str" cm="1">
        <f t="array" aca="1" ref="C25" ca="1">IF(
    AND(
        $B25,
        OR(
            INDIRECT("Descriptif!$M"&amp;($B$1+$A25-1))="Préleveur",
            LEFT(INDIRECT("Descriptif!$M"&amp;($B$1+$A25-1)),5)="Sonde",
            LEFT(INDIRECT("Descriptif!$M"&amp;($B$1+$A25-1)),10)="Débitmètre",
            LEFT(INDIRECT("Descriptif!$F"&amp;($B$1+$A25-1)),6)="PLUVIO"
        )
    ),
    INDIRECT("Descriptif!$"&amp;C$15&amp;($B$1 +$A25 -1)),
    ""
)</f>
        <v/>
      </c>
      <c r="D25" s="277" t="str" cm="1">
        <f t="array" aca="1" ref="D25" ca="1">IF(
    AND(
        $B25,
        OR(
            INDIRECT("Descriptif!$M"&amp;($B$1+$A25-1))="Préleveur",
            LEFT(INDIRECT("Descriptif!$M"&amp;($B$1+$A25-1)),5)="Sonde",
            LEFT(INDIRECT("Descriptif!$M"&amp;($B$1+$A25-1)),10)="Débitmètre",
            LEFT(INDIRECT("Descriptif!$F"&amp;($B$1+$A25-1)),6)="PLUVIO"
        )
    ),
    IF(
        LEFT(INDIRECT("Descriptif!$F"&amp;($B$1+$A25-1)),11)="PLUVIO_STEU",
        "A3",
        IF(
            LEFT(INDIRECT("Descriptif!$F"&amp;($B$1+$A25-1)),10)="PLUVIO_SCL",
            "A1",
            INDIRECT("Descriptif!$"&amp;D$15&amp;($B$1 +$A25 -1))
        )
    ),
    ""
)</f>
        <v/>
      </c>
      <c r="E25" s="277" t="str" cm="1">
        <f t="array" aca="1" ref="E25" ca="1">IF(
    AND(
        $B25,
        OR(
            INDIRECT("Descriptif!$M"&amp;($B$1+$A25-1))="Préleveur",
            LEFT(INDIRECT("Descriptif!$M"&amp;($B$1+$A25-1)),5)="Sonde",
            LEFT(INDIRECT("Descriptif!$M"&amp;($B$1+$A25-1)),10)="Débitmètre",
            LEFT(INDIRECT("Descriptif!$F"&amp;($B$1+$A25-1)),6)="PLUVIO"
        )
    ),
    IF(LEFT(INDIRECT("Descriptif!$F"&amp;($B$1+$A25-1)),6)="PLUVIO","Pluviomètre",INDIRECT("Descriptif!$"&amp;E$15&amp;($B$1 +$A25 -1))),
    ""
)</f>
        <v/>
      </c>
      <c r="F25" s="19" t="str" cm="1">
        <f t="array" aca="1" ref="F25" ca="1">IF(
    AND(
        $B25,
        OR(
            INDIRECT("Descriptif!$M"&amp;($B$1+$A25-1))="Préleveur",
            LEFT(INDIRECT("Descriptif!$M"&amp;($B$1+$A25-1)),5)="Sonde",
            LEFT(INDIRECT("Descriptif!$M"&amp;($B$1+$A25-1)),10)="Débitmètre",
            LEFT(INDIRECT("Descriptif!$F"&amp;($B$1+$A25-1)),6)="PLUVIO"
        )
    ),
    IF(LEFT(INDIRECT("Descriptif!$F"&amp;($B$1+$A25-1)),6)="PLUVIO","Pluviomètre",INDIRECT("Descriptif!$"&amp;F$15&amp;($B$1 +$A25 -1))),
    ""
)</f>
        <v/>
      </c>
      <c r="G25" s="19" t="str" cm="1">
        <f t="array" aca="1" ref="G25" ca="1">IF(
    AND(
        $B25,
        OR(
            INDIRECT("Descriptif!$M"&amp;($B$1+$A25-1))="Préleveur",
            LEFT(INDIRECT("Descriptif!$M"&amp;($B$1+$A25-1)),5)="Sonde",
            LEFT(INDIRECT("Descriptif!$M"&amp;($B$1+$A25-1)),10)="Débitmètre",
            LEFT(INDIRECT("Descriptif!$F"&amp;($B$1+$A25-1)),6)="PLUVIO"
        )
    ),
    IF(LEFT(INDIRECT("Descriptif!$F"&amp;($B$1+$A25-1)),6)="PLUVIO","Pluviomètre",INDIRECT("Descriptif!$"&amp;G$15&amp;($B$1 +$A25 -1))),
    ""
)</f>
        <v/>
      </c>
      <c r="H25" s="141" t="str" cm="1">
        <f t="array" aca="1" ref="H25" ca="1">IFERROR(INDEX($C$16:$C$116,SMALL(IF($C$16:$C$116&lt;&gt;"",ROW($C$16:$C$116)-ROW($C$16)+1),ROW(A10))),"")</f>
        <v/>
      </c>
      <c r="I25" s="140" t="str" cm="1">
        <f t="array" aca="1" ref="I25" ca="1">IFERROR(INDEX($D$16:$D$116,SMALL(IF($D$16:$D$116&lt;&gt;"",ROW($D$16:$D$116)-ROW($D$16)+1),ROW(A10))),"")</f>
        <v/>
      </c>
      <c r="J25" s="140" t="str" cm="1">
        <f t="array" aca="1" ref="J25" ca="1">IFERROR(INDEX($E$16:$E$116,SMALL(IF($E$16:$E$116&lt;&gt;"",ROW($E$16:$E$116)-ROW($E$16)+1),ROW(A10))),"")</f>
        <v/>
      </c>
      <c r="K25" s="140" t="str" cm="1">
        <f t="array" aca="1" ref="K25" ca="1">IFERROR(INDEX($F$16:$F$116,SMALL(IF($F$16:$F$116&lt;&gt;"",ROW($F$16:$F$116)-ROW($F$16)+1),ROW(A10))),"")</f>
        <v/>
      </c>
      <c r="L25" s="140" t="str">
        <f t="shared" ca="1" si="0"/>
        <v/>
      </c>
      <c r="M25" s="140" t="str" cm="1">
        <f t="array" aca="1" ref="M25" ca="1">IFERROR(INDEX($G$16:$G$116,SMALL(IF($G$16:$G$116&lt;&gt;"",ROW($G$16:$G$116)-ROW($G$16)+1),ROW(A10))),"")</f>
        <v/>
      </c>
      <c r="N25" s="145" t="str">
        <f t="shared" ca="1" si="1"/>
        <v/>
      </c>
      <c r="O25" s="146" t="str">
        <f t="shared" ca="1" si="2"/>
        <v/>
      </c>
      <c r="P25" s="146" t="str" cm="1">
        <f t="array" aca="1" ref="P25" ca="1">IF($J25&lt;&gt;"",IF(INDIRECT($H25&amp;"!"&amp;$O25)&lt;&gt;"",INDIRECT($H25&amp;"!"&amp;$O25),""),"")</f>
        <v/>
      </c>
      <c r="Q25" s="146" t="str">
        <f t="shared" ca="1" si="3"/>
        <v/>
      </c>
      <c r="R25" s="146" t="str" cm="1">
        <f t="array" aca="1" ref="R25" ca="1">IF($J25&lt;&gt;"",IF(INDIRECT($H25&amp;"!"&amp;$Q25)&lt;&gt;"",INDIRECT($H25&amp;"!"&amp;$Q25),""),"")</f>
        <v/>
      </c>
      <c r="S25" s="146" t="str">
        <f t="shared" ca="1" si="4"/>
        <v/>
      </c>
      <c r="T25" s="146" t="str" cm="1">
        <f t="array" aca="1" ref="T25" ca="1">IF($J25&lt;&gt;"",IF(INDIRECT($H25&amp;"!"&amp;$S25)&lt;&gt;"",INDIRECT($H25&amp;"!"&amp;$S25),""),"")</f>
        <v/>
      </c>
      <c r="U25" s="146" t="str">
        <f t="shared" ca="1" si="5"/>
        <v/>
      </c>
      <c r="V25" s="147" t="str" cm="1">
        <f t="array" aca="1" ref="V25" ca="1">IF($J25&lt;&gt;"",IF(INDIRECT($H25&amp;"!"&amp;$U25)&lt;&gt;"",INDIRECT($H25&amp;"!"&amp;$U25),""),"")</f>
        <v/>
      </c>
      <c r="W25" s="294" t="str">
        <f t="shared" ca="1" si="7"/>
        <v/>
      </c>
      <c r="X25" s="295" t="str">
        <f t="shared" ca="1" si="8"/>
        <v/>
      </c>
      <c r="Y25" s="296" t="str" cm="1">
        <f t="array" aca="1" ref="Y25" ca="1">IF($H25&lt;&gt;"",IF(INDIRECT($H25&amp;"!"&amp;$W25&amp;($X25+Y$15+1))&lt;&gt;"",INDIRECT($H25&amp;"!"&amp;$W25&amp;($X25+Y$15+1)),""),"")</f>
        <v/>
      </c>
      <c r="Z25" s="296" t="str" cm="1">
        <f t="array" aca="1" ref="Z25" ca="1">IF($H25&lt;&gt;"",IF(INDIRECT($H25&amp;"!"&amp;$W25&amp;($X25+Z$15+1))&lt;&gt;"",INDIRECT($H25&amp;"!"&amp;$W25&amp;($X25+Z$15+1)),""),"")</f>
        <v/>
      </c>
      <c r="AA25" s="296" t="str" cm="1">
        <f t="array" aca="1" ref="AA25" ca="1">IF($H25&lt;&gt;"",IF(INDIRECT($H25&amp;"!"&amp;$W25&amp;($X25+AA$15+1))&lt;&gt;"",INDIRECT($H25&amp;"!"&amp;$W25&amp;($X25+AA$15+1)),""),"")</f>
        <v/>
      </c>
      <c r="AB25" s="296" t="str" cm="1">
        <f t="array" aca="1" ref="AB25" ca="1">IF($H25&lt;&gt;"",IF(INDIRECT($H25&amp;"!"&amp;$W25&amp;($X25+AB$15+1))&lt;&gt;"",INDIRECT($H25&amp;"!"&amp;$W25&amp;($X25+AB$15+1)),""),"")</f>
        <v/>
      </c>
      <c r="AC25" s="296" t="str" cm="1">
        <f t="array" aca="1" ref="AC25" ca="1">IF(LEFT($J25,5)="Sonde","",IF($H25&lt;&gt;"",IF(INDIRECT($H25&amp;"!"&amp;$W25&amp;($X25+AC$15+1))&lt;&gt;"",INDIRECT($H25&amp;"!"&amp;$W25&amp;($X25+AC$15+1)),""),""))</f>
        <v/>
      </c>
      <c r="AD25" s="296" t="str" cm="1">
        <f t="array" aca="1" ref="AD25" ca="1">IF(OR($J25="Pluviomètre",LEFT($J25,5)="Sonde"),"",IF($H25&lt;&gt;"",IF(INDIRECT($H25&amp;"!"&amp;$W25&amp;($X25+AD$15+1))&lt;&gt;"",INDIRECT($H25&amp;"!"&amp;$W25&amp;($X25+AD$15+1)),""),""))</f>
        <v/>
      </c>
      <c r="AE25" s="296" t="str" cm="1">
        <f t="array" aca="1" ref="AE25" ca="1">IF(OR($J25="Pluviomètre",LEFT($J25,5)="Sonde"),"",IF($H25&lt;&gt;"",IF(INDIRECT($H25&amp;"!"&amp;$W25&amp;($X25+AE$15+1))&lt;&gt;"",INDIRECT($H25&amp;"!"&amp;$W25&amp;($X25+AE$15+1)),""),""))</f>
        <v/>
      </c>
      <c r="AF25" s="296" t="str" cm="1">
        <f t="array" aca="1" ref="AF25" ca="1">IF(OR($J25="Pluviomètre",LEFT($J25,5)="Sonde"),"",IF($H25&lt;&gt;"",IF(INDIRECT($H25&amp;"!"&amp;$W25&amp;($X25+AF$15+1))&lt;&gt;"",INDIRECT($H25&amp;"!"&amp;$W25&amp;($X25+AF$15+1)),""),""))</f>
        <v/>
      </c>
      <c r="AG25" s="296" t="str" cm="1">
        <f t="array" aca="1" ref="AG25" ca="1">IF(OR($J25="Pluviomètre",LEFT($J25,5)="Sonde"),"",IF($H25&lt;&gt;"",IF(INDIRECT($H25&amp;"!"&amp;$W25&amp;($X25+AG$15+1))&lt;&gt;"",INDIRECT($H25&amp;"!"&amp;$W25&amp;($X25+AG$15+1)),""),""))</f>
        <v/>
      </c>
      <c r="AH25" s="296" t="str" cm="1">
        <f t="array" aca="1" ref="AH25" ca="1">IF(OR($J25="Pluviomètre",LEFT($J25,5)="Sonde"),"",IF($H25&lt;&gt;"",IF(INDIRECT($H25&amp;"!"&amp;$W25&amp;($X25+AH$15+1))&lt;&gt;"",INDIRECT($H25&amp;"!"&amp;$W25&amp;($X25+AH$15+1)),""),""))</f>
        <v/>
      </c>
      <c r="AI25" s="294" t="str">
        <f t="shared" ca="1" si="9"/>
        <v/>
      </c>
      <c r="AJ25" s="295" t="str">
        <f t="shared" ca="1" si="10"/>
        <v/>
      </c>
      <c r="AK25" s="296" t="str" cm="1">
        <f t="array" aca="1" ref="AK25" ca="1">IF($H25&lt;&gt;"",IF(INDIRECT($H25&amp;"!"&amp;$AI25&amp;($AJ25+AK$15+1))&lt;&gt;"",INDIRECT($H25&amp;"!"&amp;$AI25&amp;($AJ25+AK$15+1)),""),"")</f>
        <v/>
      </c>
      <c r="AL25" s="296" t="str" cm="1">
        <f t="array" aca="1" ref="AL25" ca="1">IF($H25&lt;&gt;"",IF(INDIRECT($H25&amp;"!"&amp;$AI25&amp;($AJ25+AL$15+1))&lt;&gt;"",INDIRECT($H25&amp;"!"&amp;$AI25&amp;($AJ25+AL$15+1)),""),"")</f>
        <v/>
      </c>
      <c r="AM25" s="296" t="str" cm="1">
        <f t="array" aca="1" ref="AM25" ca="1">IF($H25&lt;&gt;"",IF(INDIRECT($H25&amp;"!"&amp;$AI25&amp;($AJ25+AM$15+1))&lt;&gt;"",INDIRECT($H25&amp;"!"&amp;$AI25&amp;($AJ25+AM$15+1)),""),"")</f>
        <v/>
      </c>
      <c r="AN25" s="296" t="str" cm="1">
        <f t="array" aca="1" ref="AN25" ca="1">IF($H25&lt;&gt;"",IF(INDIRECT($H25&amp;"!"&amp;$AI25&amp;($AJ25+AN$15+1))&lt;&gt;"",INDIRECT($H25&amp;"!"&amp;$AI25&amp;($AJ25+AN$15+1)),""),"")</f>
        <v/>
      </c>
      <c r="AO25" s="296" t="str" cm="1">
        <f t="array" aca="1" ref="AO25" ca="1">IF(LEFT($J25,5)="Sonde","",IF($H25&lt;&gt;"",IF(INDIRECT($H25&amp;"!"&amp;$AI25&amp;($AJ25+AO$15+1))&lt;&gt;"",INDIRECT($H25&amp;"!"&amp;$AI25&amp;($AJ25+AO$15+1)),""),""))</f>
        <v/>
      </c>
      <c r="AP25" s="296" t="str" cm="1">
        <f t="array" aca="1" ref="AP25" ca="1">IF(OR($J25="Pluviomètre",LEFT($J25,5)="Sonde"),"",IF($H25&lt;&gt;"",IF(INDIRECT($H25&amp;"!"&amp;$AI25&amp;($AJ25+AP$15+1))&lt;&gt;"",INDIRECT($H25&amp;"!"&amp;$AI25&amp;($AJ25+AP$15+1)),""),""))</f>
        <v/>
      </c>
      <c r="AQ25" s="296" t="str" cm="1">
        <f t="array" aca="1" ref="AQ25" ca="1">IF(OR($J25="Pluviomètre",LEFT($J25,5)="Sonde"),"",IF($H25&lt;&gt;"",IF(INDIRECT($H25&amp;"!"&amp;$AI25&amp;($AJ25+AQ$15+1))&lt;&gt;"",INDIRECT($H25&amp;"!"&amp;$AI25&amp;($AJ25+AQ$15+1)),""),""))</f>
        <v/>
      </c>
      <c r="AR25" s="296" t="str" cm="1">
        <f t="array" aca="1" ref="AR25" ca="1">IF(OR($J25="Pluviomètre",LEFT($J25,5)="Sonde"),"",IF($H25&lt;&gt;"",IF(INDIRECT($H25&amp;"!"&amp;$AI25&amp;($AJ25+AR$15+1))&lt;&gt;"",INDIRECT($H25&amp;"!"&amp;$AI25&amp;($AJ25+AR$15+1)),""),""))</f>
        <v/>
      </c>
      <c r="AS25" s="296" t="str" cm="1">
        <f t="array" aca="1" ref="AS25" ca="1">IF(OR($J25="Pluviomètre",LEFT($J25,5)="Sonde"),"",IF($H25&lt;&gt;"",IF(INDIRECT($H25&amp;"!"&amp;$AI25&amp;($AJ25+AS$15+1))&lt;&gt;"",INDIRECT($H25&amp;"!"&amp;$AI25&amp;($AJ25+AS$15+1)),""),""))</f>
        <v/>
      </c>
      <c r="AT25" s="296" t="str" cm="1">
        <f t="array" aca="1" ref="AT25" ca="1">IF(OR($J25="Pluviomètre",LEFT($J25,5)="Sonde"),"",IF($H25&lt;&gt;"",IF(INDIRECT($H25&amp;"!"&amp;$AI25&amp;($AJ25+AT$15+1))&lt;&gt;"",INDIRECT($H25&amp;"!"&amp;$AI25&amp;($AJ25+AT$15+1)),""),""))</f>
        <v/>
      </c>
    </row>
    <row r="26" spans="1:46" x14ac:dyDescent="0.4">
      <c r="A26" s="80">
        <v>11</v>
      </c>
      <c r="B26" s="134" t="b">
        <f t="shared" si="6"/>
        <v>0</v>
      </c>
      <c r="C26" s="139" t="str" cm="1">
        <f t="array" aca="1" ref="C26" ca="1">IF(
    AND(
        $B26,
        OR(
            INDIRECT("Descriptif!$M"&amp;($B$1+$A26-1))="Préleveur",
            LEFT(INDIRECT("Descriptif!$M"&amp;($B$1+$A26-1)),5)="Sonde",
            LEFT(INDIRECT("Descriptif!$M"&amp;($B$1+$A26-1)),10)="Débitmètre",
            LEFT(INDIRECT("Descriptif!$F"&amp;($B$1+$A26-1)),6)="PLUVIO"
        )
    ),
    INDIRECT("Descriptif!$"&amp;C$15&amp;($B$1 +$A26 -1)),
    ""
)</f>
        <v/>
      </c>
      <c r="D26" s="277" t="str" cm="1">
        <f t="array" aca="1" ref="D26" ca="1">IF(
    AND(
        $B26,
        OR(
            INDIRECT("Descriptif!$M"&amp;($B$1+$A26-1))="Préleveur",
            LEFT(INDIRECT("Descriptif!$M"&amp;($B$1+$A26-1)),5)="Sonde",
            LEFT(INDIRECT("Descriptif!$M"&amp;($B$1+$A26-1)),10)="Débitmètre",
            LEFT(INDIRECT("Descriptif!$F"&amp;($B$1+$A26-1)),6)="PLUVIO"
        )
    ),
    IF(
        LEFT(INDIRECT("Descriptif!$F"&amp;($B$1+$A26-1)),11)="PLUVIO_STEU",
        "A3",
        IF(
            LEFT(INDIRECT("Descriptif!$F"&amp;($B$1+$A26-1)),10)="PLUVIO_SCL",
            "A1",
            INDIRECT("Descriptif!$"&amp;D$15&amp;($B$1 +$A26 -1))
        )
    ),
    ""
)</f>
        <v/>
      </c>
      <c r="E26" s="277" t="str" cm="1">
        <f t="array" aca="1" ref="E26" ca="1">IF(
    AND(
        $B26,
        OR(
            INDIRECT("Descriptif!$M"&amp;($B$1+$A26-1))="Préleveur",
            LEFT(INDIRECT("Descriptif!$M"&amp;($B$1+$A26-1)),5)="Sonde",
            LEFT(INDIRECT("Descriptif!$M"&amp;($B$1+$A26-1)),10)="Débitmètre",
            LEFT(INDIRECT("Descriptif!$F"&amp;($B$1+$A26-1)),6)="PLUVIO"
        )
    ),
    IF(LEFT(INDIRECT("Descriptif!$F"&amp;($B$1+$A26-1)),6)="PLUVIO","Pluviomètre",INDIRECT("Descriptif!$"&amp;E$15&amp;($B$1 +$A26 -1))),
    ""
)</f>
        <v/>
      </c>
      <c r="F26" s="19" t="str" cm="1">
        <f t="array" aca="1" ref="F26" ca="1">IF(
    AND(
        $B26,
        OR(
            INDIRECT("Descriptif!$M"&amp;($B$1+$A26-1))="Préleveur",
            LEFT(INDIRECT("Descriptif!$M"&amp;($B$1+$A26-1)),5)="Sonde",
            LEFT(INDIRECT("Descriptif!$M"&amp;($B$1+$A26-1)),10)="Débitmètre",
            LEFT(INDIRECT("Descriptif!$F"&amp;($B$1+$A26-1)),6)="PLUVIO"
        )
    ),
    IF(LEFT(INDIRECT("Descriptif!$F"&amp;($B$1+$A26-1)),6)="PLUVIO","Pluviomètre",INDIRECT("Descriptif!$"&amp;F$15&amp;($B$1 +$A26 -1))),
    ""
)</f>
        <v/>
      </c>
      <c r="G26" s="19" t="str" cm="1">
        <f t="array" aca="1" ref="G26" ca="1">IF(
    AND(
        $B26,
        OR(
            INDIRECT("Descriptif!$M"&amp;($B$1+$A26-1))="Préleveur",
            LEFT(INDIRECT("Descriptif!$M"&amp;($B$1+$A26-1)),5)="Sonde",
            LEFT(INDIRECT("Descriptif!$M"&amp;($B$1+$A26-1)),10)="Débitmètre",
            LEFT(INDIRECT("Descriptif!$F"&amp;($B$1+$A26-1)),6)="PLUVIO"
        )
    ),
    IF(LEFT(INDIRECT("Descriptif!$F"&amp;($B$1+$A26-1)),6)="PLUVIO","Pluviomètre",INDIRECT("Descriptif!$"&amp;G$15&amp;($B$1 +$A26 -1))),
    ""
)</f>
        <v/>
      </c>
      <c r="H26" s="141" t="str" cm="1">
        <f t="array" aca="1" ref="H26" ca="1">IFERROR(INDEX($C$16:$C$116,SMALL(IF($C$16:$C$116&lt;&gt;"",ROW($C$16:$C$116)-ROW($C$16)+1),ROW(A11))),"")</f>
        <v/>
      </c>
      <c r="I26" s="140" t="str" cm="1">
        <f t="array" aca="1" ref="I26" ca="1">IFERROR(INDEX($D$16:$D$116,SMALL(IF($D$16:$D$116&lt;&gt;"",ROW($D$16:$D$116)-ROW($D$16)+1),ROW(A11))),"")</f>
        <v/>
      </c>
      <c r="J26" s="140" t="str" cm="1">
        <f t="array" aca="1" ref="J26" ca="1">IFERROR(INDEX($E$16:$E$116,SMALL(IF($E$16:$E$116&lt;&gt;"",ROW($E$16:$E$116)-ROW($E$16)+1),ROW(A11))),"")</f>
        <v/>
      </c>
      <c r="K26" s="140" t="str" cm="1">
        <f t="array" aca="1" ref="K26" ca="1">IFERROR(INDEX($F$16:$F$116,SMALL(IF($F$16:$F$116&lt;&gt;"",ROW($F$16:$F$116)-ROW($F$16)+1),ROW(A11))),"")</f>
        <v/>
      </c>
      <c r="L26" s="140" t="str">
        <f t="shared" ca="1" si="0"/>
        <v/>
      </c>
      <c r="M26" s="140" t="str" cm="1">
        <f t="array" aca="1" ref="M26" ca="1">IFERROR(INDEX($G$16:$G$116,SMALL(IF($G$16:$G$116&lt;&gt;"",ROW($G$16:$G$116)-ROW($G$16)+1),ROW(A11))),"")</f>
        <v/>
      </c>
      <c r="N26" s="145" t="str">
        <f t="shared" ca="1" si="1"/>
        <v/>
      </c>
      <c r="O26" s="146" t="str">
        <f t="shared" ca="1" si="2"/>
        <v/>
      </c>
      <c r="P26" s="146" t="str" cm="1">
        <f t="array" aca="1" ref="P26" ca="1">IF($J26&lt;&gt;"",IF(INDIRECT($H26&amp;"!"&amp;$O26)&lt;&gt;"",INDIRECT($H26&amp;"!"&amp;$O26),""),"")</f>
        <v/>
      </c>
      <c r="Q26" s="146" t="str">
        <f t="shared" ca="1" si="3"/>
        <v/>
      </c>
      <c r="R26" s="146" t="str" cm="1">
        <f t="array" aca="1" ref="R26" ca="1">IF($J26&lt;&gt;"",IF(INDIRECT($H26&amp;"!"&amp;$Q26)&lt;&gt;"",INDIRECT($H26&amp;"!"&amp;$Q26),""),"")</f>
        <v/>
      </c>
      <c r="S26" s="146" t="str">
        <f t="shared" ca="1" si="4"/>
        <v/>
      </c>
      <c r="T26" s="146" t="str" cm="1">
        <f t="array" aca="1" ref="T26" ca="1">IF($J26&lt;&gt;"",IF(INDIRECT($H26&amp;"!"&amp;$S26)&lt;&gt;"",INDIRECT($H26&amp;"!"&amp;$S26),""),"")</f>
        <v/>
      </c>
      <c r="U26" s="146" t="str">
        <f t="shared" ca="1" si="5"/>
        <v/>
      </c>
      <c r="V26" s="147" t="str" cm="1">
        <f t="array" aca="1" ref="V26" ca="1">IF($J26&lt;&gt;"",IF(INDIRECT($H26&amp;"!"&amp;$U26)&lt;&gt;"",INDIRECT($H26&amp;"!"&amp;$U26),""),"")</f>
        <v/>
      </c>
      <c r="W26" s="294" t="str">
        <f t="shared" ca="1" si="7"/>
        <v/>
      </c>
      <c r="X26" s="295" t="str">
        <f t="shared" ca="1" si="8"/>
        <v/>
      </c>
      <c r="Y26" s="296" t="str" cm="1">
        <f t="array" aca="1" ref="Y26" ca="1">IF($H26&lt;&gt;"",IF(INDIRECT($H26&amp;"!"&amp;$W26&amp;($X26+Y$15+1))&lt;&gt;"",INDIRECT($H26&amp;"!"&amp;$W26&amp;($X26+Y$15+1)),""),"")</f>
        <v/>
      </c>
      <c r="Z26" s="296" t="str" cm="1">
        <f t="array" aca="1" ref="Z26" ca="1">IF($H26&lt;&gt;"",IF(INDIRECT($H26&amp;"!"&amp;$W26&amp;($X26+Z$15+1))&lt;&gt;"",INDIRECT($H26&amp;"!"&amp;$W26&amp;($X26+Z$15+1)),""),"")</f>
        <v/>
      </c>
      <c r="AA26" s="296" t="str" cm="1">
        <f t="array" aca="1" ref="AA26" ca="1">IF($H26&lt;&gt;"",IF(INDIRECT($H26&amp;"!"&amp;$W26&amp;($X26+AA$15+1))&lt;&gt;"",INDIRECT($H26&amp;"!"&amp;$W26&amp;($X26+AA$15+1)),""),"")</f>
        <v/>
      </c>
      <c r="AB26" s="296" t="str" cm="1">
        <f t="array" aca="1" ref="AB26" ca="1">IF($H26&lt;&gt;"",IF(INDIRECT($H26&amp;"!"&amp;$W26&amp;($X26+AB$15+1))&lt;&gt;"",INDIRECT($H26&amp;"!"&amp;$W26&amp;($X26+AB$15+1)),""),"")</f>
        <v/>
      </c>
      <c r="AC26" s="296" t="str" cm="1">
        <f t="array" aca="1" ref="AC26" ca="1">IF(LEFT($J26,5)="Sonde","",IF($H26&lt;&gt;"",IF(INDIRECT($H26&amp;"!"&amp;$W26&amp;($X26+AC$15+1))&lt;&gt;"",INDIRECT($H26&amp;"!"&amp;$W26&amp;($X26+AC$15+1)),""),""))</f>
        <v/>
      </c>
      <c r="AD26" s="296" t="str" cm="1">
        <f t="array" aca="1" ref="AD26" ca="1">IF(OR($J26="Pluviomètre",LEFT($J26,5)="Sonde"),"",IF($H26&lt;&gt;"",IF(INDIRECT($H26&amp;"!"&amp;$W26&amp;($X26+AD$15+1))&lt;&gt;"",INDIRECT($H26&amp;"!"&amp;$W26&amp;($X26+AD$15+1)),""),""))</f>
        <v/>
      </c>
      <c r="AE26" s="296" t="str" cm="1">
        <f t="array" aca="1" ref="AE26" ca="1">IF(OR($J26="Pluviomètre",LEFT($J26,5)="Sonde"),"",IF($H26&lt;&gt;"",IF(INDIRECT($H26&amp;"!"&amp;$W26&amp;($X26+AE$15+1))&lt;&gt;"",INDIRECT($H26&amp;"!"&amp;$W26&amp;($X26+AE$15+1)),""),""))</f>
        <v/>
      </c>
      <c r="AF26" s="296" t="str" cm="1">
        <f t="array" aca="1" ref="AF26" ca="1">IF(OR($J26="Pluviomètre",LEFT($J26,5)="Sonde"),"",IF($H26&lt;&gt;"",IF(INDIRECT($H26&amp;"!"&amp;$W26&amp;($X26+AF$15+1))&lt;&gt;"",INDIRECT($H26&amp;"!"&amp;$W26&amp;($X26+AF$15+1)),""),""))</f>
        <v/>
      </c>
      <c r="AG26" s="296" t="str" cm="1">
        <f t="array" aca="1" ref="AG26" ca="1">IF(OR($J26="Pluviomètre",LEFT($J26,5)="Sonde"),"",IF($H26&lt;&gt;"",IF(INDIRECT($H26&amp;"!"&amp;$W26&amp;($X26+AG$15+1))&lt;&gt;"",INDIRECT($H26&amp;"!"&amp;$W26&amp;($X26+AG$15+1)),""),""))</f>
        <v/>
      </c>
      <c r="AH26" s="296" t="str" cm="1">
        <f t="array" aca="1" ref="AH26" ca="1">IF(OR($J26="Pluviomètre",LEFT($J26,5)="Sonde"),"",IF($H26&lt;&gt;"",IF(INDIRECT($H26&amp;"!"&amp;$W26&amp;($X26+AH$15+1))&lt;&gt;"",INDIRECT($H26&amp;"!"&amp;$W26&amp;($X26+AH$15+1)),""),""))</f>
        <v/>
      </c>
      <c r="AI26" s="294" t="str">
        <f t="shared" ca="1" si="9"/>
        <v/>
      </c>
      <c r="AJ26" s="295" t="str">
        <f t="shared" ca="1" si="10"/>
        <v/>
      </c>
      <c r="AK26" s="296" t="str" cm="1">
        <f t="array" aca="1" ref="AK26" ca="1">IF($H26&lt;&gt;"",IF(INDIRECT($H26&amp;"!"&amp;$AI26&amp;($AJ26+AK$15+1))&lt;&gt;"",INDIRECT($H26&amp;"!"&amp;$AI26&amp;($AJ26+AK$15+1)),""),"")</f>
        <v/>
      </c>
      <c r="AL26" s="296" t="str" cm="1">
        <f t="array" aca="1" ref="AL26" ca="1">IF($H26&lt;&gt;"",IF(INDIRECT($H26&amp;"!"&amp;$AI26&amp;($AJ26+AL$15+1))&lt;&gt;"",INDIRECT($H26&amp;"!"&amp;$AI26&amp;($AJ26+AL$15+1)),""),"")</f>
        <v/>
      </c>
      <c r="AM26" s="296" t="str" cm="1">
        <f t="array" aca="1" ref="AM26" ca="1">IF($H26&lt;&gt;"",IF(INDIRECT($H26&amp;"!"&amp;$AI26&amp;($AJ26+AM$15+1))&lt;&gt;"",INDIRECT($H26&amp;"!"&amp;$AI26&amp;($AJ26+AM$15+1)),""),"")</f>
        <v/>
      </c>
      <c r="AN26" s="296" t="str" cm="1">
        <f t="array" aca="1" ref="AN26" ca="1">IF($H26&lt;&gt;"",IF(INDIRECT($H26&amp;"!"&amp;$AI26&amp;($AJ26+AN$15+1))&lt;&gt;"",INDIRECT($H26&amp;"!"&amp;$AI26&amp;($AJ26+AN$15+1)),""),"")</f>
        <v/>
      </c>
      <c r="AO26" s="296" t="str" cm="1">
        <f t="array" aca="1" ref="AO26" ca="1">IF(LEFT($J26,5)="Sonde","",IF($H26&lt;&gt;"",IF(INDIRECT($H26&amp;"!"&amp;$AI26&amp;($AJ26+AO$15+1))&lt;&gt;"",INDIRECT($H26&amp;"!"&amp;$AI26&amp;($AJ26+AO$15+1)),""),""))</f>
        <v/>
      </c>
      <c r="AP26" s="296" t="str" cm="1">
        <f t="array" aca="1" ref="AP26" ca="1">IF(OR($J26="Pluviomètre",LEFT($J26,5)="Sonde"),"",IF($H26&lt;&gt;"",IF(INDIRECT($H26&amp;"!"&amp;$AI26&amp;($AJ26+AP$15+1))&lt;&gt;"",INDIRECT($H26&amp;"!"&amp;$AI26&amp;($AJ26+AP$15+1)),""),""))</f>
        <v/>
      </c>
      <c r="AQ26" s="296" t="str" cm="1">
        <f t="array" aca="1" ref="AQ26" ca="1">IF(OR($J26="Pluviomètre",LEFT($J26,5)="Sonde"),"",IF($H26&lt;&gt;"",IF(INDIRECT($H26&amp;"!"&amp;$AI26&amp;($AJ26+AQ$15+1))&lt;&gt;"",INDIRECT($H26&amp;"!"&amp;$AI26&amp;($AJ26+AQ$15+1)),""),""))</f>
        <v/>
      </c>
      <c r="AR26" s="296" t="str" cm="1">
        <f t="array" aca="1" ref="AR26" ca="1">IF(OR($J26="Pluviomètre",LEFT($J26,5)="Sonde"),"",IF($H26&lt;&gt;"",IF(INDIRECT($H26&amp;"!"&amp;$AI26&amp;($AJ26+AR$15+1))&lt;&gt;"",INDIRECT($H26&amp;"!"&amp;$AI26&amp;($AJ26+AR$15+1)),""),""))</f>
        <v/>
      </c>
      <c r="AS26" s="296" t="str" cm="1">
        <f t="array" aca="1" ref="AS26" ca="1">IF(OR($J26="Pluviomètre",LEFT($J26,5)="Sonde"),"",IF($H26&lt;&gt;"",IF(INDIRECT($H26&amp;"!"&amp;$AI26&amp;($AJ26+AS$15+1))&lt;&gt;"",INDIRECT($H26&amp;"!"&amp;$AI26&amp;($AJ26+AS$15+1)),""),""))</f>
        <v/>
      </c>
      <c r="AT26" s="296" t="str" cm="1">
        <f t="array" aca="1" ref="AT26" ca="1">IF(OR($J26="Pluviomètre",LEFT($J26,5)="Sonde"),"",IF($H26&lt;&gt;"",IF(INDIRECT($H26&amp;"!"&amp;$AI26&amp;($AJ26+AT$15+1))&lt;&gt;"",INDIRECT($H26&amp;"!"&amp;$AI26&amp;($AJ26+AT$15+1)),""),""))</f>
        <v/>
      </c>
    </row>
    <row r="27" spans="1:46" x14ac:dyDescent="0.4">
      <c r="A27" s="80">
        <v>12</v>
      </c>
      <c r="B27" s="134" t="b">
        <f t="shared" si="6"/>
        <v>0</v>
      </c>
      <c r="C27" s="139" t="str" cm="1">
        <f t="array" aca="1" ref="C27" ca="1">IF(
    AND(
        $B27,
        OR(
            INDIRECT("Descriptif!$M"&amp;($B$1+$A27-1))="Préleveur",
            LEFT(INDIRECT("Descriptif!$M"&amp;($B$1+$A27-1)),5)="Sonde",
            LEFT(INDIRECT("Descriptif!$M"&amp;($B$1+$A27-1)),10)="Débitmètre",
            LEFT(INDIRECT("Descriptif!$F"&amp;($B$1+$A27-1)),6)="PLUVIO"
        )
    ),
    INDIRECT("Descriptif!$"&amp;C$15&amp;($B$1 +$A27 -1)),
    ""
)</f>
        <v/>
      </c>
      <c r="D27" s="277" t="str" cm="1">
        <f t="array" aca="1" ref="D27" ca="1">IF(
    AND(
        $B27,
        OR(
            INDIRECT("Descriptif!$M"&amp;($B$1+$A27-1))="Préleveur",
            LEFT(INDIRECT("Descriptif!$M"&amp;($B$1+$A27-1)),5)="Sonde",
            LEFT(INDIRECT("Descriptif!$M"&amp;($B$1+$A27-1)),10)="Débitmètre",
            LEFT(INDIRECT("Descriptif!$F"&amp;($B$1+$A27-1)),6)="PLUVIO"
        )
    ),
    IF(
        LEFT(INDIRECT("Descriptif!$F"&amp;($B$1+$A27-1)),11)="PLUVIO_STEU",
        "A3",
        IF(
            LEFT(INDIRECT("Descriptif!$F"&amp;($B$1+$A27-1)),10)="PLUVIO_SCL",
            "A1",
            INDIRECT("Descriptif!$"&amp;D$15&amp;($B$1 +$A27 -1))
        )
    ),
    ""
)</f>
        <v/>
      </c>
      <c r="E27" s="277" t="str" cm="1">
        <f t="array" aca="1" ref="E27" ca="1">IF(
    AND(
        $B27,
        OR(
            INDIRECT("Descriptif!$M"&amp;($B$1+$A27-1))="Préleveur",
            LEFT(INDIRECT("Descriptif!$M"&amp;($B$1+$A27-1)),5)="Sonde",
            LEFT(INDIRECT("Descriptif!$M"&amp;($B$1+$A27-1)),10)="Débitmètre",
            LEFT(INDIRECT("Descriptif!$F"&amp;($B$1+$A27-1)),6)="PLUVIO"
        )
    ),
    IF(LEFT(INDIRECT("Descriptif!$F"&amp;($B$1+$A27-1)),6)="PLUVIO","Pluviomètre",INDIRECT("Descriptif!$"&amp;E$15&amp;($B$1 +$A27 -1))),
    ""
)</f>
        <v/>
      </c>
      <c r="F27" s="19" t="str" cm="1">
        <f t="array" aca="1" ref="F27" ca="1">IF(
    AND(
        $B27,
        OR(
            INDIRECT("Descriptif!$M"&amp;($B$1+$A27-1))="Préleveur",
            LEFT(INDIRECT("Descriptif!$M"&amp;($B$1+$A27-1)),5)="Sonde",
            LEFT(INDIRECT("Descriptif!$M"&amp;($B$1+$A27-1)),10)="Débitmètre",
            LEFT(INDIRECT("Descriptif!$F"&amp;($B$1+$A27-1)),6)="PLUVIO"
        )
    ),
    IF(LEFT(INDIRECT("Descriptif!$F"&amp;($B$1+$A27-1)),6)="PLUVIO","Pluviomètre",INDIRECT("Descriptif!$"&amp;F$15&amp;($B$1 +$A27 -1))),
    ""
)</f>
        <v/>
      </c>
      <c r="G27" s="19" t="str" cm="1">
        <f t="array" aca="1" ref="G27" ca="1">IF(
    AND(
        $B27,
        OR(
            INDIRECT("Descriptif!$M"&amp;($B$1+$A27-1))="Préleveur",
            LEFT(INDIRECT("Descriptif!$M"&amp;($B$1+$A27-1)),5)="Sonde",
            LEFT(INDIRECT("Descriptif!$M"&amp;($B$1+$A27-1)),10)="Débitmètre",
            LEFT(INDIRECT("Descriptif!$F"&amp;($B$1+$A27-1)),6)="PLUVIO"
        )
    ),
    IF(LEFT(INDIRECT("Descriptif!$F"&amp;($B$1+$A27-1)),6)="PLUVIO","Pluviomètre",INDIRECT("Descriptif!$"&amp;G$15&amp;($B$1 +$A27 -1))),
    ""
)</f>
        <v/>
      </c>
      <c r="H27" s="141" t="str" cm="1">
        <f t="array" aca="1" ref="H27" ca="1">IFERROR(INDEX($C$16:$C$116,SMALL(IF($C$16:$C$116&lt;&gt;"",ROW($C$16:$C$116)-ROW($C$16)+1),ROW(A12))),"")</f>
        <v/>
      </c>
      <c r="I27" s="140" t="str" cm="1">
        <f t="array" aca="1" ref="I27" ca="1">IFERROR(INDEX($D$16:$D$116,SMALL(IF($D$16:$D$116&lt;&gt;"",ROW($D$16:$D$116)-ROW($D$16)+1),ROW(A12))),"")</f>
        <v/>
      </c>
      <c r="J27" s="140" t="str" cm="1">
        <f t="array" aca="1" ref="J27" ca="1">IFERROR(INDEX($E$16:$E$116,SMALL(IF($E$16:$E$116&lt;&gt;"",ROW($E$16:$E$116)-ROW($E$16)+1),ROW(A12))),"")</f>
        <v/>
      </c>
      <c r="K27" s="140" t="str" cm="1">
        <f t="array" aca="1" ref="K27" ca="1">IFERROR(INDEX($F$16:$F$116,SMALL(IF($F$16:$F$116&lt;&gt;"",ROW($F$16:$F$116)-ROW($F$16)+1),ROW(A12))),"")</f>
        <v/>
      </c>
      <c r="L27" s="140" t="str">
        <f t="shared" ca="1" si="0"/>
        <v/>
      </c>
      <c r="M27" s="140" t="str" cm="1">
        <f t="array" aca="1" ref="M27" ca="1">IFERROR(INDEX($G$16:$G$116,SMALL(IF($G$16:$G$116&lt;&gt;"",ROW($G$16:$G$116)-ROW($G$16)+1),ROW(A12))),"")</f>
        <v/>
      </c>
      <c r="N27" s="145" t="str">
        <f t="shared" ca="1" si="1"/>
        <v/>
      </c>
      <c r="O27" s="146" t="str">
        <f t="shared" ca="1" si="2"/>
        <v/>
      </c>
      <c r="P27" s="146" t="str" cm="1">
        <f t="array" aca="1" ref="P27" ca="1">IF($J27&lt;&gt;"",IF(INDIRECT($H27&amp;"!"&amp;$O27)&lt;&gt;"",INDIRECT($H27&amp;"!"&amp;$O27),""),"")</f>
        <v/>
      </c>
      <c r="Q27" s="146" t="str">
        <f t="shared" ca="1" si="3"/>
        <v/>
      </c>
      <c r="R27" s="146" t="str" cm="1">
        <f t="array" aca="1" ref="R27" ca="1">IF($J27&lt;&gt;"",IF(INDIRECT($H27&amp;"!"&amp;$Q27)&lt;&gt;"",INDIRECT($H27&amp;"!"&amp;$Q27),""),"")</f>
        <v/>
      </c>
      <c r="S27" s="146" t="str">
        <f t="shared" ca="1" si="4"/>
        <v/>
      </c>
      <c r="T27" s="146" t="str" cm="1">
        <f t="array" aca="1" ref="T27" ca="1">IF($J27&lt;&gt;"",IF(INDIRECT($H27&amp;"!"&amp;$S27)&lt;&gt;"",INDIRECT($H27&amp;"!"&amp;$S27),""),"")</f>
        <v/>
      </c>
      <c r="U27" s="146" t="str">
        <f t="shared" ca="1" si="5"/>
        <v/>
      </c>
      <c r="V27" s="147" t="str" cm="1">
        <f t="array" aca="1" ref="V27" ca="1">IF($J27&lt;&gt;"",IF(INDIRECT($H27&amp;"!"&amp;$U27)&lt;&gt;"",INDIRECT($H27&amp;"!"&amp;$U27),""),"")</f>
        <v/>
      </c>
      <c r="W27" s="294" t="str">
        <f t="shared" ca="1" si="7"/>
        <v/>
      </c>
      <c r="X27" s="295" t="str">
        <f t="shared" ca="1" si="8"/>
        <v/>
      </c>
      <c r="Y27" s="296" t="str" cm="1">
        <f t="array" aca="1" ref="Y27" ca="1">IF($H27&lt;&gt;"",IF(INDIRECT($H27&amp;"!"&amp;$W27&amp;($X27+Y$15+1))&lt;&gt;"",INDIRECT($H27&amp;"!"&amp;$W27&amp;($X27+Y$15+1)),""),"")</f>
        <v/>
      </c>
      <c r="Z27" s="296" t="str" cm="1">
        <f t="array" aca="1" ref="Z27" ca="1">IF($H27&lt;&gt;"",IF(INDIRECT($H27&amp;"!"&amp;$W27&amp;($X27+Z$15+1))&lt;&gt;"",INDIRECT($H27&amp;"!"&amp;$W27&amp;($X27+Z$15+1)),""),"")</f>
        <v/>
      </c>
      <c r="AA27" s="296" t="str" cm="1">
        <f t="array" aca="1" ref="AA27" ca="1">IF($H27&lt;&gt;"",IF(INDIRECT($H27&amp;"!"&amp;$W27&amp;($X27+AA$15+1))&lt;&gt;"",INDIRECT($H27&amp;"!"&amp;$W27&amp;($X27+AA$15+1)),""),"")</f>
        <v/>
      </c>
      <c r="AB27" s="296" t="str" cm="1">
        <f t="array" aca="1" ref="AB27" ca="1">IF($H27&lt;&gt;"",IF(INDIRECT($H27&amp;"!"&amp;$W27&amp;($X27+AB$15+1))&lt;&gt;"",INDIRECT($H27&amp;"!"&amp;$W27&amp;($X27+AB$15+1)),""),"")</f>
        <v/>
      </c>
      <c r="AC27" s="296" t="str" cm="1">
        <f t="array" aca="1" ref="AC27" ca="1">IF(LEFT($J27,5)="Sonde","",IF($H27&lt;&gt;"",IF(INDIRECT($H27&amp;"!"&amp;$W27&amp;($X27+AC$15+1))&lt;&gt;"",INDIRECT($H27&amp;"!"&amp;$W27&amp;($X27+AC$15+1)),""),""))</f>
        <v/>
      </c>
      <c r="AD27" s="296" t="str" cm="1">
        <f t="array" aca="1" ref="AD27" ca="1">IF(OR($J27="Pluviomètre",LEFT($J27,5)="Sonde"),"",IF($H27&lt;&gt;"",IF(INDIRECT($H27&amp;"!"&amp;$W27&amp;($X27+AD$15+1))&lt;&gt;"",INDIRECT($H27&amp;"!"&amp;$W27&amp;($X27+AD$15+1)),""),""))</f>
        <v/>
      </c>
      <c r="AE27" s="296" t="str" cm="1">
        <f t="array" aca="1" ref="AE27" ca="1">IF(OR($J27="Pluviomètre",LEFT($J27,5)="Sonde"),"",IF($H27&lt;&gt;"",IF(INDIRECT($H27&amp;"!"&amp;$W27&amp;($X27+AE$15+1))&lt;&gt;"",INDIRECT($H27&amp;"!"&amp;$W27&amp;($X27+AE$15+1)),""),""))</f>
        <v/>
      </c>
      <c r="AF27" s="296" t="str" cm="1">
        <f t="array" aca="1" ref="AF27" ca="1">IF(OR($J27="Pluviomètre",LEFT($J27,5)="Sonde"),"",IF($H27&lt;&gt;"",IF(INDIRECT($H27&amp;"!"&amp;$W27&amp;($X27+AF$15+1))&lt;&gt;"",INDIRECT($H27&amp;"!"&amp;$W27&amp;($X27+AF$15+1)),""),""))</f>
        <v/>
      </c>
      <c r="AG27" s="296" t="str" cm="1">
        <f t="array" aca="1" ref="AG27" ca="1">IF(OR($J27="Pluviomètre",LEFT($J27,5)="Sonde"),"",IF($H27&lt;&gt;"",IF(INDIRECT($H27&amp;"!"&amp;$W27&amp;($X27+AG$15+1))&lt;&gt;"",INDIRECT($H27&amp;"!"&amp;$W27&amp;($X27+AG$15+1)),""),""))</f>
        <v/>
      </c>
      <c r="AH27" s="296" t="str" cm="1">
        <f t="array" aca="1" ref="AH27" ca="1">IF(OR($J27="Pluviomètre",LEFT($J27,5)="Sonde"),"",IF($H27&lt;&gt;"",IF(INDIRECT($H27&amp;"!"&amp;$W27&amp;($X27+AH$15+1))&lt;&gt;"",INDIRECT($H27&amp;"!"&amp;$W27&amp;($X27+AH$15+1)),""),""))</f>
        <v/>
      </c>
      <c r="AI27" s="294" t="str">
        <f t="shared" ca="1" si="9"/>
        <v/>
      </c>
      <c r="AJ27" s="295" t="str">
        <f t="shared" ca="1" si="10"/>
        <v/>
      </c>
      <c r="AK27" s="296" t="str" cm="1">
        <f t="array" aca="1" ref="AK27" ca="1">IF($H27&lt;&gt;"",IF(INDIRECT($H27&amp;"!"&amp;$AI27&amp;($AJ27+AK$15+1))&lt;&gt;"",INDIRECT($H27&amp;"!"&amp;$AI27&amp;($AJ27+AK$15+1)),""),"")</f>
        <v/>
      </c>
      <c r="AL27" s="296" t="str" cm="1">
        <f t="array" aca="1" ref="AL27" ca="1">IF($H27&lt;&gt;"",IF(INDIRECT($H27&amp;"!"&amp;$AI27&amp;($AJ27+AL$15+1))&lt;&gt;"",INDIRECT($H27&amp;"!"&amp;$AI27&amp;($AJ27+AL$15+1)),""),"")</f>
        <v/>
      </c>
      <c r="AM27" s="296" t="str" cm="1">
        <f t="array" aca="1" ref="AM27" ca="1">IF($H27&lt;&gt;"",IF(INDIRECT($H27&amp;"!"&amp;$AI27&amp;($AJ27+AM$15+1))&lt;&gt;"",INDIRECT($H27&amp;"!"&amp;$AI27&amp;($AJ27+AM$15+1)),""),"")</f>
        <v/>
      </c>
      <c r="AN27" s="296" t="str" cm="1">
        <f t="array" aca="1" ref="AN27" ca="1">IF($H27&lt;&gt;"",IF(INDIRECT($H27&amp;"!"&amp;$AI27&amp;($AJ27+AN$15+1))&lt;&gt;"",INDIRECT($H27&amp;"!"&amp;$AI27&amp;($AJ27+AN$15+1)),""),"")</f>
        <v/>
      </c>
      <c r="AO27" s="296" t="str" cm="1">
        <f t="array" aca="1" ref="AO27" ca="1">IF(LEFT($J27,5)="Sonde","",IF($H27&lt;&gt;"",IF(INDIRECT($H27&amp;"!"&amp;$AI27&amp;($AJ27+AO$15+1))&lt;&gt;"",INDIRECT($H27&amp;"!"&amp;$AI27&amp;($AJ27+AO$15+1)),""),""))</f>
        <v/>
      </c>
      <c r="AP27" s="296" t="str" cm="1">
        <f t="array" aca="1" ref="AP27" ca="1">IF(OR($J27="Pluviomètre",LEFT($J27,5)="Sonde"),"",IF($H27&lt;&gt;"",IF(INDIRECT($H27&amp;"!"&amp;$AI27&amp;($AJ27+AP$15+1))&lt;&gt;"",INDIRECT($H27&amp;"!"&amp;$AI27&amp;($AJ27+AP$15+1)),""),""))</f>
        <v/>
      </c>
      <c r="AQ27" s="296" t="str" cm="1">
        <f t="array" aca="1" ref="AQ27" ca="1">IF(OR($J27="Pluviomètre",LEFT($J27,5)="Sonde"),"",IF($H27&lt;&gt;"",IF(INDIRECT($H27&amp;"!"&amp;$AI27&amp;($AJ27+AQ$15+1))&lt;&gt;"",INDIRECT($H27&amp;"!"&amp;$AI27&amp;($AJ27+AQ$15+1)),""),""))</f>
        <v/>
      </c>
      <c r="AR27" s="296" t="str" cm="1">
        <f t="array" aca="1" ref="AR27" ca="1">IF(OR($J27="Pluviomètre",LEFT($J27,5)="Sonde"),"",IF($H27&lt;&gt;"",IF(INDIRECT($H27&amp;"!"&amp;$AI27&amp;($AJ27+AR$15+1))&lt;&gt;"",INDIRECT($H27&amp;"!"&amp;$AI27&amp;($AJ27+AR$15+1)),""),""))</f>
        <v/>
      </c>
      <c r="AS27" s="296" t="str" cm="1">
        <f t="array" aca="1" ref="AS27" ca="1">IF(OR($J27="Pluviomètre",LEFT($J27,5)="Sonde"),"",IF($H27&lt;&gt;"",IF(INDIRECT($H27&amp;"!"&amp;$AI27&amp;($AJ27+AS$15+1))&lt;&gt;"",INDIRECT($H27&amp;"!"&amp;$AI27&amp;($AJ27+AS$15+1)),""),""))</f>
        <v/>
      </c>
      <c r="AT27" s="296" t="str" cm="1">
        <f t="array" aca="1" ref="AT27" ca="1">IF(OR($J27="Pluviomètre",LEFT($J27,5)="Sonde"),"",IF($H27&lt;&gt;"",IF(INDIRECT($H27&amp;"!"&amp;$AI27&amp;($AJ27+AT$15+1))&lt;&gt;"",INDIRECT($H27&amp;"!"&amp;$AI27&amp;($AJ27+AT$15+1)),""),""))</f>
        <v/>
      </c>
    </row>
    <row r="28" spans="1:46" x14ac:dyDescent="0.4">
      <c r="A28" s="80">
        <v>13</v>
      </c>
      <c r="B28" s="134" t="b">
        <f t="shared" si="6"/>
        <v>0</v>
      </c>
      <c r="C28" s="139" t="str" cm="1">
        <f t="array" aca="1" ref="C28" ca="1">IF(
    AND(
        $B28,
        OR(
            INDIRECT("Descriptif!$M"&amp;($B$1+$A28-1))="Préleveur",
            LEFT(INDIRECT("Descriptif!$M"&amp;($B$1+$A28-1)),5)="Sonde",
            LEFT(INDIRECT("Descriptif!$M"&amp;($B$1+$A28-1)),10)="Débitmètre",
            LEFT(INDIRECT("Descriptif!$F"&amp;($B$1+$A28-1)),6)="PLUVIO"
        )
    ),
    INDIRECT("Descriptif!$"&amp;C$15&amp;($B$1 +$A28 -1)),
    ""
)</f>
        <v/>
      </c>
      <c r="D28" s="277" t="str" cm="1">
        <f t="array" aca="1" ref="D28" ca="1">IF(
    AND(
        $B28,
        OR(
            INDIRECT("Descriptif!$M"&amp;($B$1+$A28-1))="Préleveur",
            LEFT(INDIRECT("Descriptif!$M"&amp;($B$1+$A28-1)),5)="Sonde",
            LEFT(INDIRECT("Descriptif!$M"&amp;($B$1+$A28-1)),10)="Débitmètre",
            LEFT(INDIRECT("Descriptif!$F"&amp;($B$1+$A28-1)),6)="PLUVIO"
        )
    ),
    IF(
        LEFT(INDIRECT("Descriptif!$F"&amp;($B$1+$A28-1)),11)="PLUVIO_STEU",
        "A3",
        IF(
            LEFT(INDIRECT("Descriptif!$F"&amp;($B$1+$A28-1)),10)="PLUVIO_SCL",
            "A1",
            INDIRECT("Descriptif!$"&amp;D$15&amp;($B$1 +$A28 -1))
        )
    ),
    ""
)</f>
        <v/>
      </c>
      <c r="E28" s="277" t="str" cm="1">
        <f t="array" aca="1" ref="E28" ca="1">IF(
    AND(
        $B28,
        OR(
            INDIRECT("Descriptif!$M"&amp;($B$1+$A28-1))="Préleveur",
            LEFT(INDIRECT("Descriptif!$M"&amp;($B$1+$A28-1)),5)="Sonde",
            LEFT(INDIRECT("Descriptif!$M"&amp;($B$1+$A28-1)),10)="Débitmètre",
            LEFT(INDIRECT("Descriptif!$F"&amp;($B$1+$A28-1)),6)="PLUVIO"
        )
    ),
    IF(LEFT(INDIRECT("Descriptif!$F"&amp;($B$1+$A28-1)),6)="PLUVIO","Pluviomètre",INDIRECT("Descriptif!$"&amp;E$15&amp;($B$1 +$A28 -1))),
    ""
)</f>
        <v/>
      </c>
      <c r="F28" s="19" t="str" cm="1">
        <f t="array" aca="1" ref="F28" ca="1">IF(
    AND(
        $B28,
        OR(
            INDIRECT("Descriptif!$M"&amp;($B$1+$A28-1))="Préleveur",
            LEFT(INDIRECT("Descriptif!$M"&amp;($B$1+$A28-1)),5)="Sonde",
            LEFT(INDIRECT("Descriptif!$M"&amp;($B$1+$A28-1)),10)="Débitmètre",
            LEFT(INDIRECT("Descriptif!$F"&amp;($B$1+$A28-1)),6)="PLUVIO"
        )
    ),
    IF(LEFT(INDIRECT("Descriptif!$F"&amp;($B$1+$A28-1)),6)="PLUVIO","Pluviomètre",INDIRECT("Descriptif!$"&amp;F$15&amp;($B$1 +$A28 -1))),
    ""
)</f>
        <v/>
      </c>
      <c r="G28" s="19" t="str" cm="1">
        <f t="array" aca="1" ref="G28" ca="1">IF(
    AND(
        $B28,
        OR(
            INDIRECT("Descriptif!$M"&amp;($B$1+$A28-1))="Préleveur",
            LEFT(INDIRECT("Descriptif!$M"&amp;($B$1+$A28-1)),5)="Sonde",
            LEFT(INDIRECT("Descriptif!$M"&amp;($B$1+$A28-1)),10)="Débitmètre",
            LEFT(INDIRECT("Descriptif!$F"&amp;($B$1+$A28-1)),6)="PLUVIO"
        )
    ),
    IF(LEFT(INDIRECT("Descriptif!$F"&amp;($B$1+$A28-1)),6)="PLUVIO","Pluviomètre",INDIRECT("Descriptif!$"&amp;G$15&amp;($B$1 +$A28 -1))),
    ""
)</f>
        <v/>
      </c>
      <c r="H28" s="141" t="str" cm="1">
        <f t="array" aca="1" ref="H28" ca="1">IFERROR(INDEX($C$16:$C$116,SMALL(IF($C$16:$C$116&lt;&gt;"",ROW($C$16:$C$116)-ROW($C$16)+1),ROW(A13))),"")</f>
        <v/>
      </c>
      <c r="I28" s="140" t="str" cm="1">
        <f t="array" aca="1" ref="I28" ca="1">IFERROR(INDEX($D$16:$D$116,SMALL(IF($D$16:$D$116&lt;&gt;"",ROW($D$16:$D$116)-ROW($D$16)+1),ROW(A13))),"")</f>
        <v/>
      </c>
      <c r="J28" s="140" t="str" cm="1">
        <f t="array" aca="1" ref="J28" ca="1">IFERROR(INDEX($E$16:$E$116,SMALL(IF($E$16:$E$116&lt;&gt;"",ROW($E$16:$E$116)-ROW($E$16)+1),ROW(A13))),"")</f>
        <v/>
      </c>
      <c r="K28" s="140" t="str" cm="1">
        <f t="array" aca="1" ref="K28" ca="1">IFERROR(INDEX($F$16:$F$116,SMALL(IF($F$16:$F$116&lt;&gt;"",ROW($F$16:$F$116)-ROW($F$16)+1),ROW(A13))),"")</f>
        <v/>
      </c>
      <c r="L28" s="140" t="str">
        <f t="shared" ca="1" si="0"/>
        <v/>
      </c>
      <c r="M28" s="140" t="str" cm="1">
        <f t="array" aca="1" ref="M28" ca="1">IFERROR(INDEX($G$16:$G$116,SMALL(IF($G$16:$G$116&lt;&gt;"",ROW($G$16:$G$116)-ROW($G$16)+1),ROW(A13))),"")</f>
        <v/>
      </c>
      <c r="N28" s="145" t="str">
        <f t="shared" ca="1" si="1"/>
        <v/>
      </c>
      <c r="O28" s="146" t="str">
        <f t="shared" ca="1" si="2"/>
        <v/>
      </c>
      <c r="P28" s="146" t="str" cm="1">
        <f t="array" aca="1" ref="P28" ca="1">IF($J28&lt;&gt;"",IF(INDIRECT($H28&amp;"!"&amp;$O28)&lt;&gt;"",INDIRECT($H28&amp;"!"&amp;$O28),""),"")</f>
        <v/>
      </c>
      <c r="Q28" s="146" t="str">
        <f t="shared" ca="1" si="3"/>
        <v/>
      </c>
      <c r="R28" s="146" t="str" cm="1">
        <f t="array" aca="1" ref="R28" ca="1">IF($J28&lt;&gt;"",IF(INDIRECT($H28&amp;"!"&amp;$Q28)&lt;&gt;"",INDIRECT($H28&amp;"!"&amp;$Q28),""),"")</f>
        <v/>
      </c>
      <c r="S28" s="146" t="str">
        <f t="shared" ca="1" si="4"/>
        <v/>
      </c>
      <c r="T28" s="146" t="str" cm="1">
        <f t="array" aca="1" ref="T28" ca="1">IF($J28&lt;&gt;"",IF(INDIRECT($H28&amp;"!"&amp;$S28)&lt;&gt;"",INDIRECT($H28&amp;"!"&amp;$S28),""),"")</f>
        <v/>
      </c>
      <c r="U28" s="146" t="str">
        <f t="shared" ca="1" si="5"/>
        <v/>
      </c>
      <c r="V28" s="147" t="str" cm="1">
        <f t="array" aca="1" ref="V28" ca="1">IF($J28&lt;&gt;"",IF(INDIRECT($H28&amp;"!"&amp;$U28)&lt;&gt;"",INDIRECT($H28&amp;"!"&amp;$U28),""),"")</f>
        <v/>
      </c>
      <c r="W28" s="294" t="str">
        <f t="shared" ca="1" si="7"/>
        <v/>
      </c>
      <c r="X28" s="295" t="str">
        <f t="shared" ca="1" si="8"/>
        <v/>
      </c>
      <c r="Y28" s="296" t="str" cm="1">
        <f t="array" aca="1" ref="Y28" ca="1">IF($H28&lt;&gt;"",IF(INDIRECT($H28&amp;"!"&amp;$W28&amp;($X28+Y$15+1))&lt;&gt;"",INDIRECT($H28&amp;"!"&amp;$W28&amp;($X28+Y$15+1)),""),"")</f>
        <v/>
      </c>
      <c r="Z28" s="296" t="str" cm="1">
        <f t="array" aca="1" ref="Z28" ca="1">IF($H28&lt;&gt;"",IF(INDIRECT($H28&amp;"!"&amp;$W28&amp;($X28+Z$15+1))&lt;&gt;"",INDIRECT($H28&amp;"!"&amp;$W28&amp;($X28+Z$15+1)),""),"")</f>
        <v/>
      </c>
      <c r="AA28" s="296" t="str" cm="1">
        <f t="array" aca="1" ref="AA28" ca="1">IF($H28&lt;&gt;"",IF(INDIRECT($H28&amp;"!"&amp;$W28&amp;($X28+AA$15+1))&lt;&gt;"",INDIRECT($H28&amp;"!"&amp;$W28&amp;($X28+AA$15+1)),""),"")</f>
        <v/>
      </c>
      <c r="AB28" s="296" t="str" cm="1">
        <f t="array" aca="1" ref="AB28" ca="1">IF($H28&lt;&gt;"",IF(INDIRECT($H28&amp;"!"&amp;$W28&amp;($X28+AB$15+1))&lt;&gt;"",INDIRECT($H28&amp;"!"&amp;$W28&amp;($X28+AB$15+1)),""),"")</f>
        <v/>
      </c>
      <c r="AC28" s="296" t="str" cm="1">
        <f t="array" aca="1" ref="AC28" ca="1">IF(LEFT($J28,5)="Sonde","",IF($H28&lt;&gt;"",IF(INDIRECT($H28&amp;"!"&amp;$W28&amp;($X28+AC$15+1))&lt;&gt;"",INDIRECT($H28&amp;"!"&amp;$W28&amp;($X28+AC$15+1)),""),""))</f>
        <v/>
      </c>
      <c r="AD28" s="296" t="str" cm="1">
        <f t="array" aca="1" ref="AD28" ca="1">IF(OR($J28="Pluviomètre",LEFT($J28,5)="Sonde"),"",IF($H28&lt;&gt;"",IF(INDIRECT($H28&amp;"!"&amp;$W28&amp;($X28+AD$15+1))&lt;&gt;"",INDIRECT($H28&amp;"!"&amp;$W28&amp;($X28+AD$15+1)),""),""))</f>
        <v/>
      </c>
      <c r="AE28" s="296" t="str" cm="1">
        <f t="array" aca="1" ref="AE28" ca="1">IF(OR($J28="Pluviomètre",LEFT($J28,5)="Sonde"),"",IF($H28&lt;&gt;"",IF(INDIRECT($H28&amp;"!"&amp;$W28&amp;($X28+AE$15+1))&lt;&gt;"",INDIRECT($H28&amp;"!"&amp;$W28&amp;($X28+AE$15+1)),""),""))</f>
        <v/>
      </c>
      <c r="AF28" s="296" t="str" cm="1">
        <f t="array" aca="1" ref="AF28" ca="1">IF(OR($J28="Pluviomètre",LEFT($J28,5)="Sonde"),"",IF($H28&lt;&gt;"",IF(INDIRECT($H28&amp;"!"&amp;$W28&amp;($X28+AF$15+1))&lt;&gt;"",INDIRECT($H28&amp;"!"&amp;$W28&amp;($X28+AF$15+1)),""),""))</f>
        <v/>
      </c>
      <c r="AG28" s="296" t="str" cm="1">
        <f t="array" aca="1" ref="AG28" ca="1">IF(OR($J28="Pluviomètre",LEFT($J28,5)="Sonde"),"",IF($H28&lt;&gt;"",IF(INDIRECT($H28&amp;"!"&amp;$W28&amp;($X28+AG$15+1))&lt;&gt;"",INDIRECT($H28&amp;"!"&amp;$W28&amp;($X28+AG$15+1)),""),""))</f>
        <v/>
      </c>
      <c r="AH28" s="296" t="str" cm="1">
        <f t="array" aca="1" ref="AH28" ca="1">IF(OR($J28="Pluviomètre",LEFT($J28,5)="Sonde"),"",IF($H28&lt;&gt;"",IF(INDIRECT($H28&amp;"!"&amp;$W28&amp;($X28+AH$15+1))&lt;&gt;"",INDIRECT($H28&amp;"!"&amp;$W28&amp;($X28+AH$15+1)),""),""))</f>
        <v/>
      </c>
      <c r="AI28" s="294" t="str">
        <f t="shared" ca="1" si="9"/>
        <v/>
      </c>
      <c r="AJ28" s="295" t="str">
        <f t="shared" ca="1" si="10"/>
        <v/>
      </c>
      <c r="AK28" s="296" t="str" cm="1">
        <f t="array" aca="1" ref="AK28" ca="1">IF($H28&lt;&gt;"",IF(INDIRECT($H28&amp;"!"&amp;$AI28&amp;($AJ28+AK$15+1))&lt;&gt;"",INDIRECT($H28&amp;"!"&amp;$AI28&amp;($AJ28+AK$15+1)),""),"")</f>
        <v/>
      </c>
      <c r="AL28" s="296" t="str" cm="1">
        <f t="array" aca="1" ref="AL28" ca="1">IF($H28&lt;&gt;"",IF(INDIRECT($H28&amp;"!"&amp;$AI28&amp;($AJ28+AL$15+1))&lt;&gt;"",INDIRECT($H28&amp;"!"&amp;$AI28&amp;($AJ28+AL$15+1)),""),"")</f>
        <v/>
      </c>
      <c r="AM28" s="296" t="str" cm="1">
        <f t="array" aca="1" ref="AM28" ca="1">IF($H28&lt;&gt;"",IF(INDIRECT($H28&amp;"!"&amp;$AI28&amp;($AJ28+AM$15+1))&lt;&gt;"",INDIRECT($H28&amp;"!"&amp;$AI28&amp;($AJ28+AM$15+1)),""),"")</f>
        <v/>
      </c>
      <c r="AN28" s="296" t="str" cm="1">
        <f t="array" aca="1" ref="AN28" ca="1">IF($H28&lt;&gt;"",IF(INDIRECT($H28&amp;"!"&amp;$AI28&amp;($AJ28+AN$15+1))&lt;&gt;"",INDIRECT($H28&amp;"!"&amp;$AI28&amp;($AJ28+AN$15+1)),""),"")</f>
        <v/>
      </c>
      <c r="AO28" s="296" t="str" cm="1">
        <f t="array" aca="1" ref="AO28" ca="1">IF(LEFT($J28,5)="Sonde","",IF($H28&lt;&gt;"",IF(INDIRECT($H28&amp;"!"&amp;$AI28&amp;($AJ28+AO$15+1))&lt;&gt;"",INDIRECT($H28&amp;"!"&amp;$AI28&amp;($AJ28+AO$15+1)),""),""))</f>
        <v/>
      </c>
      <c r="AP28" s="296" t="str" cm="1">
        <f t="array" aca="1" ref="AP28" ca="1">IF(OR($J28="Pluviomètre",LEFT($J28,5)="Sonde"),"",IF($H28&lt;&gt;"",IF(INDIRECT($H28&amp;"!"&amp;$AI28&amp;($AJ28+AP$15+1))&lt;&gt;"",INDIRECT($H28&amp;"!"&amp;$AI28&amp;($AJ28+AP$15+1)),""),""))</f>
        <v/>
      </c>
      <c r="AQ28" s="296" t="str" cm="1">
        <f t="array" aca="1" ref="AQ28" ca="1">IF(OR($J28="Pluviomètre",LEFT($J28,5)="Sonde"),"",IF($H28&lt;&gt;"",IF(INDIRECT($H28&amp;"!"&amp;$AI28&amp;($AJ28+AQ$15+1))&lt;&gt;"",INDIRECT($H28&amp;"!"&amp;$AI28&amp;($AJ28+AQ$15+1)),""),""))</f>
        <v/>
      </c>
      <c r="AR28" s="296" t="str" cm="1">
        <f t="array" aca="1" ref="AR28" ca="1">IF(OR($J28="Pluviomètre",LEFT($J28,5)="Sonde"),"",IF($H28&lt;&gt;"",IF(INDIRECT($H28&amp;"!"&amp;$AI28&amp;($AJ28+AR$15+1))&lt;&gt;"",INDIRECT($H28&amp;"!"&amp;$AI28&amp;($AJ28+AR$15+1)),""),""))</f>
        <v/>
      </c>
      <c r="AS28" s="296" t="str" cm="1">
        <f t="array" aca="1" ref="AS28" ca="1">IF(OR($J28="Pluviomètre",LEFT($J28,5)="Sonde"),"",IF($H28&lt;&gt;"",IF(INDIRECT($H28&amp;"!"&amp;$AI28&amp;($AJ28+AS$15+1))&lt;&gt;"",INDIRECT($H28&amp;"!"&amp;$AI28&amp;($AJ28+AS$15+1)),""),""))</f>
        <v/>
      </c>
      <c r="AT28" s="296" t="str" cm="1">
        <f t="array" aca="1" ref="AT28" ca="1">IF(OR($J28="Pluviomètre",LEFT($J28,5)="Sonde"),"",IF($H28&lt;&gt;"",IF(INDIRECT($H28&amp;"!"&amp;$AI28&amp;($AJ28+AT$15+1))&lt;&gt;"",INDIRECT($H28&amp;"!"&amp;$AI28&amp;($AJ28+AT$15+1)),""),""))</f>
        <v/>
      </c>
    </row>
    <row r="29" spans="1:46" x14ac:dyDescent="0.4">
      <c r="A29" s="80">
        <v>14</v>
      </c>
      <c r="B29" s="134" t="b">
        <f t="shared" si="6"/>
        <v>0</v>
      </c>
      <c r="C29" s="139" t="str" cm="1">
        <f t="array" aca="1" ref="C29" ca="1">IF(
    AND(
        $B29,
        OR(
            INDIRECT("Descriptif!$M"&amp;($B$1+$A29-1))="Préleveur",
            LEFT(INDIRECT("Descriptif!$M"&amp;($B$1+$A29-1)),5)="Sonde",
            LEFT(INDIRECT("Descriptif!$M"&amp;($B$1+$A29-1)),10)="Débitmètre",
            LEFT(INDIRECT("Descriptif!$F"&amp;($B$1+$A29-1)),6)="PLUVIO"
        )
    ),
    INDIRECT("Descriptif!$"&amp;C$15&amp;($B$1 +$A29 -1)),
    ""
)</f>
        <v/>
      </c>
      <c r="D29" s="277" t="str" cm="1">
        <f t="array" aca="1" ref="D29" ca="1">IF(
    AND(
        $B29,
        OR(
            INDIRECT("Descriptif!$M"&amp;($B$1+$A29-1))="Préleveur",
            LEFT(INDIRECT("Descriptif!$M"&amp;($B$1+$A29-1)),5)="Sonde",
            LEFT(INDIRECT("Descriptif!$M"&amp;($B$1+$A29-1)),10)="Débitmètre",
            LEFT(INDIRECT("Descriptif!$F"&amp;($B$1+$A29-1)),6)="PLUVIO"
        )
    ),
    IF(
        LEFT(INDIRECT("Descriptif!$F"&amp;($B$1+$A29-1)),11)="PLUVIO_STEU",
        "A3",
        IF(
            LEFT(INDIRECT("Descriptif!$F"&amp;($B$1+$A29-1)),10)="PLUVIO_SCL",
            "A1",
            INDIRECT("Descriptif!$"&amp;D$15&amp;($B$1 +$A29 -1))
        )
    ),
    ""
)</f>
        <v/>
      </c>
      <c r="E29" s="277" t="str" cm="1">
        <f t="array" aca="1" ref="E29" ca="1">IF(
    AND(
        $B29,
        OR(
            INDIRECT("Descriptif!$M"&amp;($B$1+$A29-1))="Préleveur",
            LEFT(INDIRECT("Descriptif!$M"&amp;($B$1+$A29-1)),5)="Sonde",
            LEFT(INDIRECT("Descriptif!$M"&amp;($B$1+$A29-1)),10)="Débitmètre",
            LEFT(INDIRECT("Descriptif!$F"&amp;($B$1+$A29-1)),6)="PLUVIO"
        )
    ),
    IF(LEFT(INDIRECT("Descriptif!$F"&amp;($B$1+$A29-1)),6)="PLUVIO","Pluviomètre",INDIRECT("Descriptif!$"&amp;E$15&amp;($B$1 +$A29 -1))),
    ""
)</f>
        <v/>
      </c>
      <c r="F29" s="19" t="str" cm="1">
        <f t="array" aca="1" ref="F29" ca="1">IF(
    AND(
        $B29,
        OR(
            INDIRECT("Descriptif!$M"&amp;($B$1+$A29-1))="Préleveur",
            LEFT(INDIRECT("Descriptif!$M"&amp;($B$1+$A29-1)),5)="Sonde",
            LEFT(INDIRECT("Descriptif!$M"&amp;($B$1+$A29-1)),10)="Débitmètre",
            LEFT(INDIRECT("Descriptif!$F"&amp;($B$1+$A29-1)),6)="PLUVIO"
        )
    ),
    IF(LEFT(INDIRECT("Descriptif!$F"&amp;($B$1+$A29-1)),6)="PLUVIO","Pluviomètre",INDIRECT("Descriptif!$"&amp;F$15&amp;($B$1 +$A29 -1))),
    ""
)</f>
        <v/>
      </c>
      <c r="G29" s="19" t="str" cm="1">
        <f t="array" aca="1" ref="G29" ca="1">IF(
    AND(
        $B29,
        OR(
            INDIRECT("Descriptif!$M"&amp;($B$1+$A29-1))="Préleveur",
            LEFT(INDIRECT("Descriptif!$M"&amp;($B$1+$A29-1)),5)="Sonde",
            LEFT(INDIRECT("Descriptif!$M"&amp;($B$1+$A29-1)),10)="Débitmètre",
            LEFT(INDIRECT("Descriptif!$F"&amp;($B$1+$A29-1)),6)="PLUVIO"
        )
    ),
    IF(LEFT(INDIRECT("Descriptif!$F"&amp;($B$1+$A29-1)),6)="PLUVIO","Pluviomètre",INDIRECT("Descriptif!$"&amp;G$15&amp;($B$1 +$A29 -1))),
    ""
)</f>
        <v/>
      </c>
      <c r="H29" s="141" t="str" cm="1">
        <f t="array" aca="1" ref="H29" ca="1">IFERROR(INDEX($C$16:$C$116,SMALL(IF($C$16:$C$116&lt;&gt;"",ROW($C$16:$C$116)-ROW($C$16)+1),ROW(A14))),"")</f>
        <v/>
      </c>
      <c r="I29" s="140" t="str" cm="1">
        <f t="array" aca="1" ref="I29" ca="1">IFERROR(INDEX($D$16:$D$116,SMALL(IF($D$16:$D$116&lt;&gt;"",ROW($D$16:$D$116)-ROW($D$16)+1),ROW(A14))),"")</f>
        <v/>
      </c>
      <c r="J29" s="140" t="str" cm="1">
        <f t="array" aca="1" ref="J29" ca="1">IFERROR(INDEX($E$16:$E$116,SMALL(IF($E$16:$E$116&lt;&gt;"",ROW($E$16:$E$116)-ROW($E$16)+1),ROW(A14))),"")</f>
        <v/>
      </c>
      <c r="K29" s="140" t="str" cm="1">
        <f t="array" aca="1" ref="K29" ca="1">IFERROR(INDEX($F$16:$F$116,SMALL(IF($F$16:$F$116&lt;&gt;"",ROW($F$16:$F$116)-ROW($F$16)+1),ROW(A14))),"")</f>
        <v/>
      </c>
      <c r="L29" s="140" t="str">
        <f t="shared" ca="1" si="0"/>
        <v/>
      </c>
      <c r="M29" s="140" t="str" cm="1">
        <f t="array" aca="1" ref="M29" ca="1">IFERROR(INDEX($G$16:$G$116,SMALL(IF($G$16:$G$116&lt;&gt;"",ROW($G$16:$G$116)-ROW($G$16)+1),ROW(A14))),"")</f>
        <v/>
      </c>
      <c r="N29" s="145" t="str">
        <f t="shared" ca="1" si="1"/>
        <v/>
      </c>
      <c r="O29" s="146" t="str">
        <f t="shared" ca="1" si="2"/>
        <v/>
      </c>
      <c r="P29" s="146" t="str" cm="1">
        <f t="array" aca="1" ref="P29" ca="1">IF($J29&lt;&gt;"",IF(INDIRECT($H29&amp;"!"&amp;$O29)&lt;&gt;"",INDIRECT($H29&amp;"!"&amp;$O29),""),"")</f>
        <v/>
      </c>
      <c r="Q29" s="146" t="str">
        <f t="shared" ca="1" si="3"/>
        <v/>
      </c>
      <c r="R29" s="146" t="str" cm="1">
        <f t="array" aca="1" ref="R29" ca="1">IF($J29&lt;&gt;"",IF(INDIRECT($H29&amp;"!"&amp;$Q29)&lt;&gt;"",INDIRECT($H29&amp;"!"&amp;$Q29),""),"")</f>
        <v/>
      </c>
      <c r="S29" s="146" t="str">
        <f t="shared" ca="1" si="4"/>
        <v/>
      </c>
      <c r="T29" s="146" t="str" cm="1">
        <f t="array" aca="1" ref="T29" ca="1">IF($J29&lt;&gt;"",IF(INDIRECT($H29&amp;"!"&amp;$S29)&lt;&gt;"",INDIRECT($H29&amp;"!"&amp;$S29),""),"")</f>
        <v/>
      </c>
      <c r="U29" s="146" t="str">
        <f t="shared" ca="1" si="5"/>
        <v/>
      </c>
      <c r="V29" s="147" t="str" cm="1">
        <f t="array" aca="1" ref="V29" ca="1">IF($J29&lt;&gt;"",IF(INDIRECT($H29&amp;"!"&amp;$U29)&lt;&gt;"",INDIRECT($H29&amp;"!"&amp;$U29),""),"")</f>
        <v/>
      </c>
      <c r="W29" s="294" t="str">
        <f t="shared" ca="1" si="7"/>
        <v/>
      </c>
      <c r="X29" s="295" t="str">
        <f t="shared" ca="1" si="8"/>
        <v/>
      </c>
      <c r="Y29" s="296" t="str" cm="1">
        <f t="array" aca="1" ref="Y29" ca="1">IF($H29&lt;&gt;"",IF(INDIRECT($H29&amp;"!"&amp;$W29&amp;($X29+Y$15+1))&lt;&gt;"",INDIRECT($H29&amp;"!"&amp;$W29&amp;($X29+Y$15+1)),""),"")</f>
        <v/>
      </c>
      <c r="Z29" s="296" t="str" cm="1">
        <f t="array" aca="1" ref="Z29" ca="1">IF($H29&lt;&gt;"",IF(INDIRECT($H29&amp;"!"&amp;$W29&amp;($X29+Z$15+1))&lt;&gt;"",INDIRECT($H29&amp;"!"&amp;$W29&amp;($X29+Z$15+1)),""),"")</f>
        <v/>
      </c>
      <c r="AA29" s="296" t="str" cm="1">
        <f t="array" aca="1" ref="AA29" ca="1">IF($H29&lt;&gt;"",IF(INDIRECT($H29&amp;"!"&amp;$W29&amp;($X29+AA$15+1))&lt;&gt;"",INDIRECT($H29&amp;"!"&amp;$W29&amp;($X29+AA$15+1)),""),"")</f>
        <v/>
      </c>
      <c r="AB29" s="296" t="str" cm="1">
        <f t="array" aca="1" ref="AB29" ca="1">IF($H29&lt;&gt;"",IF(INDIRECT($H29&amp;"!"&amp;$W29&amp;($X29+AB$15+1))&lt;&gt;"",INDIRECT($H29&amp;"!"&amp;$W29&amp;($X29+AB$15+1)),""),"")</f>
        <v/>
      </c>
      <c r="AC29" s="296" t="str" cm="1">
        <f t="array" aca="1" ref="AC29" ca="1">IF(LEFT($J29,5)="Sonde","",IF($H29&lt;&gt;"",IF(INDIRECT($H29&amp;"!"&amp;$W29&amp;($X29+AC$15+1))&lt;&gt;"",INDIRECT($H29&amp;"!"&amp;$W29&amp;($X29+AC$15+1)),""),""))</f>
        <v/>
      </c>
      <c r="AD29" s="296" t="str" cm="1">
        <f t="array" aca="1" ref="AD29" ca="1">IF(OR($J29="Pluviomètre",LEFT($J29,5)="Sonde"),"",IF($H29&lt;&gt;"",IF(INDIRECT($H29&amp;"!"&amp;$W29&amp;($X29+AD$15+1))&lt;&gt;"",INDIRECT($H29&amp;"!"&amp;$W29&amp;($X29+AD$15+1)),""),""))</f>
        <v/>
      </c>
      <c r="AE29" s="296" t="str" cm="1">
        <f t="array" aca="1" ref="AE29" ca="1">IF(OR($J29="Pluviomètre",LEFT($J29,5)="Sonde"),"",IF($H29&lt;&gt;"",IF(INDIRECT($H29&amp;"!"&amp;$W29&amp;($X29+AE$15+1))&lt;&gt;"",INDIRECT($H29&amp;"!"&amp;$W29&amp;($X29+AE$15+1)),""),""))</f>
        <v/>
      </c>
      <c r="AF29" s="296" t="str" cm="1">
        <f t="array" aca="1" ref="AF29" ca="1">IF(OR($J29="Pluviomètre",LEFT($J29,5)="Sonde"),"",IF($H29&lt;&gt;"",IF(INDIRECT($H29&amp;"!"&amp;$W29&amp;($X29+AF$15+1))&lt;&gt;"",INDIRECT($H29&amp;"!"&amp;$W29&amp;($X29+AF$15+1)),""),""))</f>
        <v/>
      </c>
      <c r="AG29" s="296" t="str" cm="1">
        <f t="array" aca="1" ref="AG29" ca="1">IF(OR($J29="Pluviomètre",LEFT($J29,5)="Sonde"),"",IF($H29&lt;&gt;"",IF(INDIRECT($H29&amp;"!"&amp;$W29&amp;($X29+AG$15+1))&lt;&gt;"",INDIRECT($H29&amp;"!"&amp;$W29&amp;($X29+AG$15+1)),""),""))</f>
        <v/>
      </c>
      <c r="AH29" s="296" t="str" cm="1">
        <f t="array" aca="1" ref="AH29" ca="1">IF(OR($J29="Pluviomètre",LEFT($J29,5)="Sonde"),"",IF($H29&lt;&gt;"",IF(INDIRECT($H29&amp;"!"&amp;$W29&amp;($X29+AH$15+1))&lt;&gt;"",INDIRECT($H29&amp;"!"&amp;$W29&amp;($X29+AH$15+1)),""),""))</f>
        <v/>
      </c>
      <c r="AI29" s="294" t="str">
        <f t="shared" ca="1" si="9"/>
        <v/>
      </c>
      <c r="AJ29" s="295" t="str">
        <f t="shared" ca="1" si="10"/>
        <v/>
      </c>
      <c r="AK29" s="296" t="str" cm="1">
        <f t="array" aca="1" ref="AK29" ca="1">IF($H29&lt;&gt;"",IF(INDIRECT($H29&amp;"!"&amp;$AI29&amp;($AJ29+AK$15+1))&lt;&gt;"",INDIRECT($H29&amp;"!"&amp;$AI29&amp;($AJ29+AK$15+1)),""),"")</f>
        <v/>
      </c>
      <c r="AL29" s="296" t="str" cm="1">
        <f t="array" aca="1" ref="AL29" ca="1">IF($H29&lt;&gt;"",IF(INDIRECT($H29&amp;"!"&amp;$AI29&amp;($AJ29+AL$15+1))&lt;&gt;"",INDIRECT($H29&amp;"!"&amp;$AI29&amp;($AJ29+AL$15+1)),""),"")</f>
        <v/>
      </c>
      <c r="AM29" s="296" t="str" cm="1">
        <f t="array" aca="1" ref="AM29" ca="1">IF($H29&lt;&gt;"",IF(INDIRECT($H29&amp;"!"&amp;$AI29&amp;($AJ29+AM$15+1))&lt;&gt;"",INDIRECT($H29&amp;"!"&amp;$AI29&amp;($AJ29+AM$15+1)),""),"")</f>
        <v/>
      </c>
      <c r="AN29" s="296" t="str" cm="1">
        <f t="array" aca="1" ref="AN29" ca="1">IF($H29&lt;&gt;"",IF(INDIRECT($H29&amp;"!"&amp;$AI29&amp;($AJ29+AN$15+1))&lt;&gt;"",INDIRECT($H29&amp;"!"&amp;$AI29&amp;($AJ29+AN$15+1)),""),"")</f>
        <v/>
      </c>
      <c r="AO29" s="296" t="str" cm="1">
        <f t="array" aca="1" ref="AO29" ca="1">IF(LEFT($J29,5)="Sonde","",IF($H29&lt;&gt;"",IF(INDIRECT($H29&amp;"!"&amp;$AI29&amp;($AJ29+AO$15+1))&lt;&gt;"",INDIRECT($H29&amp;"!"&amp;$AI29&amp;($AJ29+AO$15+1)),""),""))</f>
        <v/>
      </c>
      <c r="AP29" s="296" t="str" cm="1">
        <f t="array" aca="1" ref="AP29" ca="1">IF(OR($J29="Pluviomètre",LEFT($J29,5)="Sonde"),"",IF($H29&lt;&gt;"",IF(INDIRECT($H29&amp;"!"&amp;$AI29&amp;($AJ29+AP$15+1))&lt;&gt;"",INDIRECT($H29&amp;"!"&amp;$AI29&amp;($AJ29+AP$15+1)),""),""))</f>
        <v/>
      </c>
      <c r="AQ29" s="296" t="str" cm="1">
        <f t="array" aca="1" ref="AQ29" ca="1">IF(OR($J29="Pluviomètre",LEFT($J29,5)="Sonde"),"",IF($H29&lt;&gt;"",IF(INDIRECT($H29&amp;"!"&amp;$AI29&amp;($AJ29+AQ$15+1))&lt;&gt;"",INDIRECT($H29&amp;"!"&amp;$AI29&amp;($AJ29+AQ$15+1)),""),""))</f>
        <v/>
      </c>
      <c r="AR29" s="296" t="str" cm="1">
        <f t="array" aca="1" ref="AR29" ca="1">IF(OR($J29="Pluviomètre",LEFT($J29,5)="Sonde"),"",IF($H29&lt;&gt;"",IF(INDIRECT($H29&amp;"!"&amp;$AI29&amp;($AJ29+AR$15+1))&lt;&gt;"",INDIRECT($H29&amp;"!"&amp;$AI29&amp;($AJ29+AR$15+1)),""),""))</f>
        <v/>
      </c>
      <c r="AS29" s="296" t="str" cm="1">
        <f t="array" aca="1" ref="AS29" ca="1">IF(OR($J29="Pluviomètre",LEFT($J29,5)="Sonde"),"",IF($H29&lt;&gt;"",IF(INDIRECT($H29&amp;"!"&amp;$AI29&amp;($AJ29+AS$15+1))&lt;&gt;"",INDIRECT($H29&amp;"!"&amp;$AI29&amp;($AJ29+AS$15+1)),""),""))</f>
        <v/>
      </c>
      <c r="AT29" s="296" t="str" cm="1">
        <f t="array" aca="1" ref="AT29" ca="1">IF(OR($J29="Pluviomètre",LEFT($J29,5)="Sonde"),"",IF($H29&lt;&gt;"",IF(INDIRECT($H29&amp;"!"&amp;$AI29&amp;($AJ29+AT$15+1))&lt;&gt;"",INDIRECT($H29&amp;"!"&amp;$AI29&amp;($AJ29+AT$15+1)),""),""))</f>
        <v/>
      </c>
    </row>
    <row r="30" spans="1:46" x14ac:dyDescent="0.4">
      <c r="A30" s="80">
        <v>15</v>
      </c>
      <c r="B30" s="134" t="b">
        <f t="shared" si="6"/>
        <v>0</v>
      </c>
      <c r="C30" s="139" t="str" cm="1">
        <f t="array" aca="1" ref="C30" ca="1">IF(
    AND(
        $B30,
        OR(
            INDIRECT("Descriptif!$M"&amp;($B$1+$A30-1))="Préleveur",
            LEFT(INDIRECT("Descriptif!$M"&amp;($B$1+$A30-1)),5)="Sonde",
            LEFT(INDIRECT("Descriptif!$M"&amp;($B$1+$A30-1)),10)="Débitmètre",
            LEFT(INDIRECT("Descriptif!$F"&amp;($B$1+$A30-1)),6)="PLUVIO"
        )
    ),
    INDIRECT("Descriptif!$"&amp;C$15&amp;($B$1 +$A30 -1)),
    ""
)</f>
        <v/>
      </c>
      <c r="D30" s="277" t="str" cm="1">
        <f t="array" aca="1" ref="D30" ca="1">IF(
    AND(
        $B30,
        OR(
            INDIRECT("Descriptif!$M"&amp;($B$1+$A30-1))="Préleveur",
            LEFT(INDIRECT("Descriptif!$M"&amp;($B$1+$A30-1)),5)="Sonde",
            LEFT(INDIRECT("Descriptif!$M"&amp;($B$1+$A30-1)),10)="Débitmètre",
            LEFT(INDIRECT("Descriptif!$F"&amp;($B$1+$A30-1)),6)="PLUVIO"
        )
    ),
    IF(
        LEFT(INDIRECT("Descriptif!$F"&amp;($B$1+$A30-1)),11)="PLUVIO_STEU",
        "A3",
        IF(
            LEFT(INDIRECT("Descriptif!$F"&amp;($B$1+$A30-1)),10)="PLUVIO_SCL",
            "A1",
            INDIRECT("Descriptif!$"&amp;D$15&amp;($B$1 +$A30 -1))
        )
    ),
    ""
)</f>
        <v/>
      </c>
      <c r="E30" s="277" t="str" cm="1">
        <f t="array" aca="1" ref="E30" ca="1">IF(
    AND(
        $B30,
        OR(
            INDIRECT("Descriptif!$M"&amp;($B$1+$A30-1))="Préleveur",
            LEFT(INDIRECT("Descriptif!$M"&amp;($B$1+$A30-1)),5)="Sonde",
            LEFT(INDIRECT("Descriptif!$M"&amp;($B$1+$A30-1)),10)="Débitmètre",
            LEFT(INDIRECT("Descriptif!$F"&amp;($B$1+$A30-1)),6)="PLUVIO"
        )
    ),
    IF(LEFT(INDIRECT("Descriptif!$F"&amp;($B$1+$A30-1)),6)="PLUVIO","Pluviomètre",INDIRECT("Descriptif!$"&amp;E$15&amp;($B$1 +$A30 -1))),
    ""
)</f>
        <v/>
      </c>
      <c r="F30" s="19" t="str" cm="1">
        <f t="array" aca="1" ref="F30" ca="1">IF(
    AND(
        $B30,
        OR(
            INDIRECT("Descriptif!$M"&amp;($B$1+$A30-1))="Préleveur",
            LEFT(INDIRECT("Descriptif!$M"&amp;($B$1+$A30-1)),5)="Sonde",
            LEFT(INDIRECT("Descriptif!$M"&amp;($B$1+$A30-1)),10)="Débitmètre",
            LEFT(INDIRECT("Descriptif!$F"&amp;($B$1+$A30-1)),6)="PLUVIO"
        )
    ),
    IF(LEFT(INDIRECT("Descriptif!$F"&amp;($B$1+$A30-1)),6)="PLUVIO","Pluviomètre",INDIRECT("Descriptif!$"&amp;F$15&amp;($B$1 +$A30 -1))),
    ""
)</f>
        <v/>
      </c>
      <c r="G30" s="19" t="str" cm="1">
        <f t="array" aca="1" ref="G30" ca="1">IF(
    AND(
        $B30,
        OR(
            INDIRECT("Descriptif!$M"&amp;($B$1+$A30-1))="Préleveur",
            LEFT(INDIRECT("Descriptif!$M"&amp;($B$1+$A30-1)),5)="Sonde",
            LEFT(INDIRECT("Descriptif!$M"&amp;($B$1+$A30-1)),10)="Débitmètre",
            LEFT(INDIRECT("Descriptif!$F"&amp;($B$1+$A30-1)),6)="PLUVIO"
        )
    ),
    IF(LEFT(INDIRECT("Descriptif!$F"&amp;($B$1+$A30-1)),6)="PLUVIO","Pluviomètre",INDIRECT("Descriptif!$"&amp;G$15&amp;($B$1 +$A30 -1))),
    ""
)</f>
        <v/>
      </c>
      <c r="H30" s="141" t="str" cm="1">
        <f t="array" aca="1" ref="H30" ca="1">IFERROR(INDEX($C$16:$C$116,SMALL(IF($C$16:$C$116&lt;&gt;"",ROW($C$16:$C$116)-ROW($C$16)+1),ROW(A15))),"")</f>
        <v/>
      </c>
      <c r="I30" s="140" t="str" cm="1">
        <f t="array" aca="1" ref="I30" ca="1">IFERROR(INDEX($D$16:$D$116,SMALL(IF($D$16:$D$116&lt;&gt;"",ROW($D$16:$D$116)-ROW($D$16)+1),ROW(A15))),"")</f>
        <v/>
      </c>
      <c r="J30" s="140" t="str" cm="1">
        <f t="array" aca="1" ref="J30" ca="1">IFERROR(INDEX($E$16:$E$116,SMALL(IF($E$16:$E$116&lt;&gt;"",ROW($E$16:$E$116)-ROW($E$16)+1),ROW(A15))),"")</f>
        <v/>
      </c>
      <c r="K30" s="140" t="str" cm="1">
        <f t="array" aca="1" ref="K30" ca="1">IFERROR(INDEX($F$16:$F$116,SMALL(IF($F$16:$F$116&lt;&gt;"",ROW($F$16:$F$116)-ROW($F$16)+1),ROW(A15))),"")</f>
        <v/>
      </c>
      <c r="L30" s="140" t="str">
        <f t="shared" ca="1" si="0"/>
        <v/>
      </c>
      <c r="M30" s="140" t="str" cm="1">
        <f t="array" aca="1" ref="M30" ca="1">IFERROR(INDEX($G$16:$G$116,SMALL(IF($G$16:$G$116&lt;&gt;"",ROW($G$16:$G$116)-ROW($G$16)+1),ROW(A15))),"")</f>
        <v/>
      </c>
      <c r="N30" s="145" t="str">
        <f t="shared" ca="1" si="1"/>
        <v/>
      </c>
      <c r="O30" s="146" t="str">
        <f t="shared" ca="1" si="2"/>
        <v/>
      </c>
      <c r="P30" s="146" t="str" cm="1">
        <f t="array" aca="1" ref="P30" ca="1">IF($J30&lt;&gt;"",IF(INDIRECT($H30&amp;"!"&amp;$O30)&lt;&gt;"",INDIRECT($H30&amp;"!"&amp;$O30),""),"")</f>
        <v/>
      </c>
      <c r="Q30" s="146" t="str">
        <f t="shared" ca="1" si="3"/>
        <v/>
      </c>
      <c r="R30" s="146" t="str" cm="1">
        <f t="array" aca="1" ref="R30" ca="1">IF($J30&lt;&gt;"",IF(INDIRECT($H30&amp;"!"&amp;$Q30)&lt;&gt;"",INDIRECT($H30&amp;"!"&amp;$Q30),""),"")</f>
        <v/>
      </c>
      <c r="S30" s="146" t="str">
        <f t="shared" ca="1" si="4"/>
        <v/>
      </c>
      <c r="T30" s="146" t="str" cm="1">
        <f t="array" aca="1" ref="T30" ca="1">IF($J30&lt;&gt;"",IF(INDIRECT($H30&amp;"!"&amp;$S30)&lt;&gt;"",INDIRECT($H30&amp;"!"&amp;$S30),""),"")</f>
        <v/>
      </c>
      <c r="U30" s="146" t="str">
        <f t="shared" ca="1" si="5"/>
        <v/>
      </c>
      <c r="V30" s="147" t="str" cm="1">
        <f t="array" aca="1" ref="V30" ca="1">IF($J30&lt;&gt;"",IF(INDIRECT($H30&amp;"!"&amp;$U30)&lt;&gt;"",INDIRECT($H30&amp;"!"&amp;$U30),""),"")</f>
        <v/>
      </c>
      <c r="W30" s="294" t="str">
        <f t="shared" ca="1" si="7"/>
        <v/>
      </c>
      <c r="X30" s="295" t="str">
        <f t="shared" ca="1" si="8"/>
        <v/>
      </c>
      <c r="Y30" s="296" t="str" cm="1">
        <f t="array" aca="1" ref="Y30" ca="1">IF($H30&lt;&gt;"",IF(INDIRECT($H30&amp;"!"&amp;$W30&amp;($X30+Y$15+1))&lt;&gt;"",INDIRECT($H30&amp;"!"&amp;$W30&amp;($X30+Y$15+1)),""),"")</f>
        <v/>
      </c>
      <c r="Z30" s="296" t="str" cm="1">
        <f t="array" aca="1" ref="Z30" ca="1">IF($H30&lt;&gt;"",IF(INDIRECT($H30&amp;"!"&amp;$W30&amp;($X30+Z$15+1))&lt;&gt;"",INDIRECT($H30&amp;"!"&amp;$W30&amp;($X30+Z$15+1)),""),"")</f>
        <v/>
      </c>
      <c r="AA30" s="296" t="str" cm="1">
        <f t="array" aca="1" ref="AA30" ca="1">IF($H30&lt;&gt;"",IF(INDIRECT($H30&amp;"!"&amp;$W30&amp;($X30+AA$15+1))&lt;&gt;"",INDIRECT($H30&amp;"!"&amp;$W30&amp;($X30+AA$15+1)),""),"")</f>
        <v/>
      </c>
      <c r="AB30" s="296" t="str" cm="1">
        <f t="array" aca="1" ref="AB30" ca="1">IF($H30&lt;&gt;"",IF(INDIRECT($H30&amp;"!"&amp;$W30&amp;($X30+AB$15+1))&lt;&gt;"",INDIRECT($H30&amp;"!"&amp;$W30&amp;($X30+AB$15+1)),""),"")</f>
        <v/>
      </c>
      <c r="AC30" s="296" t="str" cm="1">
        <f t="array" aca="1" ref="AC30" ca="1">IF(LEFT($J30,5)="Sonde","",IF($H30&lt;&gt;"",IF(INDIRECT($H30&amp;"!"&amp;$W30&amp;($X30+AC$15+1))&lt;&gt;"",INDIRECT($H30&amp;"!"&amp;$W30&amp;($X30+AC$15+1)),""),""))</f>
        <v/>
      </c>
      <c r="AD30" s="296" t="str" cm="1">
        <f t="array" aca="1" ref="AD30" ca="1">IF(OR($J30="Pluviomètre",LEFT($J30,5)="Sonde"),"",IF($H30&lt;&gt;"",IF(INDIRECT($H30&amp;"!"&amp;$W30&amp;($X30+AD$15+1))&lt;&gt;"",INDIRECT($H30&amp;"!"&amp;$W30&amp;($X30+AD$15+1)),""),""))</f>
        <v/>
      </c>
      <c r="AE30" s="296" t="str" cm="1">
        <f t="array" aca="1" ref="AE30" ca="1">IF(OR($J30="Pluviomètre",LEFT($J30,5)="Sonde"),"",IF($H30&lt;&gt;"",IF(INDIRECT($H30&amp;"!"&amp;$W30&amp;($X30+AE$15+1))&lt;&gt;"",INDIRECT($H30&amp;"!"&amp;$W30&amp;($X30+AE$15+1)),""),""))</f>
        <v/>
      </c>
      <c r="AF30" s="296" t="str" cm="1">
        <f t="array" aca="1" ref="AF30" ca="1">IF(OR($J30="Pluviomètre",LEFT($J30,5)="Sonde"),"",IF($H30&lt;&gt;"",IF(INDIRECT($H30&amp;"!"&amp;$W30&amp;($X30+AF$15+1))&lt;&gt;"",INDIRECT($H30&amp;"!"&amp;$W30&amp;($X30+AF$15+1)),""),""))</f>
        <v/>
      </c>
      <c r="AG30" s="296" t="str" cm="1">
        <f t="array" aca="1" ref="AG30" ca="1">IF(OR($J30="Pluviomètre",LEFT($J30,5)="Sonde"),"",IF($H30&lt;&gt;"",IF(INDIRECT($H30&amp;"!"&amp;$W30&amp;($X30+AG$15+1))&lt;&gt;"",INDIRECT($H30&amp;"!"&amp;$W30&amp;($X30+AG$15+1)),""),""))</f>
        <v/>
      </c>
      <c r="AH30" s="296" t="str" cm="1">
        <f t="array" aca="1" ref="AH30" ca="1">IF(OR($J30="Pluviomètre",LEFT($J30,5)="Sonde"),"",IF($H30&lt;&gt;"",IF(INDIRECT($H30&amp;"!"&amp;$W30&amp;($X30+AH$15+1))&lt;&gt;"",INDIRECT($H30&amp;"!"&amp;$W30&amp;($X30+AH$15+1)),""),""))</f>
        <v/>
      </c>
      <c r="AI30" s="294" t="str">
        <f t="shared" ca="1" si="9"/>
        <v/>
      </c>
      <c r="AJ30" s="295" t="str">
        <f t="shared" ca="1" si="10"/>
        <v/>
      </c>
      <c r="AK30" s="296" t="str" cm="1">
        <f t="array" aca="1" ref="AK30" ca="1">IF($H30&lt;&gt;"",IF(INDIRECT($H30&amp;"!"&amp;$AI30&amp;($AJ30+AK$15+1))&lt;&gt;"",INDIRECT($H30&amp;"!"&amp;$AI30&amp;($AJ30+AK$15+1)),""),"")</f>
        <v/>
      </c>
      <c r="AL30" s="296" t="str" cm="1">
        <f t="array" aca="1" ref="AL30" ca="1">IF($H30&lt;&gt;"",IF(INDIRECT($H30&amp;"!"&amp;$AI30&amp;($AJ30+AL$15+1))&lt;&gt;"",INDIRECT($H30&amp;"!"&amp;$AI30&amp;($AJ30+AL$15+1)),""),"")</f>
        <v/>
      </c>
      <c r="AM30" s="296" t="str" cm="1">
        <f t="array" aca="1" ref="AM30" ca="1">IF($H30&lt;&gt;"",IF(INDIRECT($H30&amp;"!"&amp;$AI30&amp;($AJ30+AM$15+1))&lt;&gt;"",INDIRECT($H30&amp;"!"&amp;$AI30&amp;($AJ30+AM$15+1)),""),"")</f>
        <v/>
      </c>
      <c r="AN30" s="296" t="str" cm="1">
        <f t="array" aca="1" ref="AN30" ca="1">IF($H30&lt;&gt;"",IF(INDIRECT($H30&amp;"!"&amp;$AI30&amp;($AJ30+AN$15+1))&lt;&gt;"",INDIRECT($H30&amp;"!"&amp;$AI30&amp;($AJ30+AN$15+1)),""),"")</f>
        <v/>
      </c>
      <c r="AO30" s="296" t="str" cm="1">
        <f t="array" aca="1" ref="AO30" ca="1">IF(LEFT($J30,5)="Sonde","",IF($H30&lt;&gt;"",IF(INDIRECT($H30&amp;"!"&amp;$AI30&amp;($AJ30+AO$15+1))&lt;&gt;"",INDIRECT($H30&amp;"!"&amp;$AI30&amp;($AJ30+AO$15+1)),""),""))</f>
        <v/>
      </c>
      <c r="AP30" s="296" t="str" cm="1">
        <f t="array" aca="1" ref="AP30" ca="1">IF(OR($J30="Pluviomètre",LEFT($J30,5)="Sonde"),"",IF($H30&lt;&gt;"",IF(INDIRECT($H30&amp;"!"&amp;$AI30&amp;($AJ30+AP$15+1))&lt;&gt;"",INDIRECT($H30&amp;"!"&amp;$AI30&amp;($AJ30+AP$15+1)),""),""))</f>
        <v/>
      </c>
      <c r="AQ30" s="296" t="str" cm="1">
        <f t="array" aca="1" ref="AQ30" ca="1">IF(OR($J30="Pluviomètre",LEFT($J30,5)="Sonde"),"",IF($H30&lt;&gt;"",IF(INDIRECT($H30&amp;"!"&amp;$AI30&amp;($AJ30+AQ$15+1))&lt;&gt;"",INDIRECT($H30&amp;"!"&amp;$AI30&amp;($AJ30+AQ$15+1)),""),""))</f>
        <v/>
      </c>
      <c r="AR30" s="296" t="str" cm="1">
        <f t="array" aca="1" ref="AR30" ca="1">IF(OR($J30="Pluviomètre",LEFT($J30,5)="Sonde"),"",IF($H30&lt;&gt;"",IF(INDIRECT($H30&amp;"!"&amp;$AI30&amp;($AJ30+AR$15+1))&lt;&gt;"",INDIRECT($H30&amp;"!"&amp;$AI30&amp;($AJ30+AR$15+1)),""),""))</f>
        <v/>
      </c>
      <c r="AS30" s="296" t="str" cm="1">
        <f t="array" aca="1" ref="AS30" ca="1">IF(OR($J30="Pluviomètre",LEFT($J30,5)="Sonde"),"",IF($H30&lt;&gt;"",IF(INDIRECT($H30&amp;"!"&amp;$AI30&amp;($AJ30+AS$15+1))&lt;&gt;"",INDIRECT($H30&amp;"!"&amp;$AI30&amp;($AJ30+AS$15+1)),""),""))</f>
        <v/>
      </c>
      <c r="AT30" s="296" t="str" cm="1">
        <f t="array" aca="1" ref="AT30" ca="1">IF(OR($J30="Pluviomètre",LEFT($J30,5)="Sonde"),"",IF($H30&lt;&gt;"",IF(INDIRECT($H30&amp;"!"&amp;$AI30&amp;($AJ30+AT$15+1))&lt;&gt;"",INDIRECT($H30&amp;"!"&amp;$AI30&amp;($AJ30+AT$15+1)),""),""))</f>
        <v/>
      </c>
    </row>
    <row r="31" spans="1:46" x14ac:dyDescent="0.4">
      <c r="A31" s="80">
        <v>16</v>
      </c>
      <c r="B31" s="134" t="b">
        <f t="shared" si="6"/>
        <v>0</v>
      </c>
      <c r="C31" s="139" t="str" cm="1">
        <f t="array" aca="1" ref="C31" ca="1">IF(
    AND(
        $B31,
        OR(
            INDIRECT("Descriptif!$M"&amp;($B$1+$A31-1))="Préleveur",
            LEFT(INDIRECT("Descriptif!$M"&amp;($B$1+$A31-1)),5)="Sonde",
            LEFT(INDIRECT("Descriptif!$M"&amp;($B$1+$A31-1)),10)="Débitmètre",
            LEFT(INDIRECT("Descriptif!$F"&amp;($B$1+$A31-1)),6)="PLUVIO"
        )
    ),
    INDIRECT("Descriptif!$"&amp;C$15&amp;($B$1 +$A31 -1)),
    ""
)</f>
        <v/>
      </c>
      <c r="D31" s="277" t="str" cm="1">
        <f t="array" aca="1" ref="D31" ca="1">IF(
    AND(
        $B31,
        OR(
            INDIRECT("Descriptif!$M"&amp;($B$1+$A31-1))="Préleveur",
            LEFT(INDIRECT("Descriptif!$M"&amp;($B$1+$A31-1)),5)="Sonde",
            LEFT(INDIRECT("Descriptif!$M"&amp;($B$1+$A31-1)),10)="Débitmètre",
            LEFT(INDIRECT("Descriptif!$F"&amp;($B$1+$A31-1)),6)="PLUVIO"
        )
    ),
    IF(
        LEFT(INDIRECT("Descriptif!$F"&amp;($B$1+$A31-1)),11)="PLUVIO_STEU",
        "A3",
        IF(
            LEFT(INDIRECT("Descriptif!$F"&amp;($B$1+$A31-1)),10)="PLUVIO_SCL",
            "A1",
            INDIRECT("Descriptif!$"&amp;D$15&amp;($B$1 +$A31 -1))
        )
    ),
    ""
)</f>
        <v/>
      </c>
      <c r="E31" s="277" t="str" cm="1">
        <f t="array" aca="1" ref="E31" ca="1">IF(
    AND(
        $B31,
        OR(
            INDIRECT("Descriptif!$M"&amp;($B$1+$A31-1))="Préleveur",
            LEFT(INDIRECT("Descriptif!$M"&amp;($B$1+$A31-1)),5)="Sonde",
            LEFT(INDIRECT("Descriptif!$M"&amp;($B$1+$A31-1)),10)="Débitmètre",
            LEFT(INDIRECT("Descriptif!$F"&amp;($B$1+$A31-1)),6)="PLUVIO"
        )
    ),
    IF(LEFT(INDIRECT("Descriptif!$F"&amp;($B$1+$A31-1)),6)="PLUVIO","Pluviomètre",INDIRECT("Descriptif!$"&amp;E$15&amp;($B$1 +$A31 -1))),
    ""
)</f>
        <v/>
      </c>
      <c r="F31" s="19" t="str" cm="1">
        <f t="array" aca="1" ref="F31" ca="1">IF(
    AND(
        $B31,
        OR(
            INDIRECT("Descriptif!$M"&amp;($B$1+$A31-1))="Préleveur",
            LEFT(INDIRECT("Descriptif!$M"&amp;($B$1+$A31-1)),5)="Sonde",
            LEFT(INDIRECT("Descriptif!$M"&amp;($B$1+$A31-1)),10)="Débitmètre",
            LEFT(INDIRECT("Descriptif!$F"&amp;($B$1+$A31-1)),6)="PLUVIO"
        )
    ),
    IF(LEFT(INDIRECT("Descriptif!$F"&amp;($B$1+$A31-1)),6)="PLUVIO","Pluviomètre",INDIRECT("Descriptif!$"&amp;F$15&amp;($B$1 +$A31 -1))),
    ""
)</f>
        <v/>
      </c>
      <c r="G31" s="19" t="str" cm="1">
        <f t="array" aca="1" ref="G31" ca="1">IF(
    AND(
        $B31,
        OR(
            INDIRECT("Descriptif!$M"&amp;($B$1+$A31-1))="Préleveur",
            LEFT(INDIRECT("Descriptif!$M"&amp;($B$1+$A31-1)),5)="Sonde",
            LEFT(INDIRECT("Descriptif!$M"&amp;($B$1+$A31-1)),10)="Débitmètre",
            LEFT(INDIRECT("Descriptif!$F"&amp;($B$1+$A31-1)),6)="PLUVIO"
        )
    ),
    IF(LEFT(INDIRECT("Descriptif!$F"&amp;($B$1+$A31-1)),6)="PLUVIO","Pluviomètre",INDIRECT("Descriptif!$"&amp;G$15&amp;($B$1 +$A31 -1))),
    ""
)</f>
        <v/>
      </c>
      <c r="H31" s="141" t="str" cm="1">
        <f t="array" aca="1" ref="H31" ca="1">IFERROR(INDEX($C$16:$C$116,SMALL(IF($C$16:$C$116&lt;&gt;"",ROW($C$16:$C$116)-ROW($C$16)+1),ROW(A16))),"")</f>
        <v/>
      </c>
      <c r="I31" s="140" t="str" cm="1">
        <f t="array" aca="1" ref="I31" ca="1">IFERROR(INDEX($D$16:$D$116,SMALL(IF($D$16:$D$116&lt;&gt;"",ROW($D$16:$D$116)-ROW($D$16)+1),ROW(A16))),"")</f>
        <v/>
      </c>
      <c r="J31" s="140" t="str" cm="1">
        <f t="array" aca="1" ref="J31" ca="1">IFERROR(INDEX($E$16:$E$116,SMALL(IF($E$16:$E$116&lt;&gt;"",ROW($E$16:$E$116)-ROW($E$16)+1),ROW(A16))),"")</f>
        <v/>
      </c>
      <c r="K31" s="140" t="str" cm="1">
        <f t="array" aca="1" ref="K31" ca="1">IFERROR(INDEX($F$16:$F$116,SMALL(IF($F$16:$F$116&lt;&gt;"",ROW($F$16:$F$116)-ROW($F$16)+1),ROW(A16))),"")</f>
        <v/>
      </c>
      <c r="L31" s="140" t="str">
        <f t="shared" ca="1" si="0"/>
        <v/>
      </c>
      <c r="M31" s="140" t="str" cm="1">
        <f t="array" aca="1" ref="M31" ca="1">IFERROR(INDEX($G$16:$G$116,SMALL(IF($G$16:$G$116&lt;&gt;"",ROW($G$16:$G$116)-ROW($G$16)+1),ROW(A16))),"")</f>
        <v/>
      </c>
      <c r="N31" s="145" t="str">
        <f t="shared" ca="1" si="1"/>
        <v/>
      </c>
      <c r="O31" s="146" t="str">
        <f t="shared" ca="1" si="2"/>
        <v/>
      </c>
      <c r="P31" s="146" t="str" cm="1">
        <f t="array" aca="1" ref="P31" ca="1">IF($J31&lt;&gt;"",IF(INDIRECT($H31&amp;"!"&amp;$O31)&lt;&gt;"",INDIRECT($H31&amp;"!"&amp;$O31),""),"")</f>
        <v/>
      </c>
      <c r="Q31" s="146" t="str">
        <f t="shared" ca="1" si="3"/>
        <v/>
      </c>
      <c r="R31" s="146" t="str" cm="1">
        <f t="array" aca="1" ref="R31" ca="1">IF($J31&lt;&gt;"",IF(INDIRECT($H31&amp;"!"&amp;$Q31)&lt;&gt;"",INDIRECT($H31&amp;"!"&amp;$Q31),""),"")</f>
        <v/>
      </c>
      <c r="S31" s="146" t="str">
        <f t="shared" ca="1" si="4"/>
        <v/>
      </c>
      <c r="T31" s="146" t="str" cm="1">
        <f t="array" aca="1" ref="T31" ca="1">IF($J31&lt;&gt;"",IF(INDIRECT($H31&amp;"!"&amp;$S31)&lt;&gt;"",INDIRECT($H31&amp;"!"&amp;$S31),""),"")</f>
        <v/>
      </c>
      <c r="U31" s="146" t="str">
        <f t="shared" ca="1" si="5"/>
        <v/>
      </c>
      <c r="V31" s="147" t="str" cm="1">
        <f t="array" aca="1" ref="V31" ca="1">IF($J31&lt;&gt;"",IF(INDIRECT($H31&amp;"!"&amp;$U31)&lt;&gt;"",INDIRECT($H31&amp;"!"&amp;$U31),""),"")</f>
        <v/>
      </c>
      <c r="W31" s="294" t="str">
        <f t="shared" ca="1" si="7"/>
        <v/>
      </c>
      <c r="X31" s="295" t="str">
        <f t="shared" ca="1" si="8"/>
        <v/>
      </c>
      <c r="Y31" s="296" t="str" cm="1">
        <f t="array" aca="1" ref="Y31" ca="1">IF($H31&lt;&gt;"",IF(INDIRECT($H31&amp;"!"&amp;$W31&amp;($X31+Y$15+1))&lt;&gt;"",INDIRECT($H31&amp;"!"&amp;$W31&amp;($X31+Y$15+1)),""),"")</f>
        <v/>
      </c>
      <c r="Z31" s="296" t="str" cm="1">
        <f t="array" aca="1" ref="Z31" ca="1">IF($H31&lt;&gt;"",IF(INDIRECT($H31&amp;"!"&amp;$W31&amp;($X31+Z$15+1))&lt;&gt;"",INDIRECT($H31&amp;"!"&amp;$W31&amp;($X31+Z$15+1)),""),"")</f>
        <v/>
      </c>
      <c r="AA31" s="296" t="str" cm="1">
        <f t="array" aca="1" ref="AA31" ca="1">IF($H31&lt;&gt;"",IF(INDIRECT($H31&amp;"!"&amp;$W31&amp;($X31+AA$15+1))&lt;&gt;"",INDIRECT($H31&amp;"!"&amp;$W31&amp;($X31+AA$15+1)),""),"")</f>
        <v/>
      </c>
      <c r="AB31" s="296" t="str" cm="1">
        <f t="array" aca="1" ref="AB31" ca="1">IF($H31&lt;&gt;"",IF(INDIRECT($H31&amp;"!"&amp;$W31&amp;($X31+AB$15+1))&lt;&gt;"",INDIRECT($H31&amp;"!"&amp;$W31&amp;($X31+AB$15+1)),""),"")</f>
        <v/>
      </c>
      <c r="AC31" s="296" t="str" cm="1">
        <f t="array" aca="1" ref="AC31" ca="1">IF(LEFT($J31,5)="Sonde","",IF($H31&lt;&gt;"",IF(INDIRECT($H31&amp;"!"&amp;$W31&amp;($X31+AC$15+1))&lt;&gt;"",INDIRECT($H31&amp;"!"&amp;$W31&amp;($X31+AC$15+1)),""),""))</f>
        <v/>
      </c>
      <c r="AD31" s="296" t="str" cm="1">
        <f t="array" aca="1" ref="AD31" ca="1">IF(OR($J31="Pluviomètre",LEFT($J31,5)="Sonde"),"",IF($H31&lt;&gt;"",IF(INDIRECT($H31&amp;"!"&amp;$W31&amp;($X31+AD$15+1))&lt;&gt;"",INDIRECT($H31&amp;"!"&amp;$W31&amp;($X31+AD$15+1)),""),""))</f>
        <v/>
      </c>
      <c r="AE31" s="296" t="str" cm="1">
        <f t="array" aca="1" ref="AE31" ca="1">IF(OR($J31="Pluviomètre",LEFT($J31,5)="Sonde"),"",IF($H31&lt;&gt;"",IF(INDIRECT($H31&amp;"!"&amp;$W31&amp;($X31+AE$15+1))&lt;&gt;"",INDIRECT($H31&amp;"!"&amp;$W31&amp;($X31+AE$15+1)),""),""))</f>
        <v/>
      </c>
      <c r="AF31" s="296" t="str" cm="1">
        <f t="array" aca="1" ref="AF31" ca="1">IF(OR($J31="Pluviomètre",LEFT($J31,5)="Sonde"),"",IF($H31&lt;&gt;"",IF(INDIRECT($H31&amp;"!"&amp;$W31&amp;($X31+AF$15+1))&lt;&gt;"",INDIRECT($H31&amp;"!"&amp;$W31&amp;($X31+AF$15+1)),""),""))</f>
        <v/>
      </c>
      <c r="AG31" s="296" t="str" cm="1">
        <f t="array" aca="1" ref="AG31" ca="1">IF(OR($J31="Pluviomètre",LEFT($J31,5)="Sonde"),"",IF($H31&lt;&gt;"",IF(INDIRECT($H31&amp;"!"&amp;$W31&amp;($X31+AG$15+1))&lt;&gt;"",INDIRECT($H31&amp;"!"&amp;$W31&amp;($X31+AG$15+1)),""),""))</f>
        <v/>
      </c>
      <c r="AH31" s="296" t="str" cm="1">
        <f t="array" aca="1" ref="AH31" ca="1">IF(OR($J31="Pluviomètre",LEFT($J31,5)="Sonde"),"",IF($H31&lt;&gt;"",IF(INDIRECT($H31&amp;"!"&amp;$W31&amp;($X31+AH$15+1))&lt;&gt;"",INDIRECT($H31&amp;"!"&amp;$W31&amp;($X31+AH$15+1)),""),""))</f>
        <v/>
      </c>
      <c r="AI31" s="294" t="str">
        <f t="shared" ca="1" si="9"/>
        <v/>
      </c>
      <c r="AJ31" s="295" t="str">
        <f t="shared" ca="1" si="10"/>
        <v/>
      </c>
      <c r="AK31" s="296" t="str" cm="1">
        <f t="array" aca="1" ref="AK31" ca="1">IF($H31&lt;&gt;"",IF(INDIRECT($H31&amp;"!"&amp;$AI31&amp;($AJ31+AK$15+1))&lt;&gt;"",INDIRECT($H31&amp;"!"&amp;$AI31&amp;($AJ31+AK$15+1)),""),"")</f>
        <v/>
      </c>
      <c r="AL31" s="296" t="str" cm="1">
        <f t="array" aca="1" ref="AL31" ca="1">IF($H31&lt;&gt;"",IF(INDIRECT($H31&amp;"!"&amp;$AI31&amp;($AJ31+AL$15+1))&lt;&gt;"",INDIRECT($H31&amp;"!"&amp;$AI31&amp;($AJ31+AL$15+1)),""),"")</f>
        <v/>
      </c>
      <c r="AM31" s="296" t="str" cm="1">
        <f t="array" aca="1" ref="AM31" ca="1">IF($H31&lt;&gt;"",IF(INDIRECT($H31&amp;"!"&amp;$AI31&amp;($AJ31+AM$15+1))&lt;&gt;"",INDIRECT($H31&amp;"!"&amp;$AI31&amp;($AJ31+AM$15+1)),""),"")</f>
        <v/>
      </c>
      <c r="AN31" s="296" t="str" cm="1">
        <f t="array" aca="1" ref="AN31" ca="1">IF($H31&lt;&gt;"",IF(INDIRECT($H31&amp;"!"&amp;$AI31&amp;($AJ31+AN$15+1))&lt;&gt;"",INDIRECT($H31&amp;"!"&amp;$AI31&amp;($AJ31+AN$15+1)),""),"")</f>
        <v/>
      </c>
      <c r="AO31" s="296" t="str" cm="1">
        <f t="array" aca="1" ref="AO31" ca="1">IF(LEFT($J31,5)="Sonde","",IF($H31&lt;&gt;"",IF(INDIRECT($H31&amp;"!"&amp;$AI31&amp;($AJ31+AO$15+1))&lt;&gt;"",INDIRECT($H31&amp;"!"&amp;$AI31&amp;($AJ31+AO$15+1)),""),""))</f>
        <v/>
      </c>
      <c r="AP31" s="296" t="str" cm="1">
        <f t="array" aca="1" ref="AP31" ca="1">IF(OR($J31="Pluviomètre",LEFT($J31,5)="Sonde"),"",IF($H31&lt;&gt;"",IF(INDIRECT($H31&amp;"!"&amp;$AI31&amp;($AJ31+AP$15+1))&lt;&gt;"",INDIRECT($H31&amp;"!"&amp;$AI31&amp;($AJ31+AP$15+1)),""),""))</f>
        <v/>
      </c>
      <c r="AQ31" s="296" t="str" cm="1">
        <f t="array" aca="1" ref="AQ31" ca="1">IF(OR($J31="Pluviomètre",LEFT($J31,5)="Sonde"),"",IF($H31&lt;&gt;"",IF(INDIRECT($H31&amp;"!"&amp;$AI31&amp;($AJ31+AQ$15+1))&lt;&gt;"",INDIRECT($H31&amp;"!"&amp;$AI31&amp;($AJ31+AQ$15+1)),""),""))</f>
        <v/>
      </c>
      <c r="AR31" s="296" t="str" cm="1">
        <f t="array" aca="1" ref="AR31" ca="1">IF(OR($J31="Pluviomètre",LEFT($J31,5)="Sonde"),"",IF($H31&lt;&gt;"",IF(INDIRECT($H31&amp;"!"&amp;$AI31&amp;($AJ31+AR$15+1))&lt;&gt;"",INDIRECT($H31&amp;"!"&amp;$AI31&amp;($AJ31+AR$15+1)),""),""))</f>
        <v/>
      </c>
      <c r="AS31" s="296" t="str" cm="1">
        <f t="array" aca="1" ref="AS31" ca="1">IF(OR($J31="Pluviomètre",LEFT($J31,5)="Sonde"),"",IF($H31&lt;&gt;"",IF(INDIRECT($H31&amp;"!"&amp;$AI31&amp;($AJ31+AS$15+1))&lt;&gt;"",INDIRECT($H31&amp;"!"&amp;$AI31&amp;($AJ31+AS$15+1)),""),""))</f>
        <v/>
      </c>
      <c r="AT31" s="296" t="str" cm="1">
        <f t="array" aca="1" ref="AT31" ca="1">IF(OR($J31="Pluviomètre",LEFT($J31,5)="Sonde"),"",IF($H31&lt;&gt;"",IF(INDIRECT($H31&amp;"!"&amp;$AI31&amp;($AJ31+AT$15+1))&lt;&gt;"",INDIRECT($H31&amp;"!"&amp;$AI31&amp;($AJ31+AT$15+1)),""),""))</f>
        <v/>
      </c>
    </row>
    <row r="32" spans="1:46" x14ac:dyDescent="0.4">
      <c r="A32" s="80">
        <v>17</v>
      </c>
      <c r="B32" s="134" t="b">
        <f t="shared" si="6"/>
        <v>0</v>
      </c>
      <c r="C32" s="139" t="str" cm="1">
        <f t="array" aca="1" ref="C32" ca="1">IF(
    AND(
        $B32,
        OR(
            INDIRECT("Descriptif!$M"&amp;($B$1+$A32-1))="Préleveur",
            LEFT(INDIRECT("Descriptif!$M"&amp;($B$1+$A32-1)),5)="Sonde",
            LEFT(INDIRECT("Descriptif!$M"&amp;($B$1+$A32-1)),10)="Débitmètre",
            LEFT(INDIRECT("Descriptif!$F"&amp;($B$1+$A32-1)),6)="PLUVIO"
        )
    ),
    INDIRECT("Descriptif!$"&amp;C$15&amp;($B$1 +$A32 -1)),
    ""
)</f>
        <v/>
      </c>
      <c r="D32" s="277" t="str" cm="1">
        <f t="array" aca="1" ref="D32" ca="1">IF(
    AND(
        $B32,
        OR(
            INDIRECT("Descriptif!$M"&amp;($B$1+$A32-1))="Préleveur",
            LEFT(INDIRECT("Descriptif!$M"&amp;($B$1+$A32-1)),5)="Sonde",
            LEFT(INDIRECT("Descriptif!$M"&amp;($B$1+$A32-1)),10)="Débitmètre",
            LEFT(INDIRECT("Descriptif!$F"&amp;($B$1+$A32-1)),6)="PLUVIO"
        )
    ),
    IF(
        LEFT(INDIRECT("Descriptif!$F"&amp;($B$1+$A32-1)),11)="PLUVIO_STEU",
        "A3",
        IF(
            LEFT(INDIRECT("Descriptif!$F"&amp;($B$1+$A32-1)),10)="PLUVIO_SCL",
            "A1",
            INDIRECT("Descriptif!$"&amp;D$15&amp;($B$1 +$A32 -1))
        )
    ),
    ""
)</f>
        <v/>
      </c>
      <c r="E32" s="277" t="str" cm="1">
        <f t="array" aca="1" ref="E32" ca="1">IF(
    AND(
        $B32,
        OR(
            INDIRECT("Descriptif!$M"&amp;($B$1+$A32-1))="Préleveur",
            LEFT(INDIRECT("Descriptif!$M"&amp;($B$1+$A32-1)),5)="Sonde",
            LEFT(INDIRECT("Descriptif!$M"&amp;($B$1+$A32-1)),10)="Débitmètre",
            LEFT(INDIRECT("Descriptif!$F"&amp;($B$1+$A32-1)),6)="PLUVIO"
        )
    ),
    IF(LEFT(INDIRECT("Descriptif!$F"&amp;($B$1+$A32-1)),6)="PLUVIO","Pluviomètre",INDIRECT("Descriptif!$"&amp;E$15&amp;($B$1 +$A32 -1))),
    ""
)</f>
        <v/>
      </c>
      <c r="F32" s="19" t="str" cm="1">
        <f t="array" aca="1" ref="F32" ca="1">IF(
    AND(
        $B32,
        OR(
            INDIRECT("Descriptif!$M"&amp;($B$1+$A32-1))="Préleveur",
            LEFT(INDIRECT("Descriptif!$M"&amp;($B$1+$A32-1)),5)="Sonde",
            LEFT(INDIRECT("Descriptif!$M"&amp;($B$1+$A32-1)),10)="Débitmètre",
            LEFT(INDIRECT("Descriptif!$F"&amp;($B$1+$A32-1)),6)="PLUVIO"
        )
    ),
    IF(LEFT(INDIRECT("Descriptif!$F"&amp;($B$1+$A32-1)),6)="PLUVIO","Pluviomètre",INDIRECT("Descriptif!$"&amp;F$15&amp;($B$1 +$A32 -1))),
    ""
)</f>
        <v/>
      </c>
      <c r="G32" s="19" t="str" cm="1">
        <f t="array" aca="1" ref="G32" ca="1">IF(
    AND(
        $B32,
        OR(
            INDIRECT("Descriptif!$M"&amp;($B$1+$A32-1))="Préleveur",
            LEFT(INDIRECT("Descriptif!$M"&amp;($B$1+$A32-1)),5)="Sonde",
            LEFT(INDIRECT("Descriptif!$M"&amp;($B$1+$A32-1)),10)="Débitmètre",
            LEFT(INDIRECT("Descriptif!$F"&amp;($B$1+$A32-1)),6)="PLUVIO"
        )
    ),
    IF(LEFT(INDIRECT("Descriptif!$F"&amp;($B$1+$A32-1)),6)="PLUVIO","Pluviomètre",INDIRECT("Descriptif!$"&amp;G$15&amp;($B$1 +$A32 -1))),
    ""
)</f>
        <v/>
      </c>
      <c r="H32" s="141" t="str" cm="1">
        <f t="array" aca="1" ref="H32" ca="1">IFERROR(INDEX($C$16:$C$116,SMALL(IF($C$16:$C$116&lt;&gt;"",ROW($C$16:$C$116)-ROW($C$16)+1),ROW(A17))),"")</f>
        <v/>
      </c>
      <c r="I32" s="140" t="str" cm="1">
        <f t="array" aca="1" ref="I32" ca="1">IFERROR(INDEX($D$16:$D$116,SMALL(IF($D$16:$D$116&lt;&gt;"",ROW($D$16:$D$116)-ROW($D$16)+1),ROW(A17))),"")</f>
        <v/>
      </c>
      <c r="J32" s="140" t="str" cm="1">
        <f t="array" aca="1" ref="J32" ca="1">IFERROR(INDEX($E$16:$E$116,SMALL(IF($E$16:$E$116&lt;&gt;"",ROW($E$16:$E$116)-ROW($E$16)+1),ROW(A17))),"")</f>
        <v/>
      </c>
      <c r="K32" s="140" t="str" cm="1">
        <f t="array" aca="1" ref="K32" ca="1">IFERROR(INDEX($F$16:$F$116,SMALL(IF($F$16:$F$116&lt;&gt;"",ROW($F$16:$F$116)-ROW($F$16)+1),ROW(A17))),"")</f>
        <v/>
      </c>
      <c r="L32" s="140" t="str">
        <f t="shared" ca="1" si="0"/>
        <v/>
      </c>
      <c r="M32" s="140" t="str" cm="1">
        <f t="array" aca="1" ref="M32" ca="1">IFERROR(INDEX($G$16:$G$116,SMALL(IF($G$16:$G$116&lt;&gt;"",ROW($G$16:$G$116)-ROW($G$16)+1),ROW(A17))),"")</f>
        <v/>
      </c>
      <c r="N32" s="145" t="str">
        <f t="shared" ca="1" si="1"/>
        <v/>
      </c>
      <c r="O32" s="146" t="str">
        <f t="shared" ca="1" si="2"/>
        <v/>
      </c>
      <c r="P32" s="146" t="str" cm="1">
        <f t="array" aca="1" ref="P32" ca="1">IF($J32&lt;&gt;"",IF(INDIRECT($H32&amp;"!"&amp;$O32)&lt;&gt;"",INDIRECT($H32&amp;"!"&amp;$O32),""),"")</f>
        <v/>
      </c>
      <c r="Q32" s="146" t="str">
        <f t="shared" ca="1" si="3"/>
        <v/>
      </c>
      <c r="R32" s="146" t="str" cm="1">
        <f t="array" aca="1" ref="R32" ca="1">IF($J32&lt;&gt;"",IF(INDIRECT($H32&amp;"!"&amp;$Q32)&lt;&gt;"",INDIRECT($H32&amp;"!"&amp;$Q32),""),"")</f>
        <v/>
      </c>
      <c r="S32" s="146" t="str">
        <f t="shared" ca="1" si="4"/>
        <v/>
      </c>
      <c r="T32" s="146" t="str" cm="1">
        <f t="array" aca="1" ref="T32" ca="1">IF($J32&lt;&gt;"",IF(INDIRECT($H32&amp;"!"&amp;$S32)&lt;&gt;"",INDIRECT($H32&amp;"!"&amp;$S32),""),"")</f>
        <v/>
      </c>
      <c r="U32" s="146" t="str">
        <f t="shared" ca="1" si="5"/>
        <v/>
      </c>
      <c r="V32" s="147" t="str" cm="1">
        <f t="array" aca="1" ref="V32" ca="1">IF($J32&lt;&gt;"",IF(INDIRECT($H32&amp;"!"&amp;$U32)&lt;&gt;"",INDIRECT($H32&amp;"!"&amp;$U32),""),"")</f>
        <v/>
      </c>
      <c r="W32" s="294" t="str">
        <f t="shared" ca="1" si="7"/>
        <v/>
      </c>
      <c r="X32" s="295" t="str">
        <f t="shared" ca="1" si="8"/>
        <v/>
      </c>
      <c r="Y32" s="296" t="str" cm="1">
        <f t="array" aca="1" ref="Y32" ca="1">IF($H32&lt;&gt;"",IF(INDIRECT($H32&amp;"!"&amp;$W32&amp;($X32+Y$15+1))&lt;&gt;"",INDIRECT($H32&amp;"!"&amp;$W32&amp;($X32+Y$15+1)),""),"")</f>
        <v/>
      </c>
      <c r="Z32" s="296" t="str" cm="1">
        <f t="array" aca="1" ref="Z32" ca="1">IF($H32&lt;&gt;"",IF(INDIRECT($H32&amp;"!"&amp;$W32&amp;($X32+Z$15+1))&lt;&gt;"",INDIRECT($H32&amp;"!"&amp;$W32&amp;($X32+Z$15+1)),""),"")</f>
        <v/>
      </c>
      <c r="AA32" s="296" t="str" cm="1">
        <f t="array" aca="1" ref="AA32" ca="1">IF($H32&lt;&gt;"",IF(INDIRECT($H32&amp;"!"&amp;$W32&amp;($X32+AA$15+1))&lt;&gt;"",INDIRECT($H32&amp;"!"&amp;$W32&amp;($X32+AA$15+1)),""),"")</f>
        <v/>
      </c>
      <c r="AB32" s="296" t="str" cm="1">
        <f t="array" aca="1" ref="AB32" ca="1">IF($H32&lt;&gt;"",IF(INDIRECT($H32&amp;"!"&amp;$W32&amp;($X32+AB$15+1))&lt;&gt;"",INDIRECT($H32&amp;"!"&amp;$W32&amp;($X32+AB$15+1)),""),"")</f>
        <v/>
      </c>
      <c r="AC32" s="296" t="str" cm="1">
        <f t="array" aca="1" ref="AC32" ca="1">IF(LEFT($J32,5)="Sonde","",IF($H32&lt;&gt;"",IF(INDIRECT($H32&amp;"!"&amp;$W32&amp;($X32+AC$15+1))&lt;&gt;"",INDIRECT($H32&amp;"!"&amp;$W32&amp;($X32+AC$15+1)),""),""))</f>
        <v/>
      </c>
      <c r="AD32" s="296" t="str" cm="1">
        <f t="array" aca="1" ref="AD32" ca="1">IF(OR($J32="Pluviomètre",LEFT($J32,5)="Sonde"),"",IF($H32&lt;&gt;"",IF(INDIRECT($H32&amp;"!"&amp;$W32&amp;($X32+AD$15+1))&lt;&gt;"",INDIRECT($H32&amp;"!"&amp;$W32&amp;($X32+AD$15+1)),""),""))</f>
        <v/>
      </c>
      <c r="AE32" s="296" t="str" cm="1">
        <f t="array" aca="1" ref="AE32" ca="1">IF(OR($J32="Pluviomètre",LEFT($J32,5)="Sonde"),"",IF($H32&lt;&gt;"",IF(INDIRECT($H32&amp;"!"&amp;$W32&amp;($X32+AE$15+1))&lt;&gt;"",INDIRECT($H32&amp;"!"&amp;$W32&amp;($X32+AE$15+1)),""),""))</f>
        <v/>
      </c>
      <c r="AF32" s="296" t="str" cm="1">
        <f t="array" aca="1" ref="AF32" ca="1">IF(OR($J32="Pluviomètre",LEFT($J32,5)="Sonde"),"",IF($H32&lt;&gt;"",IF(INDIRECT($H32&amp;"!"&amp;$W32&amp;($X32+AF$15+1))&lt;&gt;"",INDIRECT($H32&amp;"!"&amp;$W32&amp;($X32+AF$15+1)),""),""))</f>
        <v/>
      </c>
      <c r="AG32" s="296" t="str" cm="1">
        <f t="array" aca="1" ref="AG32" ca="1">IF(OR($J32="Pluviomètre",LEFT($J32,5)="Sonde"),"",IF($H32&lt;&gt;"",IF(INDIRECT($H32&amp;"!"&amp;$W32&amp;($X32+AG$15+1))&lt;&gt;"",INDIRECT($H32&amp;"!"&amp;$W32&amp;($X32+AG$15+1)),""),""))</f>
        <v/>
      </c>
      <c r="AH32" s="296" t="str" cm="1">
        <f t="array" aca="1" ref="AH32" ca="1">IF(OR($J32="Pluviomètre",LEFT($J32,5)="Sonde"),"",IF($H32&lt;&gt;"",IF(INDIRECT($H32&amp;"!"&amp;$W32&amp;($X32+AH$15+1))&lt;&gt;"",INDIRECT($H32&amp;"!"&amp;$W32&amp;($X32+AH$15+1)),""),""))</f>
        <v/>
      </c>
      <c r="AI32" s="294" t="str">
        <f t="shared" ca="1" si="9"/>
        <v/>
      </c>
      <c r="AJ32" s="295" t="str">
        <f t="shared" ca="1" si="10"/>
        <v/>
      </c>
      <c r="AK32" s="296" t="str" cm="1">
        <f t="array" aca="1" ref="AK32" ca="1">IF($H32&lt;&gt;"",IF(INDIRECT($H32&amp;"!"&amp;$AI32&amp;($AJ32+AK$15+1))&lt;&gt;"",INDIRECT($H32&amp;"!"&amp;$AI32&amp;($AJ32+AK$15+1)),""),"")</f>
        <v/>
      </c>
      <c r="AL32" s="296" t="str" cm="1">
        <f t="array" aca="1" ref="AL32" ca="1">IF($H32&lt;&gt;"",IF(INDIRECT($H32&amp;"!"&amp;$AI32&amp;($AJ32+AL$15+1))&lt;&gt;"",INDIRECT($H32&amp;"!"&amp;$AI32&amp;($AJ32+AL$15+1)),""),"")</f>
        <v/>
      </c>
      <c r="AM32" s="296" t="str" cm="1">
        <f t="array" aca="1" ref="AM32" ca="1">IF($H32&lt;&gt;"",IF(INDIRECT($H32&amp;"!"&amp;$AI32&amp;($AJ32+AM$15+1))&lt;&gt;"",INDIRECT($H32&amp;"!"&amp;$AI32&amp;($AJ32+AM$15+1)),""),"")</f>
        <v/>
      </c>
      <c r="AN32" s="296" t="str" cm="1">
        <f t="array" aca="1" ref="AN32" ca="1">IF($H32&lt;&gt;"",IF(INDIRECT($H32&amp;"!"&amp;$AI32&amp;($AJ32+AN$15+1))&lt;&gt;"",INDIRECT($H32&amp;"!"&amp;$AI32&amp;($AJ32+AN$15+1)),""),"")</f>
        <v/>
      </c>
      <c r="AO32" s="296" t="str" cm="1">
        <f t="array" aca="1" ref="AO32" ca="1">IF(LEFT($J32,5)="Sonde","",IF($H32&lt;&gt;"",IF(INDIRECT($H32&amp;"!"&amp;$AI32&amp;($AJ32+AO$15+1))&lt;&gt;"",INDIRECT($H32&amp;"!"&amp;$AI32&amp;($AJ32+AO$15+1)),""),""))</f>
        <v/>
      </c>
      <c r="AP32" s="296" t="str" cm="1">
        <f t="array" aca="1" ref="AP32" ca="1">IF(OR($J32="Pluviomètre",LEFT($J32,5)="Sonde"),"",IF($H32&lt;&gt;"",IF(INDIRECT($H32&amp;"!"&amp;$AI32&amp;($AJ32+AP$15+1))&lt;&gt;"",INDIRECT($H32&amp;"!"&amp;$AI32&amp;($AJ32+AP$15+1)),""),""))</f>
        <v/>
      </c>
      <c r="AQ32" s="296" t="str" cm="1">
        <f t="array" aca="1" ref="AQ32" ca="1">IF(OR($J32="Pluviomètre",LEFT($J32,5)="Sonde"),"",IF($H32&lt;&gt;"",IF(INDIRECT($H32&amp;"!"&amp;$AI32&amp;($AJ32+AQ$15+1))&lt;&gt;"",INDIRECT($H32&amp;"!"&amp;$AI32&amp;($AJ32+AQ$15+1)),""),""))</f>
        <v/>
      </c>
      <c r="AR32" s="296" t="str" cm="1">
        <f t="array" aca="1" ref="AR32" ca="1">IF(OR($J32="Pluviomètre",LEFT($J32,5)="Sonde"),"",IF($H32&lt;&gt;"",IF(INDIRECT($H32&amp;"!"&amp;$AI32&amp;($AJ32+AR$15+1))&lt;&gt;"",INDIRECT($H32&amp;"!"&amp;$AI32&amp;($AJ32+AR$15+1)),""),""))</f>
        <v/>
      </c>
      <c r="AS32" s="296" t="str" cm="1">
        <f t="array" aca="1" ref="AS32" ca="1">IF(OR($J32="Pluviomètre",LEFT($J32,5)="Sonde"),"",IF($H32&lt;&gt;"",IF(INDIRECT($H32&amp;"!"&amp;$AI32&amp;($AJ32+AS$15+1))&lt;&gt;"",INDIRECT($H32&amp;"!"&amp;$AI32&amp;($AJ32+AS$15+1)),""),""))</f>
        <v/>
      </c>
      <c r="AT32" s="296" t="str" cm="1">
        <f t="array" aca="1" ref="AT32" ca="1">IF(OR($J32="Pluviomètre",LEFT($J32,5)="Sonde"),"",IF($H32&lt;&gt;"",IF(INDIRECT($H32&amp;"!"&amp;$AI32&amp;($AJ32+AT$15+1))&lt;&gt;"",INDIRECT($H32&amp;"!"&amp;$AI32&amp;($AJ32+AT$15+1)),""),""))</f>
        <v/>
      </c>
    </row>
    <row r="33" spans="1:46" x14ac:dyDescent="0.4">
      <c r="A33" s="80">
        <v>18</v>
      </c>
      <c r="B33" s="134" t="b">
        <f t="shared" si="6"/>
        <v>0</v>
      </c>
      <c r="C33" s="139" t="str" cm="1">
        <f t="array" aca="1" ref="C33" ca="1">IF(
    AND(
        $B33,
        OR(
            INDIRECT("Descriptif!$M"&amp;($B$1+$A33-1))="Préleveur",
            LEFT(INDIRECT("Descriptif!$M"&amp;($B$1+$A33-1)),5)="Sonde",
            LEFT(INDIRECT("Descriptif!$M"&amp;($B$1+$A33-1)),10)="Débitmètre",
            LEFT(INDIRECT("Descriptif!$F"&amp;($B$1+$A33-1)),6)="PLUVIO"
        )
    ),
    INDIRECT("Descriptif!$"&amp;C$15&amp;($B$1 +$A33 -1)),
    ""
)</f>
        <v/>
      </c>
      <c r="D33" s="277" t="str" cm="1">
        <f t="array" aca="1" ref="D33" ca="1">IF(
    AND(
        $B33,
        OR(
            INDIRECT("Descriptif!$M"&amp;($B$1+$A33-1))="Préleveur",
            LEFT(INDIRECT("Descriptif!$M"&amp;($B$1+$A33-1)),5)="Sonde",
            LEFT(INDIRECT("Descriptif!$M"&amp;($B$1+$A33-1)),10)="Débitmètre",
            LEFT(INDIRECT("Descriptif!$F"&amp;($B$1+$A33-1)),6)="PLUVIO"
        )
    ),
    IF(
        LEFT(INDIRECT("Descriptif!$F"&amp;($B$1+$A33-1)),11)="PLUVIO_STEU",
        "A3",
        IF(
            LEFT(INDIRECT("Descriptif!$F"&amp;($B$1+$A33-1)),10)="PLUVIO_SCL",
            "A1",
            INDIRECT("Descriptif!$"&amp;D$15&amp;($B$1 +$A33 -1))
        )
    ),
    ""
)</f>
        <v/>
      </c>
      <c r="E33" s="277" t="str" cm="1">
        <f t="array" aca="1" ref="E33" ca="1">IF(
    AND(
        $B33,
        OR(
            INDIRECT("Descriptif!$M"&amp;($B$1+$A33-1))="Préleveur",
            LEFT(INDIRECT("Descriptif!$M"&amp;($B$1+$A33-1)),5)="Sonde",
            LEFT(INDIRECT("Descriptif!$M"&amp;($B$1+$A33-1)),10)="Débitmètre",
            LEFT(INDIRECT("Descriptif!$F"&amp;($B$1+$A33-1)),6)="PLUVIO"
        )
    ),
    IF(LEFT(INDIRECT("Descriptif!$F"&amp;($B$1+$A33-1)),6)="PLUVIO","Pluviomètre",INDIRECT("Descriptif!$"&amp;E$15&amp;($B$1 +$A33 -1))),
    ""
)</f>
        <v/>
      </c>
      <c r="F33" s="19" t="str" cm="1">
        <f t="array" aca="1" ref="F33" ca="1">IF(
    AND(
        $B33,
        OR(
            INDIRECT("Descriptif!$M"&amp;($B$1+$A33-1))="Préleveur",
            LEFT(INDIRECT("Descriptif!$M"&amp;($B$1+$A33-1)),5)="Sonde",
            LEFT(INDIRECT("Descriptif!$M"&amp;($B$1+$A33-1)),10)="Débitmètre",
            LEFT(INDIRECT("Descriptif!$F"&amp;($B$1+$A33-1)),6)="PLUVIO"
        )
    ),
    IF(LEFT(INDIRECT("Descriptif!$F"&amp;($B$1+$A33-1)),6)="PLUVIO","Pluviomètre",INDIRECT("Descriptif!$"&amp;F$15&amp;($B$1 +$A33 -1))),
    ""
)</f>
        <v/>
      </c>
      <c r="G33" s="19" t="str" cm="1">
        <f t="array" aca="1" ref="G33" ca="1">IF(
    AND(
        $B33,
        OR(
            INDIRECT("Descriptif!$M"&amp;($B$1+$A33-1))="Préleveur",
            LEFT(INDIRECT("Descriptif!$M"&amp;($B$1+$A33-1)),5)="Sonde",
            LEFT(INDIRECT("Descriptif!$M"&amp;($B$1+$A33-1)),10)="Débitmètre",
            LEFT(INDIRECT("Descriptif!$F"&amp;($B$1+$A33-1)),6)="PLUVIO"
        )
    ),
    IF(LEFT(INDIRECT("Descriptif!$F"&amp;($B$1+$A33-1)),6)="PLUVIO","Pluviomètre",INDIRECT("Descriptif!$"&amp;G$15&amp;($B$1 +$A33 -1))),
    ""
)</f>
        <v/>
      </c>
      <c r="H33" s="141" t="str" cm="1">
        <f t="array" aca="1" ref="H33" ca="1">IFERROR(INDEX($C$16:$C$116,SMALL(IF($C$16:$C$116&lt;&gt;"",ROW($C$16:$C$116)-ROW($C$16)+1),ROW(A18))),"")</f>
        <v/>
      </c>
      <c r="I33" s="140" t="str" cm="1">
        <f t="array" aca="1" ref="I33" ca="1">IFERROR(INDEX($D$16:$D$116,SMALL(IF($D$16:$D$116&lt;&gt;"",ROW($D$16:$D$116)-ROW($D$16)+1),ROW(A18))),"")</f>
        <v/>
      </c>
      <c r="J33" s="140" t="str" cm="1">
        <f t="array" aca="1" ref="J33" ca="1">IFERROR(INDEX($E$16:$E$116,SMALL(IF($E$16:$E$116&lt;&gt;"",ROW($E$16:$E$116)-ROW($E$16)+1),ROW(A18))),"")</f>
        <v/>
      </c>
      <c r="K33" s="140" t="str" cm="1">
        <f t="array" aca="1" ref="K33" ca="1">IFERROR(INDEX($F$16:$F$116,SMALL(IF($F$16:$F$116&lt;&gt;"",ROW($F$16:$F$116)-ROW($F$16)+1),ROW(A18))),"")</f>
        <v/>
      </c>
      <c r="L33" s="140" t="str">
        <f t="shared" ca="1" si="0"/>
        <v/>
      </c>
      <c r="M33" s="140" t="str" cm="1">
        <f t="array" aca="1" ref="M33" ca="1">IFERROR(INDEX($G$16:$G$116,SMALL(IF($G$16:$G$116&lt;&gt;"",ROW($G$16:$G$116)-ROW($G$16)+1),ROW(A18))),"")</f>
        <v/>
      </c>
      <c r="N33" s="145" t="str">
        <f t="shared" ca="1" si="1"/>
        <v/>
      </c>
      <c r="O33" s="146" t="str">
        <f t="shared" ca="1" si="2"/>
        <v/>
      </c>
      <c r="P33" s="146" t="str" cm="1">
        <f t="array" aca="1" ref="P33" ca="1">IF($J33&lt;&gt;"",IF(INDIRECT($H33&amp;"!"&amp;$O33)&lt;&gt;"",INDIRECT($H33&amp;"!"&amp;$O33),""),"")</f>
        <v/>
      </c>
      <c r="Q33" s="146" t="str">
        <f t="shared" ca="1" si="3"/>
        <v/>
      </c>
      <c r="R33" s="146" t="str" cm="1">
        <f t="array" aca="1" ref="R33" ca="1">IF($J33&lt;&gt;"",IF(INDIRECT($H33&amp;"!"&amp;$Q33)&lt;&gt;"",INDIRECT($H33&amp;"!"&amp;$Q33),""),"")</f>
        <v/>
      </c>
      <c r="S33" s="146" t="str">
        <f t="shared" ca="1" si="4"/>
        <v/>
      </c>
      <c r="T33" s="146" t="str" cm="1">
        <f t="array" aca="1" ref="T33" ca="1">IF($J33&lt;&gt;"",IF(INDIRECT($H33&amp;"!"&amp;$S33)&lt;&gt;"",INDIRECT($H33&amp;"!"&amp;$S33),""),"")</f>
        <v/>
      </c>
      <c r="U33" s="146" t="str">
        <f t="shared" ca="1" si="5"/>
        <v/>
      </c>
      <c r="V33" s="147" t="str" cm="1">
        <f t="array" aca="1" ref="V33" ca="1">IF($J33&lt;&gt;"",IF(INDIRECT($H33&amp;"!"&amp;$U33)&lt;&gt;"",INDIRECT($H33&amp;"!"&amp;$U33),""),"")</f>
        <v/>
      </c>
      <c r="W33" s="294" t="str">
        <f t="shared" ca="1" si="7"/>
        <v/>
      </c>
      <c r="X33" s="295" t="str">
        <f t="shared" ca="1" si="8"/>
        <v/>
      </c>
      <c r="Y33" s="296" t="str" cm="1">
        <f t="array" aca="1" ref="Y33" ca="1">IF($H33&lt;&gt;"",IF(INDIRECT($H33&amp;"!"&amp;$W33&amp;($X33+Y$15+1))&lt;&gt;"",INDIRECT($H33&amp;"!"&amp;$W33&amp;($X33+Y$15+1)),""),"")</f>
        <v/>
      </c>
      <c r="Z33" s="296" t="str" cm="1">
        <f t="array" aca="1" ref="Z33" ca="1">IF($H33&lt;&gt;"",IF(INDIRECT($H33&amp;"!"&amp;$W33&amp;($X33+Z$15+1))&lt;&gt;"",INDIRECT($H33&amp;"!"&amp;$W33&amp;($X33+Z$15+1)),""),"")</f>
        <v/>
      </c>
      <c r="AA33" s="296" t="str" cm="1">
        <f t="array" aca="1" ref="AA33" ca="1">IF($H33&lt;&gt;"",IF(INDIRECT($H33&amp;"!"&amp;$W33&amp;($X33+AA$15+1))&lt;&gt;"",INDIRECT($H33&amp;"!"&amp;$W33&amp;($X33+AA$15+1)),""),"")</f>
        <v/>
      </c>
      <c r="AB33" s="296" t="str" cm="1">
        <f t="array" aca="1" ref="AB33" ca="1">IF($H33&lt;&gt;"",IF(INDIRECT($H33&amp;"!"&amp;$W33&amp;($X33+AB$15+1))&lt;&gt;"",INDIRECT($H33&amp;"!"&amp;$W33&amp;($X33+AB$15+1)),""),"")</f>
        <v/>
      </c>
      <c r="AC33" s="296" t="str" cm="1">
        <f t="array" aca="1" ref="AC33" ca="1">IF(LEFT($J33,5)="Sonde","",IF($H33&lt;&gt;"",IF(INDIRECT($H33&amp;"!"&amp;$W33&amp;($X33+AC$15+1))&lt;&gt;"",INDIRECT($H33&amp;"!"&amp;$W33&amp;($X33+AC$15+1)),""),""))</f>
        <v/>
      </c>
      <c r="AD33" s="296" t="str" cm="1">
        <f t="array" aca="1" ref="AD33" ca="1">IF(OR($J33="Pluviomètre",LEFT($J33,5)="Sonde"),"",IF($H33&lt;&gt;"",IF(INDIRECT($H33&amp;"!"&amp;$W33&amp;($X33+AD$15+1))&lt;&gt;"",INDIRECT($H33&amp;"!"&amp;$W33&amp;($X33+AD$15+1)),""),""))</f>
        <v/>
      </c>
      <c r="AE33" s="296" t="str" cm="1">
        <f t="array" aca="1" ref="AE33" ca="1">IF(OR($J33="Pluviomètre",LEFT($J33,5)="Sonde"),"",IF($H33&lt;&gt;"",IF(INDIRECT($H33&amp;"!"&amp;$W33&amp;($X33+AE$15+1))&lt;&gt;"",INDIRECT($H33&amp;"!"&amp;$W33&amp;($X33+AE$15+1)),""),""))</f>
        <v/>
      </c>
      <c r="AF33" s="296" t="str" cm="1">
        <f t="array" aca="1" ref="AF33" ca="1">IF(OR($J33="Pluviomètre",LEFT($J33,5)="Sonde"),"",IF($H33&lt;&gt;"",IF(INDIRECT($H33&amp;"!"&amp;$W33&amp;($X33+AF$15+1))&lt;&gt;"",INDIRECT($H33&amp;"!"&amp;$W33&amp;($X33+AF$15+1)),""),""))</f>
        <v/>
      </c>
      <c r="AG33" s="296" t="str" cm="1">
        <f t="array" aca="1" ref="AG33" ca="1">IF(OR($J33="Pluviomètre",LEFT($J33,5)="Sonde"),"",IF($H33&lt;&gt;"",IF(INDIRECT($H33&amp;"!"&amp;$W33&amp;($X33+AG$15+1))&lt;&gt;"",INDIRECT($H33&amp;"!"&amp;$W33&amp;($X33+AG$15+1)),""),""))</f>
        <v/>
      </c>
      <c r="AH33" s="296" t="str" cm="1">
        <f t="array" aca="1" ref="AH33" ca="1">IF(OR($J33="Pluviomètre",LEFT($J33,5)="Sonde"),"",IF($H33&lt;&gt;"",IF(INDIRECT($H33&amp;"!"&amp;$W33&amp;($X33+AH$15+1))&lt;&gt;"",INDIRECT($H33&amp;"!"&amp;$W33&amp;($X33+AH$15+1)),""),""))</f>
        <v/>
      </c>
      <c r="AI33" s="294" t="str">
        <f t="shared" ca="1" si="9"/>
        <v/>
      </c>
      <c r="AJ33" s="295" t="str">
        <f t="shared" ca="1" si="10"/>
        <v/>
      </c>
      <c r="AK33" s="296" t="str" cm="1">
        <f t="array" aca="1" ref="AK33" ca="1">IF($H33&lt;&gt;"",IF(INDIRECT($H33&amp;"!"&amp;$AI33&amp;($AJ33+AK$15+1))&lt;&gt;"",INDIRECT($H33&amp;"!"&amp;$AI33&amp;($AJ33+AK$15+1)),""),"")</f>
        <v/>
      </c>
      <c r="AL33" s="296" t="str" cm="1">
        <f t="array" aca="1" ref="AL33" ca="1">IF($H33&lt;&gt;"",IF(INDIRECT($H33&amp;"!"&amp;$AI33&amp;($AJ33+AL$15+1))&lt;&gt;"",INDIRECT($H33&amp;"!"&amp;$AI33&amp;($AJ33+AL$15+1)),""),"")</f>
        <v/>
      </c>
      <c r="AM33" s="296" t="str" cm="1">
        <f t="array" aca="1" ref="AM33" ca="1">IF($H33&lt;&gt;"",IF(INDIRECT($H33&amp;"!"&amp;$AI33&amp;($AJ33+AM$15+1))&lt;&gt;"",INDIRECT($H33&amp;"!"&amp;$AI33&amp;($AJ33+AM$15+1)),""),"")</f>
        <v/>
      </c>
      <c r="AN33" s="296" t="str" cm="1">
        <f t="array" aca="1" ref="AN33" ca="1">IF($H33&lt;&gt;"",IF(INDIRECT($H33&amp;"!"&amp;$AI33&amp;($AJ33+AN$15+1))&lt;&gt;"",INDIRECT($H33&amp;"!"&amp;$AI33&amp;($AJ33+AN$15+1)),""),"")</f>
        <v/>
      </c>
      <c r="AO33" s="296" t="str" cm="1">
        <f t="array" aca="1" ref="AO33" ca="1">IF(LEFT($J33,5)="Sonde","",IF($H33&lt;&gt;"",IF(INDIRECT($H33&amp;"!"&amp;$AI33&amp;($AJ33+AO$15+1))&lt;&gt;"",INDIRECT($H33&amp;"!"&amp;$AI33&amp;($AJ33+AO$15+1)),""),""))</f>
        <v/>
      </c>
      <c r="AP33" s="296" t="str" cm="1">
        <f t="array" aca="1" ref="AP33" ca="1">IF(OR($J33="Pluviomètre",LEFT($J33,5)="Sonde"),"",IF($H33&lt;&gt;"",IF(INDIRECT($H33&amp;"!"&amp;$AI33&amp;($AJ33+AP$15+1))&lt;&gt;"",INDIRECT($H33&amp;"!"&amp;$AI33&amp;($AJ33+AP$15+1)),""),""))</f>
        <v/>
      </c>
      <c r="AQ33" s="296" t="str" cm="1">
        <f t="array" aca="1" ref="AQ33" ca="1">IF(OR($J33="Pluviomètre",LEFT($J33,5)="Sonde"),"",IF($H33&lt;&gt;"",IF(INDIRECT($H33&amp;"!"&amp;$AI33&amp;($AJ33+AQ$15+1))&lt;&gt;"",INDIRECT($H33&amp;"!"&amp;$AI33&amp;($AJ33+AQ$15+1)),""),""))</f>
        <v/>
      </c>
      <c r="AR33" s="296" t="str" cm="1">
        <f t="array" aca="1" ref="AR33" ca="1">IF(OR($J33="Pluviomètre",LEFT($J33,5)="Sonde"),"",IF($H33&lt;&gt;"",IF(INDIRECT($H33&amp;"!"&amp;$AI33&amp;($AJ33+AR$15+1))&lt;&gt;"",INDIRECT($H33&amp;"!"&amp;$AI33&amp;($AJ33+AR$15+1)),""),""))</f>
        <v/>
      </c>
      <c r="AS33" s="296" t="str" cm="1">
        <f t="array" aca="1" ref="AS33" ca="1">IF(OR($J33="Pluviomètre",LEFT($J33,5)="Sonde"),"",IF($H33&lt;&gt;"",IF(INDIRECT($H33&amp;"!"&amp;$AI33&amp;($AJ33+AS$15+1))&lt;&gt;"",INDIRECT($H33&amp;"!"&amp;$AI33&amp;($AJ33+AS$15+1)),""),""))</f>
        <v/>
      </c>
      <c r="AT33" s="296" t="str" cm="1">
        <f t="array" aca="1" ref="AT33" ca="1">IF(OR($J33="Pluviomètre",LEFT($J33,5)="Sonde"),"",IF($H33&lt;&gt;"",IF(INDIRECT($H33&amp;"!"&amp;$AI33&amp;($AJ33+AT$15+1))&lt;&gt;"",INDIRECT($H33&amp;"!"&amp;$AI33&amp;($AJ33+AT$15+1)),""),""))</f>
        <v/>
      </c>
    </row>
    <row r="34" spans="1:46" x14ac:dyDescent="0.4">
      <c r="A34" s="80">
        <v>19</v>
      </c>
      <c r="B34" s="134" t="b">
        <f t="shared" si="6"/>
        <v>0</v>
      </c>
      <c r="C34" s="139" t="str" cm="1">
        <f t="array" aca="1" ref="C34" ca="1">IF(
    AND(
        $B34,
        OR(
            INDIRECT("Descriptif!$M"&amp;($B$1+$A34-1))="Préleveur",
            LEFT(INDIRECT("Descriptif!$M"&amp;($B$1+$A34-1)),5)="Sonde",
            LEFT(INDIRECT("Descriptif!$M"&amp;($B$1+$A34-1)),10)="Débitmètre",
            LEFT(INDIRECT("Descriptif!$F"&amp;($B$1+$A34-1)),6)="PLUVIO"
        )
    ),
    INDIRECT("Descriptif!$"&amp;C$15&amp;($B$1 +$A34 -1)),
    ""
)</f>
        <v/>
      </c>
      <c r="D34" s="277" t="str" cm="1">
        <f t="array" aca="1" ref="D34" ca="1">IF(
    AND(
        $B34,
        OR(
            INDIRECT("Descriptif!$M"&amp;($B$1+$A34-1))="Préleveur",
            LEFT(INDIRECT("Descriptif!$M"&amp;($B$1+$A34-1)),5)="Sonde",
            LEFT(INDIRECT("Descriptif!$M"&amp;($B$1+$A34-1)),10)="Débitmètre",
            LEFT(INDIRECT("Descriptif!$F"&amp;($B$1+$A34-1)),6)="PLUVIO"
        )
    ),
    IF(
        LEFT(INDIRECT("Descriptif!$F"&amp;($B$1+$A34-1)),11)="PLUVIO_STEU",
        "A3",
        IF(
            LEFT(INDIRECT("Descriptif!$F"&amp;($B$1+$A34-1)),10)="PLUVIO_SCL",
            "A1",
            INDIRECT("Descriptif!$"&amp;D$15&amp;($B$1 +$A34 -1))
        )
    ),
    ""
)</f>
        <v/>
      </c>
      <c r="E34" s="277" t="str" cm="1">
        <f t="array" aca="1" ref="E34" ca="1">IF(
    AND(
        $B34,
        OR(
            INDIRECT("Descriptif!$M"&amp;($B$1+$A34-1))="Préleveur",
            LEFT(INDIRECT("Descriptif!$M"&amp;($B$1+$A34-1)),5)="Sonde",
            LEFT(INDIRECT("Descriptif!$M"&amp;($B$1+$A34-1)),10)="Débitmètre",
            LEFT(INDIRECT("Descriptif!$F"&amp;($B$1+$A34-1)),6)="PLUVIO"
        )
    ),
    IF(LEFT(INDIRECT("Descriptif!$F"&amp;($B$1+$A34-1)),6)="PLUVIO","Pluviomètre",INDIRECT("Descriptif!$"&amp;E$15&amp;($B$1 +$A34 -1))),
    ""
)</f>
        <v/>
      </c>
      <c r="F34" s="19" t="str" cm="1">
        <f t="array" aca="1" ref="F34" ca="1">IF(
    AND(
        $B34,
        OR(
            INDIRECT("Descriptif!$M"&amp;($B$1+$A34-1))="Préleveur",
            LEFT(INDIRECT("Descriptif!$M"&amp;($B$1+$A34-1)),5)="Sonde",
            LEFT(INDIRECT("Descriptif!$M"&amp;($B$1+$A34-1)),10)="Débitmètre",
            LEFT(INDIRECT("Descriptif!$F"&amp;($B$1+$A34-1)),6)="PLUVIO"
        )
    ),
    IF(LEFT(INDIRECT("Descriptif!$F"&amp;($B$1+$A34-1)),6)="PLUVIO","Pluviomètre",INDIRECT("Descriptif!$"&amp;F$15&amp;($B$1 +$A34 -1))),
    ""
)</f>
        <v/>
      </c>
      <c r="G34" s="19" t="str" cm="1">
        <f t="array" aca="1" ref="G34" ca="1">IF(
    AND(
        $B34,
        OR(
            INDIRECT("Descriptif!$M"&amp;($B$1+$A34-1))="Préleveur",
            LEFT(INDIRECT("Descriptif!$M"&amp;($B$1+$A34-1)),5)="Sonde",
            LEFT(INDIRECT("Descriptif!$M"&amp;($B$1+$A34-1)),10)="Débitmètre",
            LEFT(INDIRECT("Descriptif!$F"&amp;($B$1+$A34-1)),6)="PLUVIO"
        )
    ),
    IF(LEFT(INDIRECT("Descriptif!$F"&amp;($B$1+$A34-1)),6)="PLUVIO","Pluviomètre",INDIRECT("Descriptif!$"&amp;G$15&amp;($B$1 +$A34 -1))),
    ""
)</f>
        <v/>
      </c>
      <c r="H34" s="141" t="str" cm="1">
        <f t="array" aca="1" ref="H34" ca="1">IFERROR(INDEX($C$16:$C$116,SMALL(IF($C$16:$C$116&lt;&gt;"",ROW($C$16:$C$116)-ROW($C$16)+1),ROW(A19))),"")</f>
        <v/>
      </c>
      <c r="I34" s="140" t="str" cm="1">
        <f t="array" aca="1" ref="I34" ca="1">IFERROR(INDEX($D$16:$D$116,SMALL(IF($D$16:$D$116&lt;&gt;"",ROW($D$16:$D$116)-ROW($D$16)+1),ROW(A19))),"")</f>
        <v/>
      </c>
      <c r="J34" s="140" t="str" cm="1">
        <f t="array" aca="1" ref="J34" ca="1">IFERROR(INDEX($E$16:$E$116,SMALL(IF($E$16:$E$116&lt;&gt;"",ROW($E$16:$E$116)-ROW($E$16)+1),ROW(A19))),"")</f>
        <v/>
      </c>
      <c r="K34" s="140" t="str" cm="1">
        <f t="array" aca="1" ref="K34" ca="1">IFERROR(INDEX($F$16:$F$116,SMALL(IF($F$16:$F$116&lt;&gt;"",ROW($F$16:$F$116)-ROW($F$16)+1),ROW(A19))),"")</f>
        <v/>
      </c>
      <c r="L34" s="140" t="str">
        <f t="shared" ca="1" si="0"/>
        <v/>
      </c>
      <c r="M34" s="140" t="str" cm="1">
        <f t="array" aca="1" ref="M34" ca="1">IFERROR(INDEX($G$16:$G$116,SMALL(IF($G$16:$G$116&lt;&gt;"",ROW($G$16:$G$116)-ROW($G$16)+1),ROW(A19))),"")</f>
        <v/>
      </c>
      <c r="N34" s="145" t="str">
        <f t="shared" ca="1" si="1"/>
        <v/>
      </c>
      <c r="O34" s="146" t="str">
        <f t="shared" ca="1" si="2"/>
        <v/>
      </c>
      <c r="P34" s="146" t="str" cm="1">
        <f t="array" aca="1" ref="P34" ca="1">IF($J34&lt;&gt;"",IF(INDIRECT($H34&amp;"!"&amp;$O34)&lt;&gt;"",INDIRECT($H34&amp;"!"&amp;$O34),""),"")</f>
        <v/>
      </c>
      <c r="Q34" s="146" t="str">
        <f t="shared" ca="1" si="3"/>
        <v/>
      </c>
      <c r="R34" s="146" t="str" cm="1">
        <f t="array" aca="1" ref="R34" ca="1">IF($J34&lt;&gt;"",IF(INDIRECT($H34&amp;"!"&amp;$Q34)&lt;&gt;"",INDIRECT($H34&amp;"!"&amp;$Q34),""),"")</f>
        <v/>
      </c>
      <c r="S34" s="146" t="str">
        <f t="shared" ca="1" si="4"/>
        <v/>
      </c>
      <c r="T34" s="146" t="str" cm="1">
        <f t="array" aca="1" ref="T34" ca="1">IF($J34&lt;&gt;"",IF(INDIRECT($H34&amp;"!"&amp;$S34)&lt;&gt;"",INDIRECT($H34&amp;"!"&amp;$S34),""),"")</f>
        <v/>
      </c>
      <c r="U34" s="146" t="str">
        <f t="shared" ca="1" si="5"/>
        <v/>
      </c>
      <c r="V34" s="147" t="str" cm="1">
        <f t="array" aca="1" ref="V34" ca="1">IF($J34&lt;&gt;"",IF(INDIRECT($H34&amp;"!"&amp;$U34)&lt;&gt;"",INDIRECT($H34&amp;"!"&amp;$U34),""),"")</f>
        <v/>
      </c>
      <c r="W34" s="294" t="str">
        <f t="shared" ca="1" si="7"/>
        <v/>
      </c>
      <c r="X34" s="295" t="str">
        <f t="shared" ca="1" si="8"/>
        <v/>
      </c>
      <c r="Y34" s="296" t="str" cm="1">
        <f t="array" aca="1" ref="Y34" ca="1">IF($H34&lt;&gt;"",IF(INDIRECT($H34&amp;"!"&amp;$W34&amp;($X34+Y$15+1))&lt;&gt;"",INDIRECT($H34&amp;"!"&amp;$W34&amp;($X34+Y$15+1)),""),"")</f>
        <v/>
      </c>
      <c r="Z34" s="296" t="str" cm="1">
        <f t="array" aca="1" ref="Z34" ca="1">IF($H34&lt;&gt;"",IF(INDIRECT($H34&amp;"!"&amp;$W34&amp;($X34+Z$15+1))&lt;&gt;"",INDIRECT($H34&amp;"!"&amp;$W34&amp;($X34+Z$15+1)),""),"")</f>
        <v/>
      </c>
      <c r="AA34" s="296" t="str" cm="1">
        <f t="array" aca="1" ref="AA34" ca="1">IF($H34&lt;&gt;"",IF(INDIRECT($H34&amp;"!"&amp;$W34&amp;($X34+AA$15+1))&lt;&gt;"",INDIRECT($H34&amp;"!"&amp;$W34&amp;($X34+AA$15+1)),""),"")</f>
        <v/>
      </c>
      <c r="AB34" s="296" t="str" cm="1">
        <f t="array" aca="1" ref="AB34" ca="1">IF($H34&lt;&gt;"",IF(INDIRECT($H34&amp;"!"&amp;$W34&amp;($X34+AB$15+1))&lt;&gt;"",INDIRECT($H34&amp;"!"&amp;$W34&amp;($X34+AB$15+1)),""),"")</f>
        <v/>
      </c>
      <c r="AC34" s="296" t="str" cm="1">
        <f t="array" aca="1" ref="AC34" ca="1">IF(LEFT($J34,5)="Sonde","",IF($H34&lt;&gt;"",IF(INDIRECT($H34&amp;"!"&amp;$W34&amp;($X34+AC$15+1))&lt;&gt;"",INDIRECT($H34&amp;"!"&amp;$W34&amp;($X34+AC$15+1)),""),""))</f>
        <v/>
      </c>
      <c r="AD34" s="296" t="str" cm="1">
        <f t="array" aca="1" ref="AD34" ca="1">IF(OR($J34="Pluviomètre",LEFT($J34,5)="Sonde"),"",IF($H34&lt;&gt;"",IF(INDIRECT($H34&amp;"!"&amp;$W34&amp;($X34+AD$15+1))&lt;&gt;"",INDIRECT($H34&amp;"!"&amp;$W34&amp;($X34+AD$15+1)),""),""))</f>
        <v/>
      </c>
      <c r="AE34" s="296" t="str" cm="1">
        <f t="array" aca="1" ref="AE34" ca="1">IF(OR($J34="Pluviomètre",LEFT($J34,5)="Sonde"),"",IF($H34&lt;&gt;"",IF(INDIRECT($H34&amp;"!"&amp;$W34&amp;($X34+AE$15+1))&lt;&gt;"",INDIRECT($H34&amp;"!"&amp;$W34&amp;($X34+AE$15+1)),""),""))</f>
        <v/>
      </c>
      <c r="AF34" s="296" t="str" cm="1">
        <f t="array" aca="1" ref="AF34" ca="1">IF(OR($J34="Pluviomètre",LEFT($J34,5)="Sonde"),"",IF($H34&lt;&gt;"",IF(INDIRECT($H34&amp;"!"&amp;$W34&amp;($X34+AF$15+1))&lt;&gt;"",INDIRECT($H34&amp;"!"&amp;$W34&amp;($X34+AF$15+1)),""),""))</f>
        <v/>
      </c>
      <c r="AG34" s="296" t="str" cm="1">
        <f t="array" aca="1" ref="AG34" ca="1">IF(OR($J34="Pluviomètre",LEFT($J34,5)="Sonde"),"",IF($H34&lt;&gt;"",IF(INDIRECT($H34&amp;"!"&amp;$W34&amp;($X34+AG$15+1))&lt;&gt;"",INDIRECT($H34&amp;"!"&amp;$W34&amp;($X34+AG$15+1)),""),""))</f>
        <v/>
      </c>
      <c r="AH34" s="296" t="str" cm="1">
        <f t="array" aca="1" ref="AH34" ca="1">IF(OR($J34="Pluviomètre",LEFT($J34,5)="Sonde"),"",IF($H34&lt;&gt;"",IF(INDIRECT($H34&amp;"!"&amp;$W34&amp;($X34+AH$15+1))&lt;&gt;"",INDIRECT($H34&amp;"!"&amp;$W34&amp;($X34+AH$15+1)),""),""))</f>
        <v/>
      </c>
      <c r="AI34" s="294" t="str">
        <f t="shared" ca="1" si="9"/>
        <v/>
      </c>
      <c r="AJ34" s="295" t="str">
        <f t="shared" ca="1" si="10"/>
        <v/>
      </c>
      <c r="AK34" s="296" t="str" cm="1">
        <f t="array" aca="1" ref="AK34" ca="1">IF($H34&lt;&gt;"",IF(INDIRECT($H34&amp;"!"&amp;$AI34&amp;($AJ34+AK$15+1))&lt;&gt;"",INDIRECT($H34&amp;"!"&amp;$AI34&amp;($AJ34+AK$15+1)),""),"")</f>
        <v/>
      </c>
      <c r="AL34" s="296" t="str" cm="1">
        <f t="array" aca="1" ref="AL34" ca="1">IF($H34&lt;&gt;"",IF(INDIRECT($H34&amp;"!"&amp;$AI34&amp;($AJ34+AL$15+1))&lt;&gt;"",INDIRECT($H34&amp;"!"&amp;$AI34&amp;($AJ34+AL$15+1)),""),"")</f>
        <v/>
      </c>
      <c r="AM34" s="296" t="str" cm="1">
        <f t="array" aca="1" ref="AM34" ca="1">IF($H34&lt;&gt;"",IF(INDIRECT($H34&amp;"!"&amp;$AI34&amp;($AJ34+AM$15+1))&lt;&gt;"",INDIRECT($H34&amp;"!"&amp;$AI34&amp;($AJ34+AM$15+1)),""),"")</f>
        <v/>
      </c>
      <c r="AN34" s="296" t="str" cm="1">
        <f t="array" aca="1" ref="AN34" ca="1">IF($H34&lt;&gt;"",IF(INDIRECT($H34&amp;"!"&amp;$AI34&amp;($AJ34+AN$15+1))&lt;&gt;"",INDIRECT($H34&amp;"!"&amp;$AI34&amp;($AJ34+AN$15+1)),""),"")</f>
        <v/>
      </c>
      <c r="AO34" s="296" t="str" cm="1">
        <f t="array" aca="1" ref="AO34" ca="1">IF(LEFT($J34,5)="Sonde","",IF($H34&lt;&gt;"",IF(INDIRECT($H34&amp;"!"&amp;$AI34&amp;($AJ34+AO$15+1))&lt;&gt;"",INDIRECT($H34&amp;"!"&amp;$AI34&amp;($AJ34+AO$15+1)),""),""))</f>
        <v/>
      </c>
      <c r="AP34" s="296" t="str" cm="1">
        <f t="array" aca="1" ref="AP34" ca="1">IF(OR($J34="Pluviomètre",LEFT($J34,5)="Sonde"),"",IF($H34&lt;&gt;"",IF(INDIRECT($H34&amp;"!"&amp;$AI34&amp;($AJ34+AP$15+1))&lt;&gt;"",INDIRECT($H34&amp;"!"&amp;$AI34&amp;($AJ34+AP$15+1)),""),""))</f>
        <v/>
      </c>
      <c r="AQ34" s="296" t="str" cm="1">
        <f t="array" aca="1" ref="AQ34" ca="1">IF(OR($J34="Pluviomètre",LEFT($J34,5)="Sonde"),"",IF($H34&lt;&gt;"",IF(INDIRECT($H34&amp;"!"&amp;$AI34&amp;($AJ34+AQ$15+1))&lt;&gt;"",INDIRECT($H34&amp;"!"&amp;$AI34&amp;($AJ34+AQ$15+1)),""),""))</f>
        <v/>
      </c>
      <c r="AR34" s="296" t="str" cm="1">
        <f t="array" aca="1" ref="AR34" ca="1">IF(OR($J34="Pluviomètre",LEFT($J34,5)="Sonde"),"",IF($H34&lt;&gt;"",IF(INDIRECT($H34&amp;"!"&amp;$AI34&amp;($AJ34+AR$15+1))&lt;&gt;"",INDIRECT($H34&amp;"!"&amp;$AI34&amp;($AJ34+AR$15+1)),""),""))</f>
        <v/>
      </c>
      <c r="AS34" s="296" t="str" cm="1">
        <f t="array" aca="1" ref="AS34" ca="1">IF(OR($J34="Pluviomètre",LEFT($J34,5)="Sonde"),"",IF($H34&lt;&gt;"",IF(INDIRECT($H34&amp;"!"&amp;$AI34&amp;($AJ34+AS$15+1))&lt;&gt;"",INDIRECT($H34&amp;"!"&amp;$AI34&amp;($AJ34+AS$15+1)),""),""))</f>
        <v/>
      </c>
      <c r="AT34" s="296" t="str" cm="1">
        <f t="array" aca="1" ref="AT34" ca="1">IF(OR($J34="Pluviomètre",LEFT($J34,5)="Sonde"),"",IF($H34&lt;&gt;"",IF(INDIRECT($H34&amp;"!"&amp;$AI34&amp;($AJ34+AT$15+1))&lt;&gt;"",INDIRECT($H34&amp;"!"&amp;$AI34&amp;($AJ34+AT$15+1)),""),""))</f>
        <v/>
      </c>
    </row>
    <row r="35" spans="1:46" x14ac:dyDescent="0.4">
      <c r="A35" s="80">
        <v>20</v>
      </c>
      <c r="B35" s="134" t="b">
        <f t="shared" si="6"/>
        <v>0</v>
      </c>
      <c r="C35" s="139" t="str" cm="1">
        <f t="array" aca="1" ref="C35" ca="1">IF(
    AND(
        $B35,
        OR(
            INDIRECT("Descriptif!$M"&amp;($B$1+$A35-1))="Préleveur",
            LEFT(INDIRECT("Descriptif!$M"&amp;($B$1+$A35-1)),5)="Sonde",
            LEFT(INDIRECT("Descriptif!$M"&amp;($B$1+$A35-1)),10)="Débitmètre",
            LEFT(INDIRECT("Descriptif!$F"&amp;($B$1+$A35-1)),6)="PLUVIO"
        )
    ),
    INDIRECT("Descriptif!$"&amp;C$15&amp;($B$1 +$A35 -1)),
    ""
)</f>
        <v/>
      </c>
      <c r="D35" s="277" t="str" cm="1">
        <f t="array" aca="1" ref="D35" ca="1">IF(
    AND(
        $B35,
        OR(
            INDIRECT("Descriptif!$M"&amp;($B$1+$A35-1))="Préleveur",
            LEFT(INDIRECT("Descriptif!$M"&amp;($B$1+$A35-1)),5)="Sonde",
            LEFT(INDIRECT("Descriptif!$M"&amp;($B$1+$A35-1)),10)="Débitmètre",
            LEFT(INDIRECT("Descriptif!$F"&amp;($B$1+$A35-1)),6)="PLUVIO"
        )
    ),
    IF(
        LEFT(INDIRECT("Descriptif!$F"&amp;($B$1+$A35-1)),11)="PLUVIO_STEU",
        "A3",
        IF(
            LEFT(INDIRECT("Descriptif!$F"&amp;($B$1+$A35-1)),10)="PLUVIO_SCL",
            "A1",
            INDIRECT("Descriptif!$"&amp;D$15&amp;($B$1 +$A35 -1))
        )
    ),
    ""
)</f>
        <v/>
      </c>
      <c r="E35" s="277" t="str" cm="1">
        <f t="array" aca="1" ref="E35" ca="1">IF(
    AND(
        $B35,
        OR(
            INDIRECT("Descriptif!$M"&amp;($B$1+$A35-1))="Préleveur",
            LEFT(INDIRECT("Descriptif!$M"&amp;($B$1+$A35-1)),5)="Sonde",
            LEFT(INDIRECT("Descriptif!$M"&amp;($B$1+$A35-1)),10)="Débitmètre",
            LEFT(INDIRECT("Descriptif!$F"&amp;($B$1+$A35-1)),6)="PLUVIO"
        )
    ),
    IF(LEFT(INDIRECT("Descriptif!$F"&amp;($B$1+$A35-1)),6)="PLUVIO","Pluviomètre",INDIRECT("Descriptif!$"&amp;E$15&amp;($B$1 +$A35 -1))),
    ""
)</f>
        <v/>
      </c>
      <c r="F35" s="19" t="str" cm="1">
        <f t="array" aca="1" ref="F35" ca="1">IF(
    AND(
        $B35,
        OR(
            INDIRECT("Descriptif!$M"&amp;($B$1+$A35-1))="Préleveur",
            LEFT(INDIRECT("Descriptif!$M"&amp;($B$1+$A35-1)),5)="Sonde",
            LEFT(INDIRECT("Descriptif!$M"&amp;($B$1+$A35-1)),10)="Débitmètre",
            LEFT(INDIRECT("Descriptif!$F"&amp;($B$1+$A35-1)),6)="PLUVIO"
        )
    ),
    IF(LEFT(INDIRECT("Descriptif!$F"&amp;($B$1+$A35-1)),6)="PLUVIO","Pluviomètre",INDIRECT("Descriptif!$"&amp;F$15&amp;($B$1 +$A35 -1))),
    ""
)</f>
        <v/>
      </c>
      <c r="G35" s="19" t="str" cm="1">
        <f t="array" aca="1" ref="G35" ca="1">IF(
    AND(
        $B35,
        OR(
            INDIRECT("Descriptif!$M"&amp;($B$1+$A35-1))="Préleveur",
            LEFT(INDIRECT("Descriptif!$M"&amp;($B$1+$A35-1)),5)="Sonde",
            LEFT(INDIRECT("Descriptif!$M"&amp;($B$1+$A35-1)),10)="Débitmètre",
            LEFT(INDIRECT("Descriptif!$F"&amp;($B$1+$A35-1)),6)="PLUVIO"
        )
    ),
    IF(LEFT(INDIRECT("Descriptif!$F"&amp;($B$1+$A35-1)),6)="PLUVIO","Pluviomètre",INDIRECT("Descriptif!$"&amp;G$15&amp;($B$1 +$A35 -1))),
    ""
)</f>
        <v/>
      </c>
      <c r="H35" s="141" t="str" cm="1">
        <f t="array" aca="1" ref="H35" ca="1">IFERROR(INDEX($C$16:$C$116,SMALL(IF($C$16:$C$116&lt;&gt;"",ROW($C$16:$C$116)-ROW($C$16)+1),ROW(A20))),"")</f>
        <v/>
      </c>
      <c r="I35" s="140" t="str" cm="1">
        <f t="array" aca="1" ref="I35" ca="1">IFERROR(INDEX($D$16:$D$116,SMALL(IF($D$16:$D$116&lt;&gt;"",ROW($D$16:$D$116)-ROW($D$16)+1),ROW(A20))),"")</f>
        <v/>
      </c>
      <c r="J35" s="140" t="str" cm="1">
        <f t="array" aca="1" ref="J35" ca="1">IFERROR(INDEX($E$16:$E$116,SMALL(IF($E$16:$E$116&lt;&gt;"",ROW($E$16:$E$116)-ROW($E$16)+1),ROW(A20))),"")</f>
        <v/>
      </c>
      <c r="K35" s="140" t="str" cm="1">
        <f t="array" aca="1" ref="K35" ca="1">IFERROR(INDEX($F$16:$F$116,SMALL(IF($F$16:$F$116&lt;&gt;"",ROW($F$16:$F$116)-ROW($F$16)+1),ROW(A20))),"")</f>
        <v/>
      </c>
      <c r="L35" s="140" t="str">
        <f t="shared" ca="1" si="0"/>
        <v/>
      </c>
      <c r="M35" s="140" t="str" cm="1">
        <f t="array" aca="1" ref="M35" ca="1">IFERROR(INDEX($G$16:$G$116,SMALL(IF($G$16:$G$116&lt;&gt;"",ROW($G$16:$G$116)-ROW($G$16)+1),ROW(A20))),"")</f>
        <v/>
      </c>
      <c r="N35" s="145" t="str">
        <f t="shared" ca="1" si="1"/>
        <v/>
      </c>
      <c r="O35" s="146" t="str">
        <f t="shared" ca="1" si="2"/>
        <v/>
      </c>
      <c r="P35" s="146" t="str" cm="1">
        <f t="array" aca="1" ref="P35" ca="1">IF($J35&lt;&gt;"",IF(INDIRECT($H35&amp;"!"&amp;$O35)&lt;&gt;"",INDIRECT($H35&amp;"!"&amp;$O35),""),"")</f>
        <v/>
      </c>
      <c r="Q35" s="146" t="str">
        <f t="shared" ca="1" si="3"/>
        <v/>
      </c>
      <c r="R35" s="146" t="str" cm="1">
        <f t="array" aca="1" ref="R35" ca="1">IF($J35&lt;&gt;"",IF(INDIRECT($H35&amp;"!"&amp;$Q35)&lt;&gt;"",INDIRECT($H35&amp;"!"&amp;$Q35),""),"")</f>
        <v/>
      </c>
      <c r="S35" s="146" t="str">
        <f t="shared" ca="1" si="4"/>
        <v/>
      </c>
      <c r="T35" s="146" t="str" cm="1">
        <f t="array" aca="1" ref="T35" ca="1">IF($J35&lt;&gt;"",IF(INDIRECT($H35&amp;"!"&amp;$S35)&lt;&gt;"",INDIRECT($H35&amp;"!"&amp;$S35),""),"")</f>
        <v/>
      </c>
      <c r="U35" s="146" t="str">
        <f t="shared" ca="1" si="5"/>
        <v/>
      </c>
      <c r="V35" s="147" t="str" cm="1">
        <f t="array" aca="1" ref="V35" ca="1">IF($J35&lt;&gt;"",IF(INDIRECT($H35&amp;"!"&amp;$U35)&lt;&gt;"",INDIRECT($H35&amp;"!"&amp;$U35),""),"")</f>
        <v/>
      </c>
      <c r="W35" s="294" t="str">
        <f t="shared" ca="1" si="7"/>
        <v/>
      </c>
      <c r="X35" s="295" t="str">
        <f t="shared" ca="1" si="8"/>
        <v/>
      </c>
      <c r="Y35" s="296" t="str" cm="1">
        <f t="array" aca="1" ref="Y35" ca="1">IF($H35&lt;&gt;"",IF(INDIRECT($H35&amp;"!"&amp;$W35&amp;($X35+Y$15+1))&lt;&gt;"",INDIRECT($H35&amp;"!"&amp;$W35&amp;($X35+Y$15+1)),""),"")</f>
        <v/>
      </c>
      <c r="Z35" s="296" t="str" cm="1">
        <f t="array" aca="1" ref="Z35" ca="1">IF($H35&lt;&gt;"",IF(INDIRECT($H35&amp;"!"&amp;$W35&amp;($X35+Z$15+1))&lt;&gt;"",INDIRECT($H35&amp;"!"&amp;$W35&amp;($X35+Z$15+1)),""),"")</f>
        <v/>
      </c>
      <c r="AA35" s="296" t="str" cm="1">
        <f t="array" aca="1" ref="AA35" ca="1">IF($H35&lt;&gt;"",IF(INDIRECT($H35&amp;"!"&amp;$W35&amp;($X35+AA$15+1))&lt;&gt;"",INDIRECT($H35&amp;"!"&amp;$W35&amp;($X35+AA$15+1)),""),"")</f>
        <v/>
      </c>
      <c r="AB35" s="296" t="str" cm="1">
        <f t="array" aca="1" ref="AB35" ca="1">IF($H35&lt;&gt;"",IF(INDIRECT($H35&amp;"!"&amp;$W35&amp;($X35+AB$15+1))&lt;&gt;"",INDIRECT($H35&amp;"!"&amp;$W35&amp;($X35+AB$15+1)),""),"")</f>
        <v/>
      </c>
      <c r="AC35" s="296" t="str" cm="1">
        <f t="array" aca="1" ref="AC35" ca="1">IF(LEFT($J35,5)="Sonde","",IF($H35&lt;&gt;"",IF(INDIRECT($H35&amp;"!"&amp;$W35&amp;($X35+AC$15+1))&lt;&gt;"",INDIRECT($H35&amp;"!"&amp;$W35&amp;($X35+AC$15+1)),""),""))</f>
        <v/>
      </c>
      <c r="AD35" s="296" t="str" cm="1">
        <f t="array" aca="1" ref="AD35" ca="1">IF(OR($J35="Pluviomètre",LEFT($J35,5)="Sonde"),"",IF($H35&lt;&gt;"",IF(INDIRECT($H35&amp;"!"&amp;$W35&amp;($X35+AD$15+1))&lt;&gt;"",INDIRECT($H35&amp;"!"&amp;$W35&amp;($X35+AD$15+1)),""),""))</f>
        <v/>
      </c>
      <c r="AE35" s="296" t="str" cm="1">
        <f t="array" aca="1" ref="AE35" ca="1">IF(OR($J35="Pluviomètre",LEFT($J35,5)="Sonde"),"",IF($H35&lt;&gt;"",IF(INDIRECT($H35&amp;"!"&amp;$W35&amp;($X35+AE$15+1))&lt;&gt;"",INDIRECT($H35&amp;"!"&amp;$W35&amp;($X35+AE$15+1)),""),""))</f>
        <v/>
      </c>
      <c r="AF35" s="296" t="str" cm="1">
        <f t="array" aca="1" ref="AF35" ca="1">IF(OR($J35="Pluviomètre",LEFT($J35,5)="Sonde"),"",IF($H35&lt;&gt;"",IF(INDIRECT($H35&amp;"!"&amp;$W35&amp;($X35+AF$15+1))&lt;&gt;"",INDIRECT($H35&amp;"!"&amp;$W35&amp;($X35+AF$15+1)),""),""))</f>
        <v/>
      </c>
      <c r="AG35" s="296" t="str" cm="1">
        <f t="array" aca="1" ref="AG35" ca="1">IF(OR($J35="Pluviomètre",LEFT($J35,5)="Sonde"),"",IF($H35&lt;&gt;"",IF(INDIRECT($H35&amp;"!"&amp;$W35&amp;($X35+AG$15+1))&lt;&gt;"",INDIRECT($H35&amp;"!"&amp;$W35&amp;($X35+AG$15+1)),""),""))</f>
        <v/>
      </c>
      <c r="AH35" s="296" t="str" cm="1">
        <f t="array" aca="1" ref="AH35" ca="1">IF(OR($J35="Pluviomètre",LEFT($J35,5)="Sonde"),"",IF($H35&lt;&gt;"",IF(INDIRECT($H35&amp;"!"&amp;$W35&amp;($X35+AH$15+1))&lt;&gt;"",INDIRECT($H35&amp;"!"&amp;$W35&amp;($X35+AH$15+1)),""),""))</f>
        <v/>
      </c>
      <c r="AI35" s="294" t="str">
        <f t="shared" ca="1" si="9"/>
        <v/>
      </c>
      <c r="AJ35" s="295" t="str">
        <f t="shared" ca="1" si="10"/>
        <v/>
      </c>
      <c r="AK35" s="296" t="str" cm="1">
        <f t="array" aca="1" ref="AK35" ca="1">IF($H35&lt;&gt;"",IF(INDIRECT($H35&amp;"!"&amp;$AI35&amp;($AJ35+AK$15+1))&lt;&gt;"",INDIRECT($H35&amp;"!"&amp;$AI35&amp;($AJ35+AK$15+1)),""),"")</f>
        <v/>
      </c>
      <c r="AL35" s="296" t="str" cm="1">
        <f t="array" aca="1" ref="AL35" ca="1">IF($H35&lt;&gt;"",IF(INDIRECT($H35&amp;"!"&amp;$AI35&amp;($AJ35+AL$15+1))&lt;&gt;"",INDIRECT($H35&amp;"!"&amp;$AI35&amp;($AJ35+AL$15+1)),""),"")</f>
        <v/>
      </c>
      <c r="AM35" s="296" t="str" cm="1">
        <f t="array" aca="1" ref="AM35" ca="1">IF($H35&lt;&gt;"",IF(INDIRECT($H35&amp;"!"&amp;$AI35&amp;($AJ35+AM$15+1))&lt;&gt;"",INDIRECT($H35&amp;"!"&amp;$AI35&amp;($AJ35+AM$15+1)),""),"")</f>
        <v/>
      </c>
      <c r="AN35" s="296" t="str" cm="1">
        <f t="array" aca="1" ref="AN35" ca="1">IF($H35&lt;&gt;"",IF(INDIRECT($H35&amp;"!"&amp;$AI35&amp;($AJ35+AN$15+1))&lt;&gt;"",INDIRECT($H35&amp;"!"&amp;$AI35&amp;($AJ35+AN$15+1)),""),"")</f>
        <v/>
      </c>
      <c r="AO35" s="296" t="str" cm="1">
        <f t="array" aca="1" ref="AO35" ca="1">IF(LEFT($J35,5)="Sonde","",IF($H35&lt;&gt;"",IF(INDIRECT($H35&amp;"!"&amp;$AI35&amp;($AJ35+AO$15+1))&lt;&gt;"",INDIRECT($H35&amp;"!"&amp;$AI35&amp;($AJ35+AO$15+1)),""),""))</f>
        <v/>
      </c>
      <c r="AP35" s="296" t="str" cm="1">
        <f t="array" aca="1" ref="AP35" ca="1">IF(OR($J35="Pluviomètre",LEFT($J35,5)="Sonde"),"",IF($H35&lt;&gt;"",IF(INDIRECT($H35&amp;"!"&amp;$AI35&amp;($AJ35+AP$15+1))&lt;&gt;"",INDIRECT($H35&amp;"!"&amp;$AI35&amp;($AJ35+AP$15+1)),""),""))</f>
        <v/>
      </c>
      <c r="AQ35" s="296" t="str" cm="1">
        <f t="array" aca="1" ref="AQ35" ca="1">IF(OR($J35="Pluviomètre",LEFT($J35,5)="Sonde"),"",IF($H35&lt;&gt;"",IF(INDIRECT($H35&amp;"!"&amp;$AI35&amp;($AJ35+AQ$15+1))&lt;&gt;"",INDIRECT($H35&amp;"!"&amp;$AI35&amp;($AJ35+AQ$15+1)),""),""))</f>
        <v/>
      </c>
      <c r="AR35" s="296" t="str" cm="1">
        <f t="array" aca="1" ref="AR35" ca="1">IF(OR($J35="Pluviomètre",LEFT($J35,5)="Sonde"),"",IF($H35&lt;&gt;"",IF(INDIRECT($H35&amp;"!"&amp;$AI35&amp;($AJ35+AR$15+1))&lt;&gt;"",INDIRECT($H35&amp;"!"&amp;$AI35&amp;($AJ35+AR$15+1)),""),""))</f>
        <v/>
      </c>
      <c r="AS35" s="296" t="str" cm="1">
        <f t="array" aca="1" ref="AS35" ca="1">IF(OR($J35="Pluviomètre",LEFT($J35,5)="Sonde"),"",IF($H35&lt;&gt;"",IF(INDIRECT($H35&amp;"!"&amp;$AI35&amp;($AJ35+AS$15+1))&lt;&gt;"",INDIRECT($H35&amp;"!"&amp;$AI35&amp;($AJ35+AS$15+1)),""),""))</f>
        <v/>
      </c>
      <c r="AT35" s="296" t="str" cm="1">
        <f t="array" aca="1" ref="AT35" ca="1">IF(OR($J35="Pluviomètre",LEFT($J35,5)="Sonde"),"",IF($H35&lt;&gt;"",IF(INDIRECT($H35&amp;"!"&amp;$AI35&amp;($AJ35+AT$15+1))&lt;&gt;"",INDIRECT($H35&amp;"!"&amp;$AI35&amp;($AJ35+AT$15+1)),""),""))</f>
        <v/>
      </c>
    </row>
    <row r="36" spans="1:46" x14ac:dyDescent="0.4">
      <c r="A36" s="80">
        <v>21</v>
      </c>
      <c r="B36" s="134" t="b">
        <f t="shared" si="6"/>
        <v>0</v>
      </c>
      <c r="C36" s="139" t="str" cm="1">
        <f t="array" aca="1" ref="C36" ca="1">IF(
    AND(
        $B36,
        OR(
            INDIRECT("Descriptif!$M"&amp;($B$1+$A36-1))="Préleveur",
            LEFT(INDIRECT("Descriptif!$M"&amp;($B$1+$A36-1)),5)="Sonde",
            LEFT(INDIRECT("Descriptif!$M"&amp;($B$1+$A36-1)),10)="Débitmètre",
            LEFT(INDIRECT("Descriptif!$F"&amp;($B$1+$A36-1)),6)="PLUVIO"
        )
    ),
    INDIRECT("Descriptif!$"&amp;C$15&amp;($B$1 +$A36 -1)),
    ""
)</f>
        <v/>
      </c>
      <c r="D36" s="277" t="str" cm="1">
        <f t="array" aca="1" ref="D36" ca="1">IF(
    AND(
        $B36,
        OR(
            INDIRECT("Descriptif!$M"&amp;($B$1+$A36-1))="Préleveur",
            LEFT(INDIRECT("Descriptif!$M"&amp;($B$1+$A36-1)),5)="Sonde",
            LEFT(INDIRECT("Descriptif!$M"&amp;($B$1+$A36-1)),10)="Débitmètre",
            LEFT(INDIRECT("Descriptif!$F"&amp;($B$1+$A36-1)),6)="PLUVIO"
        )
    ),
    IF(
        LEFT(INDIRECT("Descriptif!$F"&amp;($B$1+$A36-1)),11)="PLUVIO_STEU",
        "A3",
        IF(
            LEFT(INDIRECT("Descriptif!$F"&amp;($B$1+$A36-1)),10)="PLUVIO_SCL",
            "A1",
            INDIRECT("Descriptif!$"&amp;D$15&amp;($B$1 +$A36 -1))
        )
    ),
    ""
)</f>
        <v/>
      </c>
      <c r="E36" s="277" t="str" cm="1">
        <f t="array" aca="1" ref="E36" ca="1">IF(
    AND(
        $B36,
        OR(
            INDIRECT("Descriptif!$M"&amp;($B$1+$A36-1))="Préleveur",
            LEFT(INDIRECT("Descriptif!$M"&amp;($B$1+$A36-1)),5)="Sonde",
            LEFT(INDIRECT("Descriptif!$M"&amp;($B$1+$A36-1)),10)="Débitmètre",
            LEFT(INDIRECT("Descriptif!$F"&amp;($B$1+$A36-1)),6)="PLUVIO"
        )
    ),
    IF(LEFT(INDIRECT("Descriptif!$F"&amp;($B$1+$A36-1)),6)="PLUVIO","Pluviomètre",INDIRECT("Descriptif!$"&amp;E$15&amp;($B$1 +$A36 -1))),
    ""
)</f>
        <v/>
      </c>
      <c r="F36" s="19" t="str" cm="1">
        <f t="array" aca="1" ref="F36" ca="1">IF(
    AND(
        $B36,
        OR(
            INDIRECT("Descriptif!$M"&amp;($B$1+$A36-1))="Préleveur",
            LEFT(INDIRECT("Descriptif!$M"&amp;($B$1+$A36-1)),5)="Sonde",
            LEFT(INDIRECT("Descriptif!$M"&amp;($B$1+$A36-1)),10)="Débitmètre",
            LEFT(INDIRECT("Descriptif!$F"&amp;($B$1+$A36-1)),6)="PLUVIO"
        )
    ),
    IF(LEFT(INDIRECT("Descriptif!$F"&amp;($B$1+$A36-1)),6)="PLUVIO","Pluviomètre",INDIRECT("Descriptif!$"&amp;F$15&amp;($B$1 +$A36 -1))),
    ""
)</f>
        <v/>
      </c>
      <c r="G36" s="19" t="str" cm="1">
        <f t="array" aca="1" ref="G36" ca="1">IF(
    AND(
        $B36,
        OR(
            INDIRECT("Descriptif!$M"&amp;($B$1+$A36-1))="Préleveur",
            LEFT(INDIRECT("Descriptif!$M"&amp;($B$1+$A36-1)),5)="Sonde",
            LEFT(INDIRECT("Descriptif!$M"&amp;($B$1+$A36-1)),10)="Débitmètre",
            LEFT(INDIRECT("Descriptif!$F"&amp;($B$1+$A36-1)),6)="PLUVIO"
        )
    ),
    IF(LEFT(INDIRECT("Descriptif!$F"&amp;($B$1+$A36-1)),6)="PLUVIO","Pluviomètre",INDIRECT("Descriptif!$"&amp;G$15&amp;($B$1 +$A36 -1))),
    ""
)</f>
        <v/>
      </c>
      <c r="H36" s="141" t="str" cm="1">
        <f t="array" aca="1" ref="H36" ca="1">IFERROR(INDEX($C$16:$C$116,SMALL(IF($C$16:$C$116&lt;&gt;"",ROW($C$16:$C$116)-ROW($C$16)+1),ROW(A21))),"")</f>
        <v/>
      </c>
      <c r="I36" s="140" t="str" cm="1">
        <f t="array" aca="1" ref="I36" ca="1">IFERROR(INDEX($D$16:$D$116,SMALL(IF($D$16:$D$116&lt;&gt;"",ROW($D$16:$D$116)-ROW($D$16)+1),ROW(A21))),"")</f>
        <v/>
      </c>
      <c r="J36" s="140" t="str" cm="1">
        <f t="array" aca="1" ref="J36" ca="1">IFERROR(INDEX($E$16:$E$116,SMALL(IF($E$16:$E$116&lt;&gt;"",ROW($E$16:$E$116)-ROW($E$16)+1),ROW(A21))),"")</f>
        <v/>
      </c>
      <c r="K36" s="140" t="str" cm="1">
        <f t="array" aca="1" ref="K36" ca="1">IFERROR(INDEX($F$16:$F$116,SMALL(IF($F$16:$F$116&lt;&gt;"",ROW($F$16:$F$116)-ROW($F$16)+1),ROW(A21))),"")</f>
        <v/>
      </c>
      <c r="L36" s="140" t="str">
        <f t="shared" ca="1" si="0"/>
        <v/>
      </c>
      <c r="M36" s="140" t="str" cm="1">
        <f t="array" aca="1" ref="M36" ca="1">IFERROR(INDEX($G$16:$G$116,SMALL(IF($G$16:$G$116&lt;&gt;"",ROW($G$16:$G$116)-ROW($G$16)+1),ROW(A21))),"")</f>
        <v/>
      </c>
      <c r="N36" s="145" t="str">
        <f t="shared" ca="1" si="1"/>
        <v/>
      </c>
      <c r="O36" s="146" t="str">
        <f t="shared" ca="1" si="2"/>
        <v/>
      </c>
      <c r="P36" s="146" t="str" cm="1">
        <f t="array" aca="1" ref="P36" ca="1">IF($J36&lt;&gt;"",IF(INDIRECT($H36&amp;"!"&amp;$O36)&lt;&gt;"",INDIRECT($H36&amp;"!"&amp;$O36),""),"")</f>
        <v/>
      </c>
      <c r="Q36" s="146" t="str">
        <f t="shared" ca="1" si="3"/>
        <v/>
      </c>
      <c r="R36" s="146" t="str" cm="1">
        <f t="array" aca="1" ref="R36" ca="1">IF($J36&lt;&gt;"",IF(INDIRECT($H36&amp;"!"&amp;$Q36)&lt;&gt;"",INDIRECT($H36&amp;"!"&amp;$Q36),""),"")</f>
        <v/>
      </c>
      <c r="S36" s="146" t="str">
        <f t="shared" ca="1" si="4"/>
        <v/>
      </c>
      <c r="T36" s="146" t="str" cm="1">
        <f t="array" aca="1" ref="T36" ca="1">IF($J36&lt;&gt;"",IF(INDIRECT($H36&amp;"!"&amp;$S36)&lt;&gt;"",INDIRECT($H36&amp;"!"&amp;$S36),""),"")</f>
        <v/>
      </c>
      <c r="U36" s="146" t="str">
        <f t="shared" ca="1" si="5"/>
        <v/>
      </c>
      <c r="V36" s="147" t="str" cm="1">
        <f t="array" aca="1" ref="V36" ca="1">IF($J36&lt;&gt;"",IF(INDIRECT($H36&amp;"!"&amp;$U36)&lt;&gt;"",INDIRECT($H36&amp;"!"&amp;$U36),""),"")</f>
        <v/>
      </c>
      <c r="W36" s="294" t="str">
        <f t="shared" ca="1" si="7"/>
        <v/>
      </c>
      <c r="X36" s="295" t="str">
        <f t="shared" ca="1" si="8"/>
        <v/>
      </c>
      <c r="Y36" s="296" t="str" cm="1">
        <f t="array" aca="1" ref="Y36" ca="1">IF($H36&lt;&gt;"",IF(INDIRECT($H36&amp;"!"&amp;$W36&amp;($X36+Y$15+1))&lt;&gt;"",INDIRECT($H36&amp;"!"&amp;$W36&amp;($X36+Y$15+1)),""),"")</f>
        <v/>
      </c>
      <c r="Z36" s="296" t="str" cm="1">
        <f t="array" aca="1" ref="Z36" ca="1">IF($H36&lt;&gt;"",IF(INDIRECT($H36&amp;"!"&amp;$W36&amp;($X36+Z$15+1))&lt;&gt;"",INDIRECT($H36&amp;"!"&amp;$W36&amp;($X36+Z$15+1)),""),"")</f>
        <v/>
      </c>
      <c r="AA36" s="296" t="str" cm="1">
        <f t="array" aca="1" ref="AA36" ca="1">IF($H36&lt;&gt;"",IF(INDIRECT($H36&amp;"!"&amp;$W36&amp;($X36+AA$15+1))&lt;&gt;"",INDIRECT($H36&amp;"!"&amp;$W36&amp;($X36+AA$15+1)),""),"")</f>
        <v/>
      </c>
      <c r="AB36" s="296" t="str" cm="1">
        <f t="array" aca="1" ref="AB36" ca="1">IF($H36&lt;&gt;"",IF(INDIRECT($H36&amp;"!"&amp;$W36&amp;($X36+AB$15+1))&lt;&gt;"",INDIRECT($H36&amp;"!"&amp;$W36&amp;($X36+AB$15+1)),""),"")</f>
        <v/>
      </c>
      <c r="AC36" s="296" t="str" cm="1">
        <f t="array" aca="1" ref="AC36" ca="1">IF(LEFT($J36,5)="Sonde","",IF($H36&lt;&gt;"",IF(INDIRECT($H36&amp;"!"&amp;$W36&amp;($X36+AC$15+1))&lt;&gt;"",INDIRECT($H36&amp;"!"&amp;$W36&amp;($X36+AC$15+1)),""),""))</f>
        <v/>
      </c>
      <c r="AD36" s="296" t="str" cm="1">
        <f t="array" aca="1" ref="AD36" ca="1">IF(OR($J36="Pluviomètre",LEFT($J36,5)="Sonde"),"",IF($H36&lt;&gt;"",IF(INDIRECT($H36&amp;"!"&amp;$W36&amp;($X36+AD$15+1))&lt;&gt;"",INDIRECT($H36&amp;"!"&amp;$W36&amp;($X36+AD$15+1)),""),""))</f>
        <v/>
      </c>
      <c r="AE36" s="296" t="str" cm="1">
        <f t="array" aca="1" ref="AE36" ca="1">IF(OR($J36="Pluviomètre",LEFT($J36,5)="Sonde"),"",IF($H36&lt;&gt;"",IF(INDIRECT($H36&amp;"!"&amp;$W36&amp;($X36+AE$15+1))&lt;&gt;"",INDIRECT($H36&amp;"!"&amp;$W36&amp;($X36+AE$15+1)),""),""))</f>
        <v/>
      </c>
      <c r="AF36" s="296" t="str" cm="1">
        <f t="array" aca="1" ref="AF36" ca="1">IF(OR($J36="Pluviomètre",LEFT($J36,5)="Sonde"),"",IF($H36&lt;&gt;"",IF(INDIRECT($H36&amp;"!"&amp;$W36&amp;($X36+AF$15+1))&lt;&gt;"",INDIRECT($H36&amp;"!"&amp;$W36&amp;($X36+AF$15+1)),""),""))</f>
        <v/>
      </c>
      <c r="AG36" s="296" t="str" cm="1">
        <f t="array" aca="1" ref="AG36" ca="1">IF(OR($J36="Pluviomètre",LEFT($J36,5)="Sonde"),"",IF($H36&lt;&gt;"",IF(INDIRECT($H36&amp;"!"&amp;$W36&amp;($X36+AG$15+1))&lt;&gt;"",INDIRECT($H36&amp;"!"&amp;$W36&amp;($X36+AG$15+1)),""),""))</f>
        <v/>
      </c>
      <c r="AH36" s="296" t="str" cm="1">
        <f t="array" aca="1" ref="AH36" ca="1">IF(OR($J36="Pluviomètre",LEFT($J36,5)="Sonde"),"",IF($H36&lt;&gt;"",IF(INDIRECT($H36&amp;"!"&amp;$W36&amp;($X36+AH$15+1))&lt;&gt;"",INDIRECT($H36&amp;"!"&amp;$W36&amp;($X36+AH$15+1)),""),""))</f>
        <v/>
      </c>
      <c r="AI36" s="294" t="str">
        <f t="shared" ca="1" si="9"/>
        <v/>
      </c>
      <c r="AJ36" s="295" t="str">
        <f t="shared" ca="1" si="10"/>
        <v/>
      </c>
      <c r="AK36" s="296" t="str" cm="1">
        <f t="array" aca="1" ref="AK36" ca="1">IF($H36&lt;&gt;"",IF(INDIRECT($H36&amp;"!"&amp;$AI36&amp;($AJ36+AK$15+1))&lt;&gt;"",INDIRECT($H36&amp;"!"&amp;$AI36&amp;($AJ36+AK$15+1)),""),"")</f>
        <v/>
      </c>
      <c r="AL36" s="296" t="str" cm="1">
        <f t="array" aca="1" ref="AL36" ca="1">IF($H36&lt;&gt;"",IF(INDIRECT($H36&amp;"!"&amp;$AI36&amp;($AJ36+AL$15+1))&lt;&gt;"",INDIRECT($H36&amp;"!"&amp;$AI36&amp;($AJ36+AL$15+1)),""),"")</f>
        <v/>
      </c>
      <c r="AM36" s="296" t="str" cm="1">
        <f t="array" aca="1" ref="AM36" ca="1">IF($H36&lt;&gt;"",IF(INDIRECT($H36&amp;"!"&amp;$AI36&amp;($AJ36+AM$15+1))&lt;&gt;"",INDIRECT($H36&amp;"!"&amp;$AI36&amp;($AJ36+AM$15+1)),""),"")</f>
        <v/>
      </c>
      <c r="AN36" s="296" t="str" cm="1">
        <f t="array" aca="1" ref="AN36" ca="1">IF($H36&lt;&gt;"",IF(INDIRECT($H36&amp;"!"&amp;$AI36&amp;($AJ36+AN$15+1))&lt;&gt;"",INDIRECT($H36&amp;"!"&amp;$AI36&amp;($AJ36+AN$15+1)),""),"")</f>
        <v/>
      </c>
      <c r="AO36" s="296" t="str" cm="1">
        <f t="array" aca="1" ref="AO36" ca="1">IF(LEFT($J36,5)="Sonde","",IF($H36&lt;&gt;"",IF(INDIRECT($H36&amp;"!"&amp;$AI36&amp;($AJ36+AO$15+1))&lt;&gt;"",INDIRECT($H36&amp;"!"&amp;$AI36&amp;($AJ36+AO$15+1)),""),""))</f>
        <v/>
      </c>
      <c r="AP36" s="296" t="str" cm="1">
        <f t="array" aca="1" ref="AP36" ca="1">IF(OR($J36="Pluviomètre",LEFT($J36,5)="Sonde"),"",IF($H36&lt;&gt;"",IF(INDIRECT($H36&amp;"!"&amp;$AI36&amp;($AJ36+AP$15+1))&lt;&gt;"",INDIRECT($H36&amp;"!"&amp;$AI36&amp;($AJ36+AP$15+1)),""),""))</f>
        <v/>
      </c>
      <c r="AQ36" s="296" t="str" cm="1">
        <f t="array" aca="1" ref="AQ36" ca="1">IF(OR($J36="Pluviomètre",LEFT($J36,5)="Sonde"),"",IF($H36&lt;&gt;"",IF(INDIRECT($H36&amp;"!"&amp;$AI36&amp;($AJ36+AQ$15+1))&lt;&gt;"",INDIRECT($H36&amp;"!"&amp;$AI36&amp;($AJ36+AQ$15+1)),""),""))</f>
        <v/>
      </c>
      <c r="AR36" s="296" t="str" cm="1">
        <f t="array" aca="1" ref="AR36" ca="1">IF(OR($J36="Pluviomètre",LEFT($J36,5)="Sonde"),"",IF($H36&lt;&gt;"",IF(INDIRECT($H36&amp;"!"&amp;$AI36&amp;($AJ36+AR$15+1))&lt;&gt;"",INDIRECT($H36&amp;"!"&amp;$AI36&amp;($AJ36+AR$15+1)),""),""))</f>
        <v/>
      </c>
      <c r="AS36" s="296" t="str" cm="1">
        <f t="array" aca="1" ref="AS36" ca="1">IF(OR($J36="Pluviomètre",LEFT($J36,5)="Sonde"),"",IF($H36&lt;&gt;"",IF(INDIRECT($H36&amp;"!"&amp;$AI36&amp;($AJ36+AS$15+1))&lt;&gt;"",INDIRECT($H36&amp;"!"&amp;$AI36&amp;($AJ36+AS$15+1)),""),""))</f>
        <v/>
      </c>
      <c r="AT36" s="296" t="str" cm="1">
        <f t="array" aca="1" ref="AT36" ca="1">IF(OR($J36="Pluviomètre",LEFT($J36,5)="Sonde"),"",IF($H36&lt;&gt;"",IF(INDIRECT($H36&amp;"!"&amp;$AI36&amp;($AJ36+AT$15+1))&lt;&gt;"",INDIRECT($H36&amp;"!"&amp;$AI36&amp;($AJ36+AT$15+1)),""),""))</f>
        <v/>
      </c>
    </row>
    <row r="37" spans="1:46" x14ac:dyDescent="0.4">
      <c r="A37" s="80">
        <v>22</v>
      </c>
      <c r="B37" s="134" t="b">
        <f t="shared" si="6"/>
        <v>0</v>
      </c>
      <c r="C37" s="139" t="str" cm="1">
        <f t="array" aca="1" ref="C37" ca="1">IF(
    AND(
        $B37,
        OR(
            INDIRECT("Descriptif!$M"&amp;($B$1+$A37-1))="Préleveur",
            LEFT(INDIRECT("Descriptif!$M"&amp;($B$1+$A37-1)),5)="Sonde",
            LEFT(INDIRECT("Descriptif!$M"&amp;($B$1+$A37-1)),10)="Débitmètre",
            LEFT(INDIRECT("Descriptif!$F"&amp;($B$1+$A37-1)),6)="PLUVIO"
        )
    ),
    INDIRECT("Descriptif!$"&amp;C$15&amp;($B$1 +$A37 -1)),
    ""
)</f>
        <v/>
      </c>
      <c r="D37" s="277" t="str" cm="1">
        <f t="array" aca="1" ref="D37" ca="1">IF(
    AND(
        $B37,
        OR(
            INDIRECT("Descriptif!$M"&amp;($B$1+$A37-1))="Préleveur",
            LEFT(INDIRECT("Descriptif!$M"&amp;($B$1+$A37-1)),5)="Sonde",
            LEFT(INDIRECT("Descriptif!$M"&amp;($B$1+$A37-1)),10)="Débitmètre",
            LEFT(INDIRECT("Descriptif!$F"&amp;($B$1+$A37-1)),6)="PLUVIO"
        )
    ),
    IF(
        LEFT(INDIRECT("Descriptif!$F"&amp;($B$1+$A37-1)),11)="PLUVIO_STEU",
        "A3",
        IF(
            LEFT(INDIRECT("Descriptif!$F"&amp;($B$1+$A37-1)),10)="PLUVIO_SCL",
            "A1",
            INDIRECT("Descriptif!$"&amp;D$15&amp;($B$1 +$A37 -1))
        )
    ),
    ""
)</f>
        <v/>
      </c>
      <c r="E37" s="277" t="str" cm="1">
        <f t="array" aca="1" ref="E37" ca="1">IF(
    AND(
        $B37,
        OR(
            INDIRECT("Descriptif!$M"&amp;($B$1+$A37-1))="Préleveur",
            LEFT(INDIRECT("Descriptif!$M"&amp;($B$1+$A37-1)),5)="Sonde",
            LEFT(INDIRECT("Descriptif!$M"&amp;($B$1+$A37-1)),10)="Débitmètre",
            LEFT(INDIRECT("Descriptif!$F"&amp;($B$1+$A37-1)),6)="PLUVIO"
        )
    ),
    IF(LEFT(INDIRECT("Descriptif!$F"&amp;($B$1+$A37-1)),6)="PLUVIO","Pluviomètre",INDIRECT("Descriptif!$"&amp;E$15&amp;($B$1 +$A37 -1))),
    ""
)</f>
        <v/>
      </c>
      <c r="F37" s="19" t="str" cm="1">
        <f t="array" aca="1" ref="F37" ca="1">IF(
    AND(
        $B37,
        OR(
            INDIRECT("Descriptif!$M"&amp;($B$1+$A37-1))="Préleveur",
            LEFT(INDIRECT("Descriptif!$M"&amp;($B$1+$A37-1)),5)="Sonde",
            LEFT(INDIRECT("Descriptif!$M"&amp;($B$1+$A37-1)),10)="Débitmètre",
            LEFT(INDIRECT("Descriptif!$F"&amp;($B$1+$A37-1)),6)="PLUVIO"
        )
    ),
    IF(LEFT(INDIRECT("Descriptif!$F"&amp;($B$1+$A37-1)),6)="PLUVIO","Pluviomètre",INDIRECT("Descriptif!$"&amp;F$15&amp;($B$1 +$A37 -1))),
    ""
)</f>
        <v/>
      </c>
      <c r="G37" s="19" t="str" cm="1">
        <f t="array" aca="1" ref="G37" ca="1">IF(
    AND(
        $B37,
        OR(
            INDIRECT("Descriptif!$M"&amp;($B$1+$A37-1))="Préleveur",
            LEFT(INDIRECT("Descriptif!$M"&amp;($B$1+$A37-1)),5)="Sonde",
            LEFT(INDIRECT("Descriptif!$M"&amp;($B$1+$A37-1)),10)="Débitmètre",
            LEFT(INDIRECT("Descriptif!$F"&amp;($B$1+$A37-1)),6)="PLUVIO"
        )
    ),
    IF(LEFT(INDIRECT("Descriptif!$F"&amp;($B$1+$A37-1)),6)="PLUVIO","Pluviomètre",INDIRECT("Descriptif!$"&amp;G$15&amp;($B$1 +$A37 -1))),
    ""
)</f>
        <v/>
      </c>
      <c r="H37" s="141" t="str" cm="1">
        <f t="array" aca="1" ref="H37" ca="1">IFERROR(INDEX($C$16:$C$116,SMALL(IF($C$16:$C$116&lt;&gt;"",ROW($C$16:$C$116)-ROW($C$16)+1),ROW(A22))),"")</f>
        <v/>
      </c>
      <c r="I37" s="140" t="str" cm="1">
        <f t="array" aca="1" ref="I37" ca="1">IFERROR(INDEX($D$16:$D$116,SMALL(IF($D$16:$D$116&lt;&gt;"",ROW($D$16:$D$116)-ROW($D$16)+1),ROW(A22))),"")</f>
        <v/>
      </c>
      <c r="J37" s="140" t="str" cm="1">
        <f t="array" aca="1" ref="J37" ca="1">IFERROR(INDEX($E$16:$E$116,SMALL(IF($E$16:$E$116&lt;&gt;"",ROW($E$16:$E$116)-ROW($E$16)+1),ROW(A22))),"")</f>
        <v/>
      </c>
      <c r="K37" s="140" t="str" cm="1">
        <f t="array" aca="1" ref="K37" ca="1">IFERROR(INDEX($F$16:$F$116,SMALL(IF($F$16:$F$116&lt;&gt;"",ROW($F$16:$F$116)-ROW($F$16)+1),ROW(A22))),"")</f>
        <v/>
      </c>
      <c r="L37" s="140" t="str">
        <f t="shared" ca="1" si="0"/>
        <v/>
      </c>
      <c r="M37" s="140" t="str" cm="1">
        <f t="array" aca="1" ref="M37" ca="1">IFERROR(INDEX($G$16:$G$116,SMALL(IF($G$16:$G$116&lt;&gt;"",ROW($G$16:$G$116)-ROW($G$16)+1),ROW(A22))),"")</f>
        <v/>
      </c>
      <c r="N37" s="145" t="str">
        <f t="shared" ca="1" si="1"/>
        <v/>
      </c>
      <c r="O37" s="146" t="str">
        <f t="shared" ca="1" si="2"/>
        <v/>
      </c>
      <c r="P37" s="146" t="str" cm="1">
        <f t="array" aca="1" ref="P37" ca="1">IF($J37&lt;&gt;"",IF(INDIRECT($H37&amp;"!"&amp;$O37)&lt;&gt;"",INDIRECT($H37&amp;"!"&amp;$O37),""),"")</f>
        <v/>
      </c>
      <c r="Q37" s="146" t="str">
        <f t="shared" ca="1" si="3"/>
        <v/>
      </c>
      <c r="R37" s="146" t="str" cm="1">
        <f t="array" aca="1" ref="R37" ca="1">IF($J37&lt;&gt;"",IF(INDIRECT($H37&amp;"!"&amp;$Q37)&lt;&gt;"",INDIRECT($H37&amp;"!"&amp;$Q37),""),"")</f>
        <v/>
      </c>
      <c r="S37" s="146" t="str">
        <f t="shared" ca="1" si="4"/>
        <v/>
      </c>
      <c r="T37" s="146" t="str" cm="1">
        <f t="array" aca="1" ref="T37" ca="1">IF($J37&lt;&gt;"",IF(INDIRECT($H37&amp;"!"&amp;$S37)&lt;&gt;"",INDIRECT($H37&amp;"!"&amp;$S37),""),"")</f>
        <v/>
      </c>
      <c r="U37" s="146" t="str">
        <f t="shared" ca="1" si="5"/>
        <v/>
      </c>
      <c r="V37" s="147" t="str" cm="1">
        <f t="array" aca="1" ref="V37" ca="1">IF($J37&lt;&gt;"",IF(INDIRECT($H37&amp;"!"&amp;$U37)&lt;&gt;"",INDIRECT($H37&amp;"!"&amp;$U37),""),"")</f>
        <v/>
      </c>
      <c r="W37" s="294" t="str">
        <f t="shared" ca="1" si="7"/>
        <v/>
      </c>
      <c r="X37" s="295" t="str">
        <f t="shared" ca="1" si="8"/>
        <v/>
      </c>
      <c r="Y37" s="296" t="str" cm="1">
        <f t="array" aca="1" ref="Y37" ca="1">IF($H37&lt;&gt;"",IF(INDIRECT($H37&amp;"!"&amp;$W37&amp;($X37+Y$15+1))&lt;&gt;"",INDIRECT($H37&amp;"!"&amp;$W37&amp;($X37+Y$15+1)),""),"")</f>
        <v/>
      </c>
      <c r="Z37" s="296" t="str" cm="1">
        <f t="array" aca="1" ref="Z37" ca="1">IF($H37&lt;&gt;"",IF(INDIRECT($H37&amp;"!"&amp;$W37&amp;($X37+Z$15+1))&lt;&gt;"",INDIRECT($H37&amp;"!"&amp;$W37&amp;($X37+Z$15+1)),""),"")</f>
        <v/>
      </c>
      <c r="AA37" s="296" t="str" cm="1">
        <f t="array" aca="1" ref="AA37" ca="1">IF($H37&lt;&gt;"",IF(INDIRECT($H37&amp;"!"&amp;$W37&amp;($X37+AA$15+1))&lt;&gt;"",INDIRECT($H37&amp;"!"&amp;$W37&amp;($X37+AA$15+1)),""),"")</f>
        <v/>
      </c>
      <c r="AB37" s="296" t="str" cm="1">
        <f t="array" aca="1" ref="AB37" ca="1">IF($H37&lt;&gt;"",IF(INDIRECT($H37&amp;"!"&amp;$W37&amp;($X37+AB$15+1))&lt;&gt;"",INDIRECT($H37&amp;"!"&amp;$W37&amp;($X37+AB$15+1)),""),"")</f>
        <v/>
      </c>
      <c r="AC37" s="296" t="str" cm="1">
        <f t="array" aca="1" ref="AC37" ca="1">IF(LEFT($J37,5)="Sonde","",IF($H37&lt;&gt;"",IF(INDIRECT($H37&amp;"!"&amp;$W37&amp;($X37+AC$15+1))&lt;&gt;"",INDIRECT($H37&amp;"!"&amp;$W37&amp;($X37+AC$15+1)),""),""))</f>
        <v/>
      </c>
      <c r="AD37" s="296" t="str" cm="1">
        <f t="array" aca="1" ref="AD37" ca="1">IF(OR($J37="Pluviomètre",LEFT($J37,5)="Sonde"),"",IF($H37&lt;&gt;"",IF(INDIRECT($H37&amp;"!"&amp;$W37&amp;($X37+AD$15+1))&lt;&gt;"",INDIRECT($H37&amp;"!"&amp;$W37&amp;($X37+AD$15+1)),""),""))</f>
        <v/>
      </c>
      <c r="AE37" s="296" t="str" cm="1">
        <f t="array" aca="1" ref="AE37" ca="1">IF(OR($J37="Pluviomètre",LEFT($J37,5)="Sonde"),"",IF($H37&lt;&gt;"",IF(INDIRECT($H37&amp;"!"&amp;$W37&amp;($X37+AE$15+1))&lt;&gt;"",INDIRECT($H37&amp;"!"&amp;$W37&amp;($X37+AE$15+1)),""),""))</f>
        <v/>
      </c>
      <c r="AF37" s="296" t="str" cm="1">
        <f t="array" aca="1" ref="AF37" ca="1">IF(OR($J37="Pluviomètre",LEFT($J37,5)="Sonde"),"",IF($H37&lt;&gt;"",IF(INDIRECT($H37&amp;"!"&amp;$W37&amp;($X37+AF$15+1))&lt;&gt;"",INDIRECT($H37&amp;"!"&amp;$W37&amp;($X37+AF$15+1)),""),""))</f>
        <v/>
      </c>
      <c r="AG37" s="296" t="str" cm="1">
        <f t="array" aca="1" ref="AG37" ca="1">IF(OR($J37="Pluviomètre",LEFT($J37,5)="Sonde"),"",IF($H37&lt;&gt;"",IF(INDIRECT($H37&amp;"!"&amp;$W37&amp;($X37+AG$15+1))&lt;&gt;"",INDIRECT($H37&amp;"!"&amp;$W37&amp;($X37+AG$15+1)),""),""))</f>
        <v/>
      </c>
      <c r="AH37" s="296" t="str" cm="1">
        <f t="array" aca="1" ref="AH37" ca="1">IF(OR($J37="Pluviomètre",LEFT($J37,5)="Sonde"),"",IF($H37&lt;&gt;"",IF(INDIRECT($H37&amp;"!"&amp;$W37&amp;($X37+AH$15+1))&lt;&gt;"",INDIRECT($H37&amp;"!"&amp;$W37&amp;($X37+AH$15+1)),""),""))</f>
        <v/>
      </c>
      <c r="AI37" s="294" t="str">
        <f t="shared" ca="1" si="9"/>
        <v/>
      </c>
      <c r="AJ37" s="295" t="str">
        <f t="shared" ca="1" si="10"/>
        <v/>
      </c>
      <c r="AK37" s="296" t="str" cm="1">
        <f t="array" aca="1" ref="AK37" ca="1">IF($H37&lt;&gt;"",IF(INDIRECT($H37&amp;"!"&amp;$AI37&amp;($AJ37+AK$15+1))&lt;&gt;"",INDIRECT($H37&amp;"!"&amp;$AI37&amp;($AJ37+AK$15+1)),""),"")</f>
        <v/>
      </c>
      <c r="AL37" s="296" t="str" cm="1">
        <f t="array" aca="1" ref="AL37" ca="1">IF($H37&lt;&gt;"",IF(INDIRECT($H37&amp;"!"&amp;$AI37&amp;($AJ37+AL$15+1))&lt;&gt;"",INDIRECT($H37&amp;"!"&amp;$AI37&amp;($AJ37+AL$15+1)),""),"")</f>
        <v/>
      </c>
      <c r="AM37" s="296" t="str" cm="1">
        <f t="array" aca="1" ref="AM37" ca="1">IF($H37&lt;&gt;"",IF(INDIRECT($H37&amp;"!"&amp;$AI37&amp;($AJ37+AM$15+1))&lt;&gt;"",INDIRECT($H37&amp;"!"&amp;$AI37&amp;($AJ37+AM$15+1)),""),"")</f>
        <v/>
      </c>
      <c r="AN37" s="296" t="str" cm="1">
        <f t="array" aca="1" ref="AN37" ca="1">IF($H37&lt;&gt;"",IF(INDIRECT($H37&amp;"!"&amp;$AI37&amp;($AJ37+AN$15+1))&lt;&gt;"",INDIRECT($H37&amp;"!"&amp;$AI37&amp;($AJ37+AN$15+1)),""),"")</f>
        <v/>
      </c>
      <c r="AO37" s="296" t="str" cm="1">
        <f t="array" aca="1" ref="AO37" ca="1">IF(LEFT($J37,5)="Sonde","",IF($H37&lt;&gt;"",IF(INDIRECT($H37&amp;"!"&amp;$AI37&amp;($AJ37+AO$15+1))&lt;&gt;"",INDIRECT($H37&amp;"!"&amp;$AI37&amp;($AJ37+AO$15+1)),""),""))</f>
        <v/>
      </c>
      <c r="AP37" s="296" t="str" cm="1">
        <f t="array" aca="1" ref="AP37" ca="1">IF(OR($J37="Pluviomètre",LEFT($J37,5)="Sonde"),"",IF($H37&lt;&gt;"",IF(INDIRECT($H37&amp;"!"&amp;$AI37&amp;($AJ37+AP$15+1))&lt;&gt;"",INDIRECT($H37&amp;"!"&amp;$AI37&amp;($AJ37+AP$15+1)),""),""))</f>
        <v/>
      </c>
      <c r="AQ37" s="296" t="str" cm="1">
        <f t="array" aca="1" ref="AQ37" ca="1">IF(OR($J37="Pluviomètre",LEFT($J37,5)="Sonde"),"",IF($H37&lt;&gt;"",IF(INDIRECT($H37&amp;"!"&amp;$AI37&amp;($AJ37+AQ$15+1))&lt;&gt;"",INDIRECT($H37&amp;"!"&amp;$AI37&amp;($AJ37+AQ$15+1)),""),""))</f>
        <v/>
      </c>
      <c r="AR37" s="296" t="str" cm="1">
        <f t="array" aca="1" ref="AR37" ca="1">IF(OR($J37="Pluviomètre",LEFT($J37,5)="Sonde"),"",IF($H37&lt;&gt;"",IF(INDIRECT($H37&amp;"!"&amp;$AI37&amp;($AJ37+AR$15+1))&lt;&gt;"",INDIRECT($H37&amp;"!"&amp;$AI37&amp;($AJ37+AR$15+1)),""),""))</f>
        <v/>
      </c>
      <c r="AS37" s="296" t="str" cm="1">
        <f t="array" aca="1" ref="AS37" ca="1">IF(OR($J37="Pluviomètre",LEFT($J37,5)="Sonde"),"",IF($H37&lt;&gt;"",IF(INDIRECT($H37&amp;"!"&amp;$AI37&amp;($AJ37+AS$15+1))&lt;&gt;"",INDIRECT($H37&amp;"!"&amp;$AI37&amp;($AJ37+AS$15+1)),""),""))</f>
        <v/>
      </c>
      <c r="AT37" s="296" t="str" cm="1">
        <f t="array" aca="1" ref="AT37" ca="1">IF(OR($J37="Pluviomètre",LEFT($J37,5)="Sonde"),"",IF($H37&lt;&gt;"",IF(INDIRECT($H37&amp;"!"&amp;$AI37&amp;($AJ37+AT$15+1))&lt;&gt;"",INDIRECT($H37&amp;"!"&amp;$AI37&amp;($AJ37+AT$15+1)),""),""))</f>
        <v/>
      </c>
    </row>
    <row r="38" spans="1:46" x14ac:dyDescent="0.4">
      <c r="A38" s="80">
        <v>23</v>
      </c>
      <c r="B38" s="134" t="b">
        <f t="shared" si="6"/>
        <v>0</v>
      </c>
      <c r="C38" s="139" t="str" cm="1">
        <f t="array" aca="1" ref="C38" ca="1">IF(
    AND(
        $B38,
        OR(
            INDIRECT("Descriptif!$M"&amp;($B$1+$A38-1))="Préleveur",
            LEFT(INDIRECT("Descriptif!$M"&amp;($B$1+$A38-1)),5)="Sonde",
            LEFT(INDIRECT("Descriptif!$M"&amp;($B$1+$A38-1)),10)="Débitmètre",
            LEFT(INDIRECT("Descriptif!$F"&amp;($B$1+$A38-1)),6)="PLUVIO"
        )
    ),
    INDIRECT("Descriptif!$"&amp;C$15&amp;($B$1 +$A38 -1)),
    ""
)</f>
        <v/>
      </c>
      <c r="D38" s="277" t="str" cm="1">
        <f t="array" aca="1" ref="D38" ca="1">IF(
    AND(
        $B38,
        OR(
            INDIRECT("Descriptif!$M"&amp;($B$1+$A38-1))="Préleveur",
            LEFT(INDIRECT("Descriptif!$M"&amp;($B$1+$A38-1)),5)="Sonde",
            LEFT(INDIRECT("Descriptif!$M"&amp;($B$1+$A38-1)),10)="Débitmètre",
            LEFT(INDIRECT("Descriptif!$F"&amp;($B$1+$A38-1)),6)="PLUVIO"
        )
    ),
    IF(
        LEFT(INDIRECT("Descriptif!$F"&amp;($B$1+$A38-1)),11)="PLUVIO_STEU",
        "A3",
        IF(
            LEFT(INDIRECT("Descriptif!$F"&amp;($B$1+$A38-1)),10)="PLUVIO_SCL",
            "A1",
            INDIRECT("Descriptif!$"&amp;D$15&amp;($B$1 +$A38 -1))
        )
    ),
    ""
)</f>
        <v/>
      </c>
      <c r="E38" s="277" t="str" cm="1">
        <f t="array" aca="1" ref="E38" ca="1">IF(
    AND(
        $B38,
        OR(
            INDIRECT("Descriptif!$M"&amp;($B$1+$A38-1))="Préleveur",
            LEFT(INDIRECT("Descriptif!$M"&amp;($B$1+$A38-1)),5)="Sonde",
            LEFT(INDIRECT("Descriptif!$M"&amp;($B$1+$A38-1)),10)="Débitmètre",
            LEFT(INDIRECT("Descriptif!$F"&amp;($B$1+$A38-1)),6)="PLUVIO"
        )
    ),
    IF(LEFT(INDIRECT("Descriptif!$F"&amp;($B$1+$A38-1)),6)="PLUVIO","Pluviomètre",INDIRECT("Descriptif!$"&amp;E$15&amp;($B$1 +$A38 -1))),
    ""
)</f>
        <v/>
      </c>
      <c r="F38" s="19" t="str" cm="1">
        <f t="array" aca="1" ref="F38" ca="1">IF(
    AND(
        $B38,
        OR(
            INDIRECT("Descriptif!$M"&amp;($B$1+$A38-1))="Préleveur",
            LEFT(INDIRECT("Descriptif!$M"&amp;($B$1+$A38-1)),5)="Sonde",
            LEFT(INDIRECT("Descriptif!$M"&amp;($B$1+$A38-1)),10)="Débitmètre",
            LEFT(INDIRECT("Descriptif!$F"&amp;($B$1+$A38-1)),6)="PLUVIO"
        )
    ),
    IF(LEFT(INDIRECT("Descriptif!$F"&amp;($B$1+$A38-1)),6)="PLUVIO","Pluviomètre",INDIRECT("Descriptif!$"&amp;F$15&amp;($B$1 +$A38 -1))),
    ""
)</f>
        <v/>
      </c>
      <c r="G38" s="19" t="str" cm="1">
        <f t="array" aca="1" ref="G38" ca="1">IF(
    AND(
        $B38,
        OR(
            INDIRECT("Descriptif!$M"&amp;($B$1+$A38-1))="Préleveur",
            LEFT(INDIRECT("Descriptif!$M"&amp;($B$1+$A38-1)),5)="Sonde",
            LEFT(INDIRECT("Descriptif!$M"&amp;($B$1+$A38-1)),10)="Débitmètre",
            LEFT(INDIRECT("Descriptif!$F"&amp;($B$1+$A38-1)),6)="PLUVIO"
        )
    ),
    IF(LEFT(INDIRECT("Descriptif!$F"&amp;($B$1+$A38-1)),6)="PLUVIO","Pluviomètre",INDIRECT("Descriptif!$"&amp;G$15&amp;($B$1 +$A38 -1))),
    ""
)</f>
        <v/>
      </c>
      <c r="H38" s="141" t="str" cm="1">
        <f t="array" aca="1" ref="H38" ca="1">IFERROR(INDEX($C$16:$C$116,SMALL(IF($C$16:$C$116&lt;&gt;"",ROW($C$16:$C$116)-ROW($C$16)+1),ROW(A23))),"")</f>
        <v/>
      </c>
      <c r="I38" s="140" t="str" cm="1">
        <f t="array" aca="1" ref="I38" ca="1">IFERROR(INDEX($D$16:$D$116,SMALL(IF($D$16:$D$116&lt;&gt;"",ROW($D$16:$D$116)-ROW($D$16)+1),ROW(A23))),"")</f>
        <v/>
      </c>
      <c r="J38" s="140" t="str" cm="1">
        <f t="array" aca="1" ref="J38" ca="1">IFERROR(INDEX($E$16:$E$116,SMALL(IF($E$16:$E$116&lt;&gt;"",ROW($E$16:$E$116)-ROW($E$16)+1),ROW(A23))),"")</f>
        <v/>
      </c>
      <c r="K38" s="140" t="str" cm="1">
        <f t="array" aca="1" ref="K38" ca="1">IFERROR(INDEX($F$16:$F$116,SMALL(IF($F$16:$F$116&lt;&gt;"",ROW($F$16:$F$116)-ROW($F$16)+1),ROW(A23))),"")</f>
        <v/>
      </c>
      <c r="L38" s="140" t="str">
        <f t="shared" ca="1" si="0"/>
        <v/>
      </c>
      <c r="M38" s="140" t="str" cm="1">
        <f t="array" aca="1" ref="M38" ca="1">IFERROR(INDEX($G$16:$G$116,SMALL(IF($G$16:$G$116&lt;&gt;"",ROW($G$16:$G$116)-ROW($G$16)+1),ROW(A23))),"")</f>
        <v/>
      </c>
      <c r="N38" s="145" t="str">
        <f t="shared" ca="1" si="1"/>
        <v/>
      </c>
      <c r="O38" s="146" t="str">
        <f t="shared" ca="1" si="2"/>
        <v/>
      </c>
      <c r="P38" s="146" t="str" cm="1">
        <f t="array" aca="1" ref="P38" ca="1">IF($J38&lt;&gt;"",IF(INDIRECT($H38&amp;"!"&amp;$O38)&lt;&gt;"",INDIRECT($H38&amp;"!"&amp;$O38),""),"")</f>
        <v/>
      </c>
      <c r="Q38" s="146" t="str">
        <f t="shared" ca="1" si="3"/>
        <v/>
      </c>
      <c r="R38" s="146" t="str" cm="1">
        <f t="array" aca="1" ref="R38" ca="1">IF($J38&lt;&gt;"",IF(INDIRECT($H38&amp;"!"&amp;$Q38)&lt;&gt;"",INDIRECT($H38&amp;"!"&amp;$Q38),""),"")</f>
        <v/>
      </c>
      <c r="S38" s="146" t="str">
        <f t="shared" ca="1" si="4"/>
        <v/>
      </c>
      <c r="T38" s="146" t="str" cm="1">
        <f t="array" aca="1" ref="T38" ca="1">IF($J38&lt;&gt;"",IF(INDIRECT($H38&amp;"!"&amp;$S38)&lt;&gt;"",INDIRECT($H38&amp;"!"&amp;$S38),""),"")</f>
        <v/>
      </c>
      <c r="U38" s="146" t="str">
        <f t="shared" ca="1" si="5"/>
        <v/>
      </c>
      <c r="V38" s="147" t="str" cm="1">
        <f t="array" aca="1" ref="V38" ca="1">IF($J38&lt;&gt;"",IF(INDIRECT($H38&amp;"!"&amp;$U38)&lt;&gt;"",INDIRECT($H38&amp;"!"&amp;$U38),""),"")</f>
        <v/>
      </c>
      <c r="W38" s="294" t="str">
        <f t="shared" ca="1" si="7"/>
        <v/>
      </c>
      <c r="X38" s="295" t="str">
        <f t="shared" ca="1" si="8"/>
        <v/>
      </c>
      <c r="Y38" s="296" t="str" cm="1">
        <f t="array" aca="1" ref="Y38" ca="1">IF($H38&lt;&gt;"",IF(INDIRECT($H38&amp;"!"&amp;$W38&amp;($X38+Y$15+1))&lt;&gt;"",INDIRECT($H38&amp;"!"&amp;$W38&amp;($X38+Y$15+1)),""),"")</f>
        <v/>
      </c>
      <c r="Z38" s="296" t="str" cm="1">
        <f t="array" aca="1" ref="Z38" ca="1">IF($H38&lt;&gt;"",IF(INDIRECT($H38&amp;"!"&amp;$W38&amp;($X38+Z$15+1))&lt;&gt;"",INDIRECT($H38&amp;"!"&amp;$W38&amp;($X38+Z$15+1)),""),"")</f>
        <v/>
      </c>
      <c r="AA38" s="296" t="str" cm="1">
        <f t="array" aca="1" ref="AA38" ca="1">IF($H38&lt;&gt;"",IF(INDIRECT($H38&amp;"!"&amp;$W38&amp;($X38+AA$15+1))&lt;&gt;"",INDIRECT($H38&amp;"!"&amp;$W38&amp;($X38+AA$15+1)),""),"")</f>
        <v/>
      </c>
      <c r="AB38" s="296" t="str" cm="1">
        <f t="array" aca="1" ref="AB38" ca="1">IF($H38&lt;&gt;"",IF(INDIRECT($H38&amp;"!"&amp;$W38&amp;($X38+AB$15+1))&lt;&gt;"",INDIRECT($H38&amp;"!"&amp;$W38&amp;($X38+AB$15+1)),""),"")</f>
        <v/>
      </c>
      <c r="AC38" s="296" t="str" cm="1">
        <f t="array" aca="1" ref="AC38" ca="1">IF(LEFT($J38,5)="Sonde","",IF($H38&lt;&gt;"",IF(INDIRECT($H38&amp;"!"&amp;$W38&amp;($X38+AC$15+1))&lt;&gt;"",INDIRECT($H38&amp;"!"&amp;$W38&amp;($X38+AC$15+1)),""),""))</f>
        <v/>
      </c>
      <c r="AD38" s="296" t="str" cm="1">
        <f t="array" aca="1" ref="AD38" ca="1">IF(OR($J38="Pluviomètre",LEFT($J38,5)="Sonde"),"",IF($H38&lt;&gt;"",IF(INDIRECT($H38&amp;"!"&amp;$W38&amp;($X38+AD$15+1))&lt;&gt;"",INDIRECT($H38&amp;"!"&amp;$W38&amp;($X38+AD$15+1)),""),""))</f>
        <v/>
      </c>
      <c r="AE38" s="296" t="str" cm="1">
        <f t="array" aca="1" ref="AE38" ca="1">IF(OR($J38="Pluviomètre",LEFT($J38,5)="Sonde"),"",IF($H38&lt;&gt;"",IF(INDIRECT($H38&amp;"!"&amp;$W38&amp;($X38+AE$15+1))&lt;&gt;"",INDIRECT($H38&amp;"!"&amp;$W38&amp;($X38+AE$15+1)),""),""))</f>
        <v/>
      </c>
      <c r="AF38" s="296" t="str" cm="1">
        <f t="array" aca="1" ref="AF38" ca="1">IF(OR($J38="Pluviomètre",LEFT($J38,5)="Sonde"),"",IF($H38&lt;&gt;"",IF(INDIRECT($H38&amp;"!"&amp;$W38&amp;($X38+AF$15+1))&lt;&gt;"",INDIRECT($H38&amp;"!"&amp;$W38&amp;($X38+AF$15+1)),""),""))</f>
        <v/>
      </c>
      <c r="AG38" s="296" t="str" cm="1">
        <f t="array" aca="1" ref="AG38" ca="1">IF(OR($J38="Pluviomètre",LEFT($J38,5)="Sonde"),"",IF($H38&lt;&gt;"",IF(INDIRECT($H38&amp;"!"&amp;$W38&amp;($X38+AG$15+1))&lt;&gt;"",INDIRECT($H38&amp;"!"&amp;$W38&amp;($X38+AG$15+1)),""),""))</f>
        <v/>
      </c>
      <c r="AH38" s="296" t="str" cm="1">
        <f t="array" aca="1" ref="AH38" ca="1">IF(OR($J38="Pluviomètre",LEFT($J38,5)="Sonde"),"",IF($H38&lt;&gt;"",IF(INDIRECT($H38&amp;"!"&amp;$W38&amp;($X38+AH$15+1))&lt;&gt;"",INDIRECT($H38&amp;"!"&amp;$W38&amp;($X38+AH$15+1)),""),""))</f>
        <v/>
      </c>
      <c r="AI38" s="294" t="str">
        <f t="shared" ca="1" si="9"/>
        <v/>
      </c>
      <c r="AJ38" s="295" t="str">
        <f t="shared" ca="1" si="10"/>
        <v/>
      </c>
      <c r="AK38" s="296" t="str" cm="1">
        <f t="array" aca="1" ref="AK38" ca="1">IF($H38&lt;&gt;"",IF(INDIRECT($H38&amp;"!"&amp;$AI38&amp;($AJ38+AK$15+1))&lt;&gt;"",INDIRECT($H38&amp;"!"&amp;$AI38&amp;($AJ38+AK$15+1)),""),"")</f>
        <v/>
      </c>
      <c r="AL38" s="296" t="str" cm="1">
        <f t="array" aca="1" ref="AL38" ca="1">IF($H38&lt;&gt;"",IF(INDIRECT($H38&amp;"!"&amp;$AI38&amp;($AJ38+AL$15+1))&lt;&gt;"",INDIRECT($H38&amp;"!"&amp;$AI38&amp;($AJ38+AL$15+1)),""),"")</f>
        <v/>
      </c>
      <c r="AM38" s="296" t="str" cm="1">
        <f t="array" aca="1" ref="AM38" ca="1">IF($H38&lt;&gt;"",IF(INDIRECT($H38&amp;"!"&amp;$AI38&amp;($AJ38+AM$15+1))&lt;&gt;"",INDIRECT($H38&amp;"!"&amp;$AI38&amp;($AJ38+AM$15+1)),""),"")</f>
        <v/>
      </c>
      <c r="AN38" s="296" t="str" cm="1">
        <f t="array" aca="1" ref="AN38" ca="1">IF($H38&lt;&gt;"",IF(INDIRECT($H38&amp;"!"&amp;$AI38&amp;($AJ38+AN$15+1))&lt;&gt;"",INDIRECT($H38&amp;"!"&amp;$AI38&amp;($AJ38+AN$15+1)),""),"")</f>
        <v/>
      </c>
      <c r="AO38" s="296" t="str" cm="1">
        <f t="array" aca="1" ref="AO38" ca="1">IF(LEFT($J38,5)="Sonde","",IF($H38&lt;&gt;"",IF(INDIRECT($H38&amp;"!"&amp;$AI38&amp;($AJ38+AO$15+1))&lt;&gt;"",INDIRECT($H38&amp;"!"&amp;$AI38&amp;($AJ38+AO$15+1)),""),""))</f>
        <v/>
      </c>
      <c r="AP38" s="296" t="str" cm="1">
        <f t="array" aca="1" ref="AP38" ca="1">IF(OR($J38="Pluviomètre",LEFT($J38,5)="Sonde"),"",IF($H38&lt;&gt;"",IF(INDIRECT($H38&amp;"!"&amp;$AI38&amp;($AJ38+AP$15+1))&lt;&gt;"",INDIRECT($H38&amp;"!"&amp;$AI38&amp;($AJ38+AP$15+1)),""),""))</f>
        <v/>
      </c>
      <c r="AQ38" s="296" t="str" cm="1">
        <f t="array" aca="1" ref="AQ38" ca="1">IF(OR($J38="Pluviomètre",LEFT($J38,5)="Sonde"),"",IF($H38&lt;&gt;"",IF(INDIRECT($H38&amp;"!"&amp;$AI38&amp;($AJ38+AQ$15+1))&lt;&gt;"",INDIRECT($H38&amp;"!"&amp;$AI38&amp;($AJ38+AQ$15+1)),""),""))</f>
        <v/>
      </c>
      <c r="AR38" s="296" t="str" cm="1">
        <f t="array" aca="1" ref="AR38" ca="1">IF(OR($J38="Pluviomètre",LEFT($J38,5)="Sonde"),"",IF($H38&lt;&gt;"",IF(INDIRECT($H38&amp;"!"&amp;$AI38&amp;($AJ38+AR$15+1))&lt;&gt;"",INDIRECT($H38&amp;"!"&amp;$AI38&amp;($AJ38+AR$15+1)),""),""))</f>
        <v/>
      </c>
      <c r="AS38" s="296" t="str" cm="1">
        <f t="array" aca="1" ref="AS38" ca="1">IF(OR($J38="Pluviomètre",LEFT($J38,5)="Sonde"),"",IF($H38&lt;&gt;"",IF(INDIRECT($H38&amp;"!"&amp;$AI38&amp;($AJ38+AS$15+1))&lt;&gt;"",INDIRECT($H38&amp;"!"&amp;$AI38&amp;($AJ38+AS$15+1)),""),""))</f>
        <v/>
      </c>
      <c r="AT38" s="296" t="str" cm="1">
        <f t="array" aca="1" ref="AT38" ca="1">IF(OR($J38="Pluviomètre",LEFT($J38,5)="Sonde"),"",IF($H38&lt;&gt;"",IF(INDIRECT($H38&amp;"!"&amp;$AI38&amp;($AJ38+AT$15+1))&lt;&gt;"",INDIRECT($H38&amp;"!"&amp;$AI38&amp;($AJ38+AT$15+1)),""),""))</f>
        <v/>
      </c>
    </row>
    <row r="39" spans="1:46" x14ac:dyDescent="0.4">
      <c r="A39" s="80">
        <v>24</v>
      </c>
      <c r="B39" s="134" t="b">
        <f t="shared" si="6"/>
        <v>0</v>
      </c>
      <c r="C39" s="139" t="str" cm="1">
        <f t="array" aca="1" ref="C39" ca="1">IF(
    AND(
        $B39,
        OR(
            INDIRECT("Descriptif!$M"&amp;($B$1+$A39-1))="Préleveur",
            LEFT(INDIRECT("Descriptif!$M"&amp;($B$1+$A39-1)),5)="Sonde",
            LEFT(INDIRECT("Descriptif!$M"&amp;($B$1+$A39-1)),10)="Débitmètre",
            LEFT(INDIRECT("Descriptif!$F"&amp;($B$1+$A39-1)),6)="PLUVIO"
        )
    ),
    INDIRECT("Descriptif!$"&amp;C$15&amp;($B$1 +$A39 -1)),
    ""
)</f>
        <v/>
      </c>
      <c r="D39" s="277" t="str" cm="1">
        <f t="array" aca="1" ref="D39" ca="1">IF(
    AND(
        $B39,
        OR(
            INDIRECT("Descriptif!$M"&amp;($B$1+$A39-1))="Préleveur",
            LEFT(INDIRECT("Descriptif!$M"&amp;($B$1+$A39-1)),5)="Sonde",
            LEFT(INDIRECT("Descriptif!$M"&amp;($B$1+$A39-1)),10)="Débitmètre",
            LEFT(INDIRECT("Descriptif!$F"&amp;($B$1+$A39-1)),6)="PLUVIO"
        )
    ),
    IF(
        LEFT(INDIRECT("Descriptif!$F"&amp;($B$1+$A39-1)),11)="PLUVIO_STEU",
        "A3",
        IF(
            LEFT(INDIRECT("Descriptif!$F"&amp;($B$1+$A39-1)),10)="PLUVIO_SCL",
            "A1",
            INDIRECT("Descriptif!$"&amp;D$15&amp;($B$1 +$A39 -1))
        )
    ),
    ""
)</f>
        <v/>
      </c>
      <c r="E39" s="277" t="str" cm="1">
        <f t="array" aca="1" ref="E39" ca="1">IF(
    AND(
        $B39,
        OR(
            INDIRECT("Descriptif!$M"&amp;($B$1+$A39-1))="Préleveur",
            LEFT(INDIRECT("Descriptif!$M"&amp;($B$1+$A39-1)),5)="Sonde",
            LEFT(INDIRECT("Descriptif!$M"&amp;($B$1+$A39-1)),10)="Débitmètre",
            LEFT(INDIRECT("Descriptif!$F"&amp;($B$1+$A39-1)),6)="PLUVIO"
        )
    ),
    IF(LEFT(INDIRECT("Descriptif!$F"&amp;($B$1+$A39-1)),6)="PLUVIO","Pluviomètre",INDIRECT("Descriptif!$"&amp;E$15&amp;($B$1 +$A39 -1))),
    ""
)</f>
        <v/>
      </c>
      <c r="F39" s="19" t="str" cm="1">
        <f t="array" aca="1" ref="F39" ca="1">IF(
    AND(
        $B39,
        OR(
            INDIRECT("Descriptif!$M"&amp;($B$1+$A39-1))="Préleveur",
            LEFT(INDIRECT("Descriptif!$M"&amp;($B$1+$A39-1)),5)="Sonde",
            LEFT(INDIRECT("Descriptif!$M"&amp;($B$1+$A39-1)),10)="Débitmètre",
            LEFT(INDIRECT("Descriptif!$F"&amp;($B$1+$A39-1)),6)="PLUVIO"
        )
    ),
    IF(LEFT(INDIRECT("Descriptif!$F"&amp;($B$1+$A39-1)),6)="PLUVIO","Pluviomètre",INDIRECT("Descriptif!$"&amp;F$15&amp;($B$1 +$A39 -1))),
    ""
)</f>
        <v/>
      </c>
      <c r="G39" s="19" t="str" cm="1">
        <f t="array" aca="1" ref="G39" ca="1">IF(
    AND(
        $B39,
        OR(
            INDIRECT("Descriptif!$M"&amp;($B$1+$A39-1))="Préleveur",
            LEFT(INDIRECT("Descriptif!$M"&amp;($B$1+$A39-1)),5)="Sonde",
            LEFT(INDIRECT("Descriptif!$M"&amp;($B$1+$A39-1)),10)="Débitmètre",
            LEFT(INDIRECT("Descriptif!$F"&amp;($B$1+$A39-1)),6)="PLUVIO"
        )
    ),
    IF(LEFT(INDIRECT("Descriptif!$F"&amp;($B$1+$A39-1)),6)="PLUVIO","Pluviomètre",INDIRECT("Descriptif!$"&amp;G$15&amp;($B$1 +$A39 -1))),
    ""
)</f>
        <v/>
      </c>
      <c r="H39" s="141" t="str" cm="1">
        <f t="array" aca="1" ref="H39" ca="1">IFERROR(INDEX($C$16:$C$116,SMALL(IF($C$16:$C$116&lt;&gt;"",ROW($C$16:$C$116)-ROW($C$16)+1),ROW(A24))),"")</f>
        <v/>
      </c>
      <c r="I39" s="140" t="str" cm="1">
        <f t="array" aca="1" ref="I39" ca="1">IFERROR(INDEX($D$16:$D$116,SMALL(IF($D$16:$D$116&lt;&gt;"",ROW($D$16:$D$116)-ROW($D$16)+1),ROW(A24))),"")</f>
        <v/>
      </c>
      <c r="J39" s="140" t="str" cm="1">
        <f t="array" aca="1" ref="J39" ca="1">IFERROR(INDEX($E$16:$E$116,SMALL(IF($E$16:$E$116&lt;&gt;"",ROW($E$16:$E$116)-ROW($E$16)+1),ROW(A24))),"")</f>
        <v/>
      </c>
      <c r="K39" s="140" t="str" cm="1">
        <f t="array" aca="1" ref="K39" ca="1">IFERROR(INDEX($F$16:$F$116,SMALL(IF($F$16:$F$116&lt;&gt;"",ROW($F$16:$F$116)-ROW($F$16)+1),ROW(A24))),"")</f>
        <v/>
      </c>
      <c r="L39" s="140" t="str">
        <f t="shared" ca="1" si="0"/>
        <v/>
      </c>
      <c r="M39" s="140" t="str" cm="1">
        <f t="array" aca="1" ref="M39" ca="1">IFERROR(INDEX($G$16:$G$116,SMALL(IF($G$16:$G$116&lt;&gt;"",ROW($G$16:$G$116)-ROW($G$16)+1),ROW(A24))),"")</f>
        <v/>
      </c>
      <c r="N39" s="145" t="str">
        <f t="shared" ca="1" si="1"/>
        <v/>
      </c>
      <c r="O39" s="146" t="str">
        <f t="shared" ca="1" si="2"/>
        <v/>
      </c>
      <c r="P39" s="146" t="str" cm="1">
        <f t="array" aca="1" ref="P39" ca="1">IF($J39&lt;&gt;"",IF(INDIRECT($H39&amp;"!"&amp;$O39)&lt;&gt;"",INDIRECT($H39&amp;"!"&amp;$O39),""),"")</f>
        <v/>
      </c>
      <c r="Q39" s="146" t="str">
        <f t="shared" ca="1" si="3"/>
        <v/>
      </c>
      <c r="R39" s="146" t="str" cm="1">
        <f t="array" aca="1" ref="R39" ca="1">IF($J39&lt;&gt;"",IF(INDIRECT($H39&amp;"!"&amp;$Q39)&lt;&gt;"",INDIRECT($H39&amp;"!"&amp;$Q39),""),"")</f>
        <v/>
      </c>
      <c r="S39" s="146" t="str">
        <f t="shared" ca="1" si="4"/>
        <v/>
      </c>
      <c r="T39" s="146" t="str" cm="1">
        <f t="array" aca="1" ref="T39" ca="1">IF($J39&lt;&gt;"",IF(INDIRECT($H39&amp;"!"&amp;$S39)&lt;&gt;"",INDIRECT($H39&amp;"!"&amp;$S39),""),"")</f>
        <v/>
      </c>
      <c r="U39" s="146" t="str">
        <f t="shared" ca="1" si="5"/>
        <v/>
      </c>
      <c r="V39" s="147" t="str" cm="1">
        <f t="array" aca="1" ref="V39" ca="1">IF($J39&lt;&gt;"",IF(INDIRECT($H39&amp;"!"&amp;$U39)&lt;&gt;"",INDIRECT($H39&amp;"!"&amp;$U39),""),"")</f>
        <v/>
      </c>
      <c r="W39" s="294" t="str">
        <f t="shared" ca="1" si="7"/>
        <v/>
      </c>
      <c r="X39" s="295" t="str">
        <f t="shared" ca="1" si="8"/>
        <v/>
      </c>
      <c r="Y39" s="296" t="str" cm="1">
        <f t="array" aca="1" ref="Y39" ca="1">IF($H39&lt;&gt;"",IF(INDIRECT($H39&amp;"!"&amp;$W39&amp;($X39+Y$15+1))&lt;&gt;"",INDIRECT($H39&amp;"!"&amp;$W39&amp;($X39+Y$15+1)),""),"")</f>
        <v/>
      </c>
      <c r="Z39" s="296" t="str" cm="1">
        <f t="array" aca="1" ref="Z39" ca="1">IF($H39&lt;&gt;"",IF(INDIRECT($H39&amp;"!"&amp;$W39&amp;($X39+Z$15+1))&lt;&gt;"",INDIRECT($H39&amp;"!"&amp;$W39&amp;($X39+Z$15+1)),""),"")</f>
        <v/>
      </c>
      <c r="AA39" s="296" t="str" cm="1">
        <f t="array" aca="1" ref="AA39" ca="1">IF($H39&lt;&gt;"",IF(INDIRECT($H39&amp;"!"&amp;$W39&amp;($X39+AA$15+1))&lt;&gt;"",INDIRECT($H39&amp;"!"&amp;$W39&amp;($X39+AA$15+1)),""),"")</f>
        <v/>
      </c>
      <c r="AB39" s="296" t="str" cm="1">
        <f t="array" aca="1" ref="AB39" ca="1">IF($H39&lt;&gt;"",IF(INDIRECT($H39&amp;"!"&amp;$W39&amp;($X39+AB$15+1))&lt;&gt;"",INDIRECT($H39&amp;"!"&amp;$W39&amp;($X39+AB$15+1)),""),"")</f>
        <v/>
      </c>
      <c r="AC39" s="296" t="str" cm="1">
        <f t="array" aca="1" ref="AC39" ca="1">IF(LEFT($J39,5)="Sonde","",IF($H39&lt;&gt;"",IF(INDIRECT($H39&amp;"!"&amp;$W39&amp;($X39+AC$15+1))&lt;&gt;"",INDIRECT($H39&amp;"!"&amp;$W39&amp;($X39+AC$15+1)),""),""))</f>
        <v/>
      </c>
      <c r="AD39" s="296" t="str" cm="1">
        <f t="array" aca="1" ref="AD39" ca="1">IF(OR($J39="Pluviomètre",LEFT($J39,5)="Sonde"),"",IF($H39&lt;&gt;"",IF(INDIRECT($H39&amp;"!"&amp;$W39&amp;($X39+AD$15+1))&lt;&gt;"",INDIRECT($H39&amp;"!"&amp;$W39&amp;($X39+AD$15+1)),""),""))</f>
        <v/>
      </c>
      <c r="AE39" s="296" t="str" cm="1">
        <f t="array" aca="1" ref="AE39" ca="1">IF(OR($J39="Pluviomètre",LEFT($J39,5)="Sonde"),"",IF($H39&lt;&gt;"",IF(INDIRECT($H39&amp;"!"&amp;$W39&amp;($X39+AE$15+1))&lt;&gt;"",INDIRECT($H39&amp;"!"&amp;$W39&amp;($X39+AE$15+1)),""),""))</f>
        <v/>
      </c>
      <c r="AF39" s="296" t="str" cm="1">
        <f t="array" aca="1" ref="AF39" ca="1">IF(OR($J39="Pluviomètre",LEFT($J39,5)="Sonde"),"",IF($H39&lt;&gt;"",IF(INDIRECT($H39&amp;"!"&amp;$W39&amp;($X39+AF$15+1))&lt;&gt;"",INDIRECT($H39&amp;"!"&amp;$W39&amp;($X39+AF$15+1)),""),""))</f>
        <v/>
      </c>
      <c r="AG39" s="296" t="str" cm="1">
        <f t="array" aca="1" ref="AG39" ca="1">IF(OR($J39="Pluviomètre",LEFT($J39,5)="Sonde"),"",IF($H39&lt;&gt;"",IF(INDIRECT($H39&amp;"!"&amp;$W39&amp;($X39+AG$15+1))&lt;&gt;"",INDIRECT($H39&amp;"!"&amp;$W39&amp;($X39+AG$15+1)),""),""))</f>
        <v/>
      </c>
      <c r="AH39" s="296" t="str" cm="1">
        <f t="array" aca="1" ref="AH39" ca="1">IF(OR($J39="Pluviomètre",LEFT($J39,5)="Sonde"),"",IF($H39&lt;&gt;"",IF(INDIRECT($H39&amp;"!"&amp;$W39&amp;($X39+AH$15+1))&lt;&gt;"",INDIRECT($H39&amp;"!"&amp;$W39&amp;($X39+AH$15+1)),""),""))</f>
        <v/>
      </c>
      <c r="AI39" s="294" t="str">
        <f t="shared" ca="1" si="9"/>
        <v/>
      </c>
      <c r="AJ39" s="295" t="str">
        <f t="shared" ca="1" si="10"/>
        <v/>
      </c>
      <c r="AK39" s="296" t="str" cm="1">
        <f t="array" aca="1" ref="AK39" ca="1">IF($H39&lt;&gt;"",IF(INDIRECT($H39&amp;"!"&amp;$AI39&amp;($AJ39+AK$15+1))&lt;&gt;"",INDIRECT($H39&amp;"!"&amp;$AI39&amp;($AJ39+AK$15+1)),""),"")</f>
        <v/>
      </c>
      <c r="AL39" s="296" t="str" cm="1">
        <f t="array" aca="1" ref="AL39" ca="1">IF($H39&lt;&gt;"",IF(INDIRECT($H39&amp;"!"&amp;$AI39&amp;($AJ39+AL$15+1))&lt;&gt;"",INDIRECT($H39&amp;"!"&amp;$AI39&amp;($AJ39+AL$15+1)),""),"")</f>
        <v/>
      </c>
      <c r="AM39" s="296" t="str" cm="1">
        <f t="array" aca="1" ref="AM39" ca="1">IF($H39&lt;&gt;"",IF(INDIRECT($H39&amp;"!"&amp;$AI39&amp;($AJ39+AM$15+1))&lt;&gt;"",INDIRECT($H39&amp;"!"&amp;$AI39&amp;($AJ39+AM$15+1)),""),"")</f>
        <v/>
      </c>
      <c r="AN39" s="296" t="str" cm="1">
        <f t="array" aca="1" ref="AN39" ca="1">IF($H39&lt;&gt;"",IF(INDIRECT($H39&amp;"!"&amp;$AI39&amp;($AJ39+AN$15+1))&lt;&gt;"",INDIRECT($H39&amp;"!"&amp;$AI39&amp;($AJ39+AN$15+1)),""),"")</f>
        <v/>
      </c>
      <c r="AO39" s="296" t="str" cm="1">
        <f t="array" aca="1" ref="AO39" ca="1">IF(LEFT($J39,5)="Sonde","",IF($H39&lt;&gt;"",IF(INDIRECT($H39&amp;"!"&amp;$AI39&amp;($AJ39+AO$15+1))&lt;&gt;"",INDIRECT($H39&amp;"!"&amp;$AI39&amp;($AJ39+AO$15+1)),""),""))</f>
        <v/>
      </c>
      <c r="AP39" s="296" t="str" cm="1">
        <f t="array" aca="1" ref="AP39" ca="1">IF(OR($J39="Pluviomètre",LEFT($J39,5)="Sonde"),"",IF($H39&lt;&gt;"",IF(INDIRECT($H39&amp;"!"&amp;$AI39&amp;($AJ39+AP$15+1))&lt;&gt;"",INDIRECT($H39&amp;"!"&amp;$AI39&amp;($AJ39+AP$15+1)),""),""))</f>
        <v/>
      </c>
      <c r="AQ39" s="296" t="str" cm="1">
        <f t="array" aca="1" ref="AQ39" ca="1">IF(OR($J39="Pluviomètre",LEFT($J39,5)="Sonde"),"",IF($H39&lt;&gt;"",IF(INDIRECT($H39&amp;"!"&amp;$AI39&amp;($AJ39+AQ$15+1))&lt;&gt;"",INDIRECT($H39&amp;"!"&amp;$AI39&amp;($AJ39+AQ$15+1)),""),""))</f>
        <v/>
      </c>
      <c r="AR39" s="296" t="str" cm="1">
        <f t="array" aca="1" ref="AR39" ca="1">IF(OR($J39="Pluviomètre",LEFT($J39,5)="Sonde"),"",IF($H39&lt;&gt;"",IF(INDIRECT($H39&amp;"!"&amp;$AI39&amp;($AJ39+AR$15+1))&lt;&gt;"",INDIRECT($H39&amp;"!"&amp;$AI39&amp;($AJ39+AR$15+1)),""),""))</f>
        <v/>
      </c>
      <c r="AS39" s="296" t="str" cm="1">
        <f t="array" aca="1" ref="AS39" ca="1">IF(OR($J39="Pluviomètre",LEFT($J39,5)="Sonde"),"",IF($H39&lt;&gt;"",IF(INDIRECT($H39&amp;"!"&amp;$AI39&amp;($AJ39+AS$15+1))&lt;&gt;"",INDIRECT($H39&amp;"!"&amp;$AI39&amp;($AJ39+AS$15+1)),""),""))</f>
        <v/>
      </c>
      <c r="AT39" s="296" t="str" cm="1">
        <f t="array" aca="1" ref="AT39" ca="1">IF(OR($J39="Pluviomètre",LEFT($J39,5)="Sonde"),"",IF($H39&lt;&gt;"",IF(INDIRECT($H39&amp;"!"&amp;$AI39&amp;($AJ39+AT$15+1))&lt;&gt;"",INDIRECT($H39&amp;"!"&amp;$AI39&amp;($AJ39+AT$15+1)),""),""))</f>
        <v/>
      </c>
    </row>
    <row r="40" spans="1:46" x14ac:dyDescent="0.4">
      <c r="A40" s="80">
        <v>25</v>
      </c>
      <c r="B40" s="134" t="b">
        <f t="shared" si="6"/>
        <v>0</v>
      </c>
      <c r="C40" s="139" t="str" cm="1">
        <f t="array" aca="1" ref="C40" ca="1">IF(
    AND(
        $B40,
        OR(
            INDIRECT("Descriptif!$M"&amp;($B$1+$A40-1))="Préleveur",
            LEFT(INDIRECT("Descriptif!$M"&amp;($B$1+$A40-1)),5)="Sonde",
            LEFT(INDIRECT("Descriptif!$M"&amp;($B$1+$A40-1)),10)="Débitmètre",
            LEFT(INDIRECT("Descriptif!$F"&amp;($B$1+$A40-1)),6)="PLUVIO"
        )
    ),
    INDIRECT("Descriptif!$"&amp;C$15&amp;($B$1 +$A40 -1)),
    ""
)</f>
        <v/>
      </c>
      <c r="D40" s="277" t="str" cm="1">
        <f t="array" aca="1" ref="D40" ca="1">IF(
    AND(
        $B40,
        OR(
            INDIRECT("Descriptif!$M"&amp;($B$1+$A40-1))="Préleveur",
            LEFT(INDIRECT("Descriptif!$M"&amp;($B$1+$A40-1)),5)="Sonde",
            LEFT(INDIRECT("Descriptif!$M"&amp;($B$1+$A40-1)),10)="Débitmètre",
            LEFT(INDIRECT("Descriptif!$F"&amp;($B$1+$A40-1)),6)="PLUVIO"
        )
    ),
    IF(
        LEFT(INDIRECT("Descriptif!$F"&amp;($B$1+$A40-1)),11)="PLUVIO_STEU",
        "A3",
        IF(
            LEFT(INDIRECT("Descriptif!$F"&amp;($B$1+$A40-1)),10)="PLUVIO_SCL",
            "A1",
            INDIRECT("Descriptif!$"&amp;D$15&amp;($B$1 +$A40 -1))
        )
    ),
    ""
)</f>
        <v/>
      </c>
      <c r="E40" s="277" t="str" cm="1">
        <f t="array" aca="1" ref="E40" ca="1">IF(
    AND(
        $B40,
        OR(
            INDIRECT("Descriptif!$M"&amp;($B$1+$A40-1))="Préleveur",
            LEFT(INDIRECT("Descriptif!$M"&amp;($B$1+$A40-1)),5)="Sonde",
            LEFT(INDIRECT("Descriptif!$M"&amp;($B$1+$A40-1)),10)="Débitmètre",
            LEFT(INDIRECT("Descriptif!$F"&amp;($B$1+$A40-1)),6)="PLUVIO"
        )
    ),
    IF(LEFT(INDIRECT("Descriptif!$F"&amp;($B$1+$A40-1)),6)="PLUVIO","Pluviomètre",INDIRECT("Descriptif!$"&amp;E$15&amp;($B$1 +$A40 -1))),
    ""
)</f>
        <v/>
      </c>
      <c r="F40" s="19" t="str" cm="1">
        <f t="array" aca="1" ref="F40" ca="1">IF(
    AND(
        $B40,
        OR(
            INDIRECT("Descriptif!$M"&amp;($B$1+$A40-1))="Préleveur",
            LEFT(INDIRECT("Descriptif!$M"&amp;($B$1+$A40-1)),5)="Sonde",
            LEFT(INDIRECT("Descriptif!$M"&amp;($B$1+$A40-1)),10)="Débitmètre",
            LEFT(INDIRECT("Descriptif!$F"&amp;($B$1+$A40-1)),6)="PLUVIO"
        )
    ),
    IF(LEFT(INDIRECT("Descriptif!$F"&amp;($B$1+$A40-1)),6)="PLUVIO","Pluviomètre",INDIRECT("Descriptif!$"&amp;F$15&amp;($B$1 +$A40 -1))),
    ""
)</f>
        <v/>
      </c>
      <c r="G40" s="19" t="str" cm="1">
        <f t="array" aca="1" ref="G40" ca="1">IF(
    AND(
        $B40,
        OR(
            INDIRECT("Descriptif!$M"&amp;($B$1+$A40-1))="Préleveur",
            LEFT(INDIRECT("Descriptif!$M"&amp;($B$1+$A40-1)),5)="Sonde",
            LEFT(INDIRECT("Descriptif!$M"&amp;($B$1+$A40-1)),10)="Débitmètre",
            LEFT(INDIRECT("Descriptif!$F"&amp;($B$1+$A40-1)),6)="PLUVIO"
        )
    ),
    IF(LEFT(INDIRECT("Descriptif!$F"&amp;($B$1+$A40-1)),6)="PLUVIO","Pluviomètre",INDIRECT("Descriptif!$"&amp;G$15&amp;($B$1 +$A40 -1))),
    ""
)</f>
        <v/>
      </c>
      <c r="H40" s="141" t="str" cm="1">
        <f t="array" aca="1" ref="H40" ca="1">IFERROR(INDEX($C$16:$C$116,SMALL(IF($C$16:$C$116&lt;&gt;"",ROW($C$16:$C$116)-ROW($C$16)+1),ROW(A25))),"")</f>
        <v/>
      </c>
      <c r="I40" s="140" t="str" cm="1">
        <f t="array" aca="1" ref="I40" ca="1">IFERROR(INDEX($D$16:$D$116,SMALL(IF($D$16:$D$116&lt;&gt;"",ROW($D$16:$D$116)-ROW($D$16)+1),ROW(A25))),"")</f>
        <v/>
      </c>
      <c r="J40" s="140" t="str" cm="1">
        <f t="array" aca="1" ref="J40" ca="1">IFERROR(INDEX($E$16:$E$116,SMALL(IF($E$16:$E$116&lt;&gt;"",ROW($E$16:$E$116)-ROW($E$16)+1),ROW(A25))),"")</f>
        <v/>
      </c>
      <c r="K40" s="140" t="str" cm="1">
        <f t="array" aca="1" ref="K40" ca="1">IFERROR(INDEX($F$16:$F$116,SMALL(IF($F$16:$F$116&lt;&gt;"",ROW($F$16:$F$116)-ROW($F$16)+1),ROW(A25))),"")</f>
        <v/>
      </c>
      <c r="L40" s="140" t="str">
        <f t="shared" ca="1" si="0"/>
        <v/>
      </c>
      <c r="M40" s="140" t="str" cm="1">
        <f t="array" aca="1" ref="M40" ca="1">IFERROR(INDEX($G$16:$G$116,SMALL(IF($G$16:$G$116&lt;&gt;"",ROW($G$16:$G$116)-ROW($G$16)+1),ROW(A25))),"")</f>
        <v/>
      </c>
      <c r="N40" s="145" t="str">
        <f t="shared" ca="1" si="1"/>
        <v/>
      </c>
      <c r="O40" s="146" t="str">
        <f t="shared" ca="1" si="2"/>
        <v/>
      </c>
      <c r="P40" s="146" t="str" cm="1">
        <f t="array" aca="1" ref="P40" ca="1">IF($J40&lt;&gt;"",IF(INDIRECT($H40&amp;"!"&amp;$O40)&lt;&gt;"",INDIRECT($H40&amp;"!"&amp;$O40),""),"")</f>
        <v/>
      </c>
      <c r="Q40" s="146" t="str">
        <f t="shared" ca="1" si="3"/>
        <v/>
      </c>
      <c r="R40" s="146" t="str" cm="1">
        <f t="array" aca="1" ref="R40" ca="1">IF($J40&lt;&gt;"",IF(INDIRECT($H40&amp;"!"&amp;$Q40)&lt;&gt;"",INDIRECT($H40&amp;"!"&amp;$Q40),""),"")</f>
        <v/>
      </c>
      <c r="S40" s="146" t="str">
        <f t="shared" ca="1" si="4"/>
        <v/>
      </c>
      <c r="T40" s="146" t="str" cm="1">
        <f t="array" aca="1" ref="T40" ca="1">IF($J40&lt;&gt;"",IF(INDIRECT($H40&amp;"!"&amp;$S40)&lt;&gt;"",INDIRECT($H40&amp;"!"&amp;$S40),""),"")</f>
        <v/>
      </c>
      <c r="U40" s="146" t="str">
        <f t="shared" ca="1" si="5"/>
        <v/>
      </c>
      <c r="V40" s="147" t="str" cm="1">
        <f t="array" aca="1" ref="V40" ca="1">IF($J40&lt;&gt;"",IF(INDIRECT($H40&amp;"!"&amp;$U40)&lt;&gt;"",INDIRECT($H40&amp;"!"&amp;$U40),""),"")</f>
        <v/>
      </c>
      <c r="W40" s="294" t="str">
        <f t="shared" ca="1" si="7"/>
        <v/>
      </c>
      <c r="X40" s="295" t="str">
        <f t="shared" ca="1" si="8"/>
        <v/>
      </c>
      <c r="Y40" s="296" t="str" cm="1">
        <f t="array" aca="1" ref="Y40" ca="1">IF($H40&lt;&gt;"",IF(INDIRECT($H40&amp;"!"&amp;$W40&amp;($X40+Y$15+1))&lt;&gt;"",INDIRECT($H40&amp;"!"&amp;$W40&amp;($X40+Y$15+1)),""),"")</f>
        <v/>
      </c>
      <c r="Z40" s="296" t="str" cm="1">
        <f t="array" aca="1" ref="Z40" ca="1">IF($H40&lt;&gt;"",IF(INDIRECT($H40&amp;"!"&amp;$W40&amp;($X40+Z$15+1))&lt;&gt;"",INDIRECT($H40&amp;"!"&amp;$W40&amp;($X40+Z$15+1)),""),"")</f>
        <v/>
      </c>
      <c r="AA40" s="296" t="str" cm="1">
        <f t="array" aca="1" ref="AA40" ca="1">IF($H40&lt;&gt;"",IF(INDIRECT($H40&amp;"!"&amp;$W40&amp;($X40+AA$15+1))&lt;&gt;"",INDIRECT($H40&amp;"!"&amp;$W40&amp;($X40+AA$15+1)),""),"")</f>
        <v/>
      </c>
      <c r="AB40" s="296" t="str" cm="1">
        <f t="array" aca="1" ref="AB40" ca="1">IF($H40&lt;&gt;"",IF(INDIRECT($H40&amp;"!"&amp;$W40&amp;($X40+AB$15+1))&lt;&gt;"",INDIRECT($H40&amp;"!"&amp;$W40&amp;($X40+AB$15+1)),""),"")</f>
        <v/>
      </c>
      <c r="AC40" s="296" t="str" cm="1">
        <f t="array" aca="1" ref="AC40" ca="1">IF(LEFT($J40,5)="Sonde","",IF($H40&lt;&gt;"",IF(INDIRECT($H40&amp;"!"&amp;$W40&amp;($X40+AC$15+1))&lt;&gt;"",INDIRECT($H40&amp;"!"&amp;$W40&amp;($X40+AC$15+1)),""),""))</f>
        <v/>
      </c>
      <c r="AD40" s="296" t="str" cm="1">
        <f t="array" aca="1" ref="AD40" ca="1">IF(OR($J40="Pluviomètre",LEFT($J40,5)="Sonde"),"",IF($H40&lt;&gt;"",IF(INDIRECT($H40&amp;"!"&amp;$W40&amp;($X40+AD$15+1))&lt;&gt;"",INDIRECT($H40&amp;"!"&amp;$W40&amp;($X40+AD$15+1)),""),""))</f>
        <v/>
      </c>
      <c r="AE40" s="296" t="str" cm="1">
        <f t="array" aca="1" ref="AE40" ca="1">IF(OR($J40="Pluviomètre",LEFT($J40,5)="Sonde"),"",IF($H40&lt;&gt;"",IF(INDIRECT($H40&amp;"!"&amp;$W40&amp;($X40+AE$15+1))&lt;&gt;"",INDIRECT($H40&amp;"!"&amp;$W40&amp;($X40+AE$15+1)),""),""))</f>
        <v/>
      </c>
      <c r="AF40" s="296" t="str" cm="1">
        <f t="array" aca="1" ref="AF40" ca="1">IF(OR($J40="Pluviomètre",LEFT($J40,5)="Sonde"),"",IF($H40&lt;&gt;"",IF(INDIRECT($H40&amp;"!"&amp;$W40&amp;($X40+AF$15+1))&lt;&gt;"",INDIRECT($H40&amp;"!"&amp;$W40&amp;($X40+AF$15+1)),""),""))</f>
        <v/>
      </c>
      <c r="AG40" s="296" t="str" cm="1">
        <f t="array" aca="1" ref="AG40" ca="1">IF(OR($J40="Pluviomètre",LEFT($J40,5)="Sonde"),"",IF($H40&lt;&gt;"",IF(INDIRECT($H40&amp;"!"&amp;$W40&amp;($X40+AG$15+1))&lt;&gt;"",INDIRECT($H40&amp;"!"&amp;$W40&amp;($X40+AG$15+1)),""),""))</f>
        <v/>
      </c>
      <c r="AH40" s="296" t="str" cm="1">
        <f t="array" aca="1" ref="AH40" ca="1">IF(OR($J40="Pluviomètre",LEFT($J40,5)="Sonde"),"",IF($H40&lt;&gt;"",IF(INDIRECT($H40&amp;"!"&amp;$W40&amp;($X40+AH$15+1))&lt;&gt;"",INDIRECT($H40&amp;"!"&amp;$W40&amp;($X40+AH$15+1)),""),""))</f>
        <v/>
      </c>
      <c r="AI40" s="294" t="str">
        <f t="shared" ca="1" si="9"/>
        <v/>
      </c>
      <c r="AJ40" s="295" t="str">
        <f t="shared" ca="1" si="10"/>
        <v/>
      </c>
      <c r="AK40" s="296" t="str" cm="1">
        <f t="array" aca="1" ref="AK40" ca="1">IF($H40&lt;&gt;"",IF(INDIRECT($H40&amp;"!"&amp;$AI40&amp;($AJ40+AK$15+1))&lt;&gt;"",INDIRECT($H40&amp;"!"&amp;$AI40&amp;($AJ40+AK$15+1)),""),"")</f>
        <v/>
      </c>
      <c r="AL40" s="296" t="str" cm="1">
        <f t="array" aca="1" ref="AL40" ca="1">IF($H40&lt;&gt;"",IF(INDIRECT($H40&amp;"!"&amp;$AI40&amp;($AJ40+AL$15+1))&lt;&gt;"",INDIRECT($H40&amp;"!"&amp;$AI40&amp;($AJ40+AL$15+1)),""),"")</f>
        <v/>
      </c>
      <c r="AM40" s="296" t="str" cm="1">
        <f t="array" aca="1" ref="AM40" ca="1">IF($H40&lt;&gt;"",IF(INDIRECT($H40&amp;"!"&amp;$AI40&amp;($AJ40+AM$15+1))&lt;&gt;"",INDIRECT($H40&amp;"!"&amp;$AI40&amp;($AJ40+AM$15+1)),""),"")</f>
        <v/>
      </c>
      <c r="AN40" s="296" t="str" cm="1">
        <f t="array" aca="1" ref="AN40" ca="1">IF($H40&lt;&gt;"",IF(INDIRECT($H40&amp;"!"&amp;$AI40&amp;($AJ40+AN$15+1))&lt;&gt;"",INDIRECT($H40&amp;"!"&amp;$AI40&amp;($AJ40+AN$15+1)),""),"")</f>
        <v/>
      </c>
      <c r="AO40" s="296" t="str" cm="1">
        <f t="array" aca="1" ref="AO40" ca="1">IF(LEFT($J40,5)="Sonde","",IF($H40&lt;&gt;"",IF(INDIRECT($H40&amp;"!"&amp;$AI40&amp;($AJ40+AO$15+1))&lt;&gt;"",INDIRECT($H40&amp;"!"&amp;$AI40&amp;($AJ40+AO$15+1)),""),""))</f>
        <v/>
      </c>
      <c r="AP40" s="296" t="str" cm="1">
        <f t="array" aca="1" ref="AP40" ca="1">IF(OR($J40="Pluviomètre",LEFT($J40,5)="Sonde"),"",IF($H40&lt;&gt;"",IF(INDIRECT($H40&amp;"!"&amp;$AI40&amp;($AJ40+AP$15+1))&lt;&gt;"",INDIRECT($H40&amp;"!"&amp;$AI40&amp;($AJ40+AP$15+1)),""),""))</f>
        <v/>
      </c>
      <c r="AQ40" s="296" t="str" cm="1">
        <f t="array" aca="1" ref="AQ40" ca="1">IF(OR($J40="Pluviomètre",LEFT($J40,5)="Sonde"),"",IF($H40&lt;&gt;"",IF(INDIRECT($H40&amp;"!"&amp;$AI40&amp;($AJ40+AQ$15+1))&lt;&gt;"",INDIRECT($H40&amp;"!"&amp;$AI40&amp;($AJ40+AQ$15+1)),""),""))</f>
        <v/>
      </c>
      <c r="AR40" s="296" t="str" cm="1">
        <f t="array" aca="1" ref="AR40" ca="1">IF(OR($J40="Pluviomètre",LEFT($J40,5)="Sonde"),"",IF($H40&lt;&gt;"",IF(INDIRECT($H40&amp;"!"&amp;$AI40&amp;($AJ40+AR$15+1))&lt;&gt;"",INDIRECT($H40&amp;"!"&amp;$AI40&amp;($AJ40+AR$15+1)),""),""))</f>
        <v/>
      </c>
      <c r="AS40" s="296" t="str" cm="1">
        <f t="array" aca="1" ref="AS40" ca="1">IF(OR($J40="Pluviomètre",LEFT($J40,5)="Sonde"),"",IF($H40&lt;&gt;"",IF(INDIRECT($H40&amp;"!"&amp;$AI40&amp;($AJ40+AS$15+1))&lt;&gt;"",INDIRECT($H40&amp;"!"&amp;$AI40&amp;($AJ40+AS$15+1)),""),""))</f>
        <v/>
      </c>
      <c r="AT40" s="296" t="str" cm="1">
        <f t="array" aca="1" ref="AT40" ca="1">IF(OR($J40="Pluviomètre",LEFT($J40,5)="Sonde"),"",IF($H40&lt;&gt;"",IF(INDIRECT($H40&amp;"!"&amp;$AI40&amp;($AJ40+AT$15+1))&lt;&gt;"",INDIRECT($H40&amp;"!"&amp;$AI40&amp;($AJ40+AT$15+1)),""),""))</f>
        <v/>
      </c>
    </row>
    <row r="41" spans="1:46" x14ac:dyDescent="0.4">
      <c r="A41" s="80">
        <v>26</v>
      </c>
      <c r="B41" s="134" t="b">
        <f t="shared" si="6"/>
        <v>0</v>
      </c>
      <c r="C41" s="139" t="str" cm="1">
        <f t="array" aca="1" ref="C41" ca="1">IF(
    AND(
        $B41,
        OR(
            INDIRECT("Descriptif!$M"&amp;($B$1+$A41-1))="Préleveur",
            LEFT(INDIRECT("Descriptif!$M"&amp;($B$1+$A41-1)),5)="Sonde",
            LEFT(INDIRECT("Descriptif!$M"&amp;($B$1+$A41-1)),10)="Débitmètre",
            LEFT(INDIRECT("Descriptif!$F"&amp;($B$1+$A41-1)),6)="PLUVIO"
        )
    ),
    INDIRECT("Descriptif!$"&amp;C$15&amp;($B$1 +$A41 -1)),
    ""
)</f>
        <v/>
      </c>
      <c r="D41" s="277" t="str" cm="1">
        <f t="array" aca="1" ref="D41" ca="1">IF(
    AND(
        $B41,
        OR(
            INDIRECT("Descriptif!$M"&amp;($B$1+$A41-1))="Préleveur",
            LEFT(INDIRECT("Descriptif!$M"&amp;($B$1+$A41-1)),5)="Sonde",
            LEFT(INDIRECT("Descriptif!$M"&amp;($B$1+$A41-1)),10)="Débitmètre",
            LEFT(INDIRECT("Descriptif!$F"&amp;($B$1+$A41-1)),6)="PLUVIO"
        )
    ),
    IF(
        LEFT(INDIRECT("Descriptif!$F"&amp;($B$1+$A41-1)),11)="PLUVIO_STEU",
        "A3",
        IF(
            LEFT(INDIRECT("Descriptif!$F"&amp;($B$1+$A41-1)),10)="PLUVIO_SCL",
            "A1",
            INDIRECT("Descriptif!$"&amp;D$15&amp;($B$1 +$A41 -1))
        )
    ),
    ""
)</f>
        <v/>
      </c>
      <c r="E41" s="277" t="str" cm="1">
        <f t="array" aca="1" ref="E41" ca="1">IF(
    AND(
        $B41,
        OR(
            INDIRECT("Descriptif!$M"&amp;($B$1+$A41-1))="Préleveur",
            LEFT(INDIRECT("Descriptif!$M"&amp;($B$1+$A41-1)),5)="Sonde",
            LEFT(INDIRECT("Descriptif!$M"&amp;($B$1+$A41-1)),10)="Débitmètre",
            LEFT(INDIRECT("Descriptif!$F"&amp;($B$1+$A41-1)),6)="PLUVIO"
        )
    ),
    IF(LEFT(INDIRECT("Descriptif!$F"&amp;($B$1+$A41-1)),6)="PLUVIO","Pluviomètre",INDIRECT("Descriptif!$"&amp;E$15&amp;($B$1 +$A41 -1))),
    ""
)</f>
        <v/>
      </c>
      <c r="F41" s="19" t="str" cm="1">
        <f t="array" aca="1" ref="F41" ca="1">IF(
    AND(
        $B41,
        OR(
            INDIRECT("Descriptif!$M"&amp;($B$1+$A41-1))="Préleveur",
            LEFT(INDIRECT("Descriptif!$M"&amp;($B$1+$A41-1)),5)="Sonde",
            LEFT(INDIRECT("Descriptif!$M"&amp;($B$1+$A41-1)),10)="Débitmètre",
            LEFT(INDIRECT("Descriptif!$F"&amp;($B$1+$A41-1)),6)="PLUVIO"
        )
    ),
    IF(LEFT(INDIRECT("Descriptif!$F"&amp;($B$1+$A41-1)),6)="PLUVIO","Pluviomètre",INDIRECT("Descriptif!$"&amp;F$15&amp;($B$1 +$A41 -1))),
    ""
)</f>
        <v/>
      </c>
      <c r="G41" s="19" t="str" cm="1">
        <f t="array" aca="1" ref="G41" ca="1">IF(
    AND(
        $B41,
        OR(
            INDIRECT("Descriptif!$M"&amp;($B$1+$A41-1))="Préleveur",
            LEFT(INDIRECT("Descriptif!$M"&amp;($B$1+$A41-1)),5)="Sonde",
            LEFT(INDIRECT("Descriptif!$M"&amp;($B$1+$A41-1)),10)="Débitmètre",
            LEFT(INDIRECT("Descriptif!$F"&amp;($B$1+$A41-1)),6)="PLUVIO"
        )
    ),
    IF(LEFT(INDIRECT("Descriptif!$F"&amp;($B$1+$A41-1)),6)="PLUVIO","Pluviomètre",INDIRECT("Descriptif!$"&amp;G$15&amp;($B$1 +$A41 -1))),
    ""
)</f>
        <v/>
      </c>
      <c r="H41" s="141" t="str" cm="1">
        <f t="array" aca="1" ref="H41" ca="1">IFERROR(INDEX($C$16:$C$116,SMALL(IF($C$16:$C$116&lt;&gt;"",ROW($C$16:$C$116)-ROW($C$16)+1),ROW(A26))),"")</f>
        <v/>
      </c>
      <c r="I41" s="140" t="str" cm="1">
        <f t="array" aca="1" ref="I41" ca="1">IFERROR(INDEX($D$16:$D$116,SMALL(IF($D$16:$D$116&lt;&gt;"",ROW($D$16:$D$116)-ROW($D$16)+1),ROW(A26))),"")</f>
        <v/>
      </c>
      <c r="J41" s="140" t="str" cm="1">
        <f t="array" aca="1" ref="J41" ca="1">IFERROR(INDEX($E$16:$E$116,SMALL(IF($E$16:$E$116&lt;&gt;"",ROW($E$16:$E$116)-ROW($E$16)+1),ROW(A26))),"")</f>
        <v/>
      </c>
      <c r="K41" s="140" t="str" cm="1">
        <f t="array" aca="1" ref="K41" ca="1">IFERROR(INDEX($F$16:$F$116,SMALL(IF($F$16:$F$116&lt;&gt;"",ROW($F$16:$F$116)-ROW($F$16)+1),ROW(A26))),"")</f>
        <v/>
      </c>
      <c r="L41" s="140" t="str">
        <f t="shared" ca="1" si="0"/>
        <v/>
      </c>
      <c r="M41" s="140" t="str" cm="1">
        <f t="array" aca="1" ref="M41" ca="1">IFERROR(INDEX($G$16:$G$116,SMALL(IF($G$16:$G$116&lt;&gt;"",ROW($G$16:$G$116)-ROW($G$16)+1),ROW(A26))),"")</f>
        <v/>
      </c>
      <c r="N41" s="145" t="str">
        <f t="shared" ca="1" si="1"/>
        <v/>
      </c>
      <c r="O41" s="146" t="str">
        <f t="shared" ca="1" si="2"/>
        <v/>
      </c>
      <c r="P41" s="146" t="str" cm="1">
        <f t="array" aca="1" ref="P41" ca="1">IF($J41&lt;&gt;"",IF(INDIRECT($H41&amp;"!"&amp;$O41)&lt;&gt;"",INDIRECT($H41&amp;"!"&amp;$O41),""),"")</f>
        <v/>
      </c>
      <c r="Q41" s="146" t="str">
        <f t="shared" ca="1" si="3"/>
        <v/>
      </c>
      <c r="R41" s="146" t="str" cm="1">
        <f t="array" aca="1" ref="R41" ca="1">IF($J41&lt;&gt;"",IF(INDIRECT($H41&amp;"!"&amp;$Q41)&lt;&gt;"",INDIRECT($H41&amp;"!"&amp;$Q41),""),"")</f>
        <v/>
      </c>
      <c r="S41" s="146" t="str">
        <f t="shared" ca="1" si="4"/>
        <v/>
      </c>
      <c r="T41" s="146" t="str" cm="1">
        <f t="array" aca="1" ref="T41" ca="1">IF($J41&lt;&gt;"",IF(INDIRECT($H41&amp;"!"&amp;$S41)&lt;&gt;"",INDIRECT($H41&amp;"!"&amp;$S41),""),"")</f>
        <v/>
      </c>
      <c r="U41" s="146" t="str">
        <f t="shared" ca="1" si="5"/>
        <v/>
      </c>
      <c r="V41" s="147" t="str" cm="1">
        <f t="array" aca="1" ref="V41" ca="1">IF($J41&lt;&gt;"",IF(INDIRECT($H41&amp;"!"&amp;$U41)&lt;&gt;"",INDIRECT($H41&amp;"!"&amp;$U41),""),"")</f>
        <v/>
      </c>
      <c r="W41" s="294" t="str">
        <f t="shared" ca="1" si="7"/>
        <v/>
      </c>
      <c r="X41" s="295" t="str">
        <f t="shared" ca="1" si="8"/>
        <v/>
      </c>
      <c r="Y41" s="296" t="str" cm="1">
        <f t="array" aca="1" ref="Y41" ca="1">IF($H41&lt;&gt;"",IF(INDIRECT($H41&amp;"!"&amp;$W41&amp;($X41+Y$15+1))&lt;&gt;"",INDIRECT($H41&amp;"!"&amp;$W41&amp;($X41+Y$15+1)),""),"")</f>
        <v/>
      </c>
      <c r="Z41" s="296" t="str" cm="1">
        <f t="array" aca="1" ref="Z41" ca="1">IF($H41&lt;&gt;"",IF(INDIRECT($H41&amp;"!"&amp;$W41&amp;($X41+Z$15+1))&lt;&gt;"",INDIRECT($H41&amp;"!"&amp;$W41&amp;($X41+Z$15+1)),""),"")</f>
        <v/>
      </c>
      <c r="AA41" s="296" t="str" cm="1">
        <f t="array" aca="1" ref="AA41" ca="1">IF($H41&lt;&gt;"",IF(INDIRECT($H41&amp;"!"&amp;$W41&amp;($X41+AA$15+1))&lt;&gt;"",INDIRECT($H41&amp;"!"&amp;$W41&amp;($X41+AA$15+1)),""),"")</f>
        <v/>
      </c>
      <c r="AB41" s="296" t="str" cm="1">
        <f t="array" aca="1" ref="AB41" ca="1">IF($H41&lt;&gt;"",IF(INDIRECT($H41&amp;"!"&amp;$W41&amp;($X41+AB$15+1))&lt;&gt;"",INDIRECT($H41&amp;"!"&amp;$W41&amp;($X41+AB$15+1)),""),"")</f>
        <v/>
      </c>
      <c r="AC41" s="296" t="str" cm="1">
        <f t="array" aca="1" ref="AC41" ca="1">IF(LEFT($J41,5)="Sonde","",IF($H41&lt;&gt;"",IF(INDIRECT($H41&amp;"!"&amp;$W41&amp;($X41+AC$15+1))&lt;&gt;"",INDIRECT($H41&amp;"!"&amp;$W41&amp;($X41+AC$15+1)),""),""))</f>
        <v/>
      </c>
      <c r="AD41" s="296" t="str" cm="1">
        <f t="array" aca="1" ref="AD41" ca="1">IF(OR($J41="Pluviomètre",LEFT($J41,5)="Sonde"),"",IF($H41&lt;&gt;"",IF(INDIRECT($H41&amp;"!"&amp;$W41&amp;($X41+AD$15+1))&lt;&gt;"",INDIRECT($H41&amp;"!"&amp;$W41&amp;($X41+AD$15+1)),""),""))</f>
        <v/>
      </c>
      <c r="AE41" s="296" t="str" cm="1">
        <f t="array" aca="1" ref="AE41" ca="1">IF(OR($J41="Pluviomètre",LEFT($J41,5)="Sonde"),"",IF($H41&lt;&gt;"",IF(INDIRECT($H41&amp;"!"&amp;$W41&amp;($X41+AE$15+1))&lt;&gt;"",INDIRECT($H41&amp;"!"&amp;$W41&amp;($X41+AE$15+1)),""),""))</f>
        <v/>
      </c>
      <c r="AF41" s="296" t="str" cm="1">
        <f t="array" aca="1" ref="AF41" ca="1">IF(OR($J41="Pluviomètre",LEFT($J41,5)="Sonde"),"",IF($H41&lt;&gt;"",IF(INDIRECT($H41&amp;"!"&amp;$W41&amp;($X41+AF$15+1))&lt;&gt;"",INDIRECT($H41&amp;"!"&amp;$W41&amp;($X41+AF$15+1)),""),""))</f>
        <v/>
      </c>
      <c r="AG41" s="296" t="str" cm="1">
        <f t="array" aca="1" ref="AG41" ca="1">IF(OR($J41="Pluviomètre",LEFT($J41,5)="Sonde"),"",IF($H41&lt;&gt;"",IF(INDIRECT($H41&amp;"!"&amp;$W41&amp;($X41+AG$15+1))&lt;&gt;"",INDIRECT($H41&amp;"!"&amp;$W41&amp;($X41+AG$15+1)),""),""))</f>
        <v/>
      </c>
      <c r="AH41" s="296" t="str" cm="1">
        <f t="array" aca="1" ref="AH41" ca="1">IF(OR($J41="Pluviomètre",LEFT($J41,5)="Sonde"),"",IF($H41&lt;&gt;"",IF(INDIRECT($H41&amp;"!"&amp;$W41&amp;($X41+AH$15+1))&lt;&gt;"",INDIRECT($H41&amp;"!"&amp;$W41&amp;($X41+AH$15+1)),""),""))</f>
        <v/>
      </c>
      <c r="AI41" s="294" t="str">
        <f t="shared" ca="1" si="9"/>
        <v/>
      </c>
      <c r="AJ41" s="295" t="str">
        <f t="shared" ca="1" si="10"/>
        <v/>
      </c>
      <c r="AK41" s="296" t="str" cm="1">
        <f t="array" aca="1" ref="AK41" ca="1">IF($H41&lt;&gt;"",IF(INDIRECT($H41&amp;"!"&amp;$AI41&amp;($AJ41+AK$15+1))&lt;&gt;"",INDIRECT($H41&amp;"!"&amp;$AI41&amp;($AJ41+AK$15+1)),""),"")</f>
        <v/>
      </c>
      <c r="AL41" s="296" t="str" cm="1">
        <f t="array" aca="1" ref="AL41" ca="1">IF($H41&lt;&gt;"",IF(INDIRECT($H41&amp;"!"&amp;$AI41&amp;($AJ41+AL$15+1))&lt;&gt;"",INDIRECT($H41&amp;"!"&amp;$AI41&amp;($AJ41+AL$15+1)),""),"")</f>
        <v/>
      </c>
      <c r="AM41" s="296" t="str" cm="1">
        <f t="array" aca="1" ref="AM41" ca="1">IF($H41&lt;&gt;"",IF(INDIRECT($H41&amp;"!"&amp;$AI41&amp;($AJ41+AM$15+1))&lt;&gt;"",INDIRECT($H41&amp;"!"&amp;$AI41&amp;($AJ41+AM$15+1)),""),"")</f>
        <v/>
      </c>
      <c r="AN41" s="296" t="str" cm="1">
        <f t="array" aca="1" ref="AN41" ca="1">IF($H41&lt;&gt;"",IF(INDIRECT($H41&amp;"!"&amp;$AI41&amp;($AJ41+AN$15+1))&lt;&gt;"",INDIRECT($H41&amp;"!"&amp;$AI41&amp;($AJ41+AN$15+1)),""),"")</f>
        <v/>
      </c>
      <c r="AO41" s="296" t="str" cm="1">
        <f t="array" aca="1" ref="AO41" ca="1">IF(LEFT($J41,5)="Sonde","",IF($H41&lt;&gt;"",IF(INDIRECT($H41&amp;"!"&amp;$AI41&amp;($AJ41+AO$15+1))&lt;&gt;"",INDIRECT($H41&amp;"!"&amp;$AI41&amp;($AJ41+AO$15+1)),""),""))</f>
        <v/>
      </c>
      <c r="AP41" s="296" t="str" cm="1">
        <f t="array" aca="1" ref="AP41" ca="1">IF(OR($J41="Pluviomètre",LEFT($J41,5)="Sonde"),"",IF($H41&lt;&gt;"",IF(INDIRECT($H41&amp;"!"&amp;$AI41&amp;($AJ41+AP$15+1))&lt;&gt;"",INDIRECT($H41&amp;"!"&amp;$AI41&amp;($AJ41+AP$15+1)),""),""))</f>
        <v/>
      </c>
      <c r="AQ41" s="296" t="str" cm="1">
        <f t="array" aca="1" ref="AQ41" ca="1">IF(OR($J41="Pluviomètre",LEFT($J41,5)="Sonde"),"",IF($H41&lt;&gt;"",IF(INDIRECT($H41&amp;"!"&amp;$AI41&amp;($AJ41+AQ$15+1))&lt;&gt;"",INDIRECT($H41&amp;"!"&amp;$AI41&amp;($AJ41+AQ$15+1)),""),""))</f>
        <v/>
      </c>
      <c r="AR41" s="296" t="str" cm="1">
        <f t="array" aca="1" ref="AR41" ca="1">IF(OR($J41="Pluviomètre",LEFT($J41,5)="Sonde"),"",IF($H41&lt;&gt;"",IF(INDIRECT($H41&amp;"!"&amp;$AI41&amp;($AJ41+AR$15+1))&lt;&gt;"",INDIRECT($H41&amp;"!"&amp;$AI41&amp;($AJ41+AR$15+1)),""),""))</f>
        <v/>
      </c>
      <c r="AS41" s="296" t="str" cm="1">
        <f t="array" aca="1" ref="AS41" ca="1">IF(OR($J41="Pluviomètre",LEFT($J41,5)="Sonde"),"",IF($H41&lt;&gt;"",IF(INDIRECT($H41&amp;"!"&amp;$AI41&amp;($AJ41+AS$15+1))&lt;&gt;"",INDIRECT($H41&amp;"!"&amp;$AI41&amp;($AJ41+AS$15+1)),""),""))</f>
        <v/>
      </c>
      <c r="AT41" s="296" t="str" cm="1">
        <f t="array" aca="1" ref="AT41" ca="1">IF(OR($J41="Pluviomètre",LEFT($J41,5)="Sonde"),"",IF($H41&lt;&gt;"",IF(INDIRECT($H41&amp;"!"&amp;$AI41&amp;($AJ41+AT$15+1))&lt;&gt;"",INDIRECT($H41&amp;"!"&amp;$AI41&amp;($AJ41+AT$15+1)),""),""))</f>
        <v/>
      </c>
    </row>
    <row r="42" spans="1:46" x14ac:dyDescent="0.4">
      <c r="A42" s="80">
        <v>27</v>
      </c>
      <c r="B42" s="134" t="b">
        <f t="shared" si="6"/>
        <v>0</v>
      </c>
      <c r="C42" s="139" t="str" cm="1">
        <f t="array" aca="1" ref="C42" ca="1">IF(
    AND(
        $B42,
        OR(
            INDIRECT("Descriptif!$M"&amp;($B$1+$A42-1))="Préleveur",
            LEFT(INDIRECT("Descriptif!$M"&amp;($B$1+$A42-1)),5)="Sonde",
            LEFT(INDIRECT("Descriptif!$M"&amp;($B$1+$A42-1)),10)="Débitmètre",
            LEFT(INDIRECT("Descriptif!$F"&amp;($B$1+$A42-1)),6)="PLUVIO"
        )
    ),
    INDIRECT("Descriptif!$"&amp;C$15&amp;($B$1 +$A42 -1)),
    ""
)</f>
        <v/>
      </c>
      <c r="D42" s="277" t="str" cm="1">
        <f t="array" aca="1" ref="D42" ca="1">IF(
    AND(
        $B42,
        OR(
            INDIRECT("Descriptif!$M"&amp;($B$1+$A42-1))="Préleveur",
            LEFT(INDIRECT("Descriptif!$M"&amp;($B$1+$A42-1)),5)="Sonde",
            LEFT(INDIRECT("Descriptif!$M"&amp;($B$1+$A42-1)),10)="Débitmètre",
            LEFT(INDIRECT("Descriptif!$F"&amp;($B$1+$A42-1)),6)="PLUVIO"
        )
    ),
    IF(
        LEFT(INDIRECT("Descriptif!$F"&amp;($B$1+$A42-1)),11)="PLUVIO_STEU",
        "A3",
        IF(
            LEFT(INDIRECT("Descriptif!$F"&amp;($B$1+$A42-1)),10)="PLUVIO_SCL",
            "A1",
            INDIRECT("Descriptif!$"&amp;D$15&amp;($B$1 +$A42 -1))
        )
    ),
    ""
)</f>
        <v/>
      </c>
      <c r="E42" s="277" t="str" cm="1">
        <f t="array" aca="1" ref="E42" ca="1">IF(
    AND(
        $B42,
        OR(
            INDIRECT("Descriptif!$M"&amp;($B$1+$A42-1))="Préleveur",
            LEFT(INDIRECT("Descriptif!$M"&amp;($B$1+$A42-1)),5)="Sonde",
            LEFT(INDIRECT("Descriptif!$M"&amp;($B$1+$A42-1)),10)="Débitmètre",
            LEFT(INDIRECT("Descriptif!$F"&amp;($B$1+$A42-1)),6)="PLUVIO"
        )
    ),
    IF(LEFT(INDIRECT("Descriptif!$F"&amp;($B$1+$A42-1)),6)="PLUVIO","Pluviomètre",INDIRECT("Descriptif!$"&amp;E$15&amp;($B$1 +$A42 -1))),
    ""
)</f>
        <v/>
      </c>
      <c r="F42" s="19" t="str" cm="1">
        <f t="array" aca="1" ref="F42" ca="1">IF(
    AND(
        $B42,
        OR(
            INDIRECT("Descriptif!$M"&amp;($B$1+$A42-1))="Préleveur",
            LEFT(INDIRECT("Descriptif!$M"&amp;($B$1+$A42-1)),5)="Sonde",
            LEFT(INDIRECT("Descriptif!$M"&amp;($B$1+$A42-1)),10)="Débitmètre",
            LEFT(INDIRECT("Descriptif!$F"&amp;($B$1+$A42-1)),6)="PLUVIO"
        )
    ),
    IF(LEFT(INDIRECT("Descriptif!$F"&amp;($B$1+$A42-1)),6)="PLUVIO","Pluviomètre",INDIRECT("Descriptif!$"&amp;F$15&amp;($B$1 +$A42 -1))),
    ""
)</f>
        <v/>
      </c>
      <c r="G42" s="19" t="str" cm="1">
        <f t="array" aca="1" ref="G42" ca="1">IF(
    AND(
        $B42,
        OR(
            INDIRECT("Descriptif!$M"&amp;($B$1+$A42-1))="Préleveur",
            LEFT(INDIRECT("Descriptif!$M"&amp;($B$1+$A42-1)),5)="Sonde",
            LEFT(INDIRECT("Descriptif!$M"&amp;($B$1+$A42-1)),10)="Débitmètre",
            LEFT(INDIRECT("Descriptif!$F"&amp;($B$1+$A42-1)),6)="PLUVIO"
        )
    ),
    IF(LEFT(INDIRECT("Descriptif!$F"&amp;($B$1+$A42-1)),6)="PLUVIO","Pluviomètre",INDIRECT("Descriptif!$"&amp;G$15&amp;($B$1 +$A42 -1))),
    ""
)</f>
        <v/>
      </c>
      <c r="H42" s="141" t="str" cm="1">
        <f t="array" aca="1" ref="H42" ca="1">IFERROR(INDEX($C$16:$C$116,SMALL(IF($C$16:$C$116&lt;&gt;"",ROW($C$16:$C$116)-ROW($C$16)+1),ROW(A27))),"")</f>
        <v/>
      </c>
      <c r="I42" s="140" t="str" cm="1">
        <f t="array" aca="1" ref="I42" ca="1">IFERROR(INDEX($D$16:$D$116,SMALL(IF($D$16:$D$116&lt;&gt;"",ROW($D$16:$D$116)-ROW($D$16)+1),ROW(A27))),"")</f>
        <v/>
      </c>
      <c r="J42" s="140" t="str" cm="1">
        <f t="array" aca="1" ref="J42" ca="1">IFERROR(INDEX($E$16:$E$116,SMALL(IF($E$16:$E$116&lt;&gt;"",ROW($E$16:$E$116)-ROW($E$16)+1),ROW(A27))),"")</f>
        <v/>
      </c>
      <c r="K42" s="140" t="str" cm="1">
        <f t="array" aca="1" ref="K42" ca="1">IFERROR(INDEX($F$16:$F$116,SMALL(IF($F$16:$F$116&lt;&gt;"",ROW($F$16:$F$116)-ROW($F$16)+1),ROW(A27))),"")</f>
        <v/>
      </c>
      <c r="L42" s="140" t="str">
        <f t="shared" ca="1" si="0"/>
        <v/>
      </c>
      <c r="M42" s="140" t="str" cm="1">
        <f t="array" aca="1" ref="M42" ca="1">IFERROR(INDEX($G$16:$G$116,SMALL(IF($G$16:$G$116&lt;&gt;"",ROW($G$16:$G$116)-ROW($G$16)+1),ROW(A27))),"")</f>
        <v/>
      </c>
      <c r="N42" s="145" t="str">
        <f t="shared" ca="1" si="1"/>
        <v/>
      </c>
      <c r="O42" s="146" t="str">
        <f t="shared" ca="1" si="2"/>
        <v/>
      </c>
      <c r="P42" s="146" t="str" cm="1">
        <f t="array" aca="1" ref="P42" ca="1">IF($J42&lt;&gt;"",IF(INDIRECT($H42&amp;"!"&amp;$O42)&lt;&gt;"",INDIRECT($H42&amp;"!"&amp;$O42),""),"")</f>
        <v/>
      </c>
      <c r="Q42" s="146" t="str">
        <f t="shared" ca="1" si="3"/>
        <v/>
      </c>
      <c r="R42" s="146" t="str" cm="1">
        <f t="array" aca="1" ref="R42" ca="1">IF($J42&lt;&gt;"",IF(INDIRECT($H42&amp;"!"&amp;$Q42)&lt;&gt;"",INDIRECT($H42&amp;"!"&amp;$Q42),""),"")</f>
        <v/>
      </c>
      <c r="S42" s="146" t="str">
        <f t="shared" ca="1" si="4"/>
        <v/>
      </c>
      <c r="T42" s="146" t="str" cm="1">
        <f t="array" aca="1" ref="T42" ca="1">IF($J42&lt;&gt;"",IF(INDIRECT($H42&amp;"!"&amp;$S42)&lt;&gt;"",INDIRECT($H42&amp;"!"&amp;$S42),""),"")</f>
        <v/>
      </c>
      <c r="U42" s="146" t="str">
        <f t="shared" ca="1" si="5"/>
        <v/>
      </c>
      <c r="V42" s="147" t="str" cm="1">
        <f t="array" aca="1" ref="V42" ca="1">IF($J42&lt;&gt;"",IF(INDIRECT($H42&amp;"!"&amp;$U42)&lt;&gt;"",INDIRECT($H42&amp;"!"&amp;$U42),""),"")</f>
        <v/>
      </c>
      <c r="W42" s="294" t="str">
        <f t="shared" ca="1" si="7"/>
        <v/>
      </c>
      <c r="X42" s="295" t="str">
        <f t="shared" ca="1" si="8"/>
        <v/>
      </c>
      <c r="Y42" s="296" t="str" cm="1">
        <f t="array" aca="1" ref="Y42" ca="1">IF($H42&lt;&gt;"",IF(INDIRECT($H42&amp;"!"&amp;$W42&amp;($X42+Y$15+1))&lt;&gt;"",INDIRECT($H42&amp;"!"&amp;$W42&amp;($X42+Y$15+1)),""),"")</f>
        <v/>
      </c>
      <c r="Z42" s="296" t="str" cm="1">
        <f t="array" aca="1" ref="Z42" ca="1">IF($H42&lt;&gt;"",IF(INDIRECT($H42&amp;"!"&amp;$W42&amp;($X42+Z$15+1))&lt;&gt;"",INDIRECT($H42&amp;"!"&amp;$W42&amp;($X42+Z$15+1)),""),"")</f>
        <v/>
      </c>
      <c r="AA42" s="296" t="str" cm="1">
        <f t="array" aca="1" ref="AA42" ca="1">IF($H42&lt;&gt;"",IF(INDIRECT($H42&amp;"!"&amp;$W42&amp;($X42+AA$15+1))&lt;&gt;"",INDIRECT($H42&amp;"!"&amp;$W42&amp;($X42+AA$15+1)),""),"")</f>
        <v/>
      </c>
      <c r="AB42" s="296" t="str" cm="1">
        <f t="array" aca="1" ref="AB42" ca="1">IF($H42&lt;&gt;"",IF(INDIRECT($H42&amp;"!"&amp;$W42&amp;($X42+AB$15+1))&lt;&gt;"",INDIRECT($H42&amp;"!"&amp;$W42&amp;($X42+AB$15+1)),""),"")</f>
        <v/>
      </c>
      <c r="AC42" s="296" t="str" cm="1">
        <f t="array" aca="1" ref="AC42" ca="1">IF(LEFT($J42,5)="Sonde","",IF($H42&lt;&gt;"",IF(INDIRECT($H42&amp;"!"&amp;$W42&amp;($X42+AC$15+1))&lt;&gt;"",INDIRECT($H42&amp;"!"&amp;$W42&amp;($X42+AC$15+1)),""),""))</f>
        <v/>
      </c>
      <c r="AD42" s="296" t="str" cm="1">
        <f t="array" aca="1" ref="AD42" ca="1">IF(OR($J42="Pluviomètre",LEFT($J42,5)="Sonde"),"",IF($H42&lt;&gt;"",IF(INDIRECT($H42&amp;"!"&amp;$W42&amp;($X42+AD$15+1))&lt;&gt;"",INDIRECT($H42&amp;"!"&amp;$W42&amp;($X42+AD$15+1)),""),""))</f>
        <v/>
      </c>
      <c r="AE42" s="296" t="str" cm="1">
        <f t="array" aca="1" ref="AE42" ca="1">IF(OR($J42="Pluviomètre",LEFT($J42,5)="Sonde"),"",IF($H42&lt;&gt;"",IF(INDIRECT($H42&amp;"!"&amp;$W42&amp;($X42+AE$15+1))&lt;&gt;"",INDIRECT($H42&amp;"!"&amp;$W42&amp;($X42+AE$15+1)),""),""))</f>
        <v/>
      </c>
      <c r="AF42" s="296" t="str" cm="1">
        <f t="array" aca="1" ref="AF42" ca="1">IF(OR($J42="Pluviomètre",LEFT($J42,5)="Sonde"),"",IF($H42&lt;&gt;"",IF(INDIRECT($H42&amp;"!"&amp;$W42&amp;($X42+AF$15+1))&lt;&gt;"",INDIRECT($H42&amp;"!"&amp;$W42&amp;($X42+AF$15+1)),""),""))</f>
        <v/>
      </c>
      <c r="AG42" s="296" t="str" cm="1">
        <f t="array" aca="1" ref="AG42" ca="1">IF(OR($J42="Pluviomètre",LEFT($J42,5)="Sonde"),"",IF($H42&lt;&gt;"",IF(INDIRECT($H42&amp;"!"&amp;$W42&amp;($X42+AG$15+1))&lt;&gt;"",INDIRECT($H42&amp;"!"&amp;$W42&amp;($X42+AG$15+1)),""),""))</f>
        <v/>
      </c>
      <c r="AH42" s="296" t="str" cm="1">
        <f t="array" aca="1" ref="AH42" ca="1">IF(OR($J42="Pluviomètre",LEFT($J42,5)="Sonde"),"",IF($H42&lt;&gt;"",IF(INDIRECT($H42&amp;"!"&amp;$W42&amp;($X42+AH$15+1))&lt;&gt;"",INDIRECT($H42&amp;"!"&amp;$W42&amp;($X42+AH$15+1)),""),""))</f>
        <v/>
      </c>
      <c r="AI42" s="294" t="str">
        <f t="shared" ca="1" si="9"/>
        <v/>
      </c>
      <c r="AJ42" s="295" t="str">
        <f t="shared" ca="1" si="10"/>
        <v/>
      </c>
      <c r="AK42" s="296" t="str" cm="1">
        <f t="array" aca="1" ref="AK42" ca="1">IF($H42&lt;&gt;"",IF(INDIRECT($H42&amp;"!"&amp;$AI42&amp;($AJ42+AK$15+1))&lt;&gt;"",INDIRECT($H42&amp;"!"&amp;$AI42&amp;($AJ42+AK$15+1)),""),"")</f>
        <v/>
      </c>
      <c r="AL42" s="296" t="str" cm="1">
        <f t="array" aca="1" ref="AL42" ca="1">IF($H42&lt;&gt;"",IF(INDIRECT($H42&amp;"!"&amp;$AI42&amp;($AJ42+AL$15+1))&lt;&gt;"",INDIRECT($H42&amp;"!"&amp;$AI42&amp;($AJ42+AL$15+1)),""),"")</f>
        <v/>
      </c>
      <c r="AM42" s="296" t="str" cm="1">
        <f t="array" aca="1" ref="AM42" ca="1">IF($H42&lt;&gt;"",IF(INDIRECT($H42&amp;"!"&amp;$AI42&amp;($AJ42+AM$15+1))&lt;&gt;"",INDIRECT($H42&amp;"!"&amp;$AI42&amp;($AJ42+AM$15+1)),""),"")</f>
        <v/>
      </c>
      <c r="AN42" s="296" t="str" cm="1">
        <f t="array" aca="1" ref="AN42" ca="1">IF($H42&lt;&gt;"",IF(INDIRECT($H42&amp;"!"&amp;$AI42&amp;($AJ42+AN$15+1))&lt;&gt;"",INDIRECT($H42&amp;"!"&amp;$AI42&amp;($AJ42+AN$15+1)),""),"")</f>
        <v/>
      </c>
      <c r="AO42" s="296" t="str" cm="1">
        <f t="array" aca="1" ref="AO42" ca="1">IF(LEFT($J42,5)="Sonde","",IF($H42&lt;&gt;"",IF(INDIRECT($H42&amp;"!"&amp;$AI42&amp;($AJ42+AO$15+1))&lt;&gt;"",INDIRECT($H42&amp;"!"&amp;$AI42&amp;($AJ42+AO$15+1)),""),""))</f>
        <v/>
      </c>
      <c r="AP42" s="296" t="str" cm="1">
        <f t="array" aca="1" ref="AP42" ca="1">IF(OR($J42="Pluviomètre",LEFT($J42,5)="Sonde"),"",IF($H42&lt;&gt;"",IF(INDIRECT($H42&amp;"!"&amp;$AI42&amp;($AJ42+AP$15+1))&lt;&gt;"",INDIRECT($H42&amp;"!"&amp;$AI42&amp;($AJ42+AP$15+1)),""),""))</f>
        <v/>
      </c>
      <c r="AQ42" s="296" t="str" cm="1">
        <f t="array" aca="1" ref="AQ42" ca="1">IF(OR($J42="Pluviomètre",LEFT($J42,5)="Sonde"),"",IF($H42&lt;&gt;"",IF(INDIRECT($H42&amp;"!"&amp;$AI42&amp;($AJ42+AQ$15+1))&lt;&gt;"",INDIRECT($H42&amp;"!"&amp;$AI42&amp;($AJ42+AQ$15+1)),""),""))</f>
        <v/>
      </c>
      <c r="AR42" s="296" t="str" cm="1">
        <f t="array" aca="1" ref="AR42" ca="1">IF(OR($J42="Pluviomètre",LEFT($J42,5)="Sonde"),"",IF($H42&lt;&gt;"",IF(INDIRECT($H42&amp;"!"&amp;$AI42&amp;($AJ42+AR$15+1))&lt;&gt;"",INDIRECT($H42&amp;"!"&amp;$AI42&amp;($AJ42+AR$15+1)),""),""))</f>
        <v/>
      </c>
      <c r="AS42" s="296" t="str" cm="1">
        <f t="array" aca="1" ref="AS42" ca="1">IF(OR($J42="Pluviomètre",LEFT($J42,5)="Sonde"),"",IF($H42&lt;&gt;"",IF(INDIRECT($H42&amp;"!"&amp;$AI42&amp;($AJ42+AS$15+1))&lt;&gt;"",INDIRECT($H42&amp;"!"&amp;$AI42&amp;($AJ42+AS$15+1)),""),""))</f>
        <v/>
      </c>
      <c r="AT42" s="296" t="str" cm="1">
        <f t="array" aca="1" ref="AT42" ca="1">IF(OR($J42="Pluviomètre",LEFT($J42,5)="Sonde"),"",IF($H42&lt;&gt;"",IF(INDIRECT($H42&amp;"!"&amp;$AI42&amp;($AJ42+AT$15+1))&lt;&gt;"",INDIRECT($H42&amp;"!"&amp;$AI42&amp;($AJ42+AT$15+1)),""),""))</f>
        <v/>
      </c>
    </row>
    <row r="43" spans="1:46" x14ac:dyDescent="0.4">
      <c r="A43" s="80">
        <v>28</v>
      </c>
      <c r="B43" s="134" t="b">
        <f t="shared" si="6"/>
        <v>0</v>
      </c>
      <c r="C43" s="139" t="str" cm="1">
        <f t="array" aca="1" ref="C43" ca="1">IF(
    AND(
        $B43,
        OR(
            INDIRECT("Descriptif!$M"&amp;($B$1+$A43-1))="Préleveur",
            LEFT(INDIRECT("Descriptif!$M"&amp;($B$1+$A43-1)),5)="Sonde",
            LEFT(INDIRECT("Descriptif!$M"&amp;($B$1+$A43-1)),10)="Débitmètre",
            LEFT(INDIRECT("Descriptif!$F"&amp;($B$1+$A43-1)),6)="PLUVIO"
        )
    ),
    INDIRECT("Descriptif!$"&amp;C$15&amp;($B$1 +$A43 -1)),
    ""
)</f>
        <v/>
      </c>
      <c r="D43" s="277" t="str" cm="1">
        <f t="array" aca="1" ref="D43" ca="1">IF(
    AND(
        $B43,
        OR(
            INDIRECT("Descriptif!$M"&amp;($B$1+$A43-1))="Préleveur",
            LEFT(INDIRECT("Descriptif!$M"&amp;($B$1+$A43-1)),5)="Sonde",
            LEFT(INDIRECT("Descriptif!$M"&amp;($B$1+$A43-1)),10)="Débitmètre",
            LEFT(INDIRECT("Descriptif!$F"&amp;($B$1+$A43-1)),6)="PLUVIO"
        )
    ),
    IF(
        LEFT(INDIRECT("Descriptif!$F"&amp;($B$1+$A43-1)),11)="PLUVIO_STEU",
        "A3",
        IF(
            LEFT(INDIRECT("Descriptif!$F"&amp;($B$1+$A43-1)),10)="PLUVIO_SCL",
            "A1",
            INDIRECT("Descriptif!$"&amp;D$15&amp;($B$1 +$A43 -1))
        )
    ),
    ""
)</f>
        <v/>
      </c>
      <c r="E43" s="277" t="str" cm="1">
        <f t="array" aca="1" ref="E43" ca="1">IF(
    AND(
        $B43,
        OR(
            INDIRECT("Descriptif!$M"&amp;($B$1+$A43-1))="Préleveur",
            LEFT(INDIRECT("Descriptif!$M"&amp;($B$1+$A43-1)),5)="Sonde",
            LEFT(INDIRECT("Descriptif!$M"&amp;($B$1+$A43-1)),10)="Débitmètre",
            LEFT(INDIRECT("Descriptif!$F"&amp;($B$1+$A43-1)),6)="PLUVIO"
        )
    ),
    IF(LEFT(INDIRECT("Descriptif!$F"&amp;($B$1+$A43-1)),6)="PLUVIO","Pluviomètre",INDIRECT("Descriptif!$"&amp;E$15&amp;($B$1 +$A43 -1))),
    ""
)</f>
        <v/>
      </c>
      <c r="F43" s="19" t="str" cm="1">
        <f t="array" aca="1" ref="F43" ca="1">IF(
    AND(
        $B43,
        OR(
            INDIRECT("Descriptif!$M"&amp;($B$1+$A43-1))="Préleveur",
            LEFT(INDIRECT("Descriptif!$M"&amp;($B$1+$A43-1)),5)="Sonde",
            LEFT(INDIRECT("Descriptif!$M"&amp;($B$1+$A43-1)),10)="Débitmètre",
            LEFT(INDIRECT("Descriptif!$F"&amp;($B$1+$A43-1)),6)="PLUVIO"
        )
    ),
    IF(LEFT(INDIRECT("Descriptif!$F"&amp;($B$1+$A43-1)),6)="PLUVIO","Pluviomètre",INDIRECT("Descriptif!$"&amp;F$15&amp;($B$1 +$A43 -1))),
    ""
)</f>
        <v/>
      </c>
      <c r="G43" s="19" t="str" cm="1">
        <f t="array" aca="1" ref="G43" ca="1">IF(
    AND(
        $B43,
        OR(
            INDIRECT("Descriptif!$M"&amp;($B$1+$A43-1))="Préleveur",
            LEFT(INDIRECT("Descriptif!$M"&amp;($B$1+$A43-1)),5)="Sonde",
            LEFT(INDIRECT("Descriptif!$M"&amp;($B$1+$A43-1)),10)="Débitmètre",
            LEFT(INDIRECT("Descriptif!$F"&amp;($B$1+$A43-1)),6)="PLUVIO"
        )
    ),
    IF(LEFT(INDIRECT("Descriptif!$F"&amp;($B$1+$A43-1)),6)="PLUVIO","Pluviomètre",INDIRECT("Descriptif!$"&amp;G$15&amp;($B$1 +$A43 -1))),
    ""
)</f>
        <v/>
      </c>
      <c r="H43" s="141" t="str" cm="1">
        <f t="array" aca="1" ref="H43" ca="1">IFERROR(INDEX($C$16:$C$116,SMALL(IF($C$16:$C$116&lt;&gt;"",ROW($C$16:$C$116)-ROW($C$16)+1),ROW(A28))),"")</f>
        <v/>
      </c>
      <c r="I43" s="140" t="str" cm="1">
        <f t="array" aca="1" ref="I43" ca="1">IFERROR(INDEX($D$16:$D$116,SMALL(IF($D$16:$D$116&lt;&gt;"",ROW($D$16:$D$116)-ROW($D$16)+1),ROW(A28))),"")</f>
        <v/>
      </c>
      <c r="J43" s="140" t="str" cm="1">
        <f t="array" aca="1" ref="J43" ca="1">IFERROR(INDEX($E$16:$E$116,SMALL(IF($E$16:$E$116&lt;&gt;"",ROW($E$16:$E$116)-ROW($E$16)+1),ROW(A28))),"")</f>
        <v/>
      </c>
      <c r="K43" s="140" t="str" cm="1">
        <f t="array" aca="1" ref="K43" ca="1">IFERROR(INDEX($F$16:$F$116,SMALL(IF($F$16:$F$116&lt;&gt;"",ROW($F$16:$F$116)-ROW($F$16)+1),ROW(A28))),"")</f>
        <v/>
      </c>
      <c r="L43" s="140" t="str">
        <f t="shared" ca="1" si="0"/>
        <v/>
      </c>
      <c r="M43" s="140" t="str" cm="1">
        <f t="array" aca="1" ref="M43" ca="1">IFERROR(INDEX($G$16:$G$116,SMALL(IF($G$16:$G$116&lt;&gt;"",ROW($G$16:$G$116)-ROW($G$16)+1),ROW(A28))),"")</f>
        <v/>
      </c>
      <c r="N43" s="145" t="str">
        <f t="shared" ca="1" si="1"/>
        <v/>
      </c>
      <c r="O43" s="146" t="str">
        <f t="shared" ca="1" si="2"/>
        <v/>
      </c>
      <c r="P43" s="146" t="str" cm="1">
        <f t="array" aca="1" ref="P43" ca="1">IF($J43&lt;&gt;"",IF(INDIRECT($H43&amp;"!"&amp;$O43)&lt;&gt;"",INDIRECT($H43&amp;"!"&amp;$O43),""),"")</f>
        <v/>
      </c>
      <c r="Q43" s="146" t="str">
        <f t="shared" ca="1" si="3"/>
        <v/>
      </c>
      <c r="R43" s="146" t="str" cm="1">
        <f t="array" aca="1" ref="R43" ca="1">IF($J43&lt;&gt;"",IF(INDIRECT($H43&amp;"!"&amp;$Q43)&lt;&gt;"",INDIRECT($H43&amp;"!"&amp;$Q43),""),"")</f>
        <v/>
      </c>
      <c r="S43" s="146" t="str">
        <f t="shared" ca="1" si="4"/>
        <v/>
      </c>
      <c r="T43" s="146" t="str" cm="1">
        <f t="array" aca="1" ref="T43" ca="1">IF($J43&lt;&gt;"",IF(INDIRECT($H43&amp;"!"&amp;$S43)&lt;&gt;"",INDIRECT($H43&amp;"!"&amp;$S43),""),"")</f>
        <v/>
      </c>
      <c r="U43" s="146" t="str">
        <f t="shared" ca="1" si="5"/>
        <v/>
      </c>
      <c r="V43" s="147" t="str" cm="1">
        <f t="array" aca="1" ref="V43" ca="1">IF($J43&lt;&gt;"",IF(INDIRECT($H43&amp;"!"&amp;$U43)&lt;&gt;"",INDIRECT($H43&amp;"!"&amp;$U43),""),"")</f>
        <v/>
      </c>
      <c r="W43" s="294" t="str">
        <f t="shared" ca="1" si="7"/>
        <v/>
      </c>
      <c r="X43" s="295" t="str">
        <f t="shared" ca="1" si="8"/>
        <v/>
      </c>
      <c r="Y43" s="296" t="str" cm="1">
        <f t="array" aca="1" ref="Y43" ca="1">IF($H43&lt;&gt;"",IF(INDIRECT($H43&amp;"!"&amp;$W43&amp;($X43+Y$15+1))&lt;&gt;"",INDIRECT($H43&amp;"!"&amp;$W43&amp;($X43+Y$15+1)),""),"")</f>
        <v/>
      </c>
      <c r="Z43" s="296" t="str" cm="1">
        <f t="array" aca="1" ref="Z43" ca="1">IF($H43&lt;&gt;"",IF(INDIRECT($H43&amp;"!"&amp;$W43&amp;($X43+Z$15+1))&lt;&gt;"",INDIRECT($H43&amp;"!"&amp;$W43&amp;($X43+Z$15+1)),""),"")</f>
        <v/>
      </c>
      <c r="AA43" s="296" t="str" cm="1">
        <f t="array" aca="1" ref="AA43" ca="1">IF($H43&lt;&gt;"",IF(INDIRECT($H43&amp;"!"&amp;$W43&amp;($X43+AA$15+1))&lt;&gt;"",INDIRECT($H43&amp;"!"&amp;$W43&amp;($X43+AA$15+1)),""),"")</f>
        <v/>
      </c>
      <c r="AB43" s="296" t="str" cm="1">
        <f t="array" aca="1" ref="AB43" ca="1">IF($H43&lt;&gt;"",IF(INDIRECT($H43&amp;"!"&amp;$W43&amp;($X43+AB$15+1))&lt;&gt;"",INDIRECT($H43&amp;"!"&amp;$W43&amp;($X43+AB$15+1)),""),"")</f>
        <v/>
      </c>
      <c r="AC43" s="296" t="str" cm="1">
        <f t="array" aca="1" ref="AC43" ca="1">IF(LEFT($J43,5)="Sonde","",IF($H43&lt;&gt;"",IF(INDIRECT($H43&amp;"!"&amp;$W43&amp;($X43+AC$15+1))&lt;&gt;"",INDIRECT($H43&amp;"!"&amp;$W43&amp;($X43+AC$15+1)),""),""))</f>
        <v/>
      </c>
      <c r="AD43" s="296" t="str" cm="1">
        <f t="array" aca="1" ref="AD43" ca="1">IF(OR($J43="Pluviomètre",LEFT($J43,5)="Sonde"),"",IF($H43&lt;&gt;"",IF(INDIRECT($H43&amp;"!"&amp;$W43&amp;($X43+AD$15+1))&lt;&gt;"",INDIRECT($H43&amp;"!"&amp;$W43&amp;($X43+AD$15+1)),""),""))</f>
        <v/>
      </c>
      <c r="AE43" s="296" t="str" cm="1">
        <f t="array" aca="1" ref="AE43" ca="1">IF(OR($J43="Pluviomètre",LEFT($J43,5)="Sonde"),"",IF($H43&lt;&gt;"",IF(INDIRECT($H43&amp;"!"&amp;$W43&amp;($X43+AE$15+1))&lt;&gt;"",INDIRECT($H43&amp;"!"&amp;$W43&amp;($X43+AE$15+1)),""),""))</f>
        <v/>
      </c>
      <c r="AF43" s="296" t="str" cm="1">
        <f t="array" aca="1" ref="AF43" ca="1">IF(OR($J43="Pluviomètre",LEFT($J43,5)="Sonde"),"",IF($H43&lt;&gt;"",IF(INDIRECT($H43&amp;"!"&amp;$W43&amp;($X43+AF$15+1))&lt;&gt;"",INDIRECT($H43&amp;"!"&amp;$W43&amp;($X43+AF$15+1)),""),""))</f>
        <v/>
      </c>
      <c r="AG43" s="296" t="str" cm="1">
        <f t="array" aca="1" ref="AG43" ca="1">IF(OR($J43="Pluviomètre",LEFT($J43,5)="Sonde"),"",IF($H43&lt;&gt;"",IF(INDIRECT($H43&amp;"!"&amp;$W43&amp;($X43+AG$15+1))&lt;&gt;"",INDIRECT($H43&amp;"!"&amp;$W43&amp;($X43+AG$15+1)),""),""))</f>
        <v/>
      </c>
      <c r="AH43" s="296" t="str" cm="1">
        <f t="array" aca="1" ref="AH43" ca="1">IF(OR($J43="Pluviomètre",LEFT($J43,5)="Sonde"),"",IF($H43&lt;&gt;"",IF(INDIRECT($H43&amp;"!"&amp;$W43&amp;($X43+AH$15+1))&lt;&gt;"",INDIRECT($H43&amp;"!"&amp;$W43&amp;($X43+AH$15+1)),""),""))</f>
        <v/>
      </c>
      <c r="AI43" s="294" t="str">
        <f t="shared" ca="1" si="9"/>
        <v/>
      </c>
      <c r="AJ43" s="295" t="str">
        <f t="shared" ca="1" si="10"/>
        <v/>
      </c>
      <c r="AK43" s="296" t="str" cm="1">
        <f t="array" aca="1" ref="AK43" ca="1">IF($H43&lt;&gt;"",IF(INDIRECT($H43&amp;"!"&amp;$AI43&amp;($AJ43+AK$15+1))&lt;&gt;"",INDIRECT($H43&amp;"!"&amp;$AI43&amp;($AJ43+AK$15+1)),""),"")</f>
        <v/>
      </c>
      <c r="AL43" s="296" t="str" cm="1">
        <f t="array" aca="1" ref="AL43" ca="1">IF($H43&lt;&gt;"",IF(INDIRECT($H43&amp;"!"&amp;$AI43&amp;($AJ43+AL$15+1))&lt;&gt;"",INDIRECT($H43&amp;"!"&amp;$AI43&amp;($AJ43+AL$15+1)),""),"")</f>
        <v/>
      </c>
      <c r="AM43" s="296" t="str" cm="1">
        <f t="array" aca="1" ref="AM43" ca="1">IF($H43&lt;&gt;"",IF(INDIRECT($H43&amp;"!"&amp;$AI43&amp;($AJ43+AM$15+1))&lt;&gt;"",INDIRECT($H43&amp;"!"&amp;$AI43&amp;($AJ43+AM$15+1)),""),"")</f>
        <v/>
      </c>
      <c r="AN43" s="296" t="str" cm="1">
        <f t="array" aca="1" ref="AN43" ca="1">IF($H43&lt;&gt;"",IF(INDIRECT($H43&amp;"!"&amp;$AI43&amp;($AJ43+AN$15+1))&lt;&gt;"",INDIRECT($H43&amp;"!"&amp;$AI43&amp;($AJ43+AN$15+1)),""),"")</f>
        <v/>
      </c>
      <c r="AO43" s="296" t="str" cm="1">
        <f t="array" aca="1" ref="AO43" ca="1">IF(LEFT($J43,5)="Sonde","",IF($H43&lt;&gt;"",IF(INDIRECT($H43&amp;"!"&amp;$AI43&amp;($AJ43+AO$15+1))&lt;&gt;"",INDIRECT($H43&amp;"!"&amp;$AI43&amp;($AJ43+AO$15+1)),""),""))</f>
        <v/>
      </c>
      <c r="AP43" s="296" t="str" cm="1">
        <f t="array" aca="1" ref="AP43" ca="1">IF(OR($J43="Pluviomètre",LEFT($J43,5)="Sonde"),"",IF($H43&lt;&gt;"",IF(INDIRECT($H43&amp;"!"&amp;$AI43&amp;($AJ43+AP$15+1))&lt;&gt;"",INDIRECT($H43&amp;"!"&amp;$AI43&amp;($AJ43+AP$15+1)),""),""))</f>
        <v/>
      </c>
      <c r="AQ43" s="296" t="str" cm="1">
        <f t="array" aca="1" ref="AQ43" ca="1">IF(OR($J43="Pluviomètre",LEFT($J43,5)="Sonde"),"",IF($H43&lt;&gt;"",IF(INDIRECT($H43&amp;"!"&amp;$AI43&amp;($AJ43+AQ$15+1))&lt;&gt;"",INDIRECT($H43&amp;"!"&amp;$AI43&amp;($AJ43+AQ$15+1)),""),""))</f>
        <v/>
      </c>
      <c r="AR43" s="296" t="str" cm="1">
        <f t="array" aca="1" ref="AR43" ca="1">IF(OR($J43="Pluviomètre",LEFT($J43,5)="Sonde"),"",IF($H43&lt;&gt;"",IF(INDIRECT($H43&amp;"!"&amp;$AI43&amp;($AJ43+AR$15+1))&lt;&gt;"",INDIRECT($H43&amp;"!"&amp;$AI43&amp;($AJ43+AR$15+1)),""),""))</f>
        <v/>
      </c>
      <c r="AS43" s="296" t="str" cm="1">
        <f t="array" aca="1" ref="AS43" ca="1">IF(OR($J43="Pluviomètre",LEFT($J43,5)="Sonde"),"",IF($H43&lt;&gt;"",IF(INDIRECT($H43&amp;"!"&amp;$AI43&amp;($AJ43+AS$15+1))&lt;&gt;"",INDIRECT($H43&amp;"!"&amp;$AI43&amp;($AJ43+AS$15+1)),""),""))</f>
        <v/>
      </c>
      <c r="AT43" s="296" t="str" cm="1">
        <f t="array" aca="1" ref="AT43" ca="1">IF(OR($J43="Pluviomètre",LEFT($J43,5)="Sonde"),"",IF($H43&lt;&gt;"",IF(INDIRECT($H43&amp;"!"&amp;$AI43&amp;($AJ43+AT$15+1))&lt;&gt;"",INDIRECT($H43&amp;"!"&amp;$AI43&amp;($AJ43+AT$15+1)),""),""))</f>
        <v/>
      </c>
    </row>
    <row r="44" spans="1:46" x14ac:dyDescent="0.4">
      <c r="A44" s="80">
        <v>29</v>
      </c>
      <c r="B44" s="134" t="b">
        <f t="shared" si="6"/>
        <v>0</v>
      </c>
      <c r="C44" s="139" t="str" cm="1">
        <f t="array" aca="1" ref="C44" ca="1">IF(
    AND(
        $B44,
        OR(
            INDIRECT("Descriptif!$M"&amp;($B$1+$A44-1))="Préleveur",
            LEFT(INDIRECT("Descriptif!$M"&amp;($B$1+$A44-1)),5)="Sonde",
            LEFT(INDIRECT("Descriptif!$M"&amp;($B$1+$A44-1)),10)="Débitmètre",
            LEFT(INDIRECT("Descriptif!$F"&amp;($B$1+$A44-1)),6)="PLUVIO"
        )
    ),
    INDIRECT("Descriptif!$"&amp;C$15&amp;($B$1 +$A44 -1)),
    ""
)</f>
        <v/>
      </c>
      <c r="D44" s="277" t="str" cm="1">
        <f t="array" aca="1" ref="D44" ca="1">IF(
    AND(
        $B44,
        OR(
            INDIRECT("Descriptif!$M"&amp;($B$1+$A44-1))="Préleveur",
            LEFT(INDIRECT("Descriptif!$M"&amp;($B$1+$A44-1)),5)="Sonde",
            LEFT(INDIRECT("Descriptif!$M"&amp;($B$1+$A44-1)),10)="Débitmètre",
            LEFT(INDIRECT("Descriptif!$F"&amp;($B$1+$A44-1)),6)="PLUVIO"
        )
    ),
    IF(
        LEFT(INDIRECT("Descriptif!$F"&amp;($B$1+$A44-1)),11)="PLUVIO_STEU",
        "A3",
        IF(
            LEFT(INDIRECT("Descriptif!$F"&amp;($B$1+$A44-1)),10)="PLUVIO_SCL",
            "A1",
            INDIRECT("Descriptif!$"&amp;D$15&amp;($B$1 +$A44 -1))
        )
    ),
    ""
)</f>
        <v/>
      </c>
      <c r="E44" s="277" t="str" cm="1">
        <f t="array" aca="1" ref="E44" ca="1">IF(
    AND(
        $B44,
        OR(
            INDIRECT("Descriptif!$M"&amp;($B$1+$A44-1))="Préleveur",
            LEFT(INDIRECT("Descriptif!$M"&amp;($B$1+$A44-1)),5)="Sonde",
            LEFT(INDIRECT("Descriptif!$M"&amp;($B$1+$A44-1)),10)="Débitmètre",
            LEFT(INDIRECT("Descriptif!$F"&amp;($B$1+$A44-1)),6)="PLUVIO"
        )
    ),
    IF(LEFT(INDIRECT("Descriptif!$F"&amp;($B$1+$A44-1)),6)="PLUVIO","Pluviomètre",INDIRECT("Descriptif!$"&amp;E$15&amp;($B$1 +$A44 -1))),
    ""
)</f>
        <v/>
      </c>
      <c r="F44" s="19" t="str" cm="1">
        <f t="array" aca="1" ref="F44" ca="1">IF(
    AND(
        $B44,
        OR(
            INDIRECT("Descriptif!$M"&amp;($B$1+$A44-1))="Préleveur",
            LEFT(INDIRECT("Descriptif!$M"&amp;($B$1+$A44-1)),5)="Sonde",
            LEFT(INDIRECT("Descriptif!$M"&amp;($B$1+$A44-1)),10)="Débitmètre",
            LEFT(INDIRECT("Descriptif!$F"&amp;($B$1+$A44-1)),6)="PLUVIO"
        )
    ),
    IF(LEFT(INDIRECT("Descriptif!$F"&amp;($B$1+$A44-1)),6)="PLUVIO","Pluviomètre",INDIRECT("Descriptif!$"&amp;F$15&amp;($B$1 +$A44 -1))),
    ""
)</f>
        <v/>
      </c>
      <c r="G44" s="19" t="str" cm="1">
        <f t="array" aca="1" ref="G44" ca="1">IF(
    AND(
        $B44,
        OR(
            INDIRECT("Descriptif!$M"&amp;($B$1+$A44-1))="Préleveur",
            LEFT(INDIRECT("Descriptif!$M"&amp;($B$1+$A44-1)),5)="Sonde",
            LEFT(INDIRECT("Descriptif!$M"&amp;($B$1+$A44-1)),10)="Débitmètre",
            LEFT(INDIRECT("Descriptif!$F"&amp;($B$1+$A44-1)),6)="PLUVIO"
        )
    ),
    IF(LEFT(INDIRECT("Descriptif!$F"&amp;($B$1+$A44-1)),6)="PLUVIO","Pluviomètre",INDIRECT("Descriptif!$"&amp;G$15&amp;($B$1 +$A44 -1))),
    ""
)</f>
        <v/>
      </c>
      <c r="H44" s="141" t="str" cm="1">
        <f t="array" aca="1" ref="H44" ca="1">IFERROR(INDEX($C$16:$C$116,SMALL(IF($C$16:$C$116&lt;&gt;"",ROW($C$16:$C$116)-ROW($C$16)+1),ROW(A29))),"")</f>
        <v/>
      </c>
      <c r="I44" s="140" t="str" cm="1">
        <f t="array" aca="1" ref="I44" ca="1">IFERROR(INDEX($D$16:$D$116,SMALL(IF($D$16:$D$116&lt;&gt;"",ROW($D$16:$D$116)-ROW($D$16)+1),ROW(A29))),"")</f>
        <v/>
      </c>
      <c r="J44" s="140" t="str" cm="1">
        <f t="array" aca="1" ref="J44" ca="1">IFERROR(INDEX($E$16:$E$116,SMALL(IF($E$16:$E$116&lt;&gt;"",ROW($E$16:$E$116)-ROW($E$16)+1),ROW(A29))),"")</f>
        <v/>
      </c>
      <c r="K44" s="140" t="str" cm="1">
        <f t="array" aca="1" ref="K44" ca="1">IFERROR(INDEX($F$16:$F$116,SMALL(IF($F$16:$F$116&lt;&gt;"",ROW($F$16:$F$116)-ROW($F$16)+1),ROW(A29))),"")</f>
        <v/>
      </c>
      <c r="L44" s="140" t="str">
        <f t="shared" ca="1" si="0"/>
        <v/>
      </c>
      <c r="M44" s="140" t="str" cm="1">
        <f t="array" aca="1" ref="M44" ca="1">IFERROR(INDEX($G$16:$G$116,SMALL(IF($G$16:$G$116&lt;&gt;"",ROW($G$16:$G$116)-ROW($G$16)+1),ROW(A29))),"")</f>
        <v/>
      </c>
      <c r="N44" s="145" t="str">
        <f t="shared" ca="1" si="1"/>
        <v/>
      </c>
      <c r="O44" s="146" t="str">
        <f t="shared" ca="1" si="2"/>
        <v/>
      </c>
      <c r="P44" s="146" t="str" cm="1">
        <f t="array" aca="1" ref="P44" ca="1">IF($J44&lt;&gt;"",IF(INDIRECT($H44&amp;"!"&amp;$O44)&lt;&gt;"",INDIRECT($H44&amp;"!"&amp;$O44),""),"")</f>
        <v/>
      </c>
      <c r="Q44" s="146" t="str">
        <f t="shared" ca="1" si="3"/>
        <v/>
      </c>
      <c r="R44" s="146" t="str" cm="1">
        <f t="array" aca="1" ref="R44" ca="1">IF($J44&lt;&gt;"",IF(INDIRECT($H44&amp;"!"&amp;$Q44)&lt;&gt;"",INDIRECT($H44&amp;"!"&amp;$Q44),""),"")</f>
        <v/>
      </c>
      <c r="S44" s="146" t="str">
        <f t="shared" ca="1" si="4"/>
        <v/>
      </c>
      <c r="T44" s="146" t="str" cm="1">
        <f t="array" aca="1" ref="T44" ca="1">IF($J44&lt;&gt;"",IF(INDIRECT($H44&amp;"!"&amp;$S44)&lt;&gt;"",INDIRECT($H44&amp;"!"&amp;$S44),""),"")</f>
        <v/>
      </c>
      <c r="U44" s="146" t="str">
        <f t="shared" ca="1" si="5"/>
        <v/>
      </c>
      <c r="V44" s="147" t="str" cm="1">
        <f t="array" aca="1" ref="V44" ca="1">IF($J44&lt;&gt;"",IF(INDIRECT($H44&amp;"!"&amp;$U44)&lt;&gt;"",INDIRECT($H44&amp;"!"&amp;$U44),""),"")</f>
        <v/>
      </c>
      <c r="W44" s="294" t="str">
        <f t="shared" ca="1" si="7"/>
        <v/>
      </c>
      <c r="X44" s="295" t="str">
        <f t="shared" ca="1" si="8"/>
        <v/>
      </c>
      <c r="Y44" s="296" t="str" cm="1">
        <f t="array" aca="1" ref="Y44" ca="1">IF($H44&lt;&gt;"",IF(INDIRECT($H44&amp;"!"&amp;$W44&amp;($X44+Y$15+1))&lt;&gt;"",INDIRECT($H44&amp;"!"&amp;$W44&amp;($X44+Y$15+1)),""),"")</f>
        <v/>
      </c>
      <c r="Z44" s="296" t="str" cm="1">
        <f t="array" aca="1" ref="Z44" ca="1">IF($H44&lt;&gt;"",IF(INDIRECT($H44&amp;"!"&amp;$W44&amp;($X44+Z$15+1))&lt;&gt;"",INDIRECT($H44&amp;"!"&amp;$W44&amp;($X44+Z$15+1)),""),"")</f>
        <v/>
      </c>
      <c r="AA44" s="296" t="str" cm="1">
        <f t="array" aca="1" ref="AA44" ca="1">IF($H44&lt;&gt;"",IF(INDIRECT($H44&amp;"!"&amp;$W44&amp;($X44+AA$15+1))&lt;&gt;"",INDIRECT($H44&amp;"!"&amp;$W44&amp;($X44+AA$15+1)),""),"")</f>
        <v/>
      </c>
      <c r="AB44" s="296" t="str" cm="1">
        <f t="array" aca="1" ref="AB44" ca="1">IF($H44&lt;&gt;"",IF(INDIRECT($H44&amp;"!"&amp;$W44&amp;($X44+AB$15+1))&lt;&gt;"",INDIRECT($H44&amp;"!"&amp;$W44&amp;($X44+AB$15+1)),""),"")</f>
        <v/>
      </c>
      <c r="AC44" s="296" t="str" cm="1">
        <f t="array" aca="1" ref="AC44" ca="1">IF(LEFT($J44,5)="Sonde","",IF($H44&lt;&gt;"",IF(INDIRECT($H44&amp;"!"&amp;$W44&amp;($X44+AC$15+1))&lt;&gt;"",INDIRECT($H44&amp;"!"&amp;$W44&amp;($X44+AC$15+1)),""),""))</f>
        <v/>
      </c>
      <c r="AD44" s="296" t="str" cm="1">
        <f t="array" aca="1" ref="AD44" ca="1">IF(OR($J44="Pluviomètre",LEFT($J44,5)="Sonde"),"",IF($H44&lt;&gt;"",IF(INDIRECT($H44&amp;"!"&amp;$W44&amp;($X44+AD$15+1))&lt;&gt;"",INDIRECT($H44&amp;"!"&amp;$W44&amp;($X44+AD$15+1)),""),""))</f>
        <v/>
      </c>
      <c r="AE44" s="296" t="str" cm="1">
        <f t="array" aca="1" ref="AE44" ca="1">IF(OR($J44="Pluviomètre",LEFT($J44,5)="Sonde"),"",IF($H44&lt;&gt;"",IF(INDIRECT($H44&amp;"!"&amp;$W44&amp;($X44+AE$15+1))&lt;&gt;"",INDIRECT($H44&amp;"!"&amp;$W44&amp;($X44+AE$15+1)),""),""))</f>
        <v/>
      </c>
      <c r="AF44" s="296" t="str" cm="1">
        <f t="array" aca="1" ref="AF44" ca="1">IF(OR($J44="Pluviomètre",LEFT($J44,5)="Sonde"),"",IF($H44&lt;&gt;"",IF(INDIRECT($H44&amp;"!"&amp;$W44&amp;($X44+AF$15+1))&lt;&gt;"",INDIRECT($H44&amp;"!"&amp;$W44&amp;($X44+AF$15+1)),""),""))</f>
        <v/>
      </c>
      <c r="AG44" s="296" t="str" cm="1">
        <f t="array" aca="1" ref="AG44" ca="1">IF(OR($J44="Pluviomètre",LEFT($J44,5)="Sonde"),"",IF($H44&lt;&gt;"",IF(INDIRECT($H44&amp;"!"&amp;$W44&amp;($X44+AG$15+1))&lt;&gt;"",INDIRECT($H44&amp;"!"&amp;$W44&amp;($X44+AG$15+1)),""),""))</f>
        <v/>
      </c>
      <c r="AH44" s="296" t="str" cm="1">
        <f t="array" aca="1" ref="AH44" ca="1">IF(OR($J44="Pluviomètre",LEFT($J44,5)="Sonde"),"",IF($H44&lt;&gt;"",IF(INDIRECT($H44&amp;"!"&amp;$W44&amp;($X44+AH$15+1))&lt;&gt;"",INDIRECT($H44&amp;"!"&amp;$W44&amp;($X44+AH$15+1)),""),""))</f>
        <v/>
      </c>
      <c r="AI44" s="294" t="str">
        <f t="shared" ca="1" si="9"/>
        <v/>
      </c>
      <c r="AJ44" s="295" t="str">
        <f t="shared" ca="1" si="10"/>
        <v/>
      </c>
      <c r="AK44" s="296" t="str" cm="1">
        <f t="array" aca="1" ref="AK44" ca="1">IF($H44&lt;&gt;"",IF(INDIRECT($H44&amp;"!"&amp;$AI44&amp;($AJ44+AK$15+1))&lt;&gt;"",INDIRECT($H44&amp;"!"&amp;$AI44&amp;($AJ44+AK$15+1)),""),"")</f>
        <v/>
      </c>
      <c r="AL44" s="296" t="str" cm="1">
        <f t="array" aca="1" ref="AL44" ca="1">IF($H44&lt;&gt;"",IF(INDIRECT($H44&amp;"!"&amp;$AI44&amp;($AJ44+AL$15+1))&lt;&gt;"",INDIRECT($H44&amp;"!"&amp;$AI44&amp;($AJ44+AL$15+1)),""),"")</f>
        <v/>
      </c>
      <c r="AM44" s="296" t="str" cm="1">
        <f t="array" aca="1" ref="AM44" ca="1">IF($H44&lt;&gt;"",IF(INDIRECT($H44&amp;"!"&amp;$AI44&amp;($AJ44+AM$15+1))&lt;&gt;"",INDIRECT($H44&amp;"!"&amp;$AI44&amp;($AJ44+AM$15+1)),""),"")</f>
        <v/>
      </c>
      <c r="AN44" s="296" t="str" cm="1">
        <f t="array" aca="1" ref="AN44" ca="1">IF($H44&lt;&gt;"",IF(INDIRECT($H44&amp;"!"&amp;$AI44&amp;($AJ44+AN$15+1))&lt;&gt;"",INDIRECT($H44&amp;"!"&amp;$AI44&amp;($AJ44+AN$15+1)),""),"")</f>
        <v/>
      </c>
      <c r="AO44" s="296" t="str" cm="1">
        <f t="array" aca="1" ref="AO44" ca="1">IF(LEFT($J44,5)="Sonde","",IF($H44&lt;&gt;"",IF(INDIRECT($H44&amp;"!"&amp;$AI44&amp;($AJ44+AO$15+1))&lt;&gt;"",INDIRECT($H44&amp;"!"&amp;$AI44&amp;($AJ44+AO$15+1)),""),""))</f>
        <v/>
      </c>
      <c r="AP44" s="296" t="str" cm="1">
        <f t="array" aca="1" ref="AP44" ca="1">IF(OR($J44="Pluviomètre",LEFT($J44,5)="Sonde"),"",IF($H44&lt;&gt;"",IF(INDIRECT($H44&amp;"!"&amp;$AI44&amp;($AJ44+AP$15+1))&lt;&gt;"",INDIRECT($H44&amp;"!"&amp;$AI44&amp;($AJ44+AP$15+1)),""),""))</f>
        <v/>
      </c>
      <c r="AQ44" s="296" t="str" cm="1">
        <f t="array" aca="1" ref="AQ44" ca="1">IF(OR($J44="Pluviomètre",LEFT($J44,5)="Sonde"),"",IF($H44&lt;&gt;"",IF(INDIRECT($H44&amp;"!"&amp;$AI44&amp;($AJ44+AQ$15+1))&lt;&gt;"",INDIRECT($H44&amp;"!"&amp;$AI44&amp;($AJ44+AQ$15+1)),""),""))</f>
        <v/>
      </c>
      <c r="AR44" s="296" t="str" cm="1">
        <f t="array" aca="1" ref="AR44" ca="1">IF(OR($J44="Pluviomètre",LEFT($J44,5)="Sonde"),"",IF($H44&lt;&gt;"",IF(INDIRECT($H44&amp;"!"&amp;$AI44&amp;($AJ44+AR$15+1))&lt;&gt;"",INDIRECT($H44&amp;"!"&amp;$AI44&amp;($AJ44+AR$15+1)),""),""))</f>
        <v/>
      </c>
      <c r="AS44" s="296" t="str" cm="1">
        <f t="array" aca="1" ref="AS44" ca="1">IF(OR($J44="Pluviomètre",LEFT($J44,5)="Sonde"),"",IF($H44&lt;&gt;"",IF(INDIRECT($H44&amp;"!"&amp;$AI44&amp;($AJ44+AS$15+1))&lt;&gt;"",INDIRECT($H44&amp;"!"&amp;$AI44&amp;($AJ44+AS$15+1)),""),""))</f>
        <v/>
      </c>
      <c r="AT44" s="296" t="str" cm="1">
        <f t="array" aca="1" ref="AT44" ca="1">IF(OR($J44="Pluviomètre",LEFT($J44,5)="Sonde"),"",IF($H44&lt;&gt;"",IF(INDIRECT($H44&amp;"!"&amp;$AI44&amp;($AJ44+AT$15+1))&lt;&gt;"",INDIRECT($H44&amp;"!"&amp;$AI44&amp;($AJ44+AT$15+1)),""),""))</f>
        <v/>
      </c>
    </row>
    <row r="45" spans="1:46" x14ac:dyDescent="0.4">
      <c r="A45" s="80">
        <v>30</v>
      </c>
      <c r="B45" s="134" t="b">
        <f t="shared" si="6"/>
        <v>0</v>
      </c>
      <c r="C45" s="139" t="str" cm="1">
        <f t="array" aca="1" ref="C45" ca="1">IF(
    AND(
        $B45,
        OR(
            INDIRECT("Descriptif!$M"&amp;($B$1+$A45-1))="Préleveur",
            LEFT(INDIRECT("Descriptif!$M"&amp;($B$1+$A45-1)),5)="Sonde",
            LEFT(INDIRECT("Descriptif!$M"&amp;($B$1+$A45-1)),10)="Débitmètre",
            LEFT(INDIRECT("Descriptif!$F"&amp;($B$1+$A45-1)),6)="PLUVIO"
        )
    ),
    INDIRECT("Descriptif!$"&amp;C$15&amp;($B$1 +$A45 -1)),
    ""
)</f>
        <v/>
      </c>
      <c r="D45" s="277" t="str" cm="1">
        <f t="array" aca="1" ref="D45" ca="1">IF(
    AND(
        $B45,
        OR(
            INDIRECT("Descriptif!$M"&amp;($B$1+$A45-1))="Préleveur",
            LEFT(INDIRECT("Descriptif!$M"&amp;($B$1+$A45-1)),5)="Sonde",
            LEFT(INDIRECT("Descriptif!$M"&amp;($B$1+$A45-1)),10)="Débitmètre",
            LEFT(INDIRECT("Descriptif!$F"&amp;($B$1+$A45-1)),6)="PLUVIO"
        )
    ),
    IF(
        LEFT(INDIRECT("Descriptif!$F"&amp;($B$1+$A45-1)),11)="PLUVIO_STEU",
        "A3",
        IF(
            LEFT(INDIRECT("Descriptif!$F"&amp;($B$1+$A45-1)),10)="PLUVIO_SCL",
            "A1",
            INDIRECT("Descriptif!$"&amp;D$15&amp;($B$1 +$A45 -1))
        )
    ),
    ""
)</f>
        <v/>
      </c>
      <c r="E45" s="277" t="str" cm="1">
        <f t="array" aca="1" ref="E45" ca="1">IF(
    AND(
        $B45,
        OR(
            INDIRECT("Descriptif!$M"&amp;($B$1+$A45-1))="Préleveur",
            LEFT(INDIRECT("Descriptif!$M"&amp;($B$1+$A45-1)),5)="Sonde",
            LEFT(INDIRECT("Descriptif!$M"&amp;($B$1+$A45-1)),10)="Débitmètre",
            LEFT(INDIRECT("Descriptif!$F"&amp;($B$1+$A45-1)),6)="PLUVIO"
        )
    ),
    IF(LEFT(INDIRECT("Descriptif!$F"&amp;($B$1+$A45-1)),6)="PLUVIO","Pluviomètre",INDIRECT("Descriptif!$"&amp;E$15&amp;($B$1 +$A45 -1))),
    ""
)</f>
        <v/>
      </c>
      <c r="F45" s="19" t="str" cm="1">
        <f t="array" aca="1" ref="F45" ca="1">IF(
    AND(
        $B45,
        OR(
            INDIRECT("Descriptif!$M"&amp;($B$1+$A45-1))="Préleveur",
            LEFT(INDIRECT("Descriptif!$M"&amp;($B$1+$A45-1)),5)="Sonde",
            LEFT(INDIRECT("Descriptif!$M"&amp;($B$1+$A45-1)),10)="Débitmètre",
            LEFT(INDIRECT("Descriptif!$F"&amp;($B$1+$A45-1)),6)="PLUVIO"
        )
    ),
    IF(LEFT(INDIRECT("Descriptif!$F"&amp;($B$1+$A45-1)),6)="PLUVIO","Pluviomètre",INDIRECT("Descriptif!$"&amp;F$15&amp;($B$1 +$A45 -1))),
    ""
)</f>
        <v/>
      </c>
      <c r="G45" s="19" t="str" cm="1">
        <f t="array" aca="1" ref="G45" ca="1">IF(
    AND(
        $B45,
        OR(
            INDIRECT("Descriptif!$M"&amp;($B$1+$A45-1))="Préleveur",
            LEFT(INDIRECT("Descriptif!$M"&amp;($B$1+$A45-1)),5)="Sonde",
            LEFT(INDIRECT("Descriptif!$M"&amp;($B$1+$A45-1)),10)="Débitmètre",
            LEFT(INDIRECT("Descriptif!$F"&amp;($B$1+$A45-1)),6)="PLUVIO"
        )
    ),
    IF(LEFT(INDIRECT("Descriptif!$F"&amp;($B$1+$A45-1)),6)="PLUVIO","Pluviomètre",INDIRECT("Descriptif!$"&amp;G$15&amp;($B$1 +$A45 -1))),
    ""
)</f>
        <v/>
      </c>
      <c r="H45" s="141" t="str" cm="1">
        <f t="array" aca="1" ref="H45" ca="1">IFERROR(INDEX($C$16:$C$116,SMALL(IF($C$16:$C$116&lt;&gt;"",ROW($C$16:$C$116)-ROW($C$16)+1),ROW(A30))),"")</f>
        <v/>
      </c>
      <c r="I45" s="140" t="str" cm="1">
        <f t="array" aca="1" ref="I45" ca="1">IFERROR(INDEX($D$16:$D$116,SMALL(IF($D$16:$D$116&lt;&gt;"",ROW($D$16:$D$116)-ROW($D$16)+1),ROW(A30))),"")</f>
        <v/>
      </c>
      <c r="J45" s="140" t="str" cm="1">
        <f t="array" aca="1" ref="J45" ca="1">IFERROR(INDEX($E$16:$E$116,SMALL(IF($E$16:$E$116&lt;&gt;"",ROW($E$16:$E$116)-ROW($E$16)+1),ROW(A30))),"")</f>
        <v/>
      </c>
      <c r="K45" s="140" t="str" cm="1">
        <f t="array" aca="1" ref="K45" ca="1">IFERROR(INDEX($F$16:$F$116,SMALL(IF($F$16:$F$116&lt;&gt;"",ROW($F$16:$F$116)-ROW($F$16)+1),ROW(A30))),"")</f>
        <v/>
      </c>
      <c r="L45" s="140" t="str">
        <f t="shared" ca="1" si="0"/>
        <v/>
      </c>
      <c r="M45" s="140" t="str" cm="1">
        <f t="array" aca="1" ref="M45" ca="1">IFERROR(INDEX($G$16:$G$116,SMALL(IF($G$16:$G$116&lt;&gt;"",ROW($G$16:$G$116)-ROW($G$16)+1),ROW(A30))),"")</f>
        <v/>
      </c>
      <c r="N45" s="145" t="str">
        <f t="shared" ca="1" si="1"/>
        <v/>
      </c>
      <c r="O45" s="146" t="str">
        <f t="shared" ca="1" si="2"/>
        <v/>
      </c>
      <c r="P45" s="146" t="str" cm="1">
        <f t="array" aca="1" ref="P45" ca="1">IF($J45&lt;&gt;"",IF(INDIRECT($H45&amp;"!"&amp;$O45)&lt;&gt;"",INDIRECT($H45&amp;"!"&amp;$O45),""),"")</f>
        <v/>
      </c>
      <c r="Q45" s="146" t="str">
        <f t="shared" ca="1" si="3"/>
        <v/>
      </c>
      <c r="R45" s="146" t="str" cm="1">
        <f t="array" aca="1" ref="R45" ca="1">IF($J45&lt;&gt;"",IF(INDIRECT($H45&amp;"!"&amp;$Q45)&lt;&gt;"",INDIRECT($H45&amp;"!"&amp;$Q45),""),"")</f>
        <v/>
      </c>
      <c r="S45" s="146" t="str">
        <f t="shared" ca="1" si="4"/>
        <v/>
      </c>
      <c r="T45" s="146" t="str" cm="1">
        <f t="array" aca="1" ref="T45" ca="1">IF($J45&lt;&gt;"",IF(INDIRECT($H45&amp;"!"&amp;$S45)&lt;&gt;"",INDIRECT($H45&amp;"!"&amp;$S45),""),"")</f>
        <v/>
      </c>
      <c r="U45" s="146" t="str">
        <f t="shared" ca="1" si="5"/>
        <v/>
      </c>
      <c r="V45" s="147" t="str" cm="1">
        <f t="array" aca="1" ref="V45" ca="1">IF($J45&lt;&gt;"",IF(INDIRECT($H45&amp;"!"&amp;$U45)&lt;&gt;"",INDIRECT($H45&amp;"!"&amp;$U45),""),"")</f>
        <v/>
      </c>
      <c r="W45" s="294" t="str">
        <f t="shared" ca="1" si="7"/>
        <v/>
      </c>
      <c r="X45" s="295" t="str">
        <f t="shared" ca="1" si="8"/>
        <v/>
      </c>
      <c r="Y45" s="296" t="str" cm="1">
        <f t="array" aca="1" ref="Y45" ca="1">IF($H45&lt;&gt;"",IF(INDIRECT($H45&amp;"!"&amp;$W45&amp;($X45+Y$15+1))&lt;&gt;"",INDIRECT($H45&amp;"!"&amp;$W45&amp;($X45+Y$15+1)),""),"")</f>
        <v/>
      </c>
      <c r="Z45" s="296" t="str" cm="1">
        <f t="array" aca="1" ref="Z45" ca="1">IF($H45&lt;&gt;"",IF(INDIRECT($H45&amp;"!"&amp;$W45&amp;($X45+Z$15+1))&lt;&gt;"",INDIRECT($H45&amp;"!"&amp;$W45&amp;($X45+Z$15+1)),""),"")</f>
        <v/>
      </c>
      <c r="AA45" s="296" t="str" cm="1">
        <f t="array" aca="1" ref="AA45" ca="1">IF($H45&lt;&gt;"",IF(INDIRECT($H45&amp;"!"&amp;$W45&amp;($X45+AA$15+1))&lt;&gt;"",INDIRECT($H45&amp;"!"&amp;$W45&amp;($X45+AA$15+1)),""),"")</f>
        <v/>
      </c>
      <c r="AB45" s="296" t="str" cm="1">
        <f t="array" aca="1" ref="AB45" ca="1">IF($H45&lt;&gt;"",IF(INDIRECT($H45&amp;"!"&amp;$W45&amp;($X45+AB$15+1))&lt;&gt;"",INDIRECT($H45&amp;"!"&amp;$W45&amp;($X45+AB$15+1)),""),"")</f>
        <v/>
      </c>
      <c r="AC45" s="296" t="str" cm="1">
        <f t="array" aca="1" ref="AC45" ca="1">IF(LEFT($J45,5)="Sonde","",IF($H45&lt;&gt;"",IF(INDIRECT($H45&amp;"!"&amp;$W45&amp;($X45+AC$15+1))&lt;&gt;"",INDIRECT($H45&amp;"!"&amp;$W45&amp;($X45+AC$15+1)),""),""))</f>
        <v/>
      </c>
      <c r="AD45" s="296" t="str" cm="1">
        <f t="array" aca="1" ref="AD45" ca="1">IF(OR($J45="Pluviomètre",LEFT($J45,5)="Sonde"),"",IF($H45&lt;&gt;"",IF(INDIRECT($H45&amp;"!"&amp;$W45&amp;($X45+AD$15+1))&lt;&gt;"",INDIRECT($H45&amp;"!"&amp;$W45&amp;($X45+AD$15+1)),""),""))</f>
        <v/>
      </c>
      <c r="AE45" s="296" t="str" cm="1">
        <f t="array" aca="1" ref="AE45" ca="1">IF(OR($J45="Pluviomètre",LEFT($J45,5)="Sonde"),"",IF($H45&lt;&gt;"",IF(INDIRECT($H45&amp;"!"&amp;$W45&amp;($X45+AE$15+1))&lt;&gt;"",INDIRECT($H45&amp;"!"&amp;$W45&amp;($X45+AE$15+1)),""),""))</f>
        <v/>
      </c>
      <c r="AF45" s="296" t="str" cm="1">
        <f t="array" aca="1" ref="AF45" ca="1">IF(OR($J45="Pluviomètre",LEFT($J45,5)="Sonde"),"",IF($H45&lt;&gt;"",IF(INDIRECT($H45&amp;"!"&amp;$W45&amp;($X45+AF$15+1))&lt;&gt;"",INDIRECT($H45&amp;"!"&amp;$W45&amp;($X45+AF$15+1)),""),""))</f>
        <v/>
      </c>
      <c r="AG45" s="296" t="str" cm="1">
        <f t="array" aca="1" ref="AG45" ca="1">IF(OR($J45="Pluviomètre",LEFT($J45,5)="Sonde"),"",IF($H45&lt;&gt;"",IF(INDIRECT($H45&amp;"!"&amp;$W45&amp;($X45+AG$15+1))&lt;&gt;"",INDIRECT($H45&amp;"!"&amp;$W45&amp;($X45+AG$15+1)),""),""))</f>
        <v/>
      </c>
      <c r="AH45" s="296" t="str" cm="1">
        <f t="array" aca="1" ref="AH45" ca="1">IF(OR($J45="Pluviomètre",LEFT($J45,5)="Sonde"),"",IF($H45&lt;&gt;"",IF(INDIRECT($H45&amp;"!"&amp;$W45&amp;($X45+AH$15+1))&lt;&gt;"",INDIRECT($H45&amp;"!"&amp;$W45&amp;($X45+AH$15+1)),""),""))</f>
        <v/>
      </c>
      <c r="AI45" s="294" t="str">
        <f t="shared" ca="1" si="9"/>
        <v/>
      </c>
      <c r="AJ45" s="295" t="str">
        <f t="shared" ca="1" si="10"/>
        <v/>
      </c>
      <c r="AK45" s="296" t="str" cm="1">
        <f t="array" aca="1" ref="AK45" ca="1">IF($H45&lt;&gt;"",IF(INDIRECT($H45&amp;"!"&amp;$AI45&amp;($AJ45+AK$15+1))&lt;&gt;"",INDIRECT($H45&amp;"!"&amp;$AI45&amp;($AJ45+AK$15+1)),""),"")</f>
        <v/>
      </c>
      <c r="AL45" s="296" t="str" cm="1">
        <f t="array" aca="1" ref="AL45" ca="1">IF($H45&lt;&gt;"",IF(INDIRECT($H45&amp;"!"&amp;$AI45&amp;($AJ45+AL$15+1))&lt;&gt;"",INDIRECT($H45&amp;"!"&amp;$AI45&amp;($AJ45+AL$15+1)),""),"")</f>
        <v/>
      </c>
      <c r="AM45" s="296" t="str" cm="1">
        <f t="array" aca="1" ref="AM45" ca="1">IF($H45&lt;&gt;"",IF(INDIRECT($H45&amp;"!"&amp;$AI45&amp;($AJ45+AM$15+1))&lt;&gt;"",INDIRECT($H45&amp;"!"&amp;$AI45&amp;($AJ45+AM$15+1)),""),"")</f>
        <v/>
      </c>
      <c r="AN45" s="296" t="str" cm="1">
        <f t="array" aca="1" ref="AN45" ca="1">IF($H45&lt;&gt;"",IF(INDIRECT($H45&amp;"!"&amp;$AI45&amp;($AJ45+AN$15+1))&lt;&gt;"",INDIRECT($H45&amp;"!"&amp;$AI45&amp;($AJ45+AN$15+1)),""),"")</f>
        <v/>
      </c>
      <c r="AO45" s="296" t="str" cm="1">
        <f t="array" aca="1" ref="AO45" ca="1">IF(LEFT($J45,5)="Sonde","",IF($H45&lt;&gt;"",IF(INDIRECT($H45&amp;"!"&amp;$AI45&amp;($AJ45+AO$15+1))&lt;&gt;"",INDIRECT($H45&amp;"!"&amp;$AI45&amp;($AJ45+AO$15+1)),""),""))</f>
        <v/>
      </c>
      <c r="AP45" s="296" t="str" cm="1">
        <f t="array" aca="1" ref="AP45" ca="1">IF(OR($J45="Pluviomètre",LEFT($J45,5)="Sonde"),"",IF($H45&lt;&gt;"",IF(INDIRECT($H45&amp;"!"&amp;$AI45&amp;($AJ45+AP$15+1))&lt;&gt;"",INDIRECT($H45&amp;"!"&amp;$AI45&amp;($AJ45+AP$15+1)),""),""))</f>
        <v/>
      </c>
      <c r="AQ45" s="296" t="str" cm="1">
        <f t="array" aca="1" ref="AQ45" ca="1">IF(OR($J45="Pluviomètre",LEFT($J45,5)="Sonde"),"",IF($H45&lt;&gt;"",IF(INDIRECT($H45&amp;"!"&amp;$AI45&amp;($AJ45+AQ$15+1))&lt;&gt;"",INDIRECT($H45&amp;"!"&amp;$AI45&amp;($AJ45+AQ$15+1)),""),""))</f>
        <v/>
      </c>
      <c r="AR45" s="296" t="str" cm="1">
        <f t="array" aca="1" ref="AR45" ca="1">IF(OR($J45="Pluviomètre",LEFT($J45,5)="Sonde"),"",IF($H45&lt;&gt;"",IF(INDIRECT($H45&amp;"!"&amp;$AI45&amp;($AJ45+AR$15+1))&lt;&gt;"",INDIRECT($H45&amp;"!"&amp;$AI45&amp;($AJ45+AR$15+1)),""),""))</f>
        <v/>
      </c>
      <c r="AS45" s="296" t="str" cm="1">
        <f t="array" aca="1" ref="AS45" ca="1">IF(OR($J45="Pluviomètre",LEFT($J45,5)="Sonde"),"",IF($H45&lt;&gt;"",IF(INDIRECT($H45&amp;"!"&amp;$AI45&amp;($AJ45+AS$15+1))&lt;&gt;"",INDIRECT($H45&amp;"!"&amp;$AI45&amp;($AJ45+AS$15+1)),""),""))</f>
        <v/>
      </c>
      <c r="AT45" s="296" t="str" cm="1">
        <f t="array" aca="1" ref="AT45" ca="1">IF(OR($J45="Pluviomètre",LEFT($J45,5)="Sonde"),"",IF($H45&lt;&gt;"",IF(INDIRECT($H45&amp;"!"&amp;$AI45&amp;($AJ45+AT$15+1))&lt;&gt;"",INDIRECT($H45&amp;"!"&amp;$AI45&amp;($AJ45+AT$15+1)),""),""))</f>
        <v/>
      </c>
    </row>
    <row r="46" spans="1:46" x14ac:dyDescent="0.4">
      <c r="A46" s="80">
        <v>31</v>
      </c>
      <c r="B46" s="134" t="b">
        <f t="shared" si="6"/>
        <v>0</v>
      </c>
      <c r="C46" s="139" t="str" cm="1">
        <f t="array" aca="1" ref="C46" ca="1">IF(
    AND(
        $B46,
        OR(
            INDIRECT("Descriptif!$M"&amp;($B$1+$A46-1))="Préleveur",
            LEFT(INDIRECT("Descriptif!$M"&amp;($B$1+$A46-1)),5)="Sonde",
            LEFT(INDIRECT("Descriptif!$M"&amp;($B$1+$A46-1)),10)="Débitmètre",
            LEFT(INDIRECT("Descriptif!$F"&amp;($B$1+$A46-1)),6)="PLUVIO"
        )
    ),
    INDIRECT("Descriptif!$"&amp;C$15&amp;($B$1 +$A46 -1)),
    ""
)</f>
        <v/>
      </c>
      <c r="D46" s="277" t="str" cm="1">
        <f t="array" aca="1" ref="D46" ca="1">IF(
    AND(
        $B46,
        OR(
            INDIRECT("Descriptif!$M"&amp;($B$1+$A46-1))="Préleveur",
            LEFT(INDIRECT("Descriptif!$M"&amp;($B$1+$A46-1)),5)="Sonde",
            LEFT(INDIRECT("Descriptif!$M"&amp;($B$1+$A46-1)),10)="Débitmètre",
            LEFT(INDIRECT("Descriptif!$F"&amp;($B$1+$A46-1)),6)="PLUVIO"
        )
    ),
    IF(
        LEFT(INDIRECT("Descriptif!$F"&amp;($B$1+$A46-1)),11)="PLUVIO_STEU",
        "A3",
        IF(
            LEFT(INDIRECT("Descriptif!$F"&amp;($B$1+$A46-1)),10)="PLUVIO_SCL",
            "A1",
            INDIRECT("Descriptif!$"&amp;D$15&amp;($B$1 +$A46 -1))
        )
    ),
    ""
)</f>
        <v/>
      </c>
      <c r="E46" s="277" t="str" cm="1">
        <f t="array" aca="1" ref="E46" ca="1">IF(
    AND(
        $B46,
        OR(
            INDIRECT("Descriptif!$M"&amp;($B$1+$A46-1))="Préleveur",
            LEFT(INDIRECT("Descriptif!$M"&amp;($B$1+$A46-1)),5)="Sonde",
            LEFT(INDIRECT("Descriptif!$M"&amp;($B$1+$A46-1)),10)="Débitmètre",
            LEFT(INDIRECT("Descriptif!$F"&amp;($B$1+$A46-1)),6)="PLUVIO"
        )
    ),
    IF(LEFT(INDIRECT("Descriptif!$F"&amp;($B$1+$A46-1)),6)="PLUVIO","Pluviomètre",INDIRECT("Descriptif!$"&amp;E$15&amp;($B$1 +$A46 -1))),
    ""
)</f>
        <v/>
      </c>
      <c r="F46" s="19" t="str" cm="1">
        <f t="array" aca="1" ref="F46" ca="1">IF(
    AND(
        $B46,
        OR(
            INDIRECT("Descriptif!$M"&amp;($B$1+$A46-1))="Préleveur",
            LEFT(INDIRECT("Descriptif!$M"&amp;($B$1+$A46-1)),5)="Sonde",
            LEFT(INDIRECT("Descriptif!$M"&amp;($B$1+$A46-1)),10)="Débitmètre",
            LEFT(INDIRECT("Descriptif!$F"&amp;($B$1+$A46-1)),6)="PLUVIO"
        )
    ),
    IF(LEFT(INDIRECT("Descriptif!$F"&amp;($B$1+$A46-1)),6)="PLUVIO","Pluviomètre",INDIRECT("Descriptif!$"&amp;F$15&amp;($B$1 +$A46 -1))),
    ""
)</f>
        <v/>
      </c>
      <c r="G46" s="19" t="str" cm="1">
        <f t="array" aca="1" ref="G46" ca="1">IF(
    AND(
        $B46,
        OR(
            INDIRECT("Descriptif!$M"&amp;($B$1+$A46-1))="Préleveur",
            LEFT(INDIRECT("Descriptif!$M"&amp;($B$1+$A46-1)),5)="Sonde",
            LEFT(INDIRECT("Descriptif!$M"&amp;($B$1+$A46-1)),10)="Débitmètre",
            LEFT(INDIRECT("Descriptif!$F"&amp;($B$1+$A46-1)),6)="PLUVIO"
        )
    ),
    IF(LEFT(INDIRECT("Descriptif!$F"&amp;($B$1+$A46-1)),6)="PLUVIO","Pluviomètre",INDIRECT("Descriptif!$"&amp;G$15&amp;($B$1 +$A46 -1))),
    ""
)</f>
        <v/>
      </c>
      <c r="H46" s="141" t="str" cm="1">
        <f t="array" aca="1" ref="H46" ca="1">IFERROR(INDEX($C$16:$C$116,SMALL(IF($C$16:$C$116&lt;&gt;"",ROW($C$16:$C$116)-ROW($C$16)+1),ROW(A31))),"")</f>
        <v/>
      </c>
      <c r="I46" s="140" t="str" cm="1">
        <f t="array" aca="1" ref="I46" ca="1">IFERROR(INDEX($D$16:$D$116,SMALL(IF($D$16:$D$116&lt;&gt;"",ROW($D$16:$D$116)-ROW($D$16)+1),ROW(A31))),"")</f>
        <v/>
      </c>
      <c r="J46" s="140" t="str" cm="1">
        <f t="array" aca="1" ref="J46" ca="1">IFERROR(INDEX($E$16:$E$116,SMALL(IF($E$16:$E$116&lt;&gt;"",ROW($E$16:$E$116)-ROW($E$16)+1),ROW(A31))),"")</f>
        <v/>
      </c>
      <c r="K46" s="140" t="str" cm="1">
        <f t="array" aca="1" ref="K46" ca="1">IFERROR(INDEX($F$16:$F$116,SMALL(IF($F$16:$F$116&lt;&gt;"",ROW($F$16:$F$116)-ROW($F$16)+1),ROW(A31))),"")</f>
        <v/>
      </c>
      <c r="L46" s="140" t="str">
        <f t="shared" ca="1" si="0"/>
        <v/>
      </c>
      <c r="M46" s="140" t="str" cm="1">
        <f t="array" aca="1" ref="M46" ca="1">IFERROR(INDEX($G$16:$G$116,SMALL(IF($G$16:$G$116&lt;&gt;"",ROW($G$16:$G$116)-ROW($G$16)+1),ROW(A31))),"")</f>
        <v/>
      </c>
      <c r="N46" s="145" t="str">
        <f t="shared" ca="1" si="1"/>
        <v/>
      </c>
      <c r="O46" s="146" t="str">
        <f t="shared" ca="1" si="2"/>
        <v/>
      </c>
      <c r="P46" s="146" t="str" cm="1">
        <f t="array" aca="1" ref="P46" ca="1">IF($J46&lt;&gt;"",IF(INDIRECT($H46&amp;"!"&amp;$O46)&lt;&gt;"",INDIRECT($H46&amp;"!"&amp;$O46),""),"")</f>
        <v/>
      </c>
      <c r="Q46" s="146" t="str">
        <f t="shared" ca="1" si="3"/>
        <v/>
      </c>
      <c r="R46" s="146" t="str" cm="1">
        <f t="array" aca="1" ref="R46" ca="1">IF($J46&lt;&gt;"",IF(INDIRECT($H46&amp;"!"&amp;$Q46)&lt;&gt;"",INDIRECT($H46&amp;"!"&amp;$Q46),""),"")</f>
        <v/>
      </c>
      <c r="S46" s="146" t="str">
        <f t="shared" ca="1" si="4"/>
        <v/>
      </c>
      <c r="T46" s="146" t="str" cm="1">
        <f t="array" aca="1" ref="T46" ca="1">IF($J46&lt;&gt;"",IF(INDIRECT($H46&amp;"!"&amp;$S46)&lt;&gt;"",INDIRECT($H46&amp;"!"&amp;$S46),""),"")</f>
        <v/>
      </c>
      <c r="U46" s="146" t="str">
        <f t="shared" ca="1" si="5"/>
        <v/>
      </c>
      <c r="V46" s="147" t="str" cm="1">
        <f t="array" aca="1" ref="V46" ca="1">IF($J46&lt;&gt;"",IF(INDIRECT($H46&amp;"!"&amp;$U46)&lt;&gt;"",INDIRECT($H46&amp;"!"&amp;$U46),""),"")</f>
        <v/>
      </c>
      <c r="W46" s="294" t="str">
        <f t="shared" ca="1" si="7"/>
        <v/>
      </c>
      <c r="X46" s="295" t="str">
        <f t="shared" ca="1" si="8"/>
        <v/>
      </c>
      <c r="Y46" s="296" t="str" cm="1">
        <f t="array" aca="1" ref="Y46" ca="1">IF($H46&lt;&gt;"",IF(INDIRECT($H46&amp;"!"&amp;$W46&amp;($X46+Y$15+1))&lt;&gt;"",INDIRECT($H46&amp;"!"&amp;$W46&amp;($X46+Y$15+1)),""),"")</f>
        <v/>
      </c>
      <c r="Z46" s="296" t="str" cm="1">
        <f t="array" aca="1" ref="Z46" ca="1">IF($H46&lt;&gt;"",IF(INDIRECT($H46&amp;"!"&amp;$W46&amp;($X46+Z$15+1))&lt;&gt;"",INDIRECT($H46&amp;"!"&amp;$W46&amp;($X46+Z$15+1)),""),"")</f>
        <v/>
      </c>
      <c r="AA46" s="296" t="str" cm="1">
        <f t="array" aca="1" ref="AA46" ca="1">IF($H46&lt;&gt;"",IF(INDIRECT($H46&amp;"!"&amp;$W46&amp;($X46+AA$15+1))&lt;&gt;"",INDIRECT($H46&amp;"!"&amp;$W46&amp;($X46+AA$15+1)),""),"")</f>
        <v/>
      </c>
      <c r="AB46" s="296" t="str" cm="1">
        <f t="array" aca="1" ref="AB46" ca="1">IF($H46&lt;&gt;"",IF(INDIRECT($H46&amp;"!"&amp;$W46&amp;($X46+AB$15+1))&lt;&gt;"",INDIRECT($H46&amp;"!"&amp;$W46&amp;($X46+AB$15+1)),""),"")</f>
        <v/>
      </c>
      <c r="AC46" s="296" t="str" cm="1">
        <f t="array" aca="1" ref="AC46" ca="1">IF(LEFT($J46,5)="Sonde","",IF($H46&lt;&gt;"",IF(INDIRECT($H46&amp;"!"&amp;$W46&amp;($X46+AC$15+1))&lt;&gt;"",INDIRECT($H46&amp;"!"&amp;$W46&amp;($X46+AC$15+1)),""),""))</f>
        <v/>
      </c>
      <c r="AD46" s="296" t="str" cm="1">
        <f t="array" aca="1" ref="AD46" ca="1">IF(OR($J46="Pluviomètre",LEFT($J46,5)="Sonde"),"",IF($H46&lt;&gt;"",IF(INDIRECT($H46&amp;"!"&amp;$W46&amp;($X46+AD$15+1))&lt;&gt;"",INDIRECT($H46&amp;"!"&amp;$W46&amp;($X46+AD$15+1)),""),""))</f>
        <v/>
      </c>
      <c r="AE46" s="296" t="str" cm="1">
        <f t="array" aca="1" ref="AE46" ca="1">IF(OR($J46="Pluviomètre",LEFT($J46,5)="Sonde"),"",IF($H46&lt;&gt;"",IF(INDIRECT($H46&amp;"!"&amp;$W46&amp;($X46+AE$15+1))&lt;&gt;"",INDIRECT($H46&amp;"!"&amp;$W46&amp;($X46+AE$15+1)),""),""))</f>
        <v/>
      </c>
      <c r="AF46" s="296" t="str" cm="1">
        <f t="array" aca="1" ref="AF46" ca="1">IF(OR($J46="Pluviomètre",LEFT($J46,5)="Sonde"),"",IF($H46&lt;&gt;"",IF(INDIRECT($H46&amp;"!"&amp;$W46&amp;($X46+AF$15+1))&lt;&gt;"",INDIRECT($H46&amp;"!"&amp;$W46&amp;($X46+AF$15+1)),""),""))</f>
        <v/>
      </c>
      <c r="AG46" s="296" t="str" cm="1">
        <f t="array" aca="1" ref="AG46" ca="1">IF(OR($J46="Pluviomètre",LEFT($J46,5)="Sonde"),"",IF($H46&lt;&gt;"",IF(INDIRECT($H46&amp;"!"&amp;$W46&amp;($X46+AG$15+1))&lt;&gt;"",INDIRECT($H46&amp;"!"&amp;$W46&amp;($X46+AG$15+1)),""),""))</f>
        <v/>
      </c>
      <c r="AH46" s="296" t="str" cm="1">
        <f t="array" aca="1" ref="AH46" ca="1">IF(OR($J46="Pluviomètre",LEFT($J46,5)="Sonde"),"",IF($H46&lt;&gt;"",IF(INDIRECT($H46&amp;"!"&amp;$W46&amp;($X46+AH$15+1))&lt;&gt;"",INDIRECT($H46&amp;"!"&amp;$W46&amp;($X46+AH$15+1)),""),""))</f>
        <v/>
      </c>
      <c r="AI46" s="294" t="str">
        <f t="shared" ca="1" si="9"/>
        <v/>
      </c>
      <c r="AJ46" s="295" t="str">
        <f t="shared" ca="1" si="10"/>
        <v/>
      </c>
      <c r="AK46" s="296" t="str" cm="1">
        <f t="array" aca="1" ref="AK46" ca="1">IF($H46&lt;&gt;"",IF(INDIRECT($H46&amp;"!"&amp;$AI46&amp;($AJ46+AK$15+1))&lt;&gt;"",INDIRECT($H46&amp;"!"&amp;$AI46&amp;($AJ46+AK$15+1)),""),"")</f>
        <v/>
      </c>
      <c r="AL46" s="296" t="str" cm="1">
        <f t="array" aca="1" ref="AL46" ca="1">IF($H46&lt;&gt;"",IF(INDIRECT($H46&amp;"!"&amp;$AI46&amp;($AJ46+AL$15+1))&lt;&gt;"",INDIRECT($H46&amp;"!"&amp;$AI46&amp;($AJ46+AL$15+1)),""),"")</f>
        <v/>
      </c>
      <c r="AM46" s="296" t="str" cm="1">
        <f t="array" aca="1" ref="AM46" ca="1">IF($H46&lt;&gt;"",IF(INDIRECT($H46&amp;"!"&amp;$AI46&amp;($AJ46+AM$15+1))&lt;&gt;"",INDIRECT($H46&amp;"!"&amp;$AI46&amp;($AJ46+AM$15+1)),""),"")</f>
        <v/>
      </c>
      <c r="AN46" s="296" t="str" cm="1">
        <f t="array" aca="1" ref="AN46" ca="1">IF($H46&lt;&gt;"",IF(INDIRECT($H46&amp;"!"&amp;$AI46&amp;($AJ46+AN$15+1))&lt;&gt;"",INDIRECT($H46&amp;"!"&amp;$AI46&amp;($AJ46+AN$15+1)),""),"")</f>
        <v/>
      </c>
      <c r="AO46" s="296" t="str" cm="1">
        <f t="array" aca="1" ref="AO46" ca="1">IF(LEFT($J46,5)="Sonde","",IF($H46&lt;&gt;"",IF(INDIRECT($H46&amp;"!"&amp;$AI46&amp;($AJ46+AO$15+1))&lt;&gt;"",INDIRECT($H46&amp;"!"&amp;$AI46&amp;($AJ46+AO$15+1)),""),""))</f>
        <v/>
      </c>
      <c r="AP46" s="296" t="str" cm="1">
        <f t="array" aca="1" ref="AP46" ca="1">IF(OR($J46="Pluviomètre",LEFT($J46,5)="Sonde"),"",IF($H46&lt;&gt;"",IF(INDIRECT($H46&amp;"!"&amp;$AI46&amp;($AJ46+AP$15+1))&lt;&gt;"",INDIRECT($H46&amp;"!"&amp;$AI46&amp;($AJ46+AP$15+1)),""),""))</f>
        <v/>
      </c>
      <c r="AQ46" s="296" t="str" cm="1">
        <f t="array" aca="1" ref="AQ46" ca="1">IF(OR($J46="Pluviomètre",LEFT($J46,5)="Sonde"),"",IF($H46&lt;&gt;"",IF(INDIRECT($H46&amp;"!"&amp;$AI46&amp;($AJ46+AQ$15+1))&lt;&gt;"",INDIRECT($H46&amp;"!"&amp;$AI46&amp;($AJ46+AQ$15+1)),""),""))</f>
        <v/>
      </c>
      <c r="AR46" s="296" t="str" cm="1">
        <f t="array" aca="1" ref="AR46" ca="1">IF(OR($J46="Pluviomètre",LEFT($J46,5)="Sonde"),"",IF($H46&lt;&gt;"",IF(INDIRECT($H46&amp;"!"&amp;$AI46&amp;($AJ46+AR$15+1))&lt;&gt;"",INDIRECT($H46&amp;"!"&amp;$AI46&amp;($AJ46+AR$15+1)),""),""))</f>
        <v/>
      </c>
      <c r="AS46" s="296" t="str" cm="1">
        <f t="array" aca="1" ref="AS46" ca="1">IF(OR($J46="Pluviomètre",LEFT($J46,5)="Sonde"),"",IF($H46&lt;&gt;"",IF(INDIRECT($H46&amp;"!"&amp;$AI46&amp;($AJ46+AS$15+1))&lt;&gt;"",INDIRECT($H46&amp;"!"&amp;$AI46&amp;($AJ46+AS$15+1)),""),""))</f>
        <v/>
      </c>
      <c r="AT46" s="296" t="str" cm="1">
        <f t="array" aca="1" ref="AT46" ca="1">IF(OR($J46="Pluviomètre",LEFT($J46,5)="Sonde"),"",IF($H46&lt;&gt;"",IF(INDIRECT($H46&amp;"!"&amp;$AI46&amp;($AJ46+AT$15+1))&lt;&gt;"",INDIRECT($H46&amp;"!"&amp;$AI46&amp;($AJ46+AT$15+1)),""),""))</f>
        <v/>
      </c>
    </row>
    <row r="47" spans="1:46" x14ac:dyDescent="0.4">
      <c r="A47" s="80">
        <v>32</v>
      </c>
      <c r="B47" s="134" t="b">
        <f t="shared" si="6"/>
        <v>0</v>
      </c>
      <c r="C47" s="139" t="str" cm="1">
        <f t="array" aca="1" ref="C47" ca="1">IF(
    AND(
        $B47,
        OR(
            INDIRECT("Descriptif!$M"&amp;($B$1+$A47-1))="Préleveur",
            LEFT(INDIRECT("Descriptif!$M"&amp;($B$1+$A47-1)),5)="Sonde",
            LEFT(INDIRECT("Descriptif!$M"&amp;($B$1+$A47-1)),10)="Débitmètre",
            LEFT(INDIRECT("Descriptif!$F"&amp;($B$1+$A47-1)),6)="PLUVIO"
        )
    ),
    INDIRECT("Descriptif!$"&amp;C$15&amp;($B$1 +$A47 -1)),
    ""
)</f>
        <v/>
      </c>
      <c r="D47" s="277" t="str" cm="1">
        <f t="array" aca="1" ref="D47" ca="1">IF(
    AND(
        $B47,
        OR(
            INDIRECT("Descriptif!$M"&amp;($B$1+$A47-1))="Préleveur",
            LEFT(INDIRECT("Descriptif!$M"&amp;($B$1+$A47-1)),5)="Sonde",
            LEFT(INDIRECT("Descriptif!$M"&amp;($B$1+$A47-1)),10)="Débitmètre",
            LEFT(INDIRECT("Descriptif!$F"&amp;($B$1+$A47-1)),6)="PLUVIO"
        )
    ),
    IF(
        LEFT(INDIRECT("Descriptif!$F"&amp;($B$1+$A47-1)),11)="PLUVIO_STEU",
        "A3",
        IF(
            LEFT(INDIRECT("Descriptif!$F"&amp;($B$1+$A47-1)),10)="PLUVIO_SCL",
            "A1",
            INDIRECT("Descriptif!$"&amp;D$15&amp;($B$1 +$A47 -1))
        )
    ),
    ""
)</f>
        <v/>
      </c>
      <c r="E47" s="277" t="str" cm="1">
        <f t="array" aca="1" ref="E47" ca="1">IF(
    AND(
        $B47,
        OR(
            INDIRECT("Descriptif!$M"&amp;($B$1+$A47-1))="Préleveur",
            LEFT(INDIRECT("Descriptif!$M"&amp;($B$1+$A47-1)),5)="Sonde",
            LEFT(INDIRECT("Descriptif!$M"&amp;($B$1+$A47-1)),10)="Débitmètre",
            LEFT(INDIRECT("Descriptif!$F"&amp;($B$1+$A47-1)),6)="PLUVIO"
        )
    ),
    IF(LEFT(INDIRECT("Descriptif!$F"&amp;($B$1+$A47-1)),6)="PLUVIO","Pluviomètre",INDIRECT("Descriptif!$"&amp;E$15&amp;($B$1 +$A47 -1))),
    ""
)</f>
        <v/>
      </c>
      <c r="F47" s="19" t="str" cm="1">
        <f t="array" aca="1" ref="F47" ca="1">IF(
    AND(
        $B47,
        OR(
            INDIRECT("Descriptif!$M"&amp;($B$1+$A47-1))="Préleveur",
            LEFT(INDIRECT("Descriptif!$M"&amp;($B$1+$A47-1)),5)="Sonde",
            LEFT(INDIRECT("Descriptif!$M"&amp;($B$1+$A47-1)),10)="Débitmètre",
            LEFT(INDIRECT("Descriptif!$F"&amp;($B$1+$A47-1)),6)="PLUVIO"
        )
    ),
    IF(LEFT(INDIRECT("Descriptif!$F"&amp;($B$1+$A47-1)),6)="PLUVIO","Pluviomètre",INDIRECT("Descriptif!$"&amp;F$15&amp;($B$1 +$A47 -1))),
    ""
)</f>
        <v/>
      </c>
      <c r="G47" s="19" t="str" cm="1">
        <f t="array" aca="1" ref="G47" ca="1">IF(
    AND(
        $B47,
        OR(
            INDIRECT("Descriptif!$M"&amp;($B$1+$A47-1))="Préleveur",
            LEFT(INDIRECT("Descriptif!$M"&amp;($B$1+$A47-1)),5)="Sonde",
            LEFT(INDIRECT("Descriptif!$M"&amp;($B$1+$A47-1)),10)="Débitmètre",
            LEFT(INDIRECT("Descriptif!$F"&amp;($B$1+$A47-1)),6)="PLUVIO"
        )
    ),
    IF(LEFT(INDIRECT("Descriptif!$F"&amp;($B$1+$A47-1)),6)="PLUVIO","Pluviomètre",INDIRECT("Descriptif!$"&amp;G$15&amp;($B$1 +$A47 -1))),
    ""
)</f>
        <v/>
      </c>
      <c r="H47" s="141" t="str" cm="1">
        <f t="array" aca="1" ref="H47" ca="1">IFERROR(INDEX($C$16:$C$116,SMALL(IF($C$16:$C$116&lt;&gt;"",ROW($C$16:$C$116)-ROW($C$16)+1),ROW(A32))),"")</f>
        <v/>
      </c>
      <c r="I47" s="140" t="str" cm="1">
        <f t="array" aca="1" ref="I47" ca="1">IFERROR(INDEX($D$16:$D$116,SMALL(IF($D$16:$D$116&lt;&gt;"",ROW($D$16:$D$116)-ROW($D$16)+1),ROW(A32))),"")</f>
        <v/>
      </c>
      <c r="J47" s="140" t="str" cm="1">
        <f t="array" aca="1" ref="J47" ca="1">IFERROR(INDEX($E$16:$E$116,SMALL(IF($E$16:$E$116&lt;&gt;"",ROW($E$16:$E$116)-ROW($E$16)+1),ROW(A32))),"")</f>
        <v/>
      </c>
      <c r="K47" s="140" t="str" cm="1">
        <f t="array" aca="1" ref="K47" ca="1">IFERROR(INDEX($F$16:$F$116,SMALL(IF($F$16:$F$116&lt;&gt;"",ROW($F$16:$F$116)-ROW($F$16)+1),ROW(A32))),"")</f>
        <v/>
      </c>
      <c r="L47" s="140" t="str">
        <f t="shared" ca="1" si="0"/>
        <v/>
      </c>
      <c r="M47" s="140" t="str" cm="1">
        <f t="array" aca="1" ref="M47" ca="1">IFERROR(INDEX($G$16:$G$116,SMALL(IF($G$16:$G$116&lt;&gt;"",ROW($G$16:$G$116)-ROW($G$16)+1),ROW(A32))),"")</f>
        <v/>
      </c>
      <c r="N47" s="145" t="str">
        <f t="shared" ca="1" si="1"/>
        <v/>
      </c>
      <c r="O47" s="146" t="str">
        <f t="shared" ca="1" si="2"/>
        <v/>
      </c>
      <c r="P47" s="146" t="str" cm="1">
        <f t="array" aca="1" ref="P47" ca="1">IF($J47&lt;&gt;"",IF(INDIRECT($H47&amp;"!"&amp;$O47)&lt;&gt;"",INDIRECT($H47&amp;"!"&amp;$O47),""),"")</f>
        <v/>
      </c>
      <c r="Q47" s="146" t="str">
        <f t="shared" ca="1" si="3"/>
        <v/>
      </c>
      <c r="R47" s="146" t="str" cm="1">
        <f t="array" aca="1" ref="R47" ca="1">IF($J47&lt;&gt;"",IF(INDIRECT($H47&amp;"!"&amp;$Q47)&lt;&gt;"",INDIRECT($H47&amp;"!"&amp;$Q47),""),"")</f>
        <v/>
      </c>
      <c r="S47" s="146" t="str">
        <f t="shared" ca="1" si="4"/>
        <v/>
      </c>
      <c r="T47" s="146" t="str" cm="1">
        <f t="array" aca="1" ref="T47" ca="1">IF($J47&lt;&gt;"",IF(INDIRECT($H47&amp;"!"&amp;$S47)&lt;&gt;"",INDIRECT($H47&amp;"!"&amp;$S47),""),"")</f>
        <v/>
      </c>
      <c r="U47" s="146" t="str">
        <f t="shared" ca="1" si="5"/>
        <v/>
      </c>
      <c r="V47" s="147" t="str" cm="1">
        <f t="array" aca="1" ref="V47" ca="1">IF($J47&lt;&gt;"",IF(INDIRECT($H47&amp;"!"&amp;$U47)&lt;&gt;"",INDIRECT($H47&amp;"!"&amp;$U47),""),"")</f>
        <v/>
      </c>
      <c r="W47" s="294" t="str">
        <f t="shared" ca="1" si="7"/>
        <v/>
      </c>
      <c r="X47" s="295" t="str">
        <f t="shared" ca="1" si="8"/>
        <v/>
      </c>
      <c r="Y47" s="296" t="str" cm="1">
        <f t="array" aca="1" ref="Y47" ca="1">IF($H47&lt;&gt;"",IF(INDIRECT($H47&amp;"!"&amp;$W47&amp;($X47+Y$15+1))&lt;&gt;"",INDIRECT($H47&amp;"!"&amp;$W47&amp;($X47+Y$15+1)),""),"")</f>
        <v/>
      </c>
      <c r="Z47" s="296" t="str" cm="1">
        <f t="array" aca="1" ref="Z47" ca="1">IF($H47&lt;&gt;"",IF(INDIRECT($H47&amp;"!"&amp;$W47&amp;($X47+Z$15+1))&lt;&gt;"",INDIRECT($H47&amp;"!"&amp;$W47&amp;($X47+Z$15+1)),""),"")</f>
        <v/>
      </c>
      <c r="AA47" s="296" t="str" cm="1">
        <f t="array" aca="1" ref="AA47" ca="1">IF($H47&lt;&gt;"",IF(INDIRECT($H47&amp;"!"&amp;$W47&amp;($X47+AA$15+1))&lt;&gt;"",INDIRECT($H47&amp;"!"&amp;$W47&amp;($X47+AA$15+1)),""),"")</f>
        <v/>
      </c>
      <c r="AB47" s="296" t="str" cm="1">
        <f t="array" aca="1" ref="AB47" ca="1">IF($H47&lt;&gt;"",IF(INDIRECT($H47&amp;"!"&amp;$W47&amp;($X47+AB$15+1))&lt;&gt;"",INDIRECT($H47&amp;"!"&amp;$W47&amp;($X47+AB$15+1)),""),"")</f>
        <v/>
      </c>
      <c r="AC47" s="296" t="str" cm="1">
        <f t="array" aca="1" ref="AC47" ca="1">IF(LEFT($J47,5)="Sonde","",IF($H47&lt;&gt;"",IF(INDIRECT($H47&amp;"!"&amp;$W47&amp;($X47+AC$15+1))&lt;&gt;"",INDIRECT($H47&amp;"!"&amp;$W47&amp;($X47+AC$15+1)),""),""))</f>
        <v/>
      </c>
      <c r="AD47" s="296" t="str" cm="1">
        <f t="array" aca="1" ref="AD47" ca="1">IF(OR($J47="Pluviomètre",LEFT($J47,5)="Sonde"),"",IF($H47&lt;&gt;"",IF(INDIRECT($H47&amp;"!"&amp;$W47&amp;($X47+AD$15+1))&lt;&gt;"",INDIRECT($H47&amp;"!"&amp;$W47&amp;($X47+AD$15+1)),""),""))</f>
        <v/>
      </c>
      <c r="AE47" s="296" t="str" cm="1">
        <f t="array" aca="1" ref="AE47" ca="1">IF(OR($J47="Pluviomètre",LEFT($J47,5)="Sonde"),"",IF($H47&lt;&gt;"",IF(INDIRECT($H47&amp;"!"&amp;$W47&amp;($X47+AE$15+1))&lt;&gt;"",INDIRECT($H47&amp;"!"&amp;$W47&amp;($X47+AE$15+1)),""),""))</f>
        <v/>
      </c>
      <c r="AF47" s="296" t="str" cm="1">
        <f t="array" aca="1" ref="AF47" ca="1">IF(OR($J47="Pluviomètre",LEFT($J47,5)="Sonde"),"",IF($H47&lt;&gt;"",IF(INDIRECT($H47&amp;"!"&amp;$W47&amp;($X47+AF$15+1))&lt;&gt;"",INDIRECT($H47&amp;"!"&amp;$W47&amp;($X47+AF$15+1)),""),""))</f>
        <v/>
      </c>
      <c r="AG47" s="296" t="str" cm="1">
        <f t="array" aca="1" ref="AG47" ca="1">IF(OR($J47="Pluviomètre",LEFT($J47,5)="Sonde"),"",IF($H47&lt;&gt;"",IF(INDIRECT($H47&amp;"!"&amp;$W47&amp;($X47+AG$15+1))&lt;&gt;"",INDIRECT($H47&amp;"!"&amp;$W47&amp;($X47+AG$15+1)),""),""))</f>
        <v/>
      </c>
      <c r="AH47" s="296" t="str" cm="1">
        <f t="array" aca="1" ref="AH47" ca="1">IF(OR($J47="Pluviomètre",LEFT($J47,5)="Sonde"),"",IF($H47&lt;&gt;"",IF(INDIRECT($H47&amp;"!"&amp;$W47&amp;($X47+AH$15+1))&lt;&gt;"",INDIRECT($H47&amp;"!"&amp;$W47&amp;($X47+AH$15+1)),""),""))</f>
        <v/>
      </c>
      <c r="AI47" s="294" t="str">
        <f t="shared" ca="1" si="9"/>
        <v/>
      </c>
      <c r="AJ47" s="295" t="str">
        <f t="shared" ca="1" si="10"/>
        <v/>
      </c>
      <c r="AK47" s="296" t="str" cm="1">
        <f t="array" aca="1" ref="AK47" ca="1">IF($H47&lt;&gt;"",IF(INDIRECT($H47&amp;"!"&amp;$AI47&amp;($AJ47+AK$15+1))&lt;&gt;"",INDIRECT($H47&amp;"!"&amp;$AI47&amp;($AJ47+AK$15+1)),""),"")</f>
        <v/>
      </c>
      <c r="AL47" s="296" t="str" cm="1">
        <f t="array" aca="1" ref="AL47" ca="1">IF($H47&lt;&gt;"",IF(INDIRECT($H47&amp;"!"&amp;$AI47&amp;($AJ47+AL$15+1))&lt;&gt;"",INDIRECT($H47&amp;"!"&amp;$AI47&amp;($AJ47+AL$15+1)),""),"")</f>
        <v/>
      </c>
      <c r="AM47" s="296" t="str" cm="1">
        <f t="array" aca="1" ref="AM47" ca="1">IF($H47&lt;&gt;"",IF(INDIRECT($H47&amp;"!"&amp;$AI47&amp;($AJ47+AM$15+1))&lt;&gt;"",INDIRECT($H47&amp;"!"&amp;$AI47&amp;($AJ47+AM$15+1)),""),"")</f>
        <v/>
      </c>
      <c r="AN47" s="296" t="str" cm="1">
        <f t="array" aca="1" ref="AN47" ca="1">IF($H47&lt;&gt;"",IF(INDIRECT($H47&amp;"!"&amp;$AI47&amp;($AJ47+AN$15+1))&lt;&gt;"",INDIRECT($H47&amp;"!"&amp;$AI47&amp;($AJ47+AN$15+1)),""),"")</f>
        <v/>
      </c>
      <c r="AO47" s="296" t="str" cm="1">
        <f t="array" aca="1" ref="AO47" ca="1">IF(LEFT($J47,5)="Sonde","",IF($H47&lt;&gt;"",IF(INDIRECT($H47&amp;"!"&amp;$AI47&amp;($AJ47+AO$15+1))&lt;&gt;"",INDIRECT($H47&amp;"!"&amp;$AI47&amp;($AJ47+AO$15+1)),""),""))</f>
        <v/>
      </c>
      <c r="AP47" s="296" t="str" cm="1">
        <f t="array" aca="1" ref="AP47" ca="1">IF(OR($J47="Pluviomètre",LEFT($J47,5)="Sonde"),"",IF($H47&lt;&gt;"",IF(INDIRECT($H47&amp;"!"&amp;$AI47&amp;($AJ47+AP$15+1))&lt;&gt;"",INDIRECT($H47&amp;"!"&amp;$AI47&amp;($AJ47+AP$15+1)),""),""))</f>
        <v/>
      </c>
      <c r="AQ47" s="296" t="str" cm="1">
        <f t="array" aca="1" ref="AQ47" ca="1">IF(OR($J47="Pluviomètre",LEFT($J47,5)="Sonde"),"",IF($H47&lt;&gt;"",IF(INDIRECT($H47&amp;"!"&amp;$AI47&amp;($AJ47+AQ$15+1))&lt;&gt;"",INDIRECT($H47&amp;"!"&amp;$AI47&amp;($AJ47+AQ$15+1)),""),""))</f>
        <v/>
      </c>
      <c r="AR47" s="296" t="str" cm="1">
        <f t="array" aca="1" ref="AR47" ca="1">IF(OR($J47="Pluviomètre",LEFT($J47,5)="Sonde"),"",IF($H47&lt;&gt;"",IF(INDIRECT($H47&amp;"!"&amp;$AI47&amp;($AJ47+AR$15+1))&lt;&gt;"",INDIRECT($H47&amp;"!"&amp;$AI47&amp;($AJ47+AR$15+1)),""),""))</f>
        <v/>
      </c>
      <c r="AS47" s="296" t="str" cm="1">
        <f t="array" aca="1" ref="AS47" ca="1">IF(OR($J47="Pluviomètre",LEFT($J47,5)="Sonde"),"",IF($H47&lt;&gt;"",IF(INDIRECT($H47&amp;"!"&amp;$AI47&amp;($AJ47+AS$15+1))&lt;&gt;"",INDIRECT($H47&amp;"!"&amp;$AI47&amp;($AJ47+AS$15+1)),""),""))</f>
        <v/>
      </c>
      <c r="AT47" s="296" t="str" cm="1">
        <f t="array" aca="1" ref="AT47" ca="1">IF(OR($J47="Pluviomètre",LEFT($J47,5)="Sonde"),"",IF($H47&lt;&gt;"",IF(INDIRECT($H47&amp;"!"&amp;$AI47&amp;($AJ47+AT$15+1))&lt;&gt;"",INDIRECT($H47&amp;"!"&amp;$AI47&amp;($AJ47+AT$15+1)),""),""))</f>
        <v/>
      </c>
    </row>
    <row r="48" spans="1:46" x14ac:dyDescent="0.4">
      <c r="A48" s="80">
        <v>33</v>
      </c>
      <c r="B48" s="134" t="b">
        <f t="shared" si="6"/>
        <v>0</v>
      </c>
      <c r="C48" s="139" t="str" cm="1">
        <f t="array" aca="1" ref="C48" ca="1">IF(
    AND(
        $B48,
        OR(
            INDIRECT("Descriptif!$M"&amp;($B$1+$A48-1))="Préleveur",
            LEFT(INDIRECT("Descriptif!$M"&amp;($B$1+$A48-1)),5)="Sonde",
            LEFT(INDIRECT("Descriptif!$M"&amp;($B$1+$A48-1)),10)="Débitmètre",
            LEFT(INDIRECT("Descriptif!$F"&amp;($B$1+$A48-1)),6)="PLUVIO"
        )
    ),
    INDIRECT("Descriptif!$"&amp;C$15&amp;($B$1 +$A48 -1)),
    ""
)</f>
        <v/>
      </c>
      <c r="D48" s="277" t="str" cm="1">
        <f t="array" aca="1" ref="D48" ca="1">IF(
    AND(
        $B48,
        OR(
            INDIRECT("Descriptif!$M"&amp;($B$1+$A48-1))="Préleveur",
            LEFT(INDIRECT("Descriptif!$M"&amp;($B$1+$A48-1)),5)="Sonde",
            LEFT(INDIRECT("Descriptif!$M"&amp;($B$1+$A48-1)),10)="Débitmètre",
            LEFT(INDIRECT("Descriptif!$F"&amp;($B$1+$A48-1)),6)="PLUVIO"
        )
    ),
    IF(
        LEFT(INDIRECT("Descriptif!$F"&amp;($B$1+$A48-1)),11)="PLUVIO_STEU",
        "A3",
        IF(
            LEFT(INDIRECT("Descriptif!$F"&amp;($B$1+$A48-1)),10)="PLUVIO_SCL",
            "A1",
            INDIRECT("Descriptif!$"&amp;D$15&amp;($B$1 +$A48 -1))
        )
    ),
    ""
)</f>
        <v/>
      </c>
      <c r="E48" s="277" t="str" cm="1">
        <f t="array" aca="1" ref="E48" ca="1">IF(
    AND(
        $B48,
        OR(
            INDIRECT("Descriptif!$M"&amp;($B$1+$A48-1))="Préleveur",
            LEFT(INDIRECT("Descriptif!$M"&amp;($B$1+$A48-1)),5)="Sonde",
            LEFT(INDIRECT("Descriptif!$M"&amp;($B$1+$A48-1)),10)="Débitmètre",
            LEFT(INDIRECT("Descriptif!$F"&amp;($B$1+$A48-1)),6)="PLUVIO"
        )
    ),
    IF(LEFT(INDIRECT("Descriptif!$F"&amp;($B$1+$A48-1)),6)="PLUVIO","Pluviomètre",INDIRECT("Descriptif!$"&amp;E$15&amp;($B$1 +$A48 -1))),
    ""
)</f>
        <v/>
      </c>
      <c r="F48" s="19" t="str" cm="1">
        <f t="array" aca="1" ref="F48" ca="1">IF(
    AND(
        $B48,
        OR(
            INDIRECT("Descriptif!$M"&amp;($B$1+$A48-1))="Préleveur",
            LEFT(INDIRECT("Descriptif!$M"&amp;($B$1+$A48-1)),5)="Sonde",
            LEFT(INDIRECT("Descriptif!$M"&amp;($B$1+$A48-1)),10)="Débitmètre",
            LEFT(INDIRECT("Descriptif!$F"&amp;($B$1+$A48-1)),6)="PLUVIO"
        )
    ),
    IF(LEFT(INDIRECT("Descriptif!$F"&amp;($B$1+$A48-1)),6)="PLUVIO","Pluviomètre",INDIRECT("Descriptif!$"&amp;F$15&amp;($B$1 +$A48 -1))),
    ""
)</f>
        <v/>
      </c>
      <c r="G48" s="19" t="str" cm="1">
        <f t="array" aca="1" ref="G48" ca="1">IF(
    AND(
        $B48,
        OR(
            INDIRECT("Descriptif!$M"&amp;($B$1+$A48-1))="Préleveur",
            LEFT(INDIRECT("Descriptif!$M"&amp;($B$1+$A48-1)),5)="Sonde",
            LEFT(INDIRECT("Descriptif!$M"&amp;($B$1+$A48-1)),10)="Débitmètre",
            LEFT(INDIRECT("Descriptif!$F"&amp;($B$1+$A48-1)),6)="PLUVIO"
        )
    ),
    IF(LEFT(INDIRECT("Descriptif!$F"&amp;($B$1+$A48-1)),6)="PLUVIO","Pluviomètre",INDIRECT("Descriptif!$"&amp;G$15&amp;($B$1 +$A48 -1))),
    ""
)</f>
        <v/>
      </c>
      <c r="H48" s="141" t="str" cm="1">
        <f t="array" aca="1" ref="H48" ca="1">IFERROR(INDEX($C$16:$C$116,SMALL(IF($C$16:$C$116&lt;&gt;"",ROW($C$16:$C$116)-ROW($C$16)+1),ROW(A33))),"")</f>
        <v/>
      </c>
      <c r="I48" s="140" t="str" cm="1">
        <f t="array" aca="1" ref="I48" ca="1">IFERROR(INDEX($D$16:$D$116,SMALL(IF($D$16:$D$116&lt;&gt;"",ROW($D$16:$D$116)-ROW($D$16)+1),ROW(A33))),"")</f>
        <v/>
      </c>
      <c r="J48" s="140" t="str" cm="1">
        <f t="array" aca="1" ref="J48" ca="1">IFERROR(INDEX($E$16:$E$116,SMALL(IF($E$16:$E$116&lt;&gt;"",ROW($E$16:$E$116)-ROW($E$16)+1),ROW(A33))),"")</f>
        <v/>
      </c>
      <c r="K48" s="140" t="str" cm="1">
        <f t="array" aca="1" ref="K48" ca="1">IFERROR(INDEX($F$16:$F$116,SMALL(IF($F$16:$F$116&lt;&gt;"",ROW($F$16:$F$116)-ROW($F$16)+1),ROW(A33))),"")</f>
        <v/>
      </c>
      <c r="L48" s="140" t="str">
        <f t="shared" ref="L48:L72" ca="1" si="11">H48</f>
        <v/>
      </c>
      <c r="M48" s="140" t="str" cm="1">
        <f t="array" aca="1" ref="M48" ca="1">IFERROR(INDEX($G$16:$G$116,SMALL(IF($G$16:$G$116&lt;&gt;"",ROW($G$16:$G$116)-ROW($G$16)+1),ROW(A33))),"")</f>
        <v/>
      </c>
      <c r="N48" s="145" t="str">
        <f t="shared" ref="N48:N72" ca="1" si="12">IF($J48&lt;&gt;"",VLOOKUP($J48,$A$5:$F$9,2,FALSE),"")</f>
        <v/>
      </c>
      <c r="O48" s="146" t="str">
        <f t="shared" ref="O48:O72" ca="1" si="13">IF($J48&lt;&gt;"",VLOOKUP($J48,$A$5:$F$9,3,FALSE),"")</f>
        <v/>
      </c>
      <c r="P48" s="146" t="str" cm="1">
        <f t="array" aca="1" ref="P48" ca="1">IF($J48&lt;&gt;"",IF(INDIRECT($H48&amp;"!"&amp;$O48)&lt;&gt;"",INDIRECT($H48&amp;"!"&amp;$O48),""),"")</f>
        <v/>
      </c>
      <c r="Q48" s="146" t="str">
        <f t="shared" ref="Q48:Q72" ca="1" si="14">IF($J48&lt;&gt;"",VLOOKUP($J48,$A$5:$F$9,4,FALSE),"")</f>
        <v/>
      </c>
      <c r="R48" s="146" t="str" cm="1">
        <f t="array" aca="1" ref="R48" ca="1">IF($J48&lt;&gt;"",IF(INDIRECT($H48&amp;"!"&amp;$Q48)&lt;&gt;"",INDIRECT($H48&amp;"!"&amp;$Q48),""),"")</f>
        <v/>
      </c>
      <c r="S48" s="146" t="str">
        <f t="shared" ref="S48:S72" ca="1" si="15">IF($J48&lt;&gt;"",VLOOKUP($J48,$A$5:$F$9,5,FALSE),"")</f>
        <v/>
      </c>
      <c r="T48" s="146" t="str" cm="1">
        <f t="array" aca="1" ref="T48" ca="1">IF($J48&lt;&gt;"",IF(INDIRECT($H48&amp;"!"&amp;$S48)&lt;&gt;"",INDIRECT($H48&amp;"!"&amp;$S48),""),"")</f>
        <v/>
      </c>
      <c r="U48" s="146" t="str">
        <f t="shared" ref="U48:U72" ca="1" si="16">IF($J48&lt;&gt;"",VLOOKUP($J48,$A$5:$F$9,6,FALSE),"")</f>
        <v/>
      </c>
      <c r="V48" s="147" t="str" cm="1">
        <f t="array" aca="1" ref="V48" ca="1">IF($J48&lt;&gt;"",IF(INDIRECT($H48&amp;"!"&amp;$U48)&lt;&gt;"",INDIRECT($H48&amp;"!"&amp;$U48),""),"")</f>
        <v/>
      </c>
      <c r="W48" s="294" t="str">
        <f t="shared" ca="1" si="7"/>
        <v/>
      </c>
      <c r="X48" s="295" t="str">
        <f t="shared" ca="1" si="8"/>
        <v/>
      </c>
      <c r="Y48" s="296" t="str" cm="1">
        <f t="array" aca="1" ref="Y48" ca="1">IF($H48&lt;&gt;"",IF(INDIRECT($H48&amp;"!"&amp;$W48&amp;($X48+Y$15+1))&lt;&gt;"",INDIRECT($H48&amp;"!"&amp;$W48&amp;($X48+Y$15+1)),""),"")</f>
        <v/>
      </c>
      <c r="Z48" s="296" t="str" cm="1">
        <f t="array" aca="1" ref="Z48" ca="1">IF($H48&lt;&gt;"",IF(INDIRECT($H48&amp;"!"&amp;$W48&amp;($X48+Z$15+1))&lt;&gt;"",INDIRECT($H48&amp;"!"&amp;$W48&amp;($X48+Z$15+1)),""),"")</f>
        <v/>
      </c>
      <c r="AA48" s="296" t="str" cm="1">
        <f t="array" aca="1" ref="AA48" ca="1">IF($H48&lt;&gt;"",IF(INDIRECT($H48&amp;"!"&amp;$W48&amp;($X48+AA$15+1))&lt;&gt;"",INDIRECT($H48&amp;"!"&amp;$W48&amp;($X48+AA$15+1)),""),"")</f>
        <v/>
      </c>
      <c r="AB48" s="296" t="str" cm="1">
        <f t="array" aca="1" ref="AB48" ca="1">IF($H48&lt;&gt;"",IF(INDIRECT($H48&amp;"!"&amp;$W48&amp;($X48+AB$15+1))&lt;&gt;"",INDIRECT($H48&amp;"!"&amp;$W48&amp;($X48+AB$15+1)),""),"")</f>
        <v/>
      </c>
      <c r="AC48" s="296" t="str" cm="1">
        <f t="array" aca="1" ref="AC48" ca="1">IF(LEFT($J48,5)="Sonde","",IF($H48&lt;&gt;"",IF(INDIRECT($H48&amp;"!"&amp;$W48&amp;($X48+AC$15+1))&lt;&gt;"",INDIRECT($H48&amp;"!"&amp;$W48&amp;($X48+AC$15+1)),""),""))</f>
        <v/>
      </c>
      <c r="AD48" s="296" t="str" cm="1">
        <f t="array" aca="1" ref="AD48" ca="1">IF(OR($J48="Pluviomètre",LEFT($J48,5)="Sonde"),"",IF($H48&lt;&gt;"",IF(INDIRECT($H48&amp;"!"&amp;$W48&amp;($X48+AD$15+1))&lt;&gt;"",INDIRECT($H48&amp;"!"&amp;$W48&amp;($X48+AD$15+1)),""),""))</f>
        <v/>
      </c>
      <c r="AE48" s="296" t="str" cm="1">
        <f t="array" aca="1" ref="AE48" ca="1">IF(OR($J48="Pluviomètre",LEFT($J48,5)="Sonde"),"",IF($H48&lt;&gt;"",IF(INDIRECT($H48&amp;"!"&amp;$W48&amp;($X48+AE$15+1))&lt;&gt;"",INDIRECT($H48&amp;"!"&amp;$W48&amp;($X48+AE$15+1)),""),""))</f>
        <v/>
      </c>
      <c r="AF48" s="296" t="str" cm="1">
        <f t="array" aca="1" ref="AF48" ca="1">IF(OR($J48="Pluviomètre",LEFT($J48,5)="Sonde"),"",IF($H48&lt;&gt;"",IF(INDIRECT($H48&amp;"!"&amp;$W48&amp;($X48+AF$15+1))&lt;&gt;"",INDIRECT($H48&amp;"!"&amp;$W48&amp;($X48+AF$15+1)),""),""))</f>
        <v/>
      </c>
      <c r="AG48" s="296" t="str" cm="1">
        <f t="array" aca="1" ref="AG48" ca="1">IF(OR($J48="Pluviomètre",LEFT($J48,5)="Sonde"),"",IF($H48&lt;&gt;"",IF(INDIRECT($H48&amp;"!"&amp;$W48&amp;($X48+AG$15+1))&lt;&gt;"",INDIRECT($H48&amp;"!"&amp;$W48&amp;($X48+AG$15+1)),""),""))</f>
        <v/>
      </c>
      <c r="AH48" s="296" t="str" cm="1">
        <f t="array" aca="1" ref="AH48" ca="1">IF(OR($J48="Pluviomètre",LEFT($J48,5)="Sonde"),"",IF($H48&lt;&gt;"",IF(INDIRECT($H48&amp;"!"&amp;$W48&amp;($X48+AH$15+1))&lt;&gt;"",INDIRECT($H48&amp;"!"&amp;$W48&amp;($X48+AH$15+1)),""),""))</f>
        <v/>
      </c>
      <c r="AI48" s="294" t="str">
        <f t="shared" ca="1" si="9"/>
        <v/>
      </c>
      <c r="AJ48" s="295" t="str">
        <f t="shared" ca="1" si="10"/>
        <v/>
      </c>
      <c r="AK48" s="296" t="str" cm="1">
        <f t="array" aca="1" ref="AK48" ca="1">IF($H48&lt;&gt;"",IF(INDIRECT($H48&amp;"!"&amp;$AI48&amp;($AJ48+AK$15+1))&lt;&gt;"",INDIRECT($H48&amp;"!"&amp;$AI48&amp;($AJ48+AK$15+1)),""),"")</f>
        <v/>
      </c>
      <c r="AL48" s="296" t="str" cm="1">
        <f t="array" aca="1" ref="AL48" ca="1">IF($H48&lt;&gt;"",IF(INDIRECT($H48&amp;"!"&amp;$AI48&amp;($AJ48+AL$15+1))&lt;&gt;"",INDIRECT($H48&amp;"!"&amp;$AI48&amp;($AJ48+AL$15+1)),""),"")</f>
        <v/>
      </c>
      <c r="AM48" s="296" t="str" cm="1">
        <f t="array" aca="1" ref="AM48" ca="1">IF($H48&lt;&gt;"",IF(INDIRECT($H48&amp;"!"&amp;$AI48&amp;($AJ48+AM$15+1))&lt;&gt;"",INDIRECT($H48&amp;"!"&amp;$AI48&amp;($AJ48+AM$15+1)),""),"")</f>
        <v/>
      </c>
      <c r="AN48" s="296" t="str" cm="1">
        <f t="array" aca="1" ref="AN48" ca="1">IF($H48&lt;&gt;"",IF(INDIRECT($H48&amp;"!"&amp;$AI48&amp;($AJ48+AN$15+1))&lt;&gt;"",INDIRECT($H48&amp;"!"&amp;$AI48&amp;($AJ48+AN$15+1)),""),"")</f>
        <v/>
      </c>
      <c r="AO48" s="296" t="str" cm="1">
        <f t="array" aca="1" ref="AO48" ca="1">IF(LEFT($J48,5)="Sonde","",IF($H48&lt;&gt;"",IF(INDIRECT($H48&amp;"!"&amp;$AI48&amp;($AJ48+AO$15+1))&lt;&gt;"",INDIRECT($H48&amp;"!"&amp;$AI48&amp;($AJ48+AO$15+1)),""),""))</f>
        <v/>
      </c>
      <c r="AP48" s="296" t="str" cm="1">
        <f t="array" aca="1" ref="AP48" ca="1">IF(OR($J48="Pluviomètre",LEFT($J48,5)="Sonde"),"",IF($H48&lt;&gt;"",IF(INDIRECT($H48&amp;"!"&amp;$AI48&amp;($AJ48+AP$15+1))&lt;&gt;"",INDIRECT($H48&amp;"!"&amp;$AI48&amp;($AJ48+AP$15+1)),""),""))</f>
        <v/>
      </c>
      <c r="AQ48" s="296" t="str" cm="1">
        <f t="array" aca="1" ref="AQ48" ca="1">IF(OR($J48="Pluviomètre",LEFT($J48,5)="Sonde"),"",IF($H48&lt;&gt;"",IF(INDIRECT($H48&amp;"!"&amp;$AI48&amp;($AJ48+AQ$15+1))&lt;&gt;"",INDIRECT($H48&amp;"!"&amp;$AI48&amp;($AJ48+AQ$15+1)),""),""))</f>
        <v/>
      </c>
      <c r="AR48" s="296" t="str" cm="1">
        <f t="array" aca="1" ref="AR48" ca="1">IF(OR($J48="Pluviomètre",LEFT($J48,5)="Sonde"),"",IF($H48&lt;&gt;"",IF(INDIRECT($H48&amp;"!"&amp;$AI48&amp;($AJ48+AR$15+1))&lt;&gt;"",INDIRECT($H48&amp;"!"&amp;$AI48&amp;($AJ48+AR$15+1)),""),""))</f>
        <v/>
      </c>
      <c r="AS48" s="296" t="str" cm="1">
        <f t="array" aca="1" ref="AS48" ca="1">IF(OR($J48="Pluviomètre",LEFT($J48,5)="Sonde"),"",IF($H48&lt;&gt;"",IF(INDIRECT($H48&amp;"!"&amp;$AI48&amp;($AJ48+AS$15+1))&lt;&gt;"",INDIRECT($H48&amp;"!"&amp;$AI48&amp;($AJ48+AS$15+1)),""),""))</f>
        <v/>
      </c>
      <c r="AT48" s="296" t="str" cm="1">
        <f t="array" aca="1" ref="AT48" ca="1">IF(OR($J48="Pluviomètre",LEFT($J48,5)="Sonde"),"",IF($H48&lt;&gt;"",IF(INDIRECT($H48&amp;"!"&amp;$AI48&amp;($AJ48+AT$15+1))&lt;&gt;"",INDIRECT($H48&amp;"!"&amp;$AI48&amp;($AJ48+AT$15+1)),""),""))</f>
        <v/>
      </c>
    </row>
    <row r="49" spans="1:46" s="284" customFormat="1" x14ac:dyDescent="0.4">
      <c r="A49" s="278">
        <v>34</v>
      </c>
      <c r="B49" s="134" t="b">
        <f t="shared" si="6"/>
        <v>0</v>
      </c>
      <c r="C49" s="139" t="str" cm="1">
        <f t="array" aca="1" ref="C49" ca="1">IF(
    AND(
        $B49,
        OR(
            INDIRECT("Descriptif!$M"&amp;($B$1+$A49-1))="Préleveur",
            LEFT(INDIRECT("Descriptif!$M"&amp;($B$1+$A49-1)),5)="Sonde",
            LEFT(INDIRECT("Descriptif!$M"&amp;($B$1+$A49-1)),10)="Débitmètre",
            LEFT(INDIRECT("Descriptif!$F"&amp;($B$1+$A49-1)),6)="PLUVIO"
        )
    ),
    INDIRECT("Descriptif!$"&amp;C$15&amp;($B$1 +$A49 -1)),
    ""
)</f>
        <v/>
      </c>
      <c r="D49" s="277" t="str" cm="1">
        <f t="array" aca="1" ref="D49" ca="1">IF(
    AND(
        $B49,
        OR(
            INDIRECT("Descriptif!$M"&amp;($B$1+$A49-1))="Préleveur",
            LEFT(INDIRECT("Descriptif!$M"&amp;($B$1+$A49-1)),5)="Sonde",
            LEFT(INDIRECT("Descriptif!$M"&amp;($B$1+$A49-1)),10)="Débitmètre",
            LEFT(INDIRECT("Descriptif!$F"&amp;($B$1+$A49-1)),6)="PLUVIO"
        )
    ),
    IF(
        LEFT(INDIRECT("Descriptif!$F"&amp;($B$1+$A49-1)),11)="PLUVIO_STEU",
        "A3",
        IF(
            LEFT(INDIRECT("Descriptif!$F"&amp;($B$1+$A49-1)),10)="PLUVIO_SCL",
            "A1",
            INDIRECT("Descriptif!$"&amp;D$15&amp;($B$1 +$A49 -1))
        )
    ),
    ""
)</f>
        <v/>
      </c>
      <c r="E49" s="277" t="str" cm="1">
        <f t="array" aca="1" ref="E49" ca="1">IF(
    AND(
        $B49,
        OR(
            INDIRECT("Descriptif!$M"&amp;($B$1+$A49-1))="Préleveur",
            LEFT(INDIRECT("Descriptif!$M"&amp;($B$1+$A49-1)),5)="Sonde",
            LEFT(INDIRECT("Descriptif!$M"&amp;($B$1+$A49-1)),10)="Débitmètre",
            LEFT(INDIRECT("Descriptif!$F"&amp;($B$1+$A49-1)),6)="PLUVIO"
        )
    ),
    IF(LEFT(INDIRECT("Descriptif!$F"&amp;($B$1+$A49-1)),6)="PLUVIO","Pluviomètre",INDIRECT("Descriptif!$"&amp;E$15&amp;($B$1 +$A49 -1))),
    ""
)</f>
        <v/>
      </c>
      <c r="F49" s="19" t="str" cm="1">
        <f t="array" aca="1" ref="F49" ca="1">IF(
    AND(
        $B49,
        OR(
            INDIRECT("Descriptif!$M"&amp;($B$1+$A49-1))="Préleveur",
            LEFT(INDIRECT("Descriptif!$M"&amp;($B$1+$A49-1)),5)="Sonde",
            LEFT(INDIRECT("Descriptif!$M"&amp;($B$1+$A49-1)),10)="Débitmètre",
            LEFT(INDIRECT("Descriptif!$F"&amp;($B$1+$A49-1)),6)="PLUVIO"
        )
    ),
    IF(LEFT(INDIRECT("Descriptif!$F"&amp;($B$1+$A49-1)),6)="PLUVIO","Pluviomètre",INDIRECT("Descriptif!$"&amp;F$15&amp;($B$1 +$A49 -1))),
    ""
)</f>
        <v/>
      </c>
      <c r="G49" s="19" t="str" cm="1">
        <f t="array" aca="1" ref="G49" ca="1">IF(
    AND(
        $B49,
        OR(
            INDIRECT("Descriptif!$M"&amp;($B$1+$A49-1))="Préleveur",
            LEFT(INDIRECT("Descriptif!$M"&amp;($B$1+$A49-1)),5)="Sonde",
            LEFT(INDIRECT("Descriptif!$M"&amp;($B$1+$A49-1)),10)="Débitmètre",
            LEFT(INDIRECT("Descriptif!$F"&amp;($B$1+$A49-1)),6)="PLUVIO"
        )
    ),
    IF(LEFT(INDIRECT("Descriptif!$F"&amp;($B$1+$A49-1)),6)="PLUVIO","Pluviomètre",INDIRECT("Descriptif!$"&amp;G$15&amp;($B$1 +$A49 -1))),
    ""
)</f>
        <v/>
      </c>
      <c r="H49" s="279" t="str" cm="1">
        <f t="array" aca="1" ref="H49" ca="1">IFERROR(INDEX($C$16:$C$116,SMALL(IF($C$16:$C$116&lt;&gt;"",ROW($C$16:$C$116)-ROW($C$16)+1),ROW(A34))),"")</f>
        <v/>
      </c>
      <c r="I49" s="280" t="str" cm="1">
        <f t="array" aca="1" ref="I49" ca="1">IFERROR(INDEX($D$16:$D$116,SMALL(IF($D$16:$D$116&lt;&gt;"",ROW($D$16:$D$116)-ROW($D$16)+1),ROW(A34))),"")</f>
        <v/>
      </c>
      <c r="J49" s="280" t="str" cm="1">
        <f t="array" aca="1" ref="J49" ca="1">IFERROR(INDEX($E$16:$E$116,SMALL(IF($E$16:$E$116&lt;&gt;"",ROW($E$16:$E$116)-ROW($E$16)+1),ROW(A34))),"")</f>
        <v/>
      </c>
      <c r="K49" s="280" t="str" cm="1">
        <f t="array" aca="1" ref="K49" ca="1">IFERROR(INDEX($F$16:$F$116,SMALL(IF($F$16:$F$116&lt;&gt;"",ROW($F$16:$F$116)-ROW($F$16)+1),ROW(A34))),"")</f>
        <v/>
      </c>
      <c r="L49" s="140" t="str">
        <f t="shared" ca="1" si="11"/>
        <v/>
      </c>
      <c r="M49" s="140" t="str" cm="1">
        <f t="array" aca="1" ref="M49" ca="1">IFERROR(INDEX($G$16:$G$116,SMALL(IF($G$16:$G$116&lt;&gt;"",ROW($G$16:$G$116)-ROW($G$16)+1),ROW(A34))),"")</f>
        <v/>
      </c>
      <c r="N49" s="281" t="str">
        <f t="shared" ca="1" si="12"/>
        <v/>
      </c>
      <c r="O49" s="282" t="str">
        <f t="shared" ca="1" si="13"/>
        <v/>
      </c>
      <c r="P49" s="282" t="str" cm="1">
        <f t="array" aca="1" ref="P49" ca="1">IF($J49&lt;&gt;"",IF(INDIRECT($H49&amp;"!"&amp;$O49)&lt;&gt;"",INDIRECT($H49&amp;"!"&amp;$O49),""),"")</f>
        <v/>
      </c>
      <c r="Q49" s="282" t="str">
        <f t="shared" ca="1" si="14"/>
        <v/>
      </c>
      <c r="R49" s="282" t="str" cm="1">
        <f t="array" aca="1" ref="R49" ca="1">IF($J49&lt;&gt;"",IF(INDIRECT($H49&amp;"!"&amp;$Q49)&lt;&gt;"",INDIRECT($H49&amp;"!"&amp;$Q49),""),"")</f>
        <v/>
      </c>
      <c r="S49" s="282" t="str">
        <f t="shared" ca="1" si="15"/>
        <v/>
      </c>
      <c r="T49" s="282" t="str" cm="1">
        <f t="array" aca="1" ref="T49" ca="1">IF($J49&lt;&gt;"",IF(INDIRECT($H49&amp;"!"&amp;$S49)&lt;&gt;"",INDIRECT($H49&amp;"!"&amp;$S49),""),"")</f>
        <v/>
      </c>
      <c r="U49" s="282" t="str">
        <f t="shared" ca="1" si="16"/>
        <v/>
      </c>
      <c r="V49" s="283" t="str" cm="1">
        <f t="array" aca="1" ref="V49" ca="1">IF($J49&lt;&gt;"",IF(INDIRECT($H49&amp;"!"&amp;$U49)&lt;&gt;"",INDIRECT($H49&amp;"!"&amp;$U49),""),"")</f>
        <v/>
      </c>
      <c r="W49" s="294" t="str">
        <f t="shared" ca="1" si="7"/>
        <v/>
      </c>
      <c r="X49" s="297" t="str">
        <f t="shared" ca="1" si="8"/>
        <v/>
      </c>
      <c r="Y49" s="298" t="str" cm="1">
        <f t="array" aca="1" ref="Y49" ca="1">IF($H49&lt;&gt;"",IF(INDIRECT($H49&amp;"!"&amp;$W49&amp;($X49+Y$15+1))&lt;&gt;"",INDIRECT($H49&amp;"!"&amp;$W49&amp;($X49+Y$15+1)),""),"")</f>
        <v/>
      </c>
      <c r="Z49" s="298" t="str" cm="1">
        <f t="array" aca="1" ref="Z49" ca="1">IF($H49&lt;&gt;"",IF(INDIRECT($H49&amp;"!"&amp;$W49&amp;($X49+Z$15+1))&lt;&gt;"",INDIRECT($H49&amp;"!"&amp;$W49&amp;($X49+Z$15+1)),""),"")</f>
        <v/>
      </c>
      <c r="AA49" s="298" t="str" cm="1">
        <f t="array" aca="1" ref="AA49" ca="1">IF($H49&lt;&gt;"",IF(INDIRECT($H49&amp;"!"&amp;$W49&amp;($X49+AA$15+1))&lt;&gt;"",INDIRECT($H49&amp;"!"&amp;$W49&amp;($X49+AA$15+1)),""),"")</f>
        <v/>
      </c>
      <c r="AB49" s="298" t="str" cm="1">
        <f t="array" aca="1" ref="AB49" ca="1">IF($H49&lt;&gt;"",IF(INDIRECT($H49&amp;"!"&amp;$W49&amp;($X49+AB$15+1))&lt;&gt;"",INDIRECT($H49&amp;"!"&amp;$W49&amp;($X49+AB$15+1)),""),"")</f>
        <v/>
      </c>
      <c r="AC49" s="296" t="str" cm="1">
        <f t="array" aca="1" ref="AC49" ca="1">IF(LEFT($J49,5)="Sonde","",IF($H49&lt;&gt;"",IF(INDIRECT($H49&amp;"!"&amp;$W49&amp;($X49+AC$15+1))&lt;&gt;"",INDIRECT($H49&amp;"!"&amp;$W49&amp;($X49+AC$15+1)),""),""))</f>
        <v/>
      </c>
      <c r="AD49" s="296" t="str" cm="1">
        <f t="array" aca="1" ref="AD49" ca="1">IF(OR($J49="Pluviomètre",LEFT($J49,5)="Sonde"),"",IF($H49&lt;&gt;"",IF(INDIRECT($H49&amp;"!"&amp;$W49&amp;($X49+AD$15+1))&lt;&gt;"",INDIRECT($H49&amp;"!"&amp;$W49&amp;($X49+AD$15+1)),""),""))</f>
        <v/>
      </c>
      <c r="AE49" s="296" t="str" cm="1">
        <f t="array" aca="1" ref="AE49" ca="1">IF(OR($J49="Pluviomètre",LEFT($J49,5)="Sonde"),"",IF($H49&lt;&gt;"",IF(INDIRECT($H49&amp;"!"&amp;$W49&amp;($X49+AE$15+1))&lt;&gt;"",INDIRECT($H49&amp;"!"&amp;$W49&amp;($X49+AE$15+1)),""),""))</f>
        <v/>
      </c>
      <c r="AF49" s="296" t="str" cm="1">
        <f t="array" aca="1" ref="AF49" ca="1">IF(OR($J49="Pluviomètre",LEFT($J49,5)="Sonde"),"",IF($H49&lt;&gt;"",IF(INDIRECT($H49&amp;"!"&amp;$W49&amp;($X49+AF$15+1))&lt;&gt;"",INDIRECT($H49&amp;"!"&amp;$W49&amp;($X49+AF$15+1)),""),""))</f>
        <v/>
      </c>
      <c r="AG49" s="296" t="str" cm="1">
        <f t="array" aca="1" ref="AG49" ca="1">IF(OR($J49="Pluviomètre",LEFT($J49,5)="Sonde"),"",IF($H49&lt;&gt;"",IF(INDIRECT($H49&amp;"!"&amp;$W49&amp;($X49+AG$15+1))&lt;&gt;"",INDIRECT($H49&amp;"!"&amp;$W49&amp;($X49+AG$15+1)),""),""))</f>
        <v/>
      </c>
      <c r="AH49" s="296" t="str" cm="1">
        <f t="array" aca="1" ref="AH49" ca="1">IF(OR($J49="Pluviomètre",LEFT($J49,5)="Sonde"),"",IF($H49&lt;&gt;"",IF(INDIRECT($H49&amp;"!"&amp;$W49&amp;($X49+AH$15+1))&lt;&gt;"",INDIRECT($H49&amp;"!"&amp;$W49&amp;($X49+AH$15+1)),""),""))</f>
        <v/>
      </c>
      <c r="AI49" s="294" t="str">
        <f t="shared" ca="1" si="9"/>
        <v/>
      </c>
      <c r="AJ49" s="297" t="str">
        <f t="shared" ca="1" si="10"/>
        <v/>
      </c>
      <c r="AK49" s="296" t="str" cm="1">
        <f t="array" aca="1" ref="AK49" ca="1">IF($H49&lt;&gt;"",IF(INDIRECT($H49&amp;"!"&amp;$AI49&amp;($AJ49+AK$15+1))&lt;&gt;"",INDIRECT($H49&amp;"!"&amp;$AI49&amp;($AJ49+AK$15+1)),""),"")</f>
        <v/>
      </c>
      <c r="AL49" s="296" t="str" cm="1">
        <f t="array" aca="1" ref="AL49" ca="1">IF($H49&lt;&gt;"",IF(INDIRECT($H49&amp;"!"&amp;$AI49&amp;($AJ49+AL$15+1))&lt;&gt;"",INDIRECT($H49&amp;"!"&amp;$AI49&amp;($AJ49+AL$15+1)),""),"")</f>
        <v/>
      </c>
      <c r="AM49" s="296" t="str" cm="1">
        <f t="array" aca="1" ref="AM49" ca="1">IF($H49&lt;&gt;"",IF(INDIRECT($H49&amp;"!"&amp;$AI49&amp;($AJ49+AM$15+1))&lt;&gt;"",INDIRECT($H49&amp;"!"&amp;$AI49&amp;($AJ49+AM$15+1)),""),"")</f>
        <v/>
      </c>
      <c r="AN49" s="296" t="str" cm="1">
        <f t="array" aca="1" ref="AN49" ca="1">IF($H49&lt;&gt;"",IF(INDIRECT($H49&amp;"!"&amp;$AI49&amp;($AJ49+AN$15+1))&lt;&gt;"",INDIRECT($H49&amp;"!"&amp;$AI49&amp;($AJ49+AN$15+1)),""),"")</f>
        <v/>
      </c>
      <c r="AO49" s="296" t="str" cm="1">
        <f t="array" aca="1" ref="AO49" ca="1">IF(LEFT($J49,5)="Sonde","",IF($H49&lt;&gt;"",IF(INDIRECT($H49&amp;"!"&amp;$AI49&amp;($AJ49+AO$15+1))&lt;&gt;"",INDIRECT($H49&amp;"!"&amp;$AI49&amp;($AJ49+AO$15+1)),""),""))</f>
        <v/>
      </c>
      <c r="AP49" s="296" t="str" cm="1">
        <f t="array" aca="1" ref="AP49" ca="1">IF(OR($J49="Pluviomètre",LEFT($J49,5)="Sonde"),"",IF($H49&lt;&gt;"",IF(INDIRECT($H49&amp;"!"&amp;$AI49&amp;($AJ49+AP$15+1))&lt;&gt;"",INDIRECT($H49&amp;"!"&amp;$AI49&amp;($AJ49+AP$15+1)),""),""))</f>
        <v/>
      </c>
      <c r="AQ49" s="296" t="str" cm="1">
        <f t="array" aca="1" ref="AQ49" ca="1">IF(OR($J49="Pluviomètre",LEFT($J49,5)="Sonde"),"",IF($H49&lt;&gt;"",IF(INDIRECT($H49&amp;"!"&amp;$AI49&amp;($AJ49+AQ$15+1))&lt;&gt;"",INDIRECT($H49&amp;"!"&amp;$AI49&amp;($AJ49+AQ$15+1)),""),""))</f>
        <v/>
      </c>
      <c r="AR49" s="296" t="str" cm="1">
        <f t="array" aca="1" ref="AR49" ca="1">IF(OR($J49="Pluviomètre",LEFT($J49,5)="Sonde"),"",IF($H49&lt;&gt;"",IF(INDIRECT($H49&amp;"!"&amp;$AI49&amp;($AJ49+AR$15+1))&lt;&gt;"",INDIRECT($H49&amp;"!"&amp;$AI49&amp;($AJ49+AR$15+1)),""),""))</f>
        <v/>
      </c>
      <c r="AS49" s="296" t="str" cm="1">
        <f t="array" aca="1" ref="AS49" ca="1">IF(OR($J49="Pluviomètre",LEFT($J49,5)="Sonde"),"",IF($H49&lt;&gt;"",IF(INDIRECT($H49&amp;"!"&amp;$AI49&amp;($AJ49+AS$15+1))&lt;&gt;"",INDIRECT($H49&amp;"!"&amp;$AI49&amp;($AJ49+AS$15+1)),""),""))</f>
        <v/>
      </c>
      <c r="AT49" s="296" t="str" cm="1">
        <f t="array" aca="1" ref="AT49" ca="1">IF(OR($J49="Pluviomètre",LEFT($J49,5)="Sonde"),"",IF($H49&lt;&gt;"",IF(INDIRECT($H49&amp;"!"&amp;$AI49&amp;($AJ49+AT$15+1))&lt;&gt;"",INDIRECT($H49&amp;"!"&amp;$AI49&amp;($AJ49+AT$15+1)),""),""))</f>
        <v/>
      </c>
    </row>
    <row r="50" spans="1:46" x14ac:dyDescent="0.4">
      <c r="A50" s="80">
        <v>35</v>
      </c>
      <c r="B50" s="134" t="b">
        <f t="shared" si="6"/>
        <v>0</v>
      </c>
      <c r="C50" s="139" t="str" cm="1">
        <f t="array" aca="1" ref="C50" ca="1">IF(
    AND(
        $B50,
        OR(
            INDIRECT("Descriptif!$M"&amp;($B$1+$A50-1))="Préleveur",
            LEFT(INDIRECT("Descriptif!$M"&amp;($B$1+$A50-1)),5)="Sonde",
            LEFT(INDIRECT("Descriptif!$M"&amp;($B$1+$A50-1)),10)="Débitmètre",
            LEFT(INDIRECT("Descriptif!$F"&amp;($B$1+$A50-1)),6)="PLUVIO"
        )
    ),
    INDIRECT("Descriptif!$"&amp;C$15&amp;($B$1 +$A50 -1)),
    ""
)</f>
        <v/>
      </c>
      <c r="D50" s="277" t="str" cm="1">
        <f t="array" aca="1" ref="D50" ca="1">IF(
    AND(
        $B50,
        OR(
            INDIRECT("Descriptif!$M"&amp;($B$1+$A50-1))="Préleveur",
            LEFT(INDIRECT("Descriptif!$M"&amp;($B$1+$A50-1)),5)="Sonde",
            LEFT(INDIRECT("Descriptif!$M"&amp;($B$1+$A50-1)),10)="Débitmètre",
            LEFT(INDIRECT("Descriptif!$F"&amp;($B$1+$A50-1)),6)="PLUVIO"
        )
    ),
    IF(
        LEFT(INDIRECT("Descriptif!$F"&amp;($B$1+$A50-1)),11)="PLUVIO_STEU",
        "A3",
        IF(
            LEFT(INDIRECT("Descriptif!$F"&amp;($B$1+$A50-1)),10)="PLUVIO_SCL",
            "A1",
            INDIRECT("Descriptif!$"&amp;D$15&amp;($B$1 +$A50 -1))
        )
    ),
    ""
)</f>
        <v/>
      </c>
      <c r="E50" s="277" t="str" cm="1">
        <f t="array" aca="1" ref="E50" ca="1">IF(
    AND(
        $B50,
        OR(
            INDIRECT("Descriptif!$M"&amp;($B$1+$A50-1))="Préleveur",
            LEFT(INDIRECT("Descriptif!$M"&amp;($B$1+$A50-1)),5)="Sonde",
            LEFT(INDIRECT("Descriptif!$M"&amp;($B$1+$A50-1)),10)="Débitmètre",
            LEFT(INDIRECT("Descriptif!$F"&amp;($B$1+$A50-1)),6)="PLUVIO"
        )
    ),
    IF(LEFT(INDIRECT("Descriptif!$F"&amp;($B$1+$A50-1)),6)="PLUVIO","Pluviomètre",INDIRECT("Descriptif!$"&amp;E$15&amp;($B$1 +$A50 -1))),
    ""
)</f>
        <v/>
      </c>
      <c r="F50" s="19" t="str" cm="1">
        <f t="array" aca="1" ref="F50" ca="1">IF(
    AND(
        $B50,
        OR(
            INDIRECT("Descriptif!$M"&amp;($B$1+$A50-1))="Préleveur",
            LEFT(INDIRECT("Descriptif!$M"&amp;($B$1+$A50-1)),5)="Sonde",
            LEFT(INDIRECT("Descriptif!$M"&amp;($B$1+$A50-1)),10)="Débitmètre",
            LEFT(INDIRECT("Descriptif!$F"&amp;($B$1+$A50-1)),6)="PLUVIO"
        )
    ),
    IF(LEFT(INDIRECT("Descriptif!$F"&amp;($B$1+$A50-1)),6)="PLUVIO","Pluviomètre",INDIRECT("Descriptif!$"&amp;F$15&amp;($B$1 +$A50 -1))),
    ""
)</f>
        <v/>
      </c>
      <c r="G50" s="19" t="str" cm="1">
        <f t="array" aca="1" ref="G50" ca="1">IF(
    AND(
        $B50,
        OR(
            INDIRECT("Descriptif!$M"&amp;($B$1+$A50-1))="Préleveur",
            LEFT(INDIRECT("Descriptif!$M"&amp;($B$1+$A50-1)),5)="Sonde",
            LEFT(INDIRECT("Descriptif!$M"&amp;($B$1+$A50-1)),10)="Débitmètre",
            LEFT(INDIRECT("Descriptif!$F"&amp;($B$1+$A50-1)),6)="PLUVIO"
        )
    ),
    IF(LEFT(INDIRECT("Descriptif!$F"&amp;($B$1+$A50-1)),6)="PLUVIO","Pluviomètre",INDIRECT("Descriptif!$"&amp;G$15&amp;($B$1 +$A50 -1))),
    ""
)</f>
        <v/>
      </c>
      <c r="H50" s="141" t="str" cm="1">
        <f t="array" aca="1" ref="H50" ca="1">IFERROR(INDEX($C$16:$C$116,SMALL(IF($C$16:$C$116&lt;&gt;"",ROW($C$16:$C$116)-ROW($C$16)+1),ROW(A35))),"")</f>
        <v/>
      </c>
      <c r="I50" s="140" t="str" cm="1">
        <f t="array" aca="1" ref="I50" ca="1">IFERROR(INDEX($D$16:$D$116,SMALL(IF($D$16:$D$116&lt;&gt;"",ROW($D$16:$D$116)-ROW($D$16)+1),ROW(A35))),"")</f>
        <v/>
      </c>
      <c r="J50" s="140" t="str" cm="1">
        <f t="array" aca="1" ref="J50" ca="1">IFERROR(INDEX($E$16:$E$116,SMALL(IF($E$16:$E$116&lt;&gt;"",ROW($E$16:$E$116)-ROW($E$16)+1),ROW(A35))),"")</f>
        <v/>
      </c>
      <c r="K50" s="140" t="str" cm="1">
        <f t="array" aca="1" ref="K50" ca="1">IFERROR(INDEX($F$16:$F$116,SMALL(IF($F$16:$F$116&lt;&gt;"",ROW($F$16:$F$116)-ROW($F$16)+1),ROW(A35))),"")</f>
        <v/>
      </c>
      <c r="L50" s="140" t="str">
        <f t="shared" ca="1" si="11"/>
        <v/>
      </c>
      <c r="M50" s="140" t="str" cm="1">
        <f t="array" aca="1" ref="M50" ca="1">IFERROR(INDEX($G$16:$G$116,SMALL(IF($G$16:$G$116&lt;&gt;"",ROW($G$16:$G$116)-ROW($G$16)+1),ROW(A35))),"")</f>
        <v/>
      </c>
      <c r="N50" s="145" t="str">
        <f t="shared" ca="1" si="12"/>
        <v/>
      </c>
      <c r="O50" s="146" t="str">
        <f t="shared" ca="1" si="13"/>
        <v/>
      </c>
      <c r="P50" s="146" t="str" cm="1">
        <f t="array" aca="1" ref="P50" ca="1">IF($J50&lt;&gt;"",IF(INDIRECT($H50&amp;"!"&amp;$O50)&lt;&gt;"",INDIRECT($H50&amp;"!"&amp;$O50),""),"")</f>
        <v/>
      </c>
      <c r="Q50" s="146" t="str">
        <f t="shared" ca="1" si="14"/>
        <v/>
      </c>
      <c r="R50" s="146" t="str" cm="1">
        <f t="array" aca="1" ref="R50" ca="1">IF($J50&lt;&gt;"",IF(INDIRECT($H50&amp;"!"&amp;$Q50)&lt;&gt;"",INDIRECT($H50&amp;"!"&amp;$Q50),""),"")</f>
        <v/>
      </c>
      <c r="S50" s="146" t="str">
        <f t="shared" ca="1" si="15"/>
        <v/>
      </c>
      <c r="T50" s="146" t="str" cm="1">
        <f t="array" aca="1" ref="T50" ca="1">IF($J50&lt;&gt;"",IF(INDIRECT($H50&amp;"!"&amp;$S50)&lt;&gt;"",INDIRECT($H50&amp;"!"&amp;$S50),""),"")</f>
        <v/>
      </c>
      <c r="U50" s="146" t="str">
        <f t="shared" ca="1" si="16"/>
        <v/>
      </c>
      <c r="V50" s="147" t="str" cm="1">
        <f t="array" aca="1" ref="V50" ca="1">IF($J50&lt;&gt;"",IF(INDIRECT($H50&amp;"!"&amp;$U50)&lt;&gt;"",INDIRECT($H50&amp;"!"&amp;$U50),""),"")</f>
        <v/>
      </c>
      <c r="W50" s="294" t="str">
        <f t="shared" ca="1" si="7"/>
        <v/>
      </c>
      <c r="X50" s="295" t="str">
        <f t="shared" ca="1" si="8"/>
        <v/>
      </c>
      <c r="Y50" s="296" t="str" cm="1">
        <f t="array" aca="1" ref="Y50" ca="1">IF($H50&lt;&gt;"",IF(INDIRECT($H50&amp;"!"&amp;$W50&amp;($X50+Y$15+1))&lt;&gt;"",INDIRECT($H50&amp;"!"&amp;$W50&amp;($X50+Y$15+1)),""),"")</f>
        <v/>
      </c>
      <c r="Z50" s="296" t="str" cm="1">
        <f t="array" aca="1" ref="Z50" ca="1">IF($H50&lt;&gt;"",IF(INDIRECT($H50&amp;"!"&amp;$W50&amp;($X50+Z$15+1))&lt;&gt;"",INDIRECT($H50&amp;"!"&amp;$W50&amp;($X50+Z$15+1)),""),"")</f>
        <v/>
      </c>
      <c r="AA50" s="296" t="str" cm="1">
        <f t="array" aca="1" ref="AA50" ca="1">IF($H50&lt;&gt;"",IF(INDIRECT($H50&amp;"!"&amp;$W50&amp;($X50+AA$15+1))&lt;&gt;"",INDIRECT($H50&amp;"!"&amp;$W50&amp;($X50+AA$15+1)),""),"")</f>
        <v/>
      </c>
      <c r="AB50" s="296" t="str" cm="1">
        <f t="array" aca="1" ref="AB50" ca="1">IF($H50&lt;&gt;"",IF(INDIRECT($H50&amp;"!"&amp;$W50&amp;($X50+AB$15+1))&lt;&gt;"",INDIRECT($H50&amp;"!"&amp;$W50&amp;($X50+AB$15+1)),""),"")</f>
        <v/>
      </c>
      <c r="AC50" s="296" t="str" cm="1">
        <f t="array" aca="1" ref="AC50" ca="1">IF(LEFT($J50,5)="Sonde","",IF($H50&lt;&gt;"",IF(INDIRECT($H50&amp;"!"&amp;$W50&amp;($X50+AC$15+1))&lt;&gt;"",INDIRECT($H50&amp;"!"&amp;$W50&amp;($X50+AC$15+1)),""),""))</f>
        <v/>
      </c>
      <c r="AD50" s="296" t="str" cm="1">
        <f t="array" aca="1" ref="AD50" ca="1">IF(OR($J50="Pluviomètre",LEFT($J50,5)="Sonde"),"",IF($H50&lt;&gt;"",IF(INDIRECT($H50&amp;"!"&amp;$W50&amp;($X50+AD$15+1))&lt;&gt;"",INDIRECT($H50&amp;"!"&amp;$W50&amp;($X50+AD$15+1)),""),""))</f>
        <v/>
      </c>
      <c r="AE50" s="296" t="str" cm="1">
        <f t="array" aca="1" ref="AE50" ca="1">IF(OR($J50="Pluviomètre",LEFT($J50,5)="Sonde"),"",IF($H50&lt;&gt;"",IF(INDIRECT($H50&amp;"!"&amp;$W50&amp;($X50+AE$15+1))&lt;&gt;"",INDIRECT($H50&amp;"!"&amp;$W50&amp;($X50+AE$15+1)),""),""))</f>
        <v/>
      </c>
      <c r="AF50" s="296" t="str" cm="1">
        <f t="array" aca="1" ref="AF50" ca="1">IF(OR($J50="Pluviomètre",LEFT($J50,5)="Sonde"),"",IF($H50&lt;&gt;"",IF(INDIRECT($H50&amp;"!"&amp;$W50&amp;($X50+AF$15+1))&lt;&gt;"",INDIRECT($H50&amp;"!"&amp;$W50&amp;($X50+AF$15+1)),""),""))</f>
        <v/>
      </c>
      <c r="AG50" s="296" t="str" cm="1">
        <f t="array" aca="1" ref="AG50" ca="1">IF(OR($J50="Pluviomètre",LEFT($J50,5)="Sonde"),"",IF($H50&lt;&gt;"",IF(INDIRECT($H50&amp;"!"&amp;$W50&amp;($X50+AG$15+1))&lt;&gt;"",INDIRECT($H50&amp;"!"&amp;$W50&amp;($X50+AG$15+1)),""),""))</f>
        <v/>
      </c>
      <c r="AH50" s="296" t="str" cm="1">
        <f t="array" aca="1" ref="AH50" ca="1">IF(OR($J50="Pluviomètre",LEFT($J50,5)="Sonde"),"",IF($H50&lt;&gt;"",IF(INDIRECT($H50&amp;"!"&amp;$W50&amp;($X50+AH$15+1))&lt;&gt;"",INDIRECT($H50&amp;"!"&amp;$W50&amp;($X50+AH$15+1)),""),""))</f>
        <v/>
      </c>
      <c r="AI50" s="294" t="str">
        <f t="shared" ca="1" si="9"/>
        <v/>
      </c>
      <c r="AJ50" s="295" t="str">
        <f t="shared" ca="1" si="10"/>
        <v/>
      </c>
      <c r="AK50" s="296" t="str" cm="1">
        <f t="array" aca="1" ref="AK50" ca="1">IF($H50&lt;&gt;"",IF(INDIRECT($H50&amp;"!"&amp;$AI50&amp;($AJ50+AK$15+1))&lt;&gt;"",INDIRECT($H50&amp;"!"&amp;$AI50&amp;($AJ50+AK$15+1)),""),"")</f>
        <v/>
      </c>
      <c r="AL50" s="296" t="str" cm="1">
        <f t="array" aca="1" ref="AL50" ca="1">IF($H50&lt;&gt;"",IF(INDIRECT($H50&amp;"!"&amp;$AI50&amp;($AJ50+AL$15+1))&lt;&gt;"",INDIRECT($H50&amp;"!"&amp;$AI50&amp;($AJ50+AL$15+1)),""),"")</f>
        <v/>
      </c>
      <c r="AM50" s="296" t="str" cm="1">
        <f t="array" aca="1" ref="AM50" ca="1">IF($H50&lt;&gt;"",IF(INDIRECT($H50&amp;"!"&amp;$AI50&amp;($AJ50+AM$15+1))&lt;&gt;"",INDIRECT($H50&amp;"!"&amp;$AI50&amp;($AJ50+AM$15+1)),""),"")</f>
        <v/>
      </c>
      <c r="AN50" s="296" t="str" cm="1">
        <f t="array" aca="1" ref="AN50" ca="1">IF($H50&lt;&gt;"",IF(INDIRECT($H50&amp;"!"&amp;$AI50&amp;($AJ50+AN$15+1))&lt;&gt;"",INDIRECT($H50&amp;"!"&amp;$AI50&amp;($AJ50+AN$15+1)),""),"")</f>
        <v/>
      </c>
      <c r="AO50" s="296" t="str" cm="1">
        <f t="array" aca="1" ref="AO50" ca="1">IF(LEFT($J50,5)="Sonde","",IF($H50&lt;&gt;"",IF(INDIRECT($H50&amp;"!"&amp;$AI50&amp;($AJ50+AO$15+1))&lt;&gt;"",INDIRECT($H50&amp;"!"&amp;$AI50&amp;($AJ50+AO$15+1)),""),""))</f>
        <v/>
      </c>
      <c r="AP50" s="296" t="str" cm="1">
        <f t="array" aca="1" ref="AP50" ca="1">IF(OR($J50="Pluviomètre",LEFT($J50,5)="Sonde"),"",IF($H50&lt;&gt;"",IF(INDIRECT($H50&amp;"!"&amp;$AI50&amp;($AJ50+AP$15+1))&lt;&gt;"",INDIRECT($H50&amp;"!"&amp;$AI50&amp;($AJ50+AP$15+1)),""),""))</f>
        <v/>
      </c>
      <c r="AQ50" s="296" t="str" cm="1">
        <f t="array" aca="1" ref="AQ50" ca="1">IF(OR($J50="Pluviomètre",LEFT($J50,5)="Sonde"),"",IF($H50&lt;&gt;"",IF(INDIRECT($H50&amp;"!"&amp;$AI50&amp;($AJ50+AQ$15+1))&lt;&gt;"",INDIRECT($H50&amp;"!"&amp;$AI50&amp;($AJ50+AQ$15+1)),""),""))</f>
        <v/>
      </c>
      <c r="AR50" s="296" t="str" cm="1">
        <f t="array" aca="1" ref="AR50" ca="1">IF(OR($J50="Pluviomètre",LEFT($J50,5)="Sonde"),"",IF($H50&lt;&gt;"",IF(INDIRECT($H50&amp;"!"&amp;$AI50&amp;($AJ50+AR$15+1))&lt;&gt;"",INDIRECT($H50&amp;"!"&amp;$AI50&amp;($AJ50+AR$15+1)),""),""))</f>
        <v/>
      </c>
      <c r="AS50" s="296" t="str" cm="1">
        <f t="array" aca="1" ref="AS50" ca="1">IF(OR($J50="Pluviomètre",LEFT($J50,5)="Sonde"),"",IF($H50&lt;&gt;"",IF(INDIRECT($H50&amp;"!"&amp;$AI50&amp;($AJ50+AS$15+1))&lt;&gt;"",INDIRECT($H50&amp;"!"&amp;$AI50&amp;($AJ50+AS$15+1)),""),""))</f>
        <v/>
      </c>
      <c r="AT50" s="296" t="str" cm="1">
        <f t="array" aca="1" ref="AT50" ca="1">IF(OR($J50="Pluviomètre",LEFT($J50,5)="Sonde"),"",IF($H50&lt;&gt;"",IF(INDIRECT($H50&amp;"!"&amp;$AI50&amp;($AJ50+AT$15+1))&lt;&gt;"",INDIRECT($H50&amp;"!"&amp;$AI50&amp;($AJ50+AT$15+1)),""),""))</f>
        <v/>
      </c>
    </row>
    <row r="51" spans="1:46" x14ac:dyDescent="0.4">
      <c r="A51" s="80">
        <v>36</v>
      </c>
      <c r="B51" s="134" t="b">
        <f t="shared" si="6"/>
        <v>0</v>
      </c>
      <c r="C51" s="139" t="str" cm="1">
        <f t="array" aca="1" ref="C51" ca="1">IF(
    AND(
        $B51,
        OR(
            INDIRECT("Descriptif!$M"&amp;($B$1+$A51-1))="Préleveur",
            LEFT(INDIRECT("Descriptif!$M"&amp;($B$1+$A51-1)),5)="Sonde",
            LEFT(INDIRECT("Descriptif!$M"&amp;($B$1+$A51-1)),10)="Débitmètre",
            LEFT(INDIRECT("Descriptif!$F"&amp;($B$1+$A51-1)),6)="PLUVIO"
        )
    ),
    INDIRECT("Descriptif!$"&amp;C$15&amp;($B$1 +$A51 -1)),
    ""
)</f>
        <v/>
      </c>
      <c r="D51" s="277" t="str" cm="1">
        <f t="array" aca="1" ref="D51" ca="1">IF(
    AND(
        $B51,
        OR(
            INDIRECT("Descriptif!$M"&amp;($B$1+$A51-1))="Préleveur",
            LEFT(INDIRECT("Descriptif!$M"&amp;($B$1+$A51-1)),5)="Sonde",
            LEFT(INDIRECT("Descriptif!$M"&amp;($B$1+$A51-1)),10)="Débitmètre",
            LEFT(INDIRECT("Descriptif!$F"&amp;($B$1+$A51-1)),6)="PLUVIO"
        )
    ),
    IF(
        LEFT(INDIRECT("Descriptif!$F"&amp;($B$1+$A51-1)),11)="PLUVIO_STEU",
        "A3",
        IF(
            LEFT(INDIRECT("Descriptif!$F"&amp;($B$1+$A51-1)),10)="PLUVIO_SCL",
            "A1",
            INDIRECT("Descriptif!$"&amp;D$15&amp;($B$1 +$A51 -1))
        )
    ),
    ""
)</f>
        <v/>
      </c>
      <c r="E51" s="277" t="str" cm="1">
        <f t="array" aca="1" ref="E51" ca="1">IF(
    AND(
        $B51,
        OR(
            INDIRECT("Descriptif!$M"&amp;($B$1+$A51-1))="Préleveur",
            LEFT(INDIRECT("Descriptif!$M"&amp;($B$1+$A51-1)),5)="Sonde",
            LEFT(INDIRECT("Descriptif!$M"&amp;($B$1+$A51-1)),10)="Débitmètre",
            LEFT(INDIRECT("Descriptif!$F"&amp;($B$1+$A51-1)),6)="PLUVIO"
        )
    ),
    IF(LEFT(INDIRECT("Descriptif!$F"&amp;($B$1+$A51-1)),6)="PLUVIO","Pluviomètre",INDIRECT("Descriptif!$"&amp;E$15&amp;($B$1 +$A51 -1))),
    ""
)</f>
        <v/>
      </c>
      <c r="F51" s="19" t="str" cm="1">
        <f t="array" aca="1" ref="F51" ca="1">IF(
    AND(
        $B51,
        OR(
            INDIRECT("Descriptif!$M"&amp;($B$1+$A51-1))="Préleveur",
            LEFT(INDIRECT("Descriptif!$M"&amp;($B$1+$A51-1)),5)="Sonde",
            LEFT(INDIRECT("Descriptif!$M"&amp;($B$1+$A51-1)),10)="Débitmètre",
            LEFT(INDIRECT("Descriptif!$F"&amp;($B$1+$A51-1)),6)="PLUVIO"
        )
    ),
    IF(LEFT(INDIRECT("Descriptif!$F"&amp;($B$1+$A51-1)),6)="PLUVIO","Pluviomètre",INDIRECT("Descriptif!$"&amp;F$15&amp;($B$1 +$A51 -1))),
    ""
)</f>
        <v/>
      </c>
      <c r="G51" s="19" t="str" cm="1">
        <f t="array" aca="1" ref="G51" ca="1">IF(
    AND(
        $B51,
        OR(
            INDIRECT("Descriptif!$M"&amp;($B$1+$A51-1))="Préleveur",
            LEFT(INDIRECT("Descriptif!$M"&amp;($B$1+$A51-1)),5)="Sonde",
            LEFT(INDIRECT("Descriptif!$M"&amp;($B$1+$A51-1)),10)="Débitmètre",
            LEFT(INDIRECT("Descriptif!$F"&amp;($B$1+$A51-1)),6)="PLUVIO"
        )
    ),
    IF(LEFT(INDIRECT("Descriptif!$F"&amp;($B$1+$A51-1)),6)="PLUVIO","Pluviomètre",INDIRECT("Descriptif!$"&amp;G$15&amp;($B$1 +$A51 -1))),
    ""
)</f>
        <v/>
      </c>
      <c r="H51" s="141" t="str" cm="1">
        <f t="array" aca="1" ref="H51" ca="1">IFERROR(INDEX($C$16:$C$116,SMALL(IF($C$16:$C$116&lt;&gt;"",ROW($C$16:$C$116)-ROW($C$16)+1),ROW(A36))),"")</f>
        <v/>
      </c>
      <c r="I51" s="140" t="str" cm="1">
        <f t="array" aca="1" ref="I51" ca="1">IFERROR(INDEX($D$16:$D$116,SMALL(IF($D$16:$D$116&lt;&gt;"",ROW($D$16:$D$116)-ROW($D$16)+1),ROW(A36))),"")</f>
        <v/>
      </c>
      <c r="J51" s="140" t="str" cm="1">
        <f t="array" aca="1" ref="J51" ca="1">IFERROR(INDEX($E$16:$E$116,SMALL(IF($E$16:$E$116&lt;&gt;"",ROW($E$16:$E$116)-ROW($E$16)+1),ROW(A36))),"")</f>
        <v/>
      </c>
      <c r="K51" s="140" t="str" cm="1">
        <f t="array" aca="1" ref="K51" ca="1">IFERROR(INDEX($F$16:$F$116,SMALL(IF($F$16:$F$116&lt;&gt;"",ROW($F$16:$F$116)-ROW($F$16)+1),ROW(A36))),"")</f>
        <v/>
      </c>
      <c r="L51" s="140" t="str">
        <f t="shared" ca="1" si="11"/>
        <v/>
      </c>
      <c r="M51" s="140" t="str" cm="1">
        <f t="array" aca="1" ref="M51" ca="1">IFERROR(INDEX($G$16:$G$116,SMALL(IF($G$16:$G$116&lt;&gt;"",ROW($G$16:$G$116)-ROW($G$16)+1),ROW(A36))),"")</f>
        <v/>
      </c>
      <c r="N51" s="145" t="str">
        <f t="shared" ca="1" si="12"/>
        <v/>
      </c>
      <c r="O51" s="146" t="str">
        <f t="shared" ca="1" si="13"/>
        <v/>
      </c>
      <c r="P51" s="146" t="str" cm="1">
        <f t="array" aca="1" ref="P51" ca="1">IF($J51&lt;&gt;"",IF(INDIRECT($H51&amp;"!"&amp;$O51)&lt;&gt;"",INDIRECT($H51&amp;"!"&amp;$O51),""),"")</f>
        <v/>
      </c>
      <c r="Q51" s="146" t="str">
        <f t="shared" ca="1" si="14"/>
        <v/>
      </c>
      <c r="R51" s="146" t="str" cm="1">
        <f t="array" aca="1" ref="R51" ca="1">IF($J51&lt;&gt;"",IF(INDIRECT($H51&amp;"!"&amp;$Q51)&lt;&gt;"",INDIRECT($H51&amp;"!"&amp;$Q51),""),"")</f>
        <v/>
      </c>
      <c r="S51" s="146" t="str">
        <f t="shared" ca="1" si="15"/>
        <v/>
      </c>
      <c r="T51" s="146" t="str" cm="1">
        <f t="array" aca="1" ref="T51" ca="1">IF($J51&lt;&gt;"",IF(INDIRECT($H51&amp;"!"&amp;$S51)&lt;&gt;"",INDIRECT($H51&amp;"!"&amp;$S51),""),"")</f>
        <v/>
      </c>
      <c r="U51" s="146" t="str">
        <f t="shared" ca="1" si="16"/>
        <v/>
      </c>
      <c r="V51" s="147" t="str" cm="1">
        <f t="array" aca="1" ref="V51" ca="1">IF($J51&lt;&gt;"",IF(INDIRECT($H51&amp;"!"&amp;$U51)&lt;&gt;"",INDIRECT($H51&amp;"!"&amp;$U51),""),"")</f>
        <v/>
      </c>
      <c r="W51" s="294" t="str">
        <f t="shared" ca="1" si="7"/>
        <v/>
      </c>
      <c r="X51" s="295" t="str">
        <f t="shared" ca="1" si="8"/>
        <v/>
      </c>
      <c r="Y51" s="296" t="str" cm="1">
        <f t="array" aca="1" ref="Y51" ca="1">IF($H51&lt;&gt;"",IF(INDIRECT($H51&amp;"!"&amp;$W51&amp;($X51+Y$15+1))&lt;&gt;"",INDIRECT($H51&amp;"!"&amp;$W51&amp;($X51+Y$15+1)),""),"")</f>
        <v/>
      </c>
      <c r="Z51" s="296" t="str" cm="1">
        <f t="array" aca="1" ref="Z51" ca="1">IF($H51&lt;&gt;"",IF(INDIRECT($H51&amp;"!"&amp;$W51&amp;($X51+Z$15+1))&lt;&gt;"",INDIRECT($H51&amp;"!"&amp;$W51&amp;($X51+Z$15+1)),""),"")</f>
        <v/>
      </c>
      <c r="AA51" s="296" t="str" cm="1">
        <f t="array" aca="1" ref="AA51" ca="1">IF($H51&lt;&gt;"",IF(INDIRECT($H51&amp;"!"&amp;$W51&amp;($X51+AA$15+1))&lt;&gt;"",INDIRECT($H51&amp;"!"&amp;$W51&amp;($X51+AA$15+1)),""),"")</f>
        <v/>
      </c>
      <c r="AB51" s="296" t="str" cm="1">
        <f t="array" aca="1" ref="AB51" ca="1">IF($H51&lt;&gt;"",IF(INDIRECT($H51&amp;"!"&amp;$W51&amp;($X51+AB$15+1))&lt;&gt;"",INDIRECT($H51&amp;"!"&amp;$W51&amp;($X51+AB$15+1)),""),"")</f>
        <v/>
      </c>
      <c r="AC51" s="296" t="str" cm="1">
        <f t="array" aca="1" ref="AC51" ca="1">IF(LEFT($J51,5)="Sonde","",IF($H51&lt;&gt;"",IF(INDIRECT($H51&amp;"!"&amp;$W51&amp;($X51+AC$15+1))&lt;&gt;"",INDIRECT($H51&amp;"!"&amp;$W51&amp;($X51+AC$15+1)),""),""))</f>
        <v/>
      </c>
      <c r="AD51" s="296" t="str" cm="1">
        <f t="array" aca="1" ref="AD51" ca="1">IF(OR($J51="Pluviomètre",LEFT($J51,5)="Sonde"),"",IF($H51&lt;&gt;"",IF(INDIRECT($H51&amp;"!"&amp;$W51&amp;($X51+AD$15+1))&lt;&gt;"",INDIRECT($H51&amp;"!"&amp;$W51&amp;($X51+AD$15+1)),""),""))</f>
        <v/>
      </c>
      <c r="AE51" s="296" t="str" cm="1">
        <f t="array" aca="1" ref="AE51" ca="1">IF(OR($J51="Pluviomètre",LEFT($J51,5)="Sonde"),"",IF($H51&lt;&gt;"",IF(INDIRECT($H51&amp;"!"&amp;$W51&amp;($X51+AE$15+1))&lt;&gt;"",INDIRECT($H51&amp;"!"&amp;$W51&amp;($X51+AE$15+1)),""),""))</f>
        <v/>
      </c>
      <c r="AF51" s="296" t="str" cm="1">
        <f t="array" aca="1" ref="AF51" ca="1">IF(OR($J51="Pluviomètre",LEFT($J51,5)="Sonde"),"",IF($H51&lt;&gt;"",IF(INDIRECT($H51&amp;"!"&amp;$W51&amp;($X51+AF$15+1))&lt;&gt;"",INDIRECT($H51&amp;"!"&amp;$W51&amp;($X51+AF$15+1)),""),""))</f>
        <v/>
      </c>
      <c r="AG51" s="296" t="str" cm="1">
        <f t="array" aca="1" ref="AG51" ca="1">IF(OR($J51="Pluviomètre",LEFT($J51,5)="Sonde"),"",IF($H51&lt;&gt;"",IF(INDIRECT($H51&amp;"!"&amp;$W51&amp;($X51+AG$15+1))&lt;&gt;"",INDIRECT($H51&amp;"!"&amp;$W51&amp;($X51+AG$15+1)),""),""))</f>
        <v/>
      </c>
      <c r="AH51" s="296" t="str" cm="1">
        <f t="array" aca="1" ref="AH51" ca="1">IF(OR($J51="Pluviomètre",LEFT($J51,5)="Sonde"),"",IF($H51&lt;&gt;"",IF(INDIRECT($H51&amp;"!"&amp;$W51&amp;($X51+AH$15+1))&lt;&gt;"",INDIRECT($H51&amp;"!"&amp;$W51&amp;($X51+AH$15+1)),""),""))</f>
        <v/>
      </c>
      <c r="AI51" s="294" t="str">
        <f t="shared" ca="1" si="9"/>
        <v/>
      </c>
      <c r="AJ51" s="295" t="str">
        <f t="shared" ca="1" si="10"/>
        <v/>
      </c>
      <c r="AK51" s="296" t="str" cm="1">
        <f t="array" aca="1" ref="AK51" ca="1">IF($H51&lt;&gt;"",IF(INDIRECT($H51&amp;"!"&amp;$AI51&amp;($AJ51+AK$15+1))&lt;&gt;"",INDIRECT($H51&amp;"!"&amp;$AI51&amp;($AJ51+AK$15+1)),""),"")</f>
        <v/>
      </c>
      <c r="AL51" s="296" t="str" cm="1">
        <f t="array" aca="1" ref="AL51" ca="1">IF($H51&lt;&gt;"",IF(INDIRECT($H51&amp;"!"&amp;$AI51&amp;($AJ51+AL$15+1))&lt;&gt;"",INDIRECT($H51&amp;"!"&amp;$AI51&amp;($AJ51+AL$15+1)),""),"")</f>
        <v/>
      </c>
      <c r="AM51" s="296" t="str" cm="1">
        <f t="array" aca="1" ref="AM51" ca="1">IF($H51&lt;&gt;"",IF(INDIRECT($H51&amp;"!"&amp;$AI51&amp;($AJ51+AM$15+1))&lt;&gt;"",INDIRECT($H51&amp;"!"&amp;$AI51&amp;($AJ51+AM$15+1)),""),"")</f>
        <v/>
      </c>
      <c r="AN51" s="296" t="str" cm="1">
        <f t="array" aca="1" ref="AN51" ca="1">IF($H51&lt;&gt;"",IF(INDIRECT($H51&amp;"!"&amp;$AI51&amp;($AJ51+AN$15+1))&lt;&gt;"",INDIRECT($H51&amp;"!"&amp;$AI51&amp;($AJ51+AN$15+1)),""),"")</f>
        <v/>
      </c>
      <c r="AO51" s="296" t="str" cm="1">
        <f t="array" aca="1" ref="AO51" ca="1">IF(LEFT($J51,5)="Sonde","",IF($H51&lt;&gt;"",IF(INDIRECT($H51&amp;"!"&amp;$AI51&amp;($AJ51+AO$15+1))&lt;&gt;"",INDIRECT($H51&amp;"!"&amp;$AI51&amp;($AJ51+AO$15+1)),""),""))</f>
        <v/>
      </c>
      <c r="AP51" s="296" t="str" cm="1">
        <f t="array" aca="1" ref="AP51" ca="1">IF(OR($J51="Pluviomètre",LEFT($J51,5)="Sonde"),"",IF($H51&lt;&gt;"",IF(INDIRECT($H51&amp;"!"&amp;$AI51&amp;($AJ51+AP$15+1))&lt;&gt;"",INDIRECT($H51&amp;"!"&amp;$AI51&amp;($AJ51+AP$15+1)),""),""))</f>
        <v/>
      </c>
      <c r="AQ51" s="296" t="str" cm="1">
        <f t="array" aca="1" ref="AQ51" ca="1">IF(OR($J51="Pluviomètre",LEFT($J51,5)="Sonde"),"",IF($H51&lt;&gt;"",IF(INDIRECT($H51&amp;"!"&amp;$AI51&amp;($AJ51+AQ$15+1))&lt;&gt;"",INDIRECT($H51&amp;"!"&amp;$AI51&amp;($AJ51+AQ$15+1)),""),""))</f>
        <v/>
      </c>
      <c r="AR51" s="296" t="str" cm="1">
        <f t="array" aca="1" ref="AR51" ca="1">IF(OR($J51="Pluviomètre",LEFT($J51,5)="Sonde"),"",IF($H51&lt;&gt;"",IF(INDIRECT($H51&amp;"!"&amp;$AI51&amp;($AJ51+AR$15+1))&lt;&gt;"",INDIRECT($H51&amp;"!"&amp;$AI51&amp;($AJ51+AR$15+1)),""),""))</f>
        <v/>
      </c>
      <c r="AS51" s="296" t="str" cm="1">
        <f t="array" aca="1" ref="AS51" ca="1">IF(OR($J51="Pluviomètre",LEFT($J51,5)="Sonde"),"",IF($H51&lt;&gt;"",IF(INDIRECT($H51&amp;"!"&amp;$AI51&amp;($AJ51+AS$15+1))&lt;&gt;"",INDIRECT($H51&amp;"!"&amp;$AI51&amp;($AJ51+AS$15+1)),""),""))</f>
        <v/>
      </c>
      <c r="AT51" s="296" t="str" cm="1">
        <f t="array" aca="1" ref="AT51" ca="1">IF(OR($J51="Pluviomètre",LEFT($J51,5)="Sonde"),"",IF($H51&lt;&gt;"",IF(INDIRECT($H51&amp;"!"&amp;$AI51&amp;($AJ51+AT$15+1))&lt;&gt;"",INDIRECT($H51&amp;"!"&amp;$AI51&amp;($AJ51+AT$15+1)),""),""))</f>
        <v/>
      </c>
    </row>
    <row r="52" spans="1:46" x14ac:dyDescent="0.4">
      <c r="A52" s="80">
        <v>37</v>
      </c>
      <c r="B52" s="134" t="b">
        <f t="shared" si="6"/>
        <v>0</v>
      </c>
      <c r="C52" s="139" t="str" cm="1">
        <f t="array" aca="1" ref="C52" ca="1">IF(
    AND(
        $B52,
        OR(
            INDIRECT("Descriptif!$M"&amp;($B$1+$A52-1))="Préleveur",
            LEFT(INDIRECT("Descriptif!$M"&amp;($B$1+$A52-1)),5)="Sonde",
            LEFT(INDIRECT("Descriptif!$M"&amp;($B$1+$A52-1)),10)="Débitmètre",
            LEFT(INDIRECT("Descriptif!$F"&amp;($B$1+$A52-1)),6)="PLUVIO"
        )
    ),
    INDIRECT("Descriptif!$"&amp;C$15&amp;($B$1 +$A52 -1)),
    ""
)</f>
        <v/>
      </c>
      <c r="D52" s="277" t="str" cm="1">
        <f t="array" aca="1" ref="D52" ca="1">IF(
    AND(
        $B52,
        OR(
            INDIRECT("Descriptif!$M"&amp;($B$1+$A52-1))="Préleveur",
            LEFT(INDIRECT("Descriptif!$M"&amp;($B$1+$A52-1)),5)="Sonde",
            LEFT(INDIRECT("Descriptif!$M"&amp;($B$1+$A52-1)),10)="Débitmètre",
            LEFT(INDIRECT("Descriptif!$F"&amp;($B$1+$A52-1)),6)="PLUVIO"
        )
    ),
    IF(
        LEFT(INDIRECT("Descriptif!$F"&amp;($B$1+$A52-1)),11)="PLUVIO_STEU",
        "A3",
        IF(
            LEFT(INDIRECT("Descriptif!$F"&amp;($B$1+$A52-1)),10)="PLUVIO_SCL",
            "A1",
            INDIRECT("Descriptif!$"&amp;D$15&amp;($B$1 +$A52 -1))
        )
    ),
    ""
)</f>
        <v/>
      </c>
      <c r="E52" s="277" t="str" cm="1">
        <f t="array" aca="1" ref="E52" ca="1">IF(
    AND(
        $B52,
        OR(
            INDIRECT("Descriptif!$M"&amp;($B$1+$A52-1))="Préleveur",
            LEFT(INDIRECT("Descriptif!$M"&amp;($B$1+$A52-1)),5)="Sonde",
            LEFT(INDIRECT("Descriptif!$M"&amp;($B$1+$A52-1)),10)="Débitmètre",
            LEFT(INDIRECT("Descriptif!$F"&amp;($B$1+$A52-1)),6)="PLUVIO"
        )
    ),
    IF(LEFT(INDIRECT("Descriptif!$F"&amp;($B$1+$A52-1)),6)="PLUVIO","Pluviomètre",INDIRECT("Descriptif!$"&amp;E$15&amp;($B$1 +$A52 -1))),
    ""
)</f>
        <v/>
      </c>
      <c r="F52" s="19" t="str" cm="1">
        <f t="array" aca="1" ref="F52" ca="1">IF(
    AND(
        $B52,
        OR(
            INDIRECT("Descriptif!$M"&amp;($B$1+$A52-1))="Préleveur",
            LEFT(INDIRECT("Descriptif!$M"&amp;($B$1+$A52-1)),5)="Sonde",
            LEFT(INDIRECT("Descriptif!$M"&amp;($B$1+$A52-1)),10)="Débitmètre",
            LEFT(INDIRECT("Descriptif!$F"&amp;($B$1+$A52-1)),6)="PLUVIO"
        )
    ),
    IF(LEFT(INDIRECT("Descriptif!$F"&amp;($B$1+$A52-1)),6)="PLUVIO","Pluviomètre",INDIRECT("Descriptif!$"&amp;F$15&amp;($B$1 +$A52 -1))),
    ""
)</f>
        <v/>
      </c>
      <c r="G52" s="19" t="str" cm="1">
        <f t="array" aca="1" ref="G52" ca="1">IF(
    AND(
        $B52,
        OR(
            INDIRECT("Descriptif!$M"&amp;($B$1+$A52-1))="Préleveur",
            LEFT(INDIRECT("Descriptif!$M"&amp;($B$1+$A52-1)),5)="Sonde",
            LEFT(INDIRECT("Descriptif!$M"&amp;($B$1+$A52-1)),10)="Débitmètre",
            LEFT(INDIRECT("Descriptif!$F"&amp;($B$1+$A52-1)),6)="PLUVIO"
        )
    ),
    IF(LEFT(INDIRECT("Descriptif!$F"&amp;($B$1+$A52-1)),6)="PLUVIO","Pluviomètre",INDIRECT("Descriptif!$"&amp;G$15&amp;($B$1 +$A52 -1))),
    ""
)</f>
        <v/>
      </c>
      <c r="H52" s="141" t="str" cm="1">
        <f t="array" aca="1" ref="H52" ca="1">IFERROR(INDEX($C$16:$C$116,SMALL(IF($C$16:$C$116&lt;&gt;"",ROW($C$16:$C$116)-ROW($C$16)+1),ROW(A37))),"")</f>
        <v/>
      </c>
      <c r="I52" s="140" t="str" cm="1">
        <f t="array" aca="1" ref="I52" ca="1">IFERROR(INDEX($D$16:$D$116,SMALL(IF($D$16:$D$116&lt;&gt;"",ROW($D$16:$D$116)-ROW($D$16)+1),ROW(A37))),"")</f>
        <v/>
      </c>
      <c r="J52" s="140" t="str" cm="1">
        <f t="array" aca="1" ref="J52" ca="1">IFERROR(INDEX($E$16:$E$116,SMALL(IF($E$16:$E$116&lt;&gt;"",ROW($E$16:$E$116)-ROW($E$16)+1),ROW(A37))),"")</f>
        <v/>
      </c>
      <c r="K52" s="140" t="str" cm="1">
        <f t="array" aca="1" ref="K52" ca="1">IFERROR(INDEX($F$16:$F$116,SMALL(IF($F$16:$F$116&lt;&gt;"",ROW($F$16:$F$116)-ROW($F$16)+1),ROW(A37))),"")</f>
        <v/>
      </c>
      <c r="L52" s="140" t="str">
        <f t="shared" ca="1" si="11"/>
        <v/>
      </c>
      <c r="M52" s="140" t="str" cm="1">
        <f t="array" aca="1" ref="M52" ca="1">IFERROR(INDEX($G$16:$G$116,SMALL(IF($G$16:$G$116&lt;&gt;"",ROW($G$16:$G$116)-ROW($G$16)+1),ROW(A37))),"")</f>
        <v/>
      </c>
      <c r="N52" s="145" t="str">
        <f t="shared" ca="1" si="12"/>
        <v/>
      </c>
      <c r="O52" s="146" t="str">
        <f t="shared" ca="1" si="13"/>
        <v/>
      </c>
      <c r="P52" s="146" t="str" cm="1">
        <f t="array" aca="1" ref="P52" ca="1">IF($J52&lt;&gt;"",IF(INDIRECT($H52&amp;"!"&amp;$O52)&lt;&gt;"",INDIRECT($H52&amp;"!"&amp;$O52),""),"")</f>
        <v/>
      </c>
      <c r="Q52" s="146" t="str">
        <f t="shared" ca="1" si="14"/>
        <v/>
      </c>
      <c r="R52" s="146" t="str" cm="1">
        <f t="array" aca="1" ref="R52" ca="1">IF($J52&lt;&gt;"",IF(INDIRECT($H52&amp;"!"&amp;$Q52)&lt;&gt;"",INDIRECT($H52&amp;"!"&amp;$Q52),""),"")</f>
        <v/>
      </c>
      <c r="S52" s="146" t="str">
        <f t="shared" ca="1" si="15"/>
        <v/>
      </c>
      <c r="T52" s="146" t="str" cm="1">
        <f t="array" aca="1" ref="T52" ca="1">IF($J52&lt;&gt;"",IF(INDIRECT($H52&amp;"!"&amp;$S52)&lt;&gt;"",INDIRECT($H52&amp;"!"&amp;$S52),""),"")</f>
        <v/>
      </c>
      <c r="U52" s="146" t="str">
        <f t="shared" ca="1" si="16"/>
        <v/>
      </c>
      <c r="V52" s="147" t="str" cm="1">
        <f t="array" aca="1" ref="V52" ca="1">IF($J52&lt;&gt;"",IF(INDIRECT($H52&amp;"!"&amp;$U52)&lt;&gt;"",INDIRECT($H52&amp;"!"&amp;$U52),""),"")</f>
        <v/>
      </c>
      <c r="W52" s="294" t="str">
        <f t="shared" ca="1" si="7"/>
        <v/>
      </c>
      <c r="X52" s="295" t="str">
        <f t="shared" ca="1" si="8"/>
        <v/>
      </c>
      <c r="Y52" s="296" t="str" cm="1">
        <f t="array" aca="1" ref="Y52" ca="1">IF($H52&lt;&gt;"",IF(INDIRECT($H52&amp;"!"&amp;$W52&amp;($X52+Y$15+1))&lt;&gt;"",INDIRECT($H52&amp;"!"&amp;$W52&amp;($X52+Y$15+1)),""),"")</f>
        <v/>
      </c>
      <c r="Z52" s="296" t="str" cm="1">
        <f t="array" aca="1" ref="Z52" ca="1">IF($H52&lt;&gt;"",IF(INDIRECT($H52&amp;"!"&amp;$W52&amp;($X52+Z$15+1))&lt;&gt;"",INDIRECT($H52&amp;"!"&amp;$W52&amp;($X52+Z$15+1)),""),"")</f>
        <v/>
      </c>
      <c r="AA52" s="296" t="str" cm="1">
        <f t="array" aca="1" ref="AA52" ca="1">IF($H52&lt;&gt;"",IF(INDIRECT($H52&amp;"!"&amp;$W52&amp;($X52+AA$15+1))&lt;&gt;"",INDIRECT($H52&amp;"!"&amp;$W52&amp;($X52+AA$15+1)),""),"")</f>
        <v/>
      </c>
      <c r="AB52" s="296" t="str" cm="1">
        <f t="array" aca="1" ref="AB52" ca="1">IF($H52&lt;&gt;"",IF(INDIRECT($H52&amp;"!"&amp;$W52&amp;($X52+AB$15+1))&lt;&gt;"",INDIRECT($H52&amp;"!"&amp;$W52&amp;($X52+AB$15+1)),""),"")</f>
        <v/>
      </c>
      <c r="AC52" s="296" t="str" cm="1">
        <f t="array" aca="1" ref="AC52" ca="1">IF(LEFT($J52,5)="Sonde","",IF($H52&lt;&gt;"",IF(INDIRECT($H52&amp;"!"&amp;$W52&amp;($X52+AC$15+1))&lt;&gt;"",INDIRECT($H52&amp;"!"&amp;$W52&amp;($X52+AC$15+1)),""),""))</f>
        <v/>
      </c>
      <c r="AD52" s="296" t="str" cm="1">
        <f t="array" aca="1" ref="AD52" ca="1">IF(OR($J52="Pluviomètre",LEFT($J52,5)="Sonde"),"",IF($H52&lt;&gt;"",IF(INDIRECT($H52&amp;"!"&amp;$W52&amp;($X52+AD$15+1))&lt;&gt;"",INDIRECT($H52&amp;"!"&amp;$W52&amp;($X52+AD$15+1)),""),""))</f>
        <v/>
      </c>
      <c r="AE52" s="296" t="str" cm="1">
        <f t="array" aca="1" ref="AE52" ca="1">IF(OR($J52="Pluviomètre",LEFT($J52,5)="Sonde"),"",IF($H52&lt;&gt;"",IF(INDIRECT($H52&amp;"!"&amp;$W52&amp;($X52+AE$15+1))&lt;&gt;"",INDIRECT($H52&amp;"!"&amp;$W52&amp;($X52+AE$15+1)),""),""))</f>
        <v/>
      </c>
      <c r="AF52" s="296" t="str" cm="1">
        <f t="array" aca="1" ref="AF52" ca="1">IF(OR($J52="Pluviomètre",LEFT($J52,5)="Sonde"),"",IF($H52&lt;&gt;"",IF(INDIRECT($H52&amp;"!"&amp;$W52&amp;($X52+AF$15+1))&lt;&gt;"",INDIRECT($H52&amp;"!"&amp;$W52&amp;($X52+AF$15+1)),""),""))</f>
        <v/>
      </c>
      <c r="AG52" s="296" t="str" cm="1">
        <f t="array" aca="1" ref="AG52" ca="1">IF(OR($J52="Pluviomètre",LEFT($J52,5)="Sonde"),"",IF($H52&lt;&gt;"",IF(INDIRECT($H52&amp;"!"&amp;$W52&amp;($X52+AG$15+1))&lt;&gt;"",INDIRECT($H52&amp;"!"&amp;$W52&amp;($X52+AG$15+1)),""),""))</f>
        <v/>
      </c>
      <c r="AH52" s="296" t="str" cm="1">
        <f t="array" aca="1" ref="AH52" ca="1">IF(OR($J52="Pluviomètre",LEFT($J52,5)="Sonde"),"",IF($H52&lt;&gt;"",IF(INDIRECT($H52&amp;"!"&amp;$W52&amp;($X52+AH$15+1))&lt;&gt;"",INDIRECT($H52&amp;"!"&amp;$W52&amp;($X52+AH$15+1)),""),""))</f>
        <v/>
      </c>
      <c r="AI52" s="294" t="str">
        <f t="shared" ca="1" si="9"/>
        <v/>
      </c>
      <c r="AJ52" s="295" t="str">
        <f t="shared" ca="1" si="10"/>
        <v/>
      </c>
      <c r="AK52" s="296" t="str" cm="1">
        <f t="array" aca="1" ref="AK52" ca="1">IF($H52&lt;&gt;"",IF(INDIRECT($H52&amp;"!"&amp;$AI52&amp;($AJ52+AK$15+1))&lt;&gt;"",INDIRECT($H52&amp;"!"&amp;$AI52&amp;($AJ52+AK$15+1)),""),"")</f>
        <v/>
      </c>
      <c r="AL52" s="296" t="str" cm="1">
        <f t="array" aca="1" ref="AL52" ca="1">IF($H52&lt;&gt;"",IF(INDIRECT($H52&amp;"!"&amp;$AI52&amp;($AJ52+AL$15+1))&lt;&gt;"",INDIRECT($H52&amp;"!"&amp;$AI52&amp;($AJ52+AL$15+1)),""),"")</f>
        <v/>
      </c>
      <c r="AM52" s="296" t="str" cm="1">
        <f t="array" aca="1" ref="AM52" ca="1">IF($H52&lt;&gt;"",IF(INDIRECT($H52&amp;"!"&amp;$AI52&amp;($AJ52+AM$15+1))&lt;&gt;"",INDIRECT($H52&amp;"!"&amp;$AI52&amp;($AJ52+AM$15+1)),""),"")</f>
        <v/>
      </c>
      <c r="AN52" s="296" t="str" cm="1">
        <f t="array" aca="1" ref="AN52" ca="1">IF($H52&lt;&gt;"",IF(INDIRECT($H52&amp;"!"&amp;$AI52&amp;($AJ52+AN$15+1))&lt;&gt;"",INDIRECT($H52&amp;"!"&amp;$AI52&amp;($AJ52+AN$15+1)),""),"")</f>
        <v/>
      </c>
      <c r="AO52" s="296" t="str" cm="1">
        <f t="array" aca="1" ref="AO52" ca="1">IF(LEFT($J52,5)="Sonde","",IF($H52&lt;&gt;"",IF(INDIRECT($H52&amp;"!"&amp;$AI52&amp;($AJ52+AO$15+1))&lt;&gt;"",INDIRECT($H52&amp;"!"&amp;$AI52&amp;($AJ52+AO$15+1)),""),""))</f>
        <v/>
      </c>
      <c r="AP52" s="296" t="str" cm="1">
        <f t="array" aca="1" ref="AP52" ca="1">IF(OR($J52="Pluviomètre",LEFT($J52,5)="Sonde"),"",IF($H52&lt;&gt;"",IF(INDIRECT($H52&amp;"!"&amp;$AI52&amp;($AJ52+AP$15+1))&lt;&gt;"",INDIRECT($H52&amp;"!"&amp;$AI52&amp;($AJ52+AP$15+1)),""),""))</f>
        <v/>
      </c>
      <c r="AQ52" s="296" t="str" cm="1">
        <f t="array" aca="1" ref="AQ52" ca="1">IF(OR($J52="Pluviomètre",LEFT($J52,5)="Sonde"),"",IF($H52&lt;&gt;"",IF(INDIRECT($H52&amp;"!"&amp;$AI52&amp;($AJ52+AQ$15+1))&lt;&gt;"",INDIRECT($H52&amp;"!"&amp;$AI52&amp;($AJ52+AQ$15+1)),""),""))</f>
        <v/>
      </c>
      <c r="AR52" s="296" t="str" cm="1">
        <f t="array" aca="1" ref="AR52" ca="1">IF(OR($J52="Pluviomètre",LEFT($J52,5)="Sonde"),"",IF($H52&lt;&gt;"",IF(INDIRECT($H52&amp;"!"&amp;$AI52&amp;($AJ52+AR$15+1))&lt;&gt;"",INDIRECT($H52&amp;"!"&amp;$AI52&amp;($AJ52+AR$15+1)),""),""))</f>
        <v/>
      </c>
      <c r="AS52" s="296" t="str" cm="1">
        <f t="array" aca="1" ref="AS52" ca="1">IF(OR($J52="Pluviomètre",LEFT($J52,5)="Sonde"),"",IF($H52&lt;&gt;"",IF(INDIRECT($H52&amp;"!"&amp;$AI52&amp;($AJ52+AS$15+1))&lt;&gt;"",INDIRECT($H52&amp;"!"&amp;$AI52&amp;($AJ52+AS$15+1)),""),""))</f>
        <v/>
      </c>
      <c r="AT52" s="296" t="str" cm="1">
        <f t="array" aca="1" ref="AT52" ca="1">IF(OR($J52="Pluviomètre",LEFT($J52,5)="Sonde"),"",IF($H52&lt;&gt;"",IF(INDIRECT($H52&amp;"!"&amp;$AI52&amp;($AJ52+AT$15+1))&lt;&gt;"",INDIRECT($H52&amp;"!"&amp;$AI52&amp;($AJ52+AT$15+1)),""),""))</f>
        <v/>
      </c>
    </row>
    <row r="53" spans="1:46" x14ac:dyDescent="0.4">
      <c r="A53" s="80">
        <v>38</v>
      </c>
      <c r="B53" s="134" t="b">
        <f t="shared" si="6"/>
        <v>0</v>
      </c>
      <c r="C53" s="139" t="str" cm="1">
        <f t="array" aca="1" ref="C53" ca="1">IF(
    AND(
        $B53,
        OR(
            INDIRECT("Descriptif!$M"&amp;($B$1+$A53-1))="Préleveur",
            LEFT(INDIRECT("Descriptif!$M"&amp;($B$1+$A53-1)),5)="Sonde",
            LEFT(INDIRECT("Descriptif!$M"&amp;($B$1+$A53-1)),10)="Débitmètre",
            LEFT(INDIRECT("Descriptif!$F"&amp;($B$1+$A53-1)),6)="PLUVIO"
        )
    ),
    INDIRECT("Descriptif!$"&amp;C$15&amp;($B$1 +$A53 -1)),
    ""
)</f>
        <v/>
      </c>
      <c r="D53" s="277" t="str" cm="1">
        <f t="array" aca="1" ref="D53" ca="1">IF(
    AND(
        $B53,
        OR(
            INDIRECT("Descriptif!$M"&amp;($B$1+$A53-1))="Préleveur",
            LEFT(INDIRECT("Descriptif!$M"&amp;($B$1+$A53-1)),5)="Sonde",
            LEFT(INDIRECT("Descriptif!$M"&amp;($B$1+$A53-1)),10)="Débitmètre",
            LEFT(INDIRECT("Descriptif!$F"&amp;($B$1+$A53-1)),6)="PLUVIO"
        )
    ),
    IF(
        LEFT(INDIRECT("Descriptif!$F"&amp;($B$1+$A53-1)),11)="PLUVIO_STEU",
        "A3",
        IF(
            LEFT(INDIRECT("Descriptif!$F"&amp;($B$1+$A53-1)),10)="PLUVIO_SCL",
            "A1",
            INDIRECT("Descriptif!$"&amp;D$15&amp;($B$1 +$A53 -1))
        )
    ),
    ""
)</f>
        <v/>
      </c>
      <c r="E53" s="277" t="str" cm="1">
        <f t="array" aca="1" ref="E53" ca="1">IF(
    AND(
        $B53,
        OR(
            INDIRECT("Descriptif!$M"&amp;($B$1+$A53-1))="Préleveur",
            LEFT(INDIRECT("Descriptif!$M"&amp;($B$1+$A53-1)),5)="Sonde",
            LEFT(INDIRECT("Descriptif!$M"&amp;($B$1+$A53-1)),10)="Débitmètre",
            LEFT(INDIRECT("Descriptif!$F"&amp;($B$1+$A53-1)),6)="PLUVIO"
        )
    ),
    IF(LEFT(INDIRECT("Descriptif!$F"&amp;($B$1+$A53-1)),6)="PLUVIO","Pluviomètre",INDIRECT("Descriptif!$"&amp;E$15&amp;($B$1 +$A53 -1))),
    ""
)</f>
        <v/>
      </c>
      <c r="F53" s="19" t="str" cm="1">
        <f t="array" aca="1" ref="F53" ca="1">IF(
    AND(
        $B53,
        OR(
            INDIRECT("Descriptif!$M"&amp;($B$1+$A53-1))="Préleveur",
            LEFT(INDIRECT("Descriptif!$M"&amp;($B$1+$A53-1)),5)="Sonde",
            LEFT(INDIRECT("Descriptif!$M"&amp;($B$1+$A53-1)),10)="Débitmètre",
            LEFT(INDIRECT("Descriptif!$F"&amp;($B$1+$A53-1)),6)="PLUVIO"
        )
    ),
    IF(LEFT(INDIRECT("Descriptif!$F"&amp;($B$1+$A53-1)),6)="PLUVIO","Pluviomètre",INDIRECT("Descriptif!$"&amp;F$15&amp;($B$1 +$A53 -1))),
    ""
)</f>
        <v/>
      </c>
      <c r="G53" s="19" t="str" cm="1">
        <f t="array" aca="1" ref="G53" ca="1">IF(
    AND(
        $B53,
        OR(
            INDIRECT("Descriptif!$M"&amp;($B$1+$A53-1))="Préleveur",
            LEFT(INDIRECT("Descriptif!$M"&amp;($B$1+$A53-1)),5)="Sonde",
            LEFT(INDIRECT("Descriptif!$M"&amp;($B$1+$A53-1)),10)="Débitmètre",
            LEFT(INDIRECT("Descriptif!$F"&amp;($B$1+$A53-1)),6)="PLUVIO"
        )
    ),
    IF(LEFT(INDIRECT("Descriptif!$F"&amp;($B$1+$A53-1)),6)="PLUVIO","Pluviomètre",INDIRECT("Descriptif!$"&amp;G$15&amp;($B$1 +$A53 -1))),
    ""
)</f>
        <v/>
      </c>
      <c r="H53" s="141" t="str" cm="1">
        <f t="array" aca="1" ref="H53" ca="1">IFERROR(INDEX($C$16:$C$116,SMALL(IF($C$16:$C$116&lt;&gt;"",ROW($C$16:$C$116)-ROW($C$16)+1),ROW(A38))),"")</f>
        <v/>
      </c>
      <c r="I53" s="140" t="str" cm="1">
        <f t="array" aca="1" ref="I53" ca="1">IFERROR(INDEX($D$16:$D$116,SMALL(IF($D$16:$D$116&lt;&gt;"",ROW($D$16:$D$116)-ROW($D$16)+1),ROW(A38))),"")</f>
        <v/>
      </c>
      <c r="J53" s="140" t="str" cm="1">
        <f t="array" aca="1" ref="J53" ca="1">IFERROR(INDEX($E$16:$E$116,SMALL(IF($E$16:$E$116&lt;&gt;"",ROW($E$16:$E$116)-ROW($E$16)+1),ROW(A38))),"")</f>
        <v/>
      </c>
      <c r="K53" s="140" t="str" cm="1">
        <f t="array" aca="1" ref="K53" ca="1">IFERROR(INDEX($F$16:$F$116,SMALL(IF($F$16:$F$116&lt;&gt;"",ROW($F$16:$F$116)-ROW($F$16)+1),ROW(A38))),"")</f>
        <v/>
      </c>
      <c r="L53" s="140" t="str">
        <f t="shared" ca="1" si="11"/>
        <v/>
      </c>
      <c r="M53" s="140" t="str" cm="1">
        <f t="array" aca="1" ref="M53" ca="1">IFERROR(INDEX($G$16:$G$116,SMALL(IF($G$16:$G$116&lt;&gt;"",ROW($G$16:$G$116)-ROW($G$16)+1),ROW(A38))),"")</f>
        <v/>
      </c>
      <c r="N53" s="145" t="str">
        <f t="shared" ca="1" si="12"/>
        <v/>
      </c>
      <c r="O53" s="146" t="str">
        <f t="shared" ca="1" si="13"/>
        <v/>
      </c>
      <c r="P53" s="146" t="str" cm="1">
        <f t="array" aca="1" ref="P53" ca="1">IF($J53&lt;&gt;"",IF(INDIRECT($H53&amp;"!"&amp;$O53)&lt;&gt;"",INDIRECT($H53&amp;"!"&amp;$O53),""),"")</f>
        <v/>
      </c>
      <c r="Q53" s="146" t="str">
        <f t="shared" ca="1" si="14"/>
        <v/>
      </c>
      <c r="R53" s="146" t="str" cm="1">
        <f t="array" aca="1" ref="R53" ca="1">IF($J53&lt;&gt;"",IF(INDIRECT($H53&amp;"!"&amp;$Q53)&lt;&gt;"",INDIRECT($H53&amp;"!"&amp;$Q53),""),"")</f>
        <v/>
      </c>
      <c r="S53" s="146" t="str">
        <f t="shared" ca="1" si="15"/>
        <v/>
      </c>
      <c r="T53" s="146" t="str" cm="1">
        <f t="array" aca="1" ref="T53" ca="1">IF($J53&lt;&gt;"",IF(INDIRECT($H53&amp;"!"&amp;$S53)&lt;&gt;"",INDIRECT($H53&amp;"!"&amp;$S53),""),"")</f>
        <v/>
      </c>
      <c r="U53" s="146" t="str">
        <f t="shared" ca="1" si="16"/>
        <v/>
      </c>
      <c r="V53" s="147" t="str" cm="1">
        <f t="array" aca="1" ref="V53" ca="1">IF($J53&lt;&gt;"",IF(INDIRECT($H53&amp;"!"&amp;$U53)&lt;&gt;"",INDIRECT($H53&amp;"!"&amp;$U53),""),"")</f>
        <v/>
      </c>
      <c r="W53" s="294" t="str">
        <f t="shared" ca="1" si="7"/>
        <v/>
      </c>
      <c r="X53" s="295" t="str">
        <f t="shared" ca="1" si="8"/>
        <v/>
      </c>
      <c r="Y53" s="296" t="str" cm="1">
        <f t="array" aca="1" ref="Y53" ca="1">IF($H53&lt;&gt;"",IF(INDIRECT($H53&amp;"!"&amp;$W53&amp;($X53+Y$15+1))&lt;&gt;"",INDIRECT($H53&amp;"!"&amp;$W53&amp;($X53+Y$15+1)),""),"")</f>
        <v/>
      </c>
      <c r="Z53" s="296" t="str" cm="1">
        <f t="array" aca="1" ref="Z53" ca="1">IF($H53&lt;&gt;"",IF(INDIRECT($H53&amp;"!"&amp;$W53&amp;($X53+Z$15+1))&lt;&gt;"",INDIRECT($H53&amp;"!"&amp;$W53&amp;($X53+Z$15+1)),""),"")</f>
        <v/>
      </c>
      <c r="AA53" s="296" t="str" cm="1">
        <f t="array" aca="1" ref="AA53" ca="1">IF($H53&lt;&gt;"",IF(INDIRECT($H53&amp;"!"&amp;$W53&amp;($X53+AA$15+1))&lt;&gt;"",INDIRECT($H53&amp;"!"&amp;$W53&amp;($X53+AA$15+1)),""),"")</f>
        <v/>
      </c>
      <c r="AB53" s="296" t="str" cm="1">
        <f t="array" aca="1" ref="AB53" ca="1">IF($H53&lt;&gt;"",IF(INDIRECT($H53&amp;"!"&amp;$W53&amp;($X53+AB$15+1))&lt;&gt;"",INDIRECT($H53&amp;"!"&amp;$W53&amp;($X53+AB$15+1)),""),"")</f>
        <v/>
      </c>
      <c r="AC53" s="296" t="str" cm="1">
        <f t="array" aca="1" ref="AC53" ca="1">IF(LEFT($J53,5)="Sonde","",IF($H53&lt;&gt;"",IF(INDIRECT($H53&amp;"!"&amp;$W53&amp;($X53+AC$15+1))&lt;&gt;"",INDIRECT($H53&amp;"!"&amp;$W53&amp;($X53+AC$15+1)),""),""))</f>
        <v/>
      </c>
      <c r="AD53" s="296" t="str" cm="1">
        <f t="array" aca="1" ref="AD53" ca="1">IF(OR($J53="Pluviomètre",LEFT($J53,5)="Sonde"),"",IF($H53&lt;&gt;"",IF(INDIRECT($H53&amp;"!"&amp;$W53&amp;($X53+AD$15+1))&lt;&gt;"",INDIRECT($H53&amp;"!"&amp;$W53&amp;($X53+AD$15+1)),""),""))</f>
        <v/>
      </c>
      <c r="AE53" s="296" t="str" cm="1">
        <f t="array" aca="1" ref="AE53" ca="1">IF(OR($J53="Pluviomètre",LEFT($J53,5)="Sonde"),"",IF($H53&lt;&gt;"",IF(INDIRECT($H53&amp;"!"&amp;$W53&amp;($X53+AE$15+1))&lt;&gt;"",INDIRECT($H53&amp;"!"&amp;$W53&amp;($X53+AE$15+1)),""),""))</f>
        <v/>
      </c>
      <c r="AF53" s="296" t="str" cm="1">
        <f t="array" aca="1" ref="AF53" ca="1">IF(OR($J53="Pluviomètre",LEFT($J53,5)="Sonde"),"",IF($H53&lt;&gt;"",IF(INDIRECT($H53&amp;"!"&amp;$W53&amp;($X53+AF$15+1))&lt;&gt;"",INDIRECT($H53&amp;"!"&amp;$W53&amp;($X53+AF$15+1)),""),""))</f>
        <v/>
      </c>
      <c r="AG53" s="296" t="str" cm="1">
        <f t="array" aca="1" ref="AG53" ca="1">IF(OR($J53="Pluviomètre",LEFT($J53,5)="Sonde"),"",IF($H53&lt;&gt;"",IF(INDIRECT($H53&amp;"!"&amp;$W53&amp;($X53+AG$15+1))&lt;&gt;"",INDIRECT($H53&amp;"!"&amp;$W53&amp;($X53+AG$15+1)),""),""))</f>
        <v/>
      </c>
      <c r="AH53" s="296" t="str" cm="1">
        <f t="array" aca="1" ref="AH53" ca="1">IF(OR($J53="Pluviomètre",LEFT($J53,5)="Sonde"),"",IF($H53&lt;&gt;"",IF(INDIRECT($H53&amp;"!"&amp;$W53&amp;($X53+AH$15+1))&lt;&gt;"",INDIRECT($H53&amp;"!"&amp;$W53&amp;($X53+AH$15+1)),""),""))</f>
        <v/>
      </c>
      <c r="AI53" s="294" t="str">
        <f t="shared" ca="1" si="9"/>
        <v/>
      </c>
      <c r="AJ53" s="295" t="str">
        <f t="shared" ca="1" si="10"/>
        <v/>
      </c>
      <c r="AK53" s="296" t="str" cm="1">
        <f t="array" aca="1" ref="AK53" ca="1">IF($H53&lt;&gt;"",IF(INDIRECT($H53&amp;"!"&amp;$AI53&amp;($AJ53+AK$15+1))&lt;&gt;"",INDIRECT($H53&amp;"!"&amp;$AI53&amp;($AJ53+AK$15+1)),""),"")</f>
        <v/>
      </c>
      <c r="AL53" s="296" t="str" cm="1">
        <f t="array" aca="1" ref="AL53" ca="1">IF($H53&lt;&gt;"",IF(INDIRECT($H53&amp;"!"&amp;$AI53&amp;($AJ53+AL$15+1))&lt;&gt;"",INDIRECT($H53&amp;"!"&amp;$AI53&amp;($AJ53+AL$15+1)),""),"")</f>
        <v/>
      </c>
      <c r="AM53" s="296" t="str" cm="1">
        <f t="array" aca="1" ref="AM53" ca="1">IF($H53&lt;&gt;"",IF(INDIRECT($H53&amp;"!"&amp;$AI53&amp;($AJ53+AM$15+1))&lt;&gt;"",INDIRECT($H53&amp;"!"&amp;$AI53&amp;($AJ53+AM$15+1)),""),"")</f>
        <v/>
      </c>
      <c r="AN53" s="296" t="str" cm="1">
        <f t="array" aca="1" ref="AN53" ca="1">IF($H53&lt;&gt;"",IF(INDIRECT($H53&amp;"!"&amp;$AI53&amp;($AJ53+AN$15+1))&lt;&gt;"",INDIRECT($H53&amp;"!"&amp;$AI53&amp;($AJ53+AN$15+1)),""),"")</f>
        <v/>
      </c>
      <c r="AO53" s="296" t="str" cm="1">
        <f t="array" aca="1" ref="AO53" ca="1">IF(LEFT($J53,5)="Sonde","",IF($H53&lt;&gt;"",IF(INDIRECT($H53&amp;"!"&amp;$AI53&amp;($AJ53+AO$15+1))&lt;&gt;"",INDIRECT($H53&amp;"!"&amp;$AI53&amp;($AJ53+AO$15+1)),""),""))</f>
        <v/>
      </c>
      <c r="AP53" s="296" t="str" cm="1">
        <f t="array" aca="1" ref="AP53" ca="1">IF(OR($J53="Pluviomètre",LEFT($J53,5)="Sonde"),"",IF($H53&lt;&gt;"",IF(INDIRECT($H53&amp;"!"&amp;$AI53&amp;($AJ53+AP$15+1))&lt;&gt;"",INDIRECT($H53&amp;"!"&amp;$AI53&amp;($AJ53+AP$15+1)),""),""))</f>
        <v/>
      </c>
      <c r="AQ53" s="296" t="str" cm="1">
        <f t="array" aca="1" ref="AQ53" ca="1">IF(OR($J53="Pluviomètre",LEFT($J53,5)="Sonde"),"",IF($H53&lt;&gt;"",IF(INDIRECT($H53&amp;"!"&amp;$AI53&amp;($AJ53+AQ$15+1))&lt;&gt;"",INDIRECT($H53&amp;"!"&amp;$AI53&amp;($AJ53+AQ$15+1)),""),""))</f>
        <v/>
      </c>
      <c r="AR53" s="296" t="str" cm="1">
        <f t="array" aca="1" ref="AR53" ca="1">IF(OR($J53="Pluviomètre",LEFT($J53,5)="Sonde"),"",IF($H53&lt;&gt;"",IF(INDIRECT($H53&amp;"!"&amp;$AI53&amp;($AJ53+AR$15+1))&lt;&gt;"",INDIRECT($H53&amp;"!"&amp;$AI53&amp;($AJ53+AR$15+1)),""),""))</f>
        <v/>
      </c>
      <c r="AS53" s="296" t="str" cm="1">
        <f t="array" aca="1" ref="AS53" ca="1">IF(OR($J53="Pluviomètre",LEFT($J53,5)="Sonde"),"",IF($H53&lt;&gt;"",IF(INDIRECT($H53&amp;"!"&amp;$AI53&amp;($AJ53+AS$15+1))&lt;&gt;"",INDIRECT($H53&amp;"!"&amp;$AI53&amp;($AJ53+AS$15+1)),""),""))</f>
        <v/>
      </c>
      <c r="AT53" s="296" t="str" cm="1">
        <f t="array" aca="1" ref="AT53" ca="1">IF(OR($J53="Pluviomètre",LEFT($J53,5)="Sonde"),"",IF($H53&lt;&gt;"",IF(INDIRECT($H53&amp;"!"&amp;$AI53&amp;($AJ53+AT$15+1))&lt;&gt;"",INDIRECT($H53&amp;"!"&amp;$AI53&amp;($AJ53+AT$15+1)),""),""))</f>
        <v/>
      </c>
    </row>
    <row r="54" spans="1:46" x14ac:dyDescent="0.4">
      <c r="A54" s="80">
        <v>39</v>
      </c>
      <c r="B54" s="134" t="b">
        <f t="shared" si="6"/>
        <v>0</v>
      </c>
      <c r="C54" s="139" t="str" cm="1">
        <f t="array" aca="1" ref="C54" ca="1">IF(
    AND(
        $B54,
        OR(
            INDIRECT("Descriptif!$M"&amp;($B$1+$A54-1))="Préleveur",
            LEFT(INDIRECT("Descriptif!$M"&amp;($B$1+$A54-1)),5)="Sonde",
            LEFT(INDIRECT("Descriptif!$M"&amp;($B$1+$A54-1)),10)="Débitmètre",
            LEFT(INDIRECT("Descriptif!$F"&amp;($B$1+$A54-1)),6)="PLUVIO"
        )
    ),
    INDIRECT("Descriptif!$"&amp;C$15&amp;($B$1 +$A54 -1)),
    ""
)</f>
        <v/>
      </c>
      <c r="D54" s="277" t="str" cm="1">
        <f t="array" aca="1" ref="D54" ca="1">IF(
    AND(
        $B54,
        OR(
            INDIRECT("Descriptif!$M"&amp;($B$1+$A54-1))="Préleveur",
            LEFT(INDIRECT("Descriptif!$M"&amp;($B$1+$A54-1)),5)="Sonde",
            LEFT(INDIRECT("Descriptif!$M"&amp;($B$1+$A54-1)),10)="Débitmètre",
            LEFT(INDIRECT("Descriptif!$F"&amp;($B$1+$A54-1)),6)="PLUVIO"
        )
    ),
    IF(
        LEFT(INDIRECT("Descriptif!$F"&amp;($B$1+$A54-1)),11)="PLUVIO_STEU",
        "A3",
        IF(
            LEFT(INDIRECT("Descriptif!$F"&amp;($B$1+$A54-1)),10)="PLUVIO_SCL",
            "A1",
            INDIRECT("Descriptif!$"&amp;D$15&amp;($B$1 +$A54 -1))
        )
    ),
    ""
)</f>
        <v/>
      </c>
      <c r="E54" s="277" t="str" cm="1">
        <f t="array" aca="1" ref="E54" ca="1">IF(
    AND(
        $B54,
        OR(
            INDIRECT("Descriptif!$M"&amp;($B$1+$A54-1))="Préleveur",
            LEFT(INDIRECT("Descriptif!$M"&amp;($B$1+$A54-1)),5)="Sonde",
            LEFT(INDIRECT("Descriptif!$M"&amp;($B$1+$A54-1)),10)="Débitmètre",
            LEFT(INDIRECT("Descriptif!$F"&amp;($B$1+$A54-1)),6)="PLUVIO"
        )
    ),
    IF(LEFT(INDIRECT("Descriptif!$F"&amp;($B$1+$A54-1)),6)="PLUVIO","Pluviomètre",INDIRECT("Descriptif!$"&amp;E$15&amp;($B$1 +$A54 -1))),
    ""
)</f>
        <v/>
      </c>
      <c r="F54" s="19" t="str" cm="1">
        <f t="array" aca="1" ref="F54" ca="1">IF(
    AND(
        $B54,
        OR(
            INDIRECT("Descriptif!$M"&amp;($B$1+$A54-1))="Préleveur",
            LEFT(INDIRECT("Descriptif!$M"&amp;($B$1+$A54-1)),5)="Sonde",
            LEFT(INDIRECT("Descriptif!$M"&amp;($B$1+$A54-1)),10)="Débitmètre",
            LEFT(INDIRECT("Descriptif!$F"&amp;($B$1+$A54-1)),6)="PLUVIO"
        )
    ),
    IF(LEFT(INDIRECT("Descriptif!$F"&amp;($B$1+$A54-1)),6)="PLUVIO","Pluviomètre",INDIRECT("Descriptif!$"&amp;F$15&amp;($B$1 +$A54 -1))),
    ""
)</f>
        <v/>
      </c>
      <c r="G54" s="19" t="str" cm="1">
        <f t="array" aca="1" ref="G54" ca="1">IF(
    AND(
        $B54,
        OR(
            INDIRECT("Descriptif!$M"&amp;($B$1+$A54-1))="Préleveur",
            LEFT(INDIRECT("Descriptif!$M"&amp;($B$1+$A54-1)),5)="Sonde",
            LEFT(INDIRECT("Descriptif!$M"&amp;($B$1+$A54-1)),10)="Débitmètre",
            LEFT(INDIRECT("Descriptif!$F"&amp;($B$1+$A54-1)),6)="PLUVIO"
        )
    ),
    IF(LEFT(INDIRECT("Descriptif!$F"&amp;($B$1+$A54-1)),6)="PLUVIO","Pluviomètre",INDIRECT("Descriptif!$"&amp;G$15&amp;($B$1 +$A54 -1))),
    ""
)</f>
        <v/>
      </c>
      <c r="H54" s="141" t="str" cm="1">
        <f t="array" aca="1" ref="H54" ca="1">IFERROR(INDEX($C$16:$C$116,SMALL(IF($C$16:$C$116&lt;&gt;"",ROW($C$16:$C$116)-ROW($C$16)+1),ROW(A39))),"")</f>
        <v/>
      </c>
      <c r="I54" s="140" t="str" cm="1">
        <f t="array" aca="1" ref="I54" ca="1">IFERROR(INDEX($D$16:$D$116,SMALL(IF($D$16:$D$116&lt;&gt;"",ROW($D$16:$D$116)-ROW($D$16)+1),ROW(A39))),"")</f>
        <v/>
      </c>
      <c r="J54" s="140" t="str" cm="1">
        <f t="array" aca="1" ref="J54" ca="1">IFERROR(INDEX($E$16:$E$116,SMALL(IF($E$16:$E$116&lt;&gt;"",ROW($E$16:$E$116)-ROW($E$16)+1),ROW(A39))),"")</f>
        <v/>
      </c>
      <c r="K54" s="140" t="str" cm="1">
        <f t="array" aca="1" ref="K54" ca="1">IFERROR(INDEX($F$16:$F$116,SMALL(IF($F$16:$F$116&lt;&gt;"",ROW($F$16:$F$116)-ROW($F$16)+1),ROW(A39))),"")</f>
        <v/>
      </c>
      <c r="L54" s="140" t="str">
        <f t="shared" ca="1" si="11"/>
        <v/>
      </c>
      <c r="M54" s="140" t="str" cm="1">
        <f t="array" aca="1" ref="M54" ca="1">IFERROR(INDEX($G$16:$G$116,SMALL(IF($G$16:$G$116&lt;&gt;"",ROW($G$16:$G$116)-ROW($G$16)+1),ROW(A39))),"")</f>
        <v/>
      </c>
      <c r="N54" s="145" t="str">
        <f t="shared" ca="1" si="12"/>
        <v/>
      </c>
      <c r="O54" s="146" t="str">
        <f t="shared" ca="1" si="13"/>
        <v/>
      </c>
      <c r="P54" s="146" t="str" cm="1">
        <f t="array" aca="1" ref="P54" ca="1">IF($J54&lt;&gt;"",IF(INDIRECT($H54&amp;"!"&amp;$O54)&lt;&gt;"",INDIRECT($H54&amp;"!"&amp;$O54),""),"")</f>
        <v/>
      </c>
      <c r="Q54" s="146" t="str">
        <f t="shared" ca="1" si="14"/>
        <v/>
      </c>
      <c r="R54" s="146" t="str" cm="1">
        <f t="array" aca="1" ref="R54" ca="1">IF($J54&lt;&gt;"",IF(INDIRECT($H54&amp;"!"&amp;$Q54)&lt;&gt;"",INDIRECT($H54&amp;"!"&amp;$Q54),""),"")</f>
        <v/>
      </c>
      <c r="S54" s="146" t="str">
        <f t="shared" ca="1" si="15"/>
        <v/>
      </c>
      <c r="T54" s="146" t="str" cm="1">
        <f t="array" aca="1" ref="T54" ca="1">IF($J54&lt;&gt;"",IF(INDIRECT($H54&amp;"!"&amp;$S54)&lt;&gt;"",INDIRECT($H54&amp;"!"&amp;$S54),""),"")</f>
        <v/>
      </c>
      <c r="U54" s="146" t="str">
        <f t="shared" ca="1" si="16"/>
        <v/>
      </c>
      <c r="V54" s="147" t="str" cm="1">
        <f t="array" aca="1" ref="V54" ca="1">IF($J54&lt;&gt;"",IF(INDIRECT($H54&amp;"!"&amp;$U54)&lt;&gt;"",INDIRECT($H54&amp;"!"&amp;$U54),""),"")</f>
        <v/>
      </c>
      <c r="W54" s="294" t="str">
        <f t="shared" ca="1" si="7"/>
        <v/>
      </c>
      <c r="X54" s="295" t="str">
        <f t="shared" ca="1" si="8"/>
        <v/>
      </c>
      <c r="Y54" s="296" t="str" cm="1">
        <f t="array" aca="1" ref="Y54" ca="1">IF($H54&lt;&gt;"",IF(INDIRECT($H54&amp;"!"&amp;$W54&amp;($X54+Y$15+1))&lt;&gt;"",INDIRECT($H54&amp;"!"&amp;$W54&amp;($X54+Y$15+1)),""),"")</f>
        <v/>
      </c>
      <c r="Z54" s="296" t="str" cm="1">
        <f t="array" aca="1" ref="Z54" ca="1">IF($H54&lt;&gt;"",IF(INDIRECT($H54&amp;"!"&amp;$W54&amp;($X54+Z$15+1))&lt;&gt;"",INDIRECT($H54&amp;"!"&amp;$W54&amp;($X54+Z$15+1)),""),"")</f>
        <v/>
      </c>
      <c r="AA54" s="296" t="str" cm="1">
        <f t="array" aca="1" ref="AA54" ca="1">IF($H54&lt;&gt;"",IF(INDIRECT($H54&amp;"!"&amp;$W54&amp;($X54+AA$15+1))&lt;&gt;"",INDIRECT($H54&amp;"!"&amp;$W54&amp;($X54+AA$15+1)),""),"")</f>
        <v/>
      </c>
      <c r="AB54" s="296" t="str" cm="1">
        <f t="array" aca="1" ref="AB54" ca="1">IF($H54&lt;&gt;"",IF(INDIRECT($H54&amp;"!"&amp;$W54&amp;($X54+AB$15+1))&lt;&gt;"",INDIRECT($H54&amp;"!"&amp;$W54&amp;($X54+AB$15+1)),""),"")</f>
        <v/>
      </c>
      <c r="AC54" s="296" t="str" cm="1">
        <f t="array" aca="1" ref="AC54" ca="1">IF(LEFT($J54,5)="Sonde","",IF($H54&lt;&gt;"",IF(INDIRECT($H54&amp;"!"&amp;$W54&amp;($X54+AC$15+1))&lt;&gt;"",INDIRECT($H54&amp;"!"&amp;$W54&amp;($X54+AC$15+1)),""),""))</f>
        <v/>
      </c>
      <c r="AD54" s="296" t="str" cm="1">
        <f t="array" aca="1" ref="AD54" ca="1">IF(OR($J54="Pluviomètre",LEFT($J54,5)="Sonde"),"",IF($H54&lt;&gt;"",IF(INDIRECT($H54&amp;"!"&amp;$W54&amp;($X54+AD$15+1))&lt;&gt;"",INDIRECT($H54&amp;"!"&amp;$W54&amp;($X54+AD$15+1)),""),""))</f>
        <v/>
      </c>
      <c r="AE54" s="296" t="str" cm="1">
        <f t="array" aca="1" ref="AE54" ca="1">IF(OR($J54="Pluviomètre",LEFT($J54,5)="Sonde"),"",IF($H54&lt;&gt;"",IF(INDIRECT($H54&amp;"!"&amp;$W54&amp;($X54+AE$15+1))&lt;&gt;"",INDIRECT($H54&amp;"!"&amp;$W54&amp;($X54+AE$15+1)),""),""))</f>
        <v/>
      </c>
      <c r="AF54" s="296" t="str" cm="1">
        <f t="array" aca="1" ref="AF54" ca="1">IF(OR($J54="Pluviomètre",LEFT($J54,5)="Sonde"),"",IF($H54&lt;&gt;"",IF(INDIRECT($H54&amp;"!"&amp;$W54&amp;($X54+AF$15+1))&lt;&gt;"",INDIRECT($H54&amp;"!"&amp;$W54&amp;($X54+AF$15+1)),""),""))</f>
        <v/>
      </c>
      <c r="AG54" s="296" t="str" cm="1">
        <f t="array" aca="1" ref="AG54" ca="1">IF(OR($J54="Pluviomètre",LEFT($J54,5)="Sonde"),"",IF($H54&lt;&gt;"",IF(INDIRECT($H54&amp;"!"&amp;$W54&amp;($X54+AG$15+1))&lt;&gt;"",INDIRECT($H54&amp;"!"&amp;$W54&amp;($X54+AG$15+1)),""),""))</f>
        <v/>
      </c>
      <c r="AH54" s="296" t="str" cm="1">
        <f t="array" aca="1" ref="AH54" ca="1">IF(OR($J54="Pluviomètre",LEFT($J54,5)="Sonde"),"",IF($H54&lt;&gt;"",IF(INDIRECT($H54&amp;"!"&amp;$W54&amp;($X54+AH$15+1))&lt;&gt;"",INDIRECT($H54&amp;"!"&amp;$W54&amp;($X54+AH$15+1)),""),""))</f>
        <v/>
      </c>
      <c r="AI54" s="294" t="str">
        <f t="shared" ca="1" si="9"/>
        <v/>
      </c>
      <c r="AJ54" s="295" t="str">
        <f t="shared" ca="1" si="10"/>
        <v/>
      </c>
      <c r="AK54" s="296" t="str" cm="1">
        <f t="array" aca="1" ref="AK54" ca="1">IF($H54&lt;&gt;"",IF(INDIRECT($H54&amp;"!"&amp;$AI54&amp;($AJ54+AK$15+1))&lt;&gt;"",INDIRECT($H54&amp;"!"&amp;$AI54&amp;($AJ54+AK$15+1)),""),"")</f>
        <v/>
      </c>
      <c r="AL54" s="296" t="str" cm="1">
        <f t="array" aca="1" ref="AL54" ca="1">IF($H54&lt;&gt;"",IF(INDIRECT($H54&amp;"!"&amp;$AI54&amp;($AJ54+AL$15+1))&lt;&gt;"",INDIRECT($H54&amp;"!"&amp;$AI54&amp;($AJ54+AL$15+1)),""),"")</f>
        <v/>
      </c>
      <c r="AM54" s="296" t="str" cm="1">
        <f t="array" aca="1" ref="AM54" ca="1">IF($H54&lt;&gt;"",IF(INDIRECT($H54&amp;"!"&amp;$AI54&amp;($AJ54+AM$15+1))&lt;&gt;"",INDIRECT($H54&amp;"!"&amp;$AI54&amp;($AJ54+AM$15+1)),""),"")</f>
        <v/>
      </c>
      <c r="AN54" s="296" t="str" cm="1">
        <f t="array" aca="1" ref="AN54" ca="1">IF($H54&lt;&gt;"",IF(INDIRECT($H54&amp;"!"&amp;$AI54&amp;($AJ54+AN$15+1))&lt;&gt;"",INDIRECT($H54&amp;"!"&amp;$AI54&amp;($AJ54+AN$15+1)),""),"")</f>
        <v/>
      </c>
      <c r="AO54" s="296" t="str" cm="1">
        <f t="array" aca="1" ref="AO54" ca="1">IF(LEFT($J54,5)="Sonde","",IF($H54&lt;&gt;"",IF(INDIRECT($H54&amp;"!"&amp;$AI54&amp;($AJ54+AO$15+1))&lt;&gt;"",INDIRECT($H54&amp;"!"&amp;$AI54&amp;($AJ54+AO$15+1)),""),""))</f>
        <v/>
      </c>
      <c r="AP54" s="296" t="str" cm="1">
        <f t="array" aca="1" ref="AP54" ca="1">IF(OR($J54="Pluviomètre",LEFT($J54,5)="Sonde"),"",IF($H54&lt;&gt;"",IF(INDIRECT($H54&amp;"!"&amp;$AI54&amp;($AJ54+AP$15+1))&lt;&gt;"",INDIRECT($H54&amp;"!"&amp;$AI54&amp;($AJ54+AP$15+1)),""),""))</f>
        <v/>
      </c>
      <c r="AQ54" s="296" t="str" cm="1">
        <f t="array" aca="1" ref="AQ54" ca="1">IF(OR($J54="Pluviomètre",LEFT($J54,5)="Sonde"),"",IF($H54&lt;&gt;"",IF(INDIRECT($H54&amp;"!"&amp;$AI54&amp;($AJ54+AQ$15+1))&lt;&gt;"",INDIRECT($H54&amp;"!"&amp;$AI54&amp;($AJ54+AQ$15+1)),""),""))</f>
        <v/>
      </c>
      <c r="AR54" s="296" t="str" cm="1">
        <f t="array" aca="1" ref="AR54" ca="1">IF(OR($J54="Pluviomètre",LEFT($J54,5)="Sonde"),"",IF($H54&lt;&gt;"",IF(INDIRECT($H54&amp;"!"&amp;$AI54&amp;($AJ54+AR$15+1))&lt;&gt;"",INDIRECT($H54&amp;"!"&amp;$AI54&amp;($AJ54+AR$15+1)),""),""))</f>
        <v/>
      </c>
      <c r="AS54" s="296" t="str" cm="1">
        <f t="array" aca="1" ref="AS54" ca="1">IF(OR($J54="Pluviomètre",LEFT($J54,5)="Sonde"),"",IF($H54&lt;&gt;"",IF(INDIRECT($H54&amp;"!"&amp;$AI54&amp;($AJ54+AS$15+1))&lt;&gt;"",INDIRECT($H54&amp;"!"&amp;$AI54&amp;($AJ54+AS$15+1)),""),""))</f>
        <v/>
      </c>
      <c r="AT54" s="296" t="str" cm="1">
        <f t="array" aca="1" ref="AT54" ca="1">IF(OR($J54="Pluviomètre",LEFT($J54,5)="Sonde"),"",IF($H54&lt;&gt;"",IF(INDIRECT($H54&amp;"!"&amp;$AI54&amp;($AJ54+AT$15+1))&lt;&gt;"",INDIRECT($H54&amp;"!"&amp;$AI54&amp;($AJ54+AT$15+1)),""),""))</f>
        <v/>
      </c>
    </row>
    <row r="55" spans="1:46" x14ac:dyDescent="0.4">
      <c r="A55" s="80">
        <v>40</v>
      </c>
      <c r="B55" s="134" t="b">
        <f t="shared" si="6"/>
        <v>0</v>
      </c>
      <c r="C55" s="139" t="str" cm="1">
        <f t="array" aca="1" ref="C55" ca="1">IF(
    AND(
        $B55,
        OR(
            INDIRECT("Descriptif!$M"&amp;($B$1+$A55-1))="Préleveur",
            LEFT(INDIRECT("Descriptif!$M"&amp;($B$1+$A55-1)),5)="Sonde",
            LEFT(INDIRECT("Descriptif!$M"&amp;($B$1+$A55-1)),10)="Débitmètre",
            LEFT(INDIRECT("Descriptif!$F"&amp;($B$1+$A55-1)),6)="PLUVIO"
        )
    ),
    INDIRECT("Descriptif!$"&amp;C$15&amp;($B$1 +$A55 -1)),
    ""
)</f>
        <v/>
      </c>
      <c r="D55" s="277" t="str" cm="1">
        <f t="array" aca="1" ref="D55" ca="1">IF(
    AND(
        $B55,
        OR(
            INDIRECT("Descriptif!$M"&amp;($B$1+$A55-1))="Préleveur",
            LEFT(INDIRECT("Descriptif!$M"&amp;($B$1+$A55-1)),5)="Sonde",
            LEFT(INDIRECT("Descriptif!$M"&amp;($B$1+$A55-1)),10)="Débitmètre",
            LEFT(INDIRECT("Descriptif!$F"&amp;($B$1+$A55-1)),6)="PLUVIO"
        )
    ),
    IF(
        LEFT(INDIRECT("Descriptif!$F"&amp;($B$1+$A55-1)),11)="PLUVIO_STEU",
        "A3",
        IF(
            LEFT(INDIRECT("Descriptif!$F"&amp;($B$1+$A55-1)),10)="PLUVIO_SCL",
            "A1",
            INDIRECT("Descriptif!$"&amp;D$15&amp;($B$1 +$A55 -1))
        )
    ),
    ""
)</f>
        <v/>
      </c>
      <c r="E55" s="277" t="str" cm="1">
        <f t="array" aca="1" ref="E55" ca="1">IF(
    AND(
        $B55,
        OR(
            INDIRECT("Descriptif!$M"&amp;($B$1+$A55-1))="Préleveur",
            LEFT(INDIRECT("Descriptif!$M"&amp;($B$1+$A55-1)),5)="Sonde",
            LEFT(INDIRECT("Descriptif!$M"&amp;($B$1+$A55-1)),10)="Débitmètre",
            LEFT(INDIRECT("Descriptif!$F"&amp;($B$1+$A55-1)),6)="PLUVIO"
        )
    ),
    IF(LEFT(INDIRECT("Descriptif!$F"&amp;($B$1+$A55-1)),6)="PLUVIO","Pluviomètre",INDIRECT("Descriptif!$"&amp;E$15&amp;($B$1 +$A55 -1))),
    ""
)</f>
        <v/>
      </c>
      <c r="F55" s="19" t="str" cm="1">
        <f t="array" aca="1" ref="F55" ca="1">IF(
    AND(
        $B55,
        OR(
            INDIRECT("Descriptif!$M"&amp;($B$1+$A55-1))="Préleveur",
            LEFT(INDIRECT("Descriptif!$M"&amp;($B$1+$A55-1)),5)="Sonde",
            LEFT(INDIRECT("Descriptif!$M"&amp;($B$1+$A55-1)),10)="Débitmètre",
            LEFT(INDIRECT("Descriptif!$F"&amp;($B$1+$A55-1)),6)="PLUVIO"
        )
    ),
    IF(LEFT(INDIRECT("Descriptif!$F"&amp;($B$1+$A55-1)),6)="PLUVIO","Pluviomètre",INDIRECT("Descriptif!$"&amp;F$15&amp;($B$1 +$A55 -1))),
    ""
)</f>
        <v/>
      </c>
      <c r="G55" s="19" t="str" cm="1">
        <f t="array" aca="1" ref="G55" ca="1">IF(
    AND(
        $B55,
        OR(
            INDIRECT("Descriptif!$M"&amp;($B$1+$A55-1))="Préleveur",
            LEFT(INDIRECT("Descriptif!$M"&amp;($B$1+$A55-1)),5)="Sonde",
            LEFT(INDIRECT("Descriptif!$M"&amp;($B$1+$A55-1)),10)="Débitmètre",
            LEFT(INDIRECT("Descriptif!$F"&amp;($B$1+$A55-1)),6)="PLUVIO"
        )
    ),
    IF(LEFT(INDIRECT("Descriptif!$F"&amp;($B$1+$A55-1)),6)="PLUVIO","Pluviomètre",INDIRECT("Descriptif!$"&amp;G$15&amp;($B$1 +$A55 -1))),
    ""
)</f>
        <v/>
      </c>
      <c r="H55" s="141" t="str" cm="1">
        <f t="array" aca="1" ref="H55" ca="1">IFERROR(INDEX($C$16:$C$116,SMALL(IF($C$16:$C$116&lt;&gt;"",ROW($C$16:$C$116)-ROW($C$16)+1),ROW(A40))),"")</f>
        <v/>
      </c>
      <c r="I55" s="140" t="str" cm="1">
        <f t="array" aca="1" ref="I55" ca="1">IFERROR(INDEX($D$16:$D$116,SMALL(IF($D$16:$D$116&lt;&gt;"",ROW($D$16:$D$116)-ROW($D$16)+1),ROW(A40))),"")</f>
        <v/>
      </c>
      <c r="J55" s="140" t="str" cm="1">
        <f t="array" aca="1" ref="J55" ca="1">IFERROR(INDEX($E$16:$E$116,SMALL(IF($E$16:$E$116&lt;&gt;"",ROW($E$16:$E$116)-ROW($E$16)+1),ROW(A40))),"")</f>
        <v/>
      </c>
      <c r="K55" s="140" t="str" cm="1">
        <f t="array" aca="1" ref="K55" ca="1">IFERROR(INDEX($F$16:$F$116,SMALL(IF($F$16:$F$116&lt;&gt;"",ROW($F$16:$F$116)-ROW($F$16)+1),ROW(A40))),"")</f>
        <v/>
      </c>
      <c r="L55" s="140" t="str">
        <f t="shared" ca="1" si="11"/>
        <v/>
      </c>
      <c r="M55" s="140" t="str" cm="1">
        <f t="array" aca="1" ref="M55" ca="1">IFERROR(INDEX($G$16:$G$116,SMALL(IF($G$16:$G$116&lt;&gt;"",ROW($G$16:$G$116)-ROW($G$16)+1),ROW(A40))),"")</f>
        <v/>
      </c>
      <c r="N55" s="145" t="str">
        <f t="shared" ca="1" si="12"/>
        <v/>
      </c>
      <c r="O55" s="146" t="str">
        <f t="shared" ca="1" si="13"/>
        <v/>
      </c>
      <c r="P55" s="146" t="str" cm="1">
        <f t="array" aca="1" ref="P55" ca="1">IF($J55&lt;&gt;"",IF(INDIRECT($H55&amp;"!"&amp;$O55)&lt;&gt;"",INDIRECT($H55&amp;"!"&amp;$O55),""),"")</f>
        <v/>
      </c>
      <c r="Q55" s="146" t="str">
        <f t="shared" ca="1" si="14"/>
        <v/>
      </c>
      <c r="R55" s="146" t="str" cm="1">
        <f t="array" aca="1" ref="R55" ca="1">IF($J55&lt;&gt;"",IF(INDIRECT($H55&amp;"!"&amp;$Q55)&lt;&gt;"",INDIRECT($H55&amp;"!"&amp;$Q55),""),"")</f>
        <v/>
      </c>
      <c r="S55" s="146" t="str">
        <f t="shared" ca="1" si="15"/>
        <v/>
      </c>
      <c r="T55" s="146" t="str" cm="1">
        <f t="array" aca="1" ref="T55" ca="1">IF($J55&lt;&gt;"",IF(INDIRECT($H55&amp;"!"&amp;$S55)&lt;&gt;"",INDIRECT($H55&amp;"!"&amp;$S55),""),"")</f>
        <v/>
      </c>
      <c r="U55" s="146" t="str">
        <f t="shared" ca="1" si="16"/>
        <v/>
      </c>
      <c r="V55" s="147" t="str" cm="1">
        <f t="array" aca="1" ref="V55" ca="1">IF($J55&lt;&gt;"",IF(INDIRECT($H55&amp;"!"&amp;$U55)&lt;&gt;"",INDIRECT($H55&amp;"!"&amp;$U55),""),"")</f>
        <v/>
      </c>
      <c r="W55" s="294" t="str">
        <f t="shared" ca="1" si="7"/>
        <v/>
      </c>
      <c r="X55" s="295" t="str">
        <f t="shared" ca="1" si="8"/>
        <v/>
      </c>
      <c r="Y55" s="296" t="str" cm="1">
        <f t="array" aca="1" ref="Y55" ca="1">IF($H55&lt;&gt;"",IF(INDIRECT($H55&amp;"!"&amp;$W55&amp;($X55+Y$15+1))&lt;&gt;"",INDIRECT($H55&amp;"!"&amp;$W55&amp;($X55+Y$15+1)),""),"")</f>
        <v/>
      </c>
      <c r="Z55" s="296" t="str" cm="1">
        <f t="array" aca="1" ref="Z55" ca="1">IF($H55&lt;&gt;"",IF(INDIRECT($H55&amp;"!"&amp;$W55&amp;($X55+Z$15+1))&lt;&gt;"",INDIRECT($H55&amp;"!"&amp;$W55&amp;($X55+Z$15+1)),""),"")</f>
        <v/>
      </c>
      <c r="AA55" s="296" t="str" cm="1">
        <f t="array" aca="1" ref="AA55" ca="1">IF($H55&lt;&gt;"",IF(INDIRECT($H55&amp;"!"&amp;$W55&amp;($X55+AA$15+1))&lt;&gt;"",INDIRECT($H55&amp;"!"&amp;$W55&amp;($X55+AA$15+1)),""),"")</f>
        <v/>
      </c>
      <c r="AB55" s="296" t="str" cm="1">
        <f t="array" aca="1" ref="AB55" ca="1">IF($H55&lt;&gt;"",IF(INDIRECT($H55&amp;"!"&amp;$W55&amp;($X55+AB$15+1))&lt;&gt;"",INDIRECT($H55&amp;"!"&amp;$W55&amp;($X55+AB$15+1)),""),"")</f>
        <v/>
      </c>
      <c r="AC55" s="296" t="str" cm="1">
        <f t="array" aca="1" ref="AC55" ca="1">IF(LEFT($J55,5)="Sonde","",IF($H55&lt;&gt;"",IF(INDIRECT($H55&amp;"!"&amp;$W55&amp;($X55+AC$15+1))&lt;&gt;"",INDIRECT($H55&amp;"!"&amp;$W55&amp;($X55+AC$15+1)),""),""))</f>
        <v/>
      </c>
      <c r="AD55" s="296" t="str" cm="1">
        <f t="array" aca="1" ref="AD55" ca="1">IF(OR($J55="Pluviomètre",LEFT($J55,5)="Sonde"),"",IF($H55&lt;&gt;"",IF(INDIRECT($H55&amp;"!"&amp;$W55&amp;($X55+AD$15+1))&lt;&gt;"",INDIRECT($H55&amp;"!"&amp;$W55&amp;($X55+AD$15+1)),""),""))</f>
        <v/>
      </c>
      <c r="AE55" s="296" t="str" cm="1">
        <f t="array" aca="1" ref="AE55" ca="1">IF(OR($J55="Pluviomètre",LEFT($J55,5)="Sonde"),"",IF($H55&lt;&gt;"",IF(INDIRECT($H55&amp;"!"&amp;$W55&amp;($X55+AE$15+1))&lt;&gt;"",INDIRECT($H55&amp;"!"&amp;$W55&amp;($X55+AE$15+1)),""),""))</f>
        <v/>
      </c>
      <c r="AF55" s="296" t="str" cm="1">
        <f t="array" aca="1" ref="AF55" ca="1">IF(OR($J55="Pluviomètre",LEFT($J55,5)="Sonde"),"",IF($H55&lt;&gt;"",IF(INDIRECT($H55&amp;"!"&amp;$W55&amp;($X55+AF$15+1))&lt;&gt;"",INDIRECT($H55&amp;"!"&amp;$W55&amp;($X55+AF$15+1)),""),""))</f>
        <v/>
      </c>
      <c r="AG55" s="296" t="str" cm="1">
        <f t="array" aca="1" ref="AG55" ca="1">IF(OR($J55="Pluviomètre",LEFT($J55,5)="Sonde"),"",IF($H55&lt;&gt;"",IF(INDIRECT($H55&amp;"!"&amp;$W55&amp;($X55+AG$15+1))&lt;&gt;"",INDIRECT($H55&amp;"!"&amp;$W55&amp;($X55+AG$15+1)),""),""))</f>
        <v/>
      </c>
      <c r="AH55" s="296" t="str" cm="1">
        <f t="array" aca="1" ref="AH55" ca="1">IF(OR($J55="Pluviomètre",LEFT($J55,5)="Sonde"),"",IF($H55&lt;&gt;"",IF(INDIRECT($H55&amp;"!"&amp;$W55&amp;($X55+AH$15+1))&lt;&gt;"",INDIRECT($H55&amp;"!"&amp;$W55&amp;($X55+AH$15+1)),""),""))</f>
        <v/>
      </c>
      <c r="AI55" s="294" t="str">
        <f t="shared" ca="1" si="9"/>
        <v/>
      </c>
      <c r="AJ55" s="295" t="str">
        <f t="shared" ca="1" si="10"/>
        <v/>
      </c>
      <c r="AK55" s="296" t="str" cm="1">
        <f t="array" aca="1" ref="AK55" ca="1">IF($H55&lt;&gt;"",IF(INDIRECT($H55&amp;"!"&amp;$AI55&amp;($AJ55+AK$15+1))&lt;&gt;"",INDIRECT($H55&amp;"!"&amp;$AI55&amp;($AJ55+AK$15+1)),""),"")</f>
        <v/>
      </c>
      <c r="AL55" s="296" t="str" cm="1">
        <f t="array" aca="1" ref="AL55" ca="1">IF($H55&lt;&gt;"",IF(INDIRECT($H55&amp;"!"&amp;$AI55&amp;($AJ55+AL$15+1))&lt;&gt;"",INDIRECT($H55&amp;"!"&amp;$AI55&amp;($AJ55+AL$15+1)),""),"")</f>
        <v/>
      </c>
      <c r="AM55" s="296" t="str" cm="1">
        <f t="array" aca="1" ref="AM55" ca="1">IF($H55&lt;&gt;"",IF(INDIRECT($H55&amp;"!"&amp;$AI55&amp;($AJ55+AM$15+1))&lt;&gt;"",INDIRECT($H55&amp;"!"&amp;$AI55&amp;($AJ55+AM$15+1)),""),"")</f>
        <v/>
      </c>
      <c r="AN55" s="296" t="str" cm="1">
        <f t="array" aca="1" ref="AN55" ca="1">IF($H55&lt;&gt;"",IF(INDIRECT($H55&amp;"!"&amp;$AI55&amp;($AJ55+AN$15+1))&lt;&gt;"",INDIRECT($H55&amp;"!"&amp;$AI55&amp;($AJ55+AN$15+1)),""),"")</f>
        <v/>
      </c>
      <c r="AO55" s="296" t="str" cm="1">
        <f t="array" aca="1" ref="AO55" ca="1">IF(LEFT($J55,5)="Sonde","",IF($H55&lt;&gt;"",IF(INDIRECT($H55&amp;"!"&amp;$AI55&amp;($AJ55+AO$15+1))&lt;&gt;"",INDIRECT($H55&amp;"!"&amp;$AI55&amp;($AJ55+AO$15+1)),""),""))</f>
        <v/>
      </c>
      <c r="AP55" s="296" t="str" cm="1">
        <f t="array" aca="1" ref="AP55" ca="1">IF(OR($J55="Pluviomètre",LEFT($J55,5)="Sonde"),"",IF($H55&lt;&gt;"",IF(INDIRECT($H55&amp;"!"&amp;$AI55&amp;($AJ55+AP$15+1))&lt;&gt;"",INDIRECT($H55&amp;"!"&amp;$AI55&amp;($AJ55+AP$15+1)),""),""))</f>
        <v/>
      </c>
      <c r="AQ55" s="296" t="str" cm="1">
        <f t="array" aca="1" ref="AQ55" ca="1">IF(OR($J55="Pluviomètre",LEFT($J55,5)="Sonde"),"",IF($H55&lt;&gt;"",IF(INDIRECT($H55&amp;"!"&amp;$AI55&amp;($AJ55+AQ$15+1))&lt;&gt;"",INDIRECT($H55&amp;"!"&amp;$AI55&amp;($AJ55+AQ$15+1)),""),""))</f>
        <v/>
      </c>
      <c r="AR55" s="296" t="str" cm="1">
        <f t="array" aca="1" ref="AR55" ca="1">IF(OR($J55="Pluviomètre",LEFT($J55,5)="Sonde"),"",IF($H55&lt;&gt;"",IF(INDIRECT($H55&amp;"!"&amp;$AI55&amp;($AJ55+AR$15+1))&lt;&gt;"",INDIRECT($H55&amp;"!"&amp;$AI55&amp;($AJ55+AR$15+1)),""),""))</f>
        <v/>
      </c>
      <c r="AS55" s="296" t="str" cm="1">
        <f t="array" aca="1" ref="AS55" ca="1">IF(OR($J55="Pluviomètre",LEFT($J55,5)="Sonde"),"",IF($H55&lt;&gt;"",IF(INDIRECT($H55&amp;"!"&amp;$AI55&amp;($AJ55+AS$15+1))&lt;&gt;"",INDIRECT($H55&amp;"!"&amp;$AI55&amp;($AJ55+AS$15+1)),""),""))</f>
        <v/>
      </c>
      <c r="AT55" s="296" t="str" cm="1">
        <f t="array" aca="1" ref="AT55" ca="1">IF(OR($J55="Pluviomètre",LEFT($J55,5)="Sonde"),"",IF($H55&lt;&gt;"",IF(INDIRECT($H55&amp;"!"&amp;$AI55&amp;($AJ55+AT$15+1))&lt;&gt;"",INDIRECT($H55&amp;"!"&amp;$AI55&amp;($AJ55+AT$15+1)),""),""))</f>
        <v/>
      </c>
    </row>
    <row r="56" spans="1:46" x14ac:dyDescent="0.4">
      <c r="A56" s="80">
        <v>41</v>
      </c>
      <c r="B56" s="134" t="b">
        <f t="shared" si="6"/>
        <v>0</v>
      </c>
      <c r="C56" s="139" t="str" cm="1">
        <f t="array" aca="1" ref="C56" ca="1">IF(
    AND(
        $B56,
        OR(
            INDIRECT("Descriptif!$M"&amp;($B$1+$A56-1))="Préleveur",
            LEFT(INDIRECT("Descriptif!$M"&amp;($B$1+$A56-1)),5)="Sonde",
            LEFT(INDIRECT("Descriptif!$M"&amp;($B$1+$A56-1)),10)="Débitmètre",
            LEFT(INDIRECT("Descriptif!$F"&amp;($B$1+$A56-1)),6)="PLUVIO"
        )
    ),
    INDIRECT("Descriptif!$"&amp;C$15&amp;($B$1 +$A56 -1)),
    ""
)</f>
        <v/>
      </c>
      <c r="D56" s="277" t="str" cm="1">
        <f t="array" aca="1" ref="D56" ca="1">IF(
    AND(
        $B56,
        OR(
            INDIRECT("Descriptif!$M"&amp;($B$1+$A56-1))="Préleveur",
            LEFT(INDIRECT("Descriptif!$M"&amp;($B$1+$A56-1)),5)="Sonde",
            LEFT(INDIRECT("Descriptif!$M"&amp;($B$1+$A56-1)),10)="Débitmètre",
            LEFT(INDIRECT("Descriptif!$F"&amp;($B$1+$A56-1)),6)="PLUVIO"
        )
    ),
    IF(
        LEFT(INDIRECT("Descriptif!$F"&amp;($B$1+$A56-1)),11)="PLUVIO_STEU",
        "A3",
        IF(
            LEFT(INDIRECT("Descriptif!$F"&amp;($B$1+$A56-1)),10)="PLUVIO_SCL",
            "A1",
            INDIRECT("Descriptif!$"&amp;D$15&amp;($B$1 +$A56 -1))
        )
    ),
    ""
)</f>
        <v/>
      </c>
      <c r="E56" s="277" t="str" cm="1">
        <f t="array" aca="1" ref="E56" ca="1">IF(
    AND(
        $B56,
        OR(
            INDIRECT("Descriptif!$M"&amp;($B$1+$A56-1))="Préleveur",
            LEFT(INDIRECT("Descriptif!$M"&amp;($B$1+$A56-1)),5)="Sonde",
            LEFT(INDIRECT("Descriptif!$M"&amp;($B$1+$A56-1)),10)="Débitmètre",
            LEFT(INDIRECT("Descriptif!$F"&amp;($B$1+$A56-1)),6)="PLUVIO"
        )
    ),
    IF(LEFT(INDIRECT("Descriptif!$F"&amp;($B$1+$A56-1)),6)="PLUVIO","Pluviomètre",INDIRECT("Descriptif!$"&amp;E$15&amp;($B$1 +$A56 -1))),
    ""
)</f>
        <v/>
      </c>
      <c r="F56" s="19" t="str" cm="1">
        <f t="array" aca="1" ref="F56" ca="1">IF(
    AND(
        $B56,
        OR(
            INDIRECT("Descriptif!$M"&amp;($B$1+$A56-1))="Préleveur",
            LEFT(INDIRECT("Descriptif!$M"&amp;($B$1+$A56-1)),5)="Sonde",
            LEFT(INDIRECT("Descriptif!$M"&amp;($B$1+$A56-1)),10)="Débitmètre",
            LEFT(INDIRECT("Descriptif!$F"&amp;($B$1+$A56-1)),6)="PLUVIO"
        )
    ),
    IF(LEFT(INDIRECT("Descriptif!$F"&amp;($B$1+$A56-1)),6)="PLUVIO","Pluviomètre",INDIRECT("Descriptif!$"&amp;F$15&amp;($B$1 +$A56 -1))),
    ""
)</f>
        <v/>
      </c>
      <c r="G56" s="19" t="str" cm="1">
        <f t="array" aca="1" ref="G56" ca="1">IF(
    AND(
        $B56,
        OR(
            INDIRECT("Descriptif!$M"&amp;($B$1+$A56-1))="Préleveur",
            LEFT(INDIRECT("Descriptif!$M"&amp;($B$1+$A56-1)),5)="Sonde",
            LEFT(INDIRECT("Descriptif!$M"&amp;($B$1+$A56-1)),10)="Débitmètre",
            LEFT(INDIRECT("Descriptif!$F"&amp;($B$1+$A56-1)),6)="PLUVIO"
        )
    ),
    IF(LEFT(INDIRECT("Descriptif!$F"&amp;($B$1+$A56-1)),6)="PLUVIO","Pluviomètre",INDIRECT("Descriptif!$"&amp;G$15&amp;($B$1 +$A56 -1))),
    ""
)</f>
        <v/>
      </c>
      <c r="H56" s="141" t="str" cm="1">
        <f t="array" aca="1" ref="H56" ca="1">IFERROR(INDEX($C$16:$C$116,SMALL(IF($C$16:$C$116&lt;&gt;"",ROW($C$16:$C$116)-ROW($C$16)+1),ROW(A41))),"")</f>
        <v/>
      </c>
      <c r="I56" s="140" t="str" cm="1">
        <f t="array" aca="1" ref="I56" ca="1">IFERROR(INDEX($D$16:$D$116,SMALL(IF($D$16:$D$116&lt;&gt;"",ROW($D$16:$D$116)-ROW($D$16)+1),ROW(A41))),"")</f>
        <v/>
      </c>
      <c r="J56" s="140" t="str" cm="1">
        <f t="array" aca="1" ref="J56" ca="1">IFERROR(INDEX($E$16:$E$116,SMALL(IF($E$16:$E$116&lt;&gt;"",ROW($E$16:$E$116)-ROW($E$16)+1),ROW(A41))),"")</f>
        <v/>
      </c>
      <c r="K56" s="140" t="str" cm="1">
        <f t="array" aca="1" ref="K56" ca="1">IFERROR(INDEX($F$16:$F$116,SMALL(IF($F$16:$F$116&lt;&gt;"",ROW($F$16:$F$116)-ROW($F$16)+1),ROW(A41))),"")</f>
        <v/>
      </c>
      <c r="L56" s="140" t="str">
        <f t="shared" ca="1" si="11"/>
        <v/>
      </c>
      <c r="M56" s="140" t="str" cm="1">
        <f t="array" aca="1" ref="M56" ca="1">IFERROR(INDEX($G$16:$G$116,SMALL(IF($G$16:$G$116&lt;&gt;"",ROW($G$16:$G$116)-ROW($G$16)+1),ROW(A41))),"")</f>
        <v/>
      </c>
      <c r="N56" s="145" t="str">
        <f t="shared" ca="1" si="12"/>
        <v/>
      </c>
      <c r="O56" s="146" t="str">
        <f t="shared" ca="1" si="13"/>
        <v/>
      </c>
      <c r="P56" s="146" t="str" cm="1">
        <f t="array" aca="1" ref="P56" ca="1">IF($J56&lt;&gt;"",IF(INDIRECT($H56&amp;"!"&amp;$O56)&lt;&gt;"",INDIRECT($H56&amp;"!"&amp;$O56),""),"")</f>
        <v/>
      </c>
      <c r="Q56" s="146" t="str">
        <f t="shared" ca="1" si="14"/>
        <v/>
      </c>
      <c r="R56" s="146" t="str" cm="1">
        <f t="array" aca="1" ref="R56" ca="1">IF($J56&lt;&gt;"",IF(INDIRECT($H56&amp;"!"&amp;$Q56)&lt;&gt;"",INDIRECT($H56&amp;"!"&amp;$Q56),""),"")</f>
        <v/>
      </c>
      <c r="S56" s="146" t="str">
        <f t="shared" ca="1" si="15"/>
        <v/>
      </c>
      <c r="T56" s="146" t="str" cm="1">
        <f t="array" aca="1" ref="T56" ca="1">IF($J56&lt;&gt;"",IF(INDIRECT($H56&amp;"!"&amp;$S56)&lt;&gt;"",INDIRECT($H56&amp;"!"&amp;$S56),""),"")</f>
        <v/>
      </c>
      <c r="U56" s="146" t="str">
        <f t="shared" ca="1" si="16"/>
        <v/>
      </c>
      <c r="V56" s="147" t="str" cm="1">
        <f t="array" aca="1" ref="V56" ca="1">IF($J56&lt;&gt;"",IF(INDIRECT($H56&amp;"!"&amp;$U56)&lt;&gt;"",INDIRECT($H56&amp;"!"&amp;$U56),""),"")</f>
        <v/>
      </c>
      <c r="W56" s="294" t="str">
        <f t="shared" ca="1" si="7"/>
        <v/>
      </c>
      <c r="X56" s="295" t="str">
        <f t="shared" ca="1" si="8"/>
        <v/>
      </c>
      <c r="Y56" s="296" t="str" cm="1">
        <f t="array" aca="1" ref="Y56" ca="1">IF($H56&lt;&gt;"",IF(INDIRECT($H56&amp;"!"&amp;$W56&amp;($X56+Y$15+1))&lt;&gt;"",INDIRECT($H56&amp;"!"&amp;$W56&amp;($X56+Y$15+1)),""),"")</f>
        <v/>
      </c>
      <c r="Z56" s="296" t="str" cm="1">
        <f t="array" aca="1" ref="Z56" ca="1">IF($H56&lt;&gt;"",IF(INDIRECT($H56&amp;"!"&amp;$W56&amp;($X56+Z$15+1))&lt;&gt;"",INDIRECT($H56&amp;"!"&amp;$W56&amp;($X56+Z$15+1)),""),"")</f>
        <v/>
      </c>
      <c r="AA56" s="296" t="str" cm="1">
        <f t="array" aca="1" ref="AA56" ca="1">IF($H56&lt;&gt;"",IF(INDIRECT($H56&amp;"!"&amp;$W56&amp;($X56+AA$15+1))&lt;&gt;"",INDIRECT($H56&amp;"!"&amp;$W56&amp;($X56+AA$15+1)),""),"")</f>
        <v/>
      </c>
      <c r="AB56" s="296" t="str" cm="1">
        <f t="array" aca="1" ref="AB56" ca="1">IF($H56&lt;&gt;"",IF(INDIRECT($H56&amp;"!"&amp;$W56&amp;($X56+AB$15+1))&lt;&gt;"",INDIRECT($H56&amp;"!"&amp;$W56&amp;($X56+AB$15+1)),""),"")</f>
        <v/>
      </c>
      <c r="AC56" s="296" t="str" cm="1">
        <f t="array" aca="1" ref="AC56" ca="1">IF(LEFT($J56,5)="Sonde","",IF($H56&lt;&gt;"",IF(INDIRECT($H56&amp;"!"&amp;$W56&amp;($X56+AC$15+1))&lt;&gt;"",INDIRECT($H56&amp;"!"&amp;$W56&amp;($X56+AC$15+1)),""),""))</f>
        <v/>
      </c>
      <c r="AD56" s="296" t="str" cm="1">
        <f t="array" aca="1" ref="AD56" ca="1">IF(OR($J56="Pluviomètre",LEFT($J56,5)="Sonde"),"",IF($H56&lt;&gt;"",IF(INDIRECT($H56&amp;"!"&amp;$W56&amp;($X56+AD$15+1))&lt;&gt;"",INDIRECT($H56&amp;"!"&amp;$W56&amp;($X56+AD$15+1)),""),""))</f>
        <v/>
      </c>
      <c r="AE56" s="296" t="str" cm="1">
        <f t="array" aca="1" ref="AE56" ca="1">IF(OR($J56="Pluviomètre",LEFT($J56,5)="Sonde"),"",IF($H56&lt;&gt;"",IF(INDIRECT($H56&amp;"!"&amp;$W56&amp;($X56+AE$15+1))&lt;&gt;"",INDIRECT($H56&amp;"!"&amp;$W56&amp;($X56+AE$15+1)),""),""))</f>
        <v/>
      </c>
      <c r="AF56" s="296" t="str" cm="1">
        <f t="array" aca="1" ref="AF56" ca="1">IF(OR($J56="Pluviomètre",LEFT($J56,5)="Sonde"),"",IF($H56&lt;&gt;"",IF(INDIRECT($H56&amp;"!"&amp;$W56&amp;($X56+AF$15+1))&lt;&gt;"",INDIRECT($H56&amp;"!"&amp;$W56&amp;($X56+AF$15+1)),""),""))</f>
        <v/>
      </c>
      <c r="AG56" s="296" t="str" cm="1">
        <f t="array" aca="1" ref="AG56" ca="1">IF(OR($J56="Pluviomètre",LEFT($J56,5)="Sonde"),"",IF($H56&lt;&gt;"",IF(INDIRECT($H56&amp;"!"&amp;$W56&amp;($X56+AG$15+1))&lt;&gt;"",INDIRECT($H56&amp;"!"&amp;$W56&amp;($X56+AG$15+1)),""),""))</f>
        <v/>
      </c>
      <c r="AH56" s="296" t="str" cm="1">
        <f t="array" aca="1" ref="AH56" ca="1">IF(OR($J56="Pluviomètre",LEFT($J56,5)="Sonde"),"",IF($H56&lt;&gt;"",IF(INDIRECT($H56&amp;"!"&amp;$W56&amp;($X56+AH$15+1))&lt;&gt;"",INDIRECT($H56&amp;"!"&amp;$W56&amp;($X56+AH$15+1)),""),""))</f>
        <v/>
      </c>
      <c r="AI56" s="294" t="str">
        <f t="shared" ca="1" si="9"/>
        <v/>
      </c>
      <c r="AJ56" s="295" t="str">
        <f t="shared" ca="1" si="10"/>
        <v/>
      </c>
      <c r="AK56" s="296" t="str" cm="1">
        <f t="array" aca="1" ref="AK56" ca="1">IF($H56&lt;&gt;"",IF(INDIRECT($H56&amp;"!"&amp;$AI56&amp;($AJ56+AK$15+1))&lt;&gt;"",INDIRECT($H56&amp;"!"&amp;$AI56&amp;($AJ56+AK$15+1)),""),"")</f>
        <v/>
      </c>
      <c r="AL56" s="296" t="str" cm="1">
        <f t="array" aca="1" ref="AL56" ca="1">IF($H56&lt;&gt;"",IF(INDIRECT($H56&amp;"!"&amp;$AI56&amp;($AJ56+AL$15+1))&lt;&gt;"",INDIRECT($H56&amp;"!"&amp;$AI56&amp;($AJ56+AL$15+1)),""),"")</f>
        <v/>
      </c>
      <c r="AM56" s="296" t="str" cm="1">
        <f t="array" aca="1" ref="AM56" ca="1">IF($H56&lt;&gt;"",IF(INDIRECT($H56&amp;"!"&amp;$AI56&amp;($AJ56+AM$15+1))&lt;&gt;"",INDIRECT($H56&amp;"!"&amp;$AI56&amp;($AJ56+AM$15+1)),""),"")</f>
        <v/>
      </c>
      <c r="AN56" s="296" t="str" cm="1">
        <f t="array" aca="1" ref="AN56" ca="1">IF($H56&lt;&gt;"",IF(INDIRECT($H56&amp;"!"&amp;$AI56&amp;($AJ56+AN$15+1))&lt;&gt;"",INDIRECT($H56&amp;"!"&amp;$AI56&amp;($AJ56+AN$15+1)),""),"")</f>
        <v/>
      </c>
      <c r="AO56" s="296" t="str" cm="1">
        <f t="array" aca="1" ref="AO56" ca="1">IF(LEFT($J56,5)="Sonde","",IF($H56&lt;&gt;"",IF(INDIRECT($H56&amp;"!"&amp;$AI56&amp;($AJ56+AO$15+1))&lt;&gt;"",INDIRECT($H56&amp;"!"&amp;$AI56&amp;($AJ56+AO$15+1)),""),""))</f>
        <v/>
      </c>
      <c r="AP56" s="296" t="str" cm="1">
        <f t="array" aca="1" ref="AP56" ca="1">IF(OR($J56="Pluviomètre",LEFT($J56,5)="Sonde"),"",IF($H56&lt;&gt;"",IF(INDIRECT($H56&amp;"!"&amp;$AI56&amp;($AJ56+AP$15+1))&lt;&gt;"",INDIRECT($H56&amp;"!"&amp;$AI56&amp;($AJ56+AP$15+1)),""),""))</f>
        <v/>
      </c>
      <c r="AQ56" s="296" t="str" cm="1">
        <f t="array" aca="1" ref="AQ56" ca="1">IF(OR($J56="Pluviomètre",LEFT($J56,5)="Sonde"),"",IF($H56&lt;&gt;"",IF(INDIRECT($H56&amp;"!"&amp;$AI56&amp;($AJ56+AQ$15+1))&lt;&gt;"",INDIRECT($H56&amp;"!"&amp;$AI56&amp;($AJ56+AQ$15+1)),""),""))</f>
        <v/>
      </c>
      <c r="AR56" s="296" t="str" cm="1">
        <f t="array" aca="1" ref="AR56" ca="1">IF(OR($J56="Pluviomètre",LEFT($J56,5)="Sonde"),"",IF($H56&lt;&gt;"",IF(INDIRECT($H56&amp;"!"&amp;$AI56&amp;($AJ56+AR$15+1))&lt;&gt;"",INDIRECT($H56&amp;"!"&amp;$AI56&amp;($AJ56+AR$15+1)),""),""))</f>
        <v/>
      </c>
      <c r="AS56" s="296" t="str" cm="1">
        <f t="array" aca="1" ref="AS56" ca="1">IF(OR($J56="Pluviomètre",LEFT($J56,5)="Sonde"),"",IF($H56&lt;&gt;"",IF(INDIRECT($H56&amp;"!"&amp;$AI56&amp;($AJ56+AS$15+1))&lt;&gt;"",INDIRECT($H56&amp;"!"&amp;$AI56&amp;($AJ56+AS$15+1)),""),""))</f>
        <v/>
      </c>
      <c r="AT56" s="296" t="str" cm="1">
        <f t="array" aca="1" ref="AT56" ca="1">IF(OR($J56="Pluviomètre",LEFT($J56,5)="Sonde"),"",IF($H56&lt;&gt;"",IF(INDIRECT($H56&amp;"!"&amp;$AI56&amp;($AJ56+AT$15+1))&lt;&gt;"",INDIRECT($H56&amp;"!"&amp;$AI56&amp;($AJ56+AT$15+1)),""),""))</f>
        <v/>
      </c>
    </row>
    <row r="57" spans="1:46" x14ac:dyDescent="0.4">
      <c r="A57" s="80">
        <v>42</v>
      </c>
      <c r="B57" s="134" t="b">
        <f t="shared" si="6"/>
        <v>0</v>
      </c>
      <c r="C57" s="139" t="str" cm="1">
        <f t="array" aca="1" ref="C57" ca="1">IF(
    AND(
        $B57,
        OR(
            INDIRECT("Descriptif!$M"&amp;($B$1+$A57-1))="Préleveur",
            LEFT(INDIRECT("Descriptif!$M"&amp;($B$1+$A57-1)),5)="Sonde",
            LEFT(INDIRECT("Descriptif!$M"&amp;($B$1+$A57-1)),10)="Débitmètre",
            LEFT(INDIRECT("Descriptif!$F"&amp;($B$1+$A57-1)),6)="PLUVIO"
        )
    ),
    INDIRECT("Descriptif!$"&amp;C$15&amp;($B$1 +$A57 -1)),
    ""
)</f>
        <v/>
      </c>
      <c r="D57" s="277" t="str" cm="1">
        <f t="array" aca="1" ref="D57" ca="1">IF(
    AND(
        $B57,
        OR(
            INDIRECT("Descriptif!$M"&amp;($B$1+$A57-1))="Préleveur",
            LEFT(INDIRECT("Descriptif!$M"&amp;($B$1+$A57-1)),5)="Sonde",
            LEFT(INDIRECT("Descriptif!$M"&amp;($B$1+$A57-1)),10)="Débitmètre",
            LEFT(INDIRECT("Descriptif!$F"&amp;($B$1+$A57-1)),6)="PLUVIO"
        )
    ),
    IF(
        LEFT(INDIRECT("Descriptif!$F"&amp;($B$1+$A57-1)),11)="PLUVIO_STEU",
        "A3",
        IF(
            LEFT(INDIRECT("Descriptif!$F"&amp;($B$1+$A57-1)),10)="PLUVIO_SCL",
            "A1",
            INDIRECT("Descriptif!$"&amp;D$15&amp;($B$1 +$A57 -1))
        )
    ),
    ""
)</f>
        <v/>
      </c>
      <c r="E57" s="277" t="str" cm="1">
        <f t="array" aca="1" ref="E57" ca="1">IF(
    AND(
        $B57,
        OR(
            INDIRECT("Descriptif!$M"&amp;($B$1+$A57-1))="Préleveur",
            LEFT(INDIRECT("Descriptif!$M"&amp;($B$1+$A57-1)),5)="Sonde",
            LEFT(INDIRECT("Descriptif!$M"&amp;($B$1+$A57-1)),10)="Débitmètre",
            LEFT(INDIRECT("Descriptif!$F"&amp;($B$1+$A57-1)),6)="PLUVIO"
        )
    ),
    IF(LEFT(INDIRECT("Descriptif!$F"&amp;($B$1+$A57-1)),6)="PLUVIO","Pluviomètre",INDIRECT("Descriptif!$"&amp;E$15&amp;($B$1 +$A57 -1))),
    ""
)</f>
        <v/>
      </c>
      <c r="F57" s="19" t="str" cm="1">
        <f t="array" aca="1" ref="F57" ca="1">IF(
    AND(
        $B57,
        OR(
            INDIRECT("Descriptif!$M"&amp;($B$1+$A57-1))="Préleveur",
            LEFT(INDIRECT("Descriptif!$M"&amp;($B$1+$A57-1)),5)="Sonde",
            LEFT(INDIRECT("Descriptif!$M"&amp;($B$1+$A57-1)),10)="Débitmètre",
            LEFT(INDIRECT("Descriptif!$F"&amp;($B$1+$A57-1)),6)="PLUVIO"
        )
    ),
    IF(LEFT(INDIRECT("Descriptif!$F"&amp;($B$1+$A57-1)),6)="PLUVIO","Pluviomètre",INDIRECT("Descriptif!$"&amp;F$15&amp;($B$1 +$A57 -1))),
    ""
)</f>
        <v/>
      </c>
      <c r="G57" s="19" t="str" cm="1">
        <f t="array" aca="1" ref="G57" ca="1">IF(
    AND(
        $B57,
        OR(
            INDIRECT("Descriptif!$M"&amp;($B$1+$A57-1))="Préleveur",
            LEFT(INDIRECT("Descriptif!$M"&amp;($B$1+$A57-1)),5)="Sonde",
            LEFT(INDIRECT("Descriptif!$M"&amp;($B$1+$A57-1)),10)="Débitmètre",
            LEFT(INDIRECT("Descriptif!$F"&amp;($B$1+$A57-1)),6)="PLUVIO"
        )
    ),
    IF(LEFT(INDIRECT("Descriptif!$F"&amp;($B$1+$A57-1)),6)="PLUVIO","Pluviomètre",INDIRECT("Descriptif!$"&amp;G$15&amp;($B$1 +$A57 -1))),
    ""
)</f>
        <v/>
      </c>
      <c r="H57" s="141" t="str" cm="1">
        <f t="array" aca="1" ref="H57" ca="1">IFERROR(INDEX($C$16:$C$116,SMALL(IF($C$16:$C$116&lt;&gt;"",ROW($C$16:$C$116)-ROW($C$16)+1),ROW(A42))),"")</f>
        <v/>
      </c>
      <c r="I57" s="140" t="str" cm="1">
        <f t="array" aca="1" ref="I57" ca="1">IFERROR(INDEX($D$16:$D$116,SMALL(IF($D$16:$D$116&lt;&gt;"",ROW($D$16:$D$116)-ROW($D$16)+1),ROW(A42))),"")</f>
        <v/>
      </c>
      <c r="J57" s="140" t="str" cm="1">
        <f t="array" aca="1" ref="J57" ca="1">IFERROR(INDEX($E$16:$E$116,SMALL(IF($E$16:$E$116&lt;&gt;"",ROW($E$16:$E$116)-ROW($E$16)+1),ROW(A42))),"")</f>
        <v/>
      </c>
      <c r="K57" s="140" t="str" cm="1">
        <f t="array" aca="1" ref="K57" ca="1">IFERROR(INDEX($F$16:$F$116,SMALL(IF($F$16:$F$116&lt;&gt;"",ROW($F$16:$F$116)-ROW($F$16)+1),ROW(A42))),"")</f>
        <v/>
      </c>
      <c r="L57" s="140" t="str">
        <f t="shared" ca="1" si="11"/>
        <v/>
      </c>
      <c r="M57" s="140" t="str" cm="1">
        <f t="array" aca="1" ref="M57" ca="1">IFERROR(INDEX($G$16:$G$116,SMALL(IF($G$16:$G$116&lt;&gt;"",ROW($G$16:$G$116)-ROW($G$16)+1),ROW(A42))),"")</f>
        <v/>
      </c>
      <c r="N57" s="145" t="str">
        <f t="shared" ca="1" si="12"/>
        <v/>
      </c>
      <c r="O57" s="146" t="str">
        <f t="shared" ca="1" si="13"/>
        <v/>
      </c>
      <c r="P57" s="146" t="str" cm="1">
        <f t="array" aca="1" ref="P57" ca="1">IF($J57&lt;&gt;"",IF(INDIRECT($H57&amp;"!"&amp;$O57)&lt;&gt;"",INDIRECT($H57&amp;"!"&amp;$O57),""),"")</f>
        <v/>
      </c>
      <c r="Q57" s="146" t="str">
        <f t="shared" ca="1" si="14"/>
        <v/>
      </c>
      <c r="R57" s="146" t="str" cm="1">
        <f t="array" aca="1" ref="R57" ca="1">IF($J57&lt;&gt;"",IF(INDIRECT($H57&amp;"!"&amp;$Q57)&lt;&gt;"",INDIRECT($H57&amp;"!"&amp;$Q57),""),"")</f>
        <v/>
      </c>
      <c r="S57" s="146" t="str">
        <f t="shared" ca="1" si="15"/>
        <v/>
      </c>
      <c r="T57" s="146" t="str" cm="1">
        <f t="array" aca="1" ref="T57" ca="1">IF($J57&lt;&gt;"",IF(INDIRECT($H57&amp;"!"&amp;$S57)&lt;&gt;"",INDIRECT($H57&amp;"!"&amp;$S57),""),"")</f>
        <v/>
      </c>
      <c r="U57" s="146" t="str">
        <f t="shared" ca="1" si="16"/>
        <v/>
      </c>
      <c r="V57" s="147" t="str" cm="1">
        <f t="array" aca="1" ref="V57" ca="1">IF($J57&lt;&gt;"",IF(INDIRECT($H57&amp;"!"&amp;$U57)&lt;&gt;"",INDIRECT($H57&amp;"!"&amp;$U57),""),"")</f>
        <v/>
      </c>
      <c r="W57" s="294" t="str">
        <f t="shared" ca="1" si="7"/>
        <v/>
      </c>
      <c r="X57" s="295" t="str">
        <f t="shared" ca="1" si="8"/>
        <v/>
      </c>
      <c r="Y57" s="296" t="str" cm="1">
        <f t="array" aca="1" ref="Y57" ca="1">IF($H57&lt;&gt;"",IF(INDIRECT($H57&amp;"!"&amp;$W57&amp;($X57+Y$15+1))&lt;&gt;"",INDIRECT($H57&amp;"!"&amp;$W57&amp;($X57+Y$15+1)),""),"")</f>
        <v/>
      </c>
      <c r="Z57" s="296" t="str" cm="1">
        <f t="array" aca="1" ref="Z57" ca="1">IF($H57&lt;&gt;"",IF(INDIRECT($H57&amp;"!"&amp;$W57&amp;($X57+Z$15+1))&lt;&gt;"",INDIRECT($H57&amp;"!"&amp;$W57&amp;($X57+Z$15+1)),""),"")</f>
        <v/>
      </c>
      <c r="AA57" s="296" t="str" cm="1">
        <f t="array" aca="1" ref="AA57" ca="1">IF($H57&lt;&gt;"",IF(INDIRECT($H57&amp;"!"&amp;$W57&amp;($X57+AA$15+1))&lt;&gt;"",INDIRECT($H57&amp;"!"&amp;$W57&amp;($X57+AA$15+1)),""),"")</f>
        <v/>
      </c>
      <c r="AB57" s="296" t="str" cm="1">
        <f t="array" aca="1" ref="AB57" ca="1">IF($H57&lt;&gt;"",IF(INDIRECT($H57&amp;"!"&amp;$W57&amp;($X57+AB$15+1))&lt;&gt;"",INDIRECT($H57&amp;"!"&amp;$W57&amp;($X57+AB$15+1)),""),"")</f>
        <v/>
      </c>
      <c r="AC57" s="296" t="str" cm="1">
        <f t="array" aca="1" ref="AC57" ca="1">IF(LEFT($J57,5)="Sonde","",IF($H57&lt;&gt;"",IF(INDIRECT($H57&amp;"!"&amp;$W57&amp;($X57+AC$15+1))&lt;&gt;"",INDIRECT($H57&amp;"!"&amp;$W57&amp;($X57+AC$15+1)),""),""))</f>
        <v/>
      </c>
      <c r="AD57" s="296" t="str" cm="1">
        <f t="array" aca="1" ref="AD57" ca="1">IF(OR($J57="Pluviomètre",LEFT($J57,5)="Sonde"),"",IF($H57&lt;&gt;"",IF(INDIRECT($H57&amp;"!"&amp;$W57&amp;($X57+AD$15+1))&lt;&gt;"",INDIRECT($H57&amp;"!"&amp;$W57&amp;($X57+AD$15+1)),""),""))</f>
        <v/>
      </c>
      <c r="AE57" s="296" t="str" cm="1">
        <f t="array" aca="1" ref="AE57" ca="1">IF(OR($J57="Pluviomètre",LEFT($J57,5)="Sonde"),"",IF($H57&lt;&gt;"",IF(INDIRECT($H57&amp;"!"&amp;$W57&amp;($X57+AE$15+1))&lt;&gt;"",INDIRECT($H57&amp;"!"&amp;$W57&amp;($X57+AE$15+1)),""),""))</f>
        <v/>
      </c>
      <c r="AF57" s="296" t="str" cm="1">
        <f t="array" aca="1" ref="AF57" ca="1">IF(OR($J57="Pluviomètre",LEFT($J57,5)="Sonde"),"",IF($H57&lt;&gt;"",IF(INDIRECT($H57&amp;"!"&amp;$W57&amp;($X57+AF$15+1))&lt;&gt;"",INDIRECT($H57&amp;"!"&amp;$W57&amp;($X57+AF$15+1)),""),""))</f>
        <v/>
      </c>
      <c r="AG57" s="296" t="str" cm="1">
        <f t="array" aca="1" ref="AG57" ca="1">IF(OR($J57="Pluviomètre",LEFT($J57,5)="Sonde"),"",IF($H57&lt;&gt;"",IF(INDIRECT($H57&amp;"!"&amp;$W57&amp;($X57+AG$15+1))&lt;&gt;"",INDIRECT($H57&amp;"!"&amp;$W57&amp;($X57+AG$15+1)),""),""))</f>
        <v/>
      </c>
      <c r="AH57" s="296" t="str" cm="1">
        <f t="array" aca="1" ref="AH57" ca="1">IF(OR($J57="Pluviomètre",LEFT($J57,5)="Sonde"),"",IF($H57&lt;&gt;"",IF(INDIRECT($H57&amp;"!"&amp;$W57&amp;($X57+AH$15+1))&lt;&gt;"",INDIRECT($H57&amp;"!"&amp;$W57&amp;($X57+AH$15+1)),""),""))</f>
        <v/>
      </c>
      <c r="AI57" s="294" t="str">
        <f t="shared" ca="1" si="9"/>
        <v/>
      </c>
      <c r="AJ57" s="295" t="str">
        <f t="shared" ca="1" si="10"/>
        <v/>
      </c>
      <c r="AK57" s="296" t="str" cm="1">
        <f t="array" aca="1" ref="AK57" ca="1">IF($H57&lt;&gt;"",IF(INDIRECT($H57&amp;"!"&amp;$AI57&amp;($AJ57+AK$15+1))&lt;&gt;"",INDIRECT($H57&amp;"!"&amp;$AI57&amp;($AJ57+AK$15+1)),""),"")</f>
        <v/>
      </c>
      <c r="AL57" s="296" t="str" cm="1">
        <f t="array" aca="1" ref="AL57" ca="1">IF($H57&lt;&gt;"",IF(INDIRECT($H57&amp;"!"&amp;$AI57&amp;($AJ57+AL$15+1))&lt;&gt;"",INDIRECT($H57&amp;"!"&amp;$AI57&amp;($AJ57+AL$15+1)),""),"")</f>
        <v/>
      </c>
      <c r="AM57" s="296" t="str" cm="1">
        <f t="array" aca="1" ref="AM57" ca="1">IF($H57&lt;&gt;"",IF(INDIRECT($H57&amp;"!"&amp;$AI57&amp;($AJ57+AM$15+1))&lt;&gt;"",INDIRECT($H57&amp;"!"&amp;$AI57&amp;($AJ57+AM$15+1)),""),"")</f>
        <v/>
      </c>
      <c r="AN57" s="296" t="str" cm="1">
        <f t="array" aca="1" ref="AN57" ca="1">IF($H57&lt;&gt;"",IF(INDIRECT($H57&amp;"!"&amp;$AI57&amp;($AJ57+AN$15+1))&lt;&gt;"",INDIRECT($H57&amp;"!"&amp;$AI57&amp;($AJ57+AN$15+1)),""),"")</f>
        <v/>
      </c>
      <c r="AO57" s="296" t="str" cm="1">
        <f t="array" aca="1" ref="AO57" ca="1">IF(LEFT($J57,5)="Sonde","",IF($H57&lt;&gt;"",IF(INDIRECT($H57&amp;"!"&amp;$AI57&amp;($AJ57+AO$15+1))&lt;&gt;"",INDIRECT($H57&amp;"!"&amp;$AI57&amp;($AJ57+AO$15+1)),""),""))</f>
        <v/>
      </c>
      <c r="AP57" s="296" t="str" cm="1">
        <f t="array" aca="1" ref="AP57" ca="1">IF(OR($J57="Pluviomètre",LEFT($J57,5)="Sonde"),"",IF($H57&lt;&gt;"",IF(INDIRECT($H57&amp;"!"&amp;$AI57&amp;($AJ57+AP$15+1))&lt;&gt;"",INDIRECT($H57&amp;"!"&amp;$AI57&amp;($AJ57+AP$15+1)),""),""))</f>
        <v/>
      </c>
      <c r="AQ57" s="296" t="str" cm="1">
        <f t="array" aca="1" ref="AQ57" ca="1">IF(OR($J57="Pluviomètre",LEFT($J57,5)="Sonde"),"",IF($H57&lt;&gt;"",IF(INDIRECT($H57&amp;"!"&amp;$AI57&amp;($AJ57+AQ$15+1))&lt;&gt;"",INDIRECT($H57&amp;"!"&amp;$AI57&amp;($AJ57+AQ$15+1)),""),""))</f>
        <v/>
      </c>
      <c r="AR57" s="296" t="str" cm="1">
        <f t="array" aca="1" ref="AR57" ca="1">IF(OR($J57="Pluviomètre",LEFT($J57,5)="Sonde"),"",IF($H57&lt;&gt;"",IF(INDIRECT($H57&amp;"!"&amp;$AI57&amp;($AJ57+AR$15+1))&lt;&gt;"",INDIRECT($H57&amp;"!"&amp;$AI57&amp;($AJ57+AR$15+1)),""),""))</f>
        <v/>
      </c>
      <c r="AS57" s="296" t="str" cm="1">
        <f t="array" aca="1" ref="AS57" ca="1">IF(OR($J57="Pluviomètre",LEFT($J57,5)="Sonde"),"",IF($H57&lt;&gt;"",IF(INDIRECT($H57&amp;"!"&amp;$AI57&amp;($AJ57+AS$15+1))&lt;&gt;"",INDIRECT($H57&amp;"!"&amp;$AI57&amp;($AJ57+AS$15+1)),""),""))</f>
        <v/>
      </c>
      <c r="AT57" s="296" t="str" cm="1">
        <f t="array" aca="1" ref="AT57" ca="1">IF(OR($J57="Pluviomètre",LEFT($J57,5)="Sonde"),"",IF($H57&lt;&gt;"",IF(INDIRECT($H57&amp;"!"&amp;$AI57&amp;($AJ57+AT$15+1))&lt;&gt;"",INDIRECT($H57&amp;"!"&amp;$AI57&amp;($AJ57+AT$15+1)),""),""))</f>
        <v/>
      </c>
    </row>
    <row r="58" spans="1:46" x14ac:dyDescent="0.4">
      <c r="A58" s="80">
        <v>43</v>
      </c>
      <c r="B58" s="134" t="b">
        <f t="shared" si="6"/>
        <v>0</v>
      </c>
      <c r="C58" s="139" t="str" cm="1">
        <f t="array" aca="1" ref="C58" ca="1">IF(
    AND(
        $B58,
        OR(
            INDIRECT("Descriptif!$M"&amp;($B$1+$A58-1))="Préleveur",
            LEFT(INDIRECT("Descriptif!$M"&amp;($B$1+$A58-1)),5)="Sonde",
            LEFT(INDIRECT("Descriptif!$M"&amp;($B$1+$A58-1)),10)="Débitmètre",
            LEFT(INDIRECT("Descriptif!$F"&amp;($B$1+$A58-1)),6)="PLUVIO"
        )
    ),
    INDIRECT("Descriptif!$"&amp;C$15&amp;($B$1 +$A58 -1)),
    ""
)</f>
        <v/>
      </c>
      <c r="D58" s="277" t="str" cm="1">
        <f t="array" aca="1" ref="D58" ca="1">IF(
    AND(
        $B58,
        OR(
            INDIRECT("Descriptif!$M"&amp;($B$1+$A58-1))="Préleveur",
            LEFT(INDIRECT("Descriptif!$M"&amp;($B$1+$A58-1)),5)="Sonde",
            LEFT(INDIRECT("Descriptif!$M"&amp;($B$1+$A58-1)),10)="Débitmètre",
            LEFT(INDIRECT("Descriptif!$F"&amp;($B$1+$A58-1)),6)="PLUVIO"
        )
    ),
    IF(
        LEFT(INDIRECT("Descriptif!$F"&amp;($B$1+$A58-1)),11)="PLUVIO_STEU",
        "A3",
        IF(
            LEFT(INDIRECT("Descriptif!$F"&amp;($B$1+$A58-1)),10)="PLUVIO_SCL",
            "A1",
            INDIRECT("Descriptif!$"&amp;D$15&amp;($B$1 +$A58 -1))
        )
    ),
    ""
)</f>
        <v/>
      </c>
      <c r="E58" s="277" t="str" cm="1">
        <f t="array" aca="1" ref="E58" ca="1">IF(
    AND(
        $B58,
        OR(
            INDIRECT("Descriptif!$M"&amp;($B$1+$A58-1))="Préleveur",
            LEFT(INDIRECT("Descriptif!$M"&amp;($B$1+$A58-1)),5)="Sonde",
            LEFT(INDIRECT("Descriptif!$M"&amp;($B$1+$A58-1)),10)="Débitmètre",
            LEFT(INDIRECT("Descriptif!$F"&amp;($B$1+$A58-1)),6)="PLUVIO"
        )
    ),
    IF(LEFT(INDIRECT("Descriptif!$F"&amp;($B$1+$A58-1)),6)="PLUVIO","Pluviomètre",INDIRECT("Descriptif!$"&amp;E$15&amp;($B$1 +$A58 -1))),
    ""
)</f>
        <v/>
      </c>
      <c r="F58" s="19" t="str" cm="1">
        <f t="array" aca="1" ref="F58" ca="1">IF(
    AND(
        $B58,
        OR(
            INDIRECT("Descriptif!$M"&amp;($B$1+$A58-1))="Préleveur",
            LEFT(INDIRECT("Descriptif!$M"&amp;($B$1+$A58-1)),5)="Sonde",
            LEFT(INDIRECT("Descriptif!$M"&amp;($B$1+$A58-1)),10)="Débitmètre",
            LEFT(INDIRECT("Descriptif!$F"&amp;($B$1+$A58-1)),6)="PLUVIO"
        )
    ),
    IF(LEFT(INDIRECT("Descriptif!$F"&amp;($B$1+$A58-1)),6)="PLUVIO","Pluviomètre",INDIRECT("Descriptif!$"&amp;F$15&amp;($B$1 +$A58 -1))),
    ""
)</f>
        <v/>
      </c>
      <c r="G58" s="19" t="str" cm="1">
        <f t="array" aca="1" ref="G58" ca="1">IF(
    AND(
        $B58,
        OR(
            INDIRECT("Descriptif!$M"&amp;($B$1+$A58-1))="Préleveur",
            LEFT(INDIRECT("Descriptif!$M"&amp;($B$1+$A58-1)),5)="Sonde",
            LEFT(INDIRECT("Descriptif!$M"&amp;($B$1+$A58-1)),10)="Débitmètre",
            LEFT(INDIRECT("Descriptif!$F"&amp;($B$1+$A58-1)),6)="PLUVIO"
        )
    ),
    IF(LEFT(INDIRECT("Descriptif!$F"&amp;($B$1+$A58-1)),6)="PLUVIO","Pluviomètre",INDIRECT("Descriptif!$"&amp;G$15&amp;($B$1 +$A58 -1))),
    ""
)</f>
        <v/>
      </c>
      <c r="H58" s="141" t="str" cm="1">
        <f t="array" aca="1" ref="H58" ca="1">IFERROR(INDEX($C$16:$C$116,SMALL(IF($C$16:$C$116&lt;&gt;"",ROW($C$16:$C$116)-ROW($C$16)+1),ROW(A43))),"")</f>
        <v/>
      </c>
      <c r="I58" s="140" t="str" cm="1">
        <f t="array" aca="1" ref="I58" ca="1">IFERROR(INDEX($D$16:$D$116,SMALL(IF($D$16:$D$116&lt;&gt;"",ROW($D$16:$D$116)-ROW($D$16)+1),ROW(A43))),"")</f>
        <v/>
      </c>
      <c r="J58" s="140" t="str" cm="1">
        <f t="array" aca="1" ref="J58" ca="1">IFERROR(INDEX($E$16:$E$116,SMALL(IF($E$16:$E$116&lt;&gt;"",ROW($E$16:$E$116)-ROW($E$16)+1),ROW(A43))),"")</f>
        <v/>
      </c>
      <c r="K58" s="140" t="str" cm="1">
        <f t="array" aca="1" ref="K58" ca="1">IFERROR(INDEX($F$16:$F$116,SMALL(IF($F$16:$F$116&lt;&gt;"",ROW($F$16:$F$116)-ROW($F$16)+1),ROW(A43))),"")</f>
        <v/>
      </c>
      <c r="L58" s="140" t="str">
        <f t="shared" ca="1" si="11"/>
        <v/>
      </c>
      <c r="M58" s="140" t="str" cm="1">
        <f t="array" aca="1" ref="M58" ca="1">IFERROR(INDEX($G$16:$G$116,SMALL(IF($G$16:$G$116&lt;&gt;"",ROW($G$16:$G$116)-ROW($G$16)+1),ROW(A43))),"")</f>
        <v/>
      </c>
      <c r="N58" s="145" t="str">
        <f t="shared" ca="1" si="12"/>
        <v/>
      </c>
      <c r="O58" s="146" t="str">
        <f t="shared" ca="1" si="13"/>
        <v/>
      </c>
      <c r="P58" s="146" t="str" cm="1">
        <f t="array" aca="1" ref="P58" ca="1">IF($J58&lt;&gt;"",IF(INDIRECT($H58&amp;"!"&amp;$O58)&lt;&gt;"",INDIRECT($H58&amp;"!"&amp;$O58),""),"")</f>
        <v/>
      </c>
      <c r="Q58" s="146" t="str">
        <f t="shared" ca="1" si="14"/>
        <v/>
      </c>
      <c r="R58" s="146" t="str" cm="1">
        <f t="array" aca="1" ref="R58" ca="1">IF($J58&lt;&gt;"",IF(INDIRECT($H58&amp;"!"&amp;$Q58)&lt;&gt;"",INDIRECT($H58&amp;"!"&amp;$Q58),""),"")</f>
        <v/>
      </c>
      <c r="S58" s="146" t="str">
        <f t="shared" ca="1" si="15"/>
        <v/>
      </c>
      <c r="T58" s="146" t="str" cm="1">
        <f t="array" aca="1" ref="T58" ca="1">IF($J58&lt;&gt;"",IF(INDIRECT($H58&amp;"!"&amp;$S58)&lt;&gt;"",INDIRECT($H58&amp;"!"&amp;$S58),""),"")</f>
        <v/>
      </c>
      <c r="U58" s="146" t="str">
        <f t="shared" ca="1" si="16"/>
        <v/>
      </c>
      <c r="V58" s="147" t="str" cm="1">
        <f t="array" aca="1" ref="V58" ca="1">IF($J58&lt;&gt;"",IF(INDIRECT($H58&amp;"!"&amp;$U58)&lt;&gt;"",INDIRECT($H58&amp;"!"&amp;$U58),""),"")</f>
        <v/>
      </c>
      <c r="W58" s="294" t="str">
        <f t="shared" ca="1" si="7"/>
        <v/>
      </c>
      <c r="X58" s="295" t="str">
        <f t="shared" ca="1" si="8"/>
        <v/>
      </c>
      <c r="Y58" s="296" t="str" cm="1">
        <f t="array" aca="1" ref="Y58" ca="1">IF($H58&lt;&gt;"",IF(INDIRECT($H58&amp;"!"&amp;$W58&amp;($X58+Y$15+1))&lt;&gt;"",INDIRECT($H58&amp;"!"&amp;$W58&amp;($X58+Y$15+1)),""),"")</f>
        <v/>
      </c>
      <c r="Z58" s="296" t="str" cm="1">
        <f t="array" aca="1" ref="Z58" ca="1">IF($H58&lt;&gt;"",IF(INDIRECT($H58&amp;"!"&amp;$W58&amp;($X58+Z$15+1))&lt;&gt;"",INDIRECT($H58&amp;"!"&amp;$W58&amp;($X58+Z$15+1)),""),"")</f>
        <v/>
      </c>
      <c r="AA58" s="296" t="str" cm="1">
        <f t="array" aca="1" ref="AA58" ca="1">IF($H58&lt;&gt;"",IF(INDIRECT($H58&amp;"!"&amp;$W58&amp;($X58+AA$15+1))&lt;&gt;"",INDIRECT($H58&amp;"!"&amp;$W58&amp;($X58+AA$15+1)),""),"")</f>
        <v/>
      </c>
      <c r="AB58" s="296" t="str" cm="1">
        <f t="array" aca="1" ref="AB58" ca="1">IF($H58&lt;&gt;"",IF(INDIRECT($H58&amp;"!"&amp;$W58&amp;($X58+AB$15+1))&lt;&gt;"",INDIRECT($H58&amp;"!"&amp;$W58&amp;($X58+AB$15+1)),""),"")</f>
        <v/>
      </c>
      <c r="AC58" s="296" t="str" cm="1">
        <f t="array" aca="1" ref="AC58" ca="1">IF(LEFT($J58,5)="Sonde","",IF($H58&lt;&gt;"",IF(INDIRECT($H58&amp;"!"&amp;$W58&amp;($X58+AC$15+1))&lt;&gt;"",INDIRECT($H58&amp;"!"&amp;$W58&amp;($X58+AC$15+1)),""),""))</f>
        <v/>
      </c>
      <c r="AD58" s="296" t="str" cm="1">
        <f t="array" aca="1" ref="AD58" ca="1">IF(OR($J58="Pluviomètre",LEFT($J58,5)="Sonde"),"",IF($H58&lt;&gt;"",IF(INDIRECT($H58&amp;"!"&amp;$W58&amp;($X58+AD$15+1))&lt;&gt;"",INDIRECT($H58&amp;"!"&amp;$W58&amp;($X58+AD$15+1)),""),""))</f>
        <v/>
      </c>
      <c r="AE58" s="296" t="str" cm="1">
        <f t="array" aca="1" ref="AE58" ca="1">IF(OR($J58="Pluviomètre",LEFT($J58,5)="Sonde"),"",IF($H58&lt;&gt;"",IF(INDIRECT($H58&amp;"!"&amp;$W58&amp;($X58+AE$15+1))&lt;&gt;"",INDIRECT($H58&amp;"!"&amp;$W58&amp;($X58+AE$15+1)),""),""))</f>
        <v/>
      </c>
      <c r="AF58" s="296" t="str" cm="1">
        <f t="array" aca="1" ref="AF58" ca="1">IF(OR($J58="Pluviomètre",LEFT($J58,5)="Sonde"),"",IF($H58&lt;&gt;"",IF(INDIRECT($H58&amp;"!"&amp;$W58&amp;($X58+AF$15+1))&lt;&gt;"",INDIRECT($H58&amp;"!"&amp;$W58&amp;($X58+AF$15+1)),""),""))</f>
        <v/>
      </c>
      <c r="AG58" s="296" t="str" cm="1">
        <f t="array" aca="1" ref="AG58" ca="1">IF(OR($J58="Pluviomètre",LEFT($J58,5)="Sonde"),"",IF($H58&lt;&gt;"",IF(INDIRECT($H58&amp;"!"&amp;$W58&amp;($X58+AG$15+1))&lt;&gt;"",INDIRECT($H58&amp;"!"&amp;$W58&amp;($X58+AG$15+1)),""),""))</f>
        <v/>
      </c>
      <c r="AH58" s="296" t="str" cm="1">
        <f t="array" aca="1" ref="AH58" ca="1">IF(OR($J58="Pluviomètre",LEFT($J58,5)="Sonde"),"",IF($H58&lt;&gt;"",IF(INDIRECT($H58&amp;"!"&amp;$W58&amp;($X58+AH$15+1))&lt;&gt;"",INDIRECT($H58&amp;"!"&amp;$W58&amp;($X58+AH$15+1)),""),""))</f>
        <v/>
      </c>
      <c r="AI58" s="294" t="str">
        <f t="shared" ca="1" si="9"/>
        <v/>
      </c>
      <c r="AJ58" s="295" t="str">
        <f t="shared" ca="1" si="10"/>
        <v/>
      </c>
      <c r="AK58" s="296" t="str" cm="1">
        <f t="array" aca="1" ref="AK58" ca="1">IF($H58&lt;&gt;"",IF(INDIRECT($H58&amp;"!"&amp;$AI58&amp;($AJ58+AK$15+1))&lt;&gt;"",INDIRECT($H58&amp;"!"&amp;$AI58&amp;($AJ58+AK$15+1)),""),"")</f>
        <v/>
      </c>
      <c r="AL58" s="296" t="str" cm="1">
        <f t="array" aca="1" ref="AL58" ca="1">IF($H58&lt;&gt;"",IF(INDIRECT($H58&amp;"!"&amp;$AI58&amp;($AJ58+AL$15+1))&lt;&gt;"",INDIRECT($H58&amp;"!"&amp;$AI58&amp;($AJ58+AL$15+1)),""),"")</f>
        <v/>
      </c>
      <c r="AM58" s="296" t="str" cm="1">
        <f t="array" aca="1" ref="AM58" ca="1">IF($H58&lt;&gt;"",IF(INDIRECT($H58&amp;"!"&amp;$AI58&amp;($AJ58+AM$15+1))&lt;&gt;"",INDIRECT($H58&amp;"!"&amp;$AI58&amp;($AJ58+AM$15+1)),""),"")</f>
        <v/>
      </c>
      <c r="AN58" s="296" t="str" cm="1">
        <f t="array" aca="1" ref="AN58" ca="1">IF($H58&lt;&gt;"",IF(INDIRECT($H58&amp;"!"&amp;$AI58&amp;($AJ58+AN$15+1))&lt;&gt;"",INDIRECT($H58&amp;"!"&amp;$AI58&amp;($AJ58+AN$15+1)),""),"")</f>
        <v/>
      </c>
      <c r="AO58" s="296" t="str" cm="1">
        <f t="array" aca="1" ref="AO58" ca="1">IF(LEFT($J58,5)="Sonde","",IF($H58&lt;&gt;"",IF(INDIRECT($H58&amp;"!"&amp;$AI58&amp;($AJ58+AO$15+1))&lt;&gt;"",INDIRECT($H58&amp;"!"&amp;$AI58&amp;($AJ58+AO$15+1)),""),""))</f>
        <v/>
      </c>
      <c r="AP58" s="296" t="str" cm="1">
        <f t="array" aca="1" ref="AP58" ca="1">IF(OR($J58="Pluviomètre",LEFT($J58,5)="Sonde"),"",IF($H58&lt;&gt;"",IF(INDIRECT($H58&amp;"!"&amp;$AI58&amp;($AJ58+AP$15+1))&lt;&gt;"",INDIRECT($H58&amp;"!"&amp;$AI58&amp;($AJ58+AP$15+1)),""),""))</f>
        <v/>
      </c>
      <c r="AQ58" s="296" t="str" cm="1">
        <f t="array" aca="1" ref="AQ58" ca="1">IF(OR($J58="Pluviomètre",LEFT($J58,5)="Sonde"),"",IF($H58&lt;&gt;"",IF(INDIRECT($H58&amp;"!"&amp;$AI58&amp;($AJ58+AQ$15+1))&lt;&gt;"",INDIRECT($H58&amp;"!"&amp;$AI58&amp;($AJ58+AQ$15+1)),""),""))</f>
        <v/>
      </c>
      <c r="AR58" s="296" t="str" cm="1">
        <f t="array" aca="1" ref="AR58" ca="1">IF(OR($J58="Pluviomètre",LEFT($J58,5)="Sonde"),"",IF($H58&lt;&gt;"",IF(INDIRECT($H58&amp;"!"&amp;$AI58&amp;($AJ58+AR$15+1))&lt;&gt;"",INDIRECT($H58&amp;"!"&amp;$AI58&amp;($AJ58+AR$15+1)),""),""))</f>
        <v/>
      </c>
      <c r="AS58" s="296" t="str" cm="1">
        <f t="array" aca="1" ref="AS58" ca="1">IF(OR($J58="Pluviomètre",LEFT($J58,5)="Sonde"),"",IF($H58&lt;&gt;"",IF(INDIRECT($H58&amp;"!"&amp;$AI58&amp;($AJ58+AS$15+1))&lt;&gt;"",INDIRECT($H58&amp;"!"&amp;$AI58&amp;($AJ58+AS$15+1)),""),""))</f>
        <v/>
      </c>
      <c r="AT58" s="296" t="str" cm="1">
        <f t="array" aca="1" ref="AT58" ca="1">IF(OR($J58="Pluviomètre",LEFT($J58,5)="Sonde"),"",IF($H58&lt;&gt;"",IF(INDIRECT($H58&amp;"!"&amp;$AI58&amp;($AJ58+AT$15+1))&lt;&gt;"",INDIRECT($H58&amp;"!"&amp;$AI58&amp;($AJ58+AT$15+1)),""),""))</f>
        <v/>
      </c>
    </row>
    <row r="59" spans="1:46" x14ac:dyDescent="0.4">
      <c r="A59" s="80">
        <v>44</v>
      </c>
      <c r="B59" s="134" t="b">
        <f t="shared" si="6"/>
        <v>0</v>
      </c>
      <c r="C59" s="139" t="str" cm="1">
        <f t="array" aca="1" ref="C59" ca="1">IF(
    AND(
        $B59,
        OR(
            INDIRECT("Descriptif!$M"&amp;($B$1+$A59-1))="Préleveur",
            LEFT(INDIRECT("Descriptif!$M"&amp;($B$1+$A59-1)),5)="Sonde",
            LEFT(INDIRECT("Descriptif!$M"&amp;($B$1+$A59-1)),10)="Débitmètre",
            LEFT(INDIRECT("Descriptif!$F"&amp;($B$1+$A59-1)),6)="PLUVIO"
        )
    ),
    INDIRECT("Descriptif!$"&amp;C$15&amp;($B$1 +$A59 -1)),
    ""
)</f>
        <v/>
      </c>
      <c r="D59" s="277" t="str" cm="1">
        <f t="array" aca="1" ref="D59" ca="1">IF(
    AND(
        $B59,
        OR(
            INDIRECT("Descriptif!$M"&amp;($B$1+$A59-1))="Préleveur",
            LEFT(INDIRECT("Descriptif!$M"&amp;($B$1+$A59-1)),5)="Sonde",
            LEFT(INDIRECT("Descriptif!$M"&amp;($B$1+$A59-1)),10)="Débitmètre",
            LEFT(INDIRECT("Descriptif!$F"&amp;($B$1+$A59-1)),6)="PLUVIO"
        )
    ),
    IF(
        LEFT(INDIRECT("Descriptif!$F"&amp;($B$1+$A59-1)),11)="PLUVIO_STEU",
        "A3",
        IF(
            LEFT(INDIRECT("Descriptif!$F"&amp;($B$1+$A59-1)),10)="PLUVIO_SCL",
            "A1",
            INDIRECT("Descriptif!$"&amp;D$15&amp;($B$1 +$A59 -1))
        )
    ),
    ""
)</f>
        <v/>
      </c>
      <c r="E59" s="277" t="str" cm="1">
        <f t="array" aca="1" ref="E59" ca="1">IF(
    AND(
        $B59,
        OR(
            INDIRECT("Descriptif!$M"&amp;($B$1+$A59-1))="Préleveur",
            LEFT(INDIRECT("Descriptif!$M"&amp;($B$1+$A59-1)),5)="Sonde",
            LEFT(INDIRECT("Descriptif!$M"&amp;($B$1+$A59-1)),10)="Débitmètre",
            LEFT(INDIRECT("Descriptif!$F"&amp;($B$1+$A59-1)),6)="PLUVIO"
        )
    ),
    IF(LEFT(INDIRECT("Descriptif!$F"&amp;($B$1+$A59-1)),6)="PLUVIO","Pluviomètre",INDIRECT("Descriptif!$"&amp;E$15&amp;($B$1 +$A59 -1))),
    ""
)</f>
        <v/>
      </c>
      <c r="F59" s="19" t="str" cm="1">
        <f t="array" aca="1" ref="F59" ca="1">IF(
    AND(
        $B59,
        OR(
            INDIRECT("Descriptif!$M"&amp;($B$1+$A59-1))="Préleveur",
            LEFT(INDIRECT("Descriptif!$M"&amp;($B$1+$A59-1)),5)="Sonde",
            LEFT(INDIRECT("Descriptif!$M"&amp;($B$1+$A59-1)),10)="Débitmètre",
            LEFT(INDIRECT("Descriptif!$F"&amp;($B$1+$A59-1)),6)="PLUVIO"
        )
    ),
    IF(LEFT(INDIRECT("Descriptif!$F"&amp;($B$1+$A59-1)),6)="PLUVIO","Pluviomètre",INDIRECT("Descriptif!$"&amp;F$15&amp;($B$1 +$A59 -1))),
    ""
)</f>
        <v/>
      </c>
      <c r="G59" s="19" t="str" cm="1">
        <f t="array" aca="1" ref="G59" ca="1">IF(
    AND(
        $B59,
        OR(
            INDIRECT("Descriptif!$M"&amp;($B$1+$A59-1))="Préleveur",
            LEFT(INDIRECT("Descriptif!$M"&amp;($B$1+$A59-1)),5)="Sonde",
            LEFT(INDIRECT("Descriptif!$M"&amp;($B$1+$A59-1)),10)="Débitmètre",
            LEFT(INDIRECT("Descriptif!$F"&amp;($B$1+$A59-1)),6)="PLUVIO"
        )
    ),
    IF(LEFT(INDIRECT("Descriptif!$F"&amp;($B$1+$A59-1)),6)="PLUVIO","Pluviomètre",INDIRECT("Descriptif!$"&amp;G$15&amp;($B$1 +$A59 -1))),
    ""
)</f>
        <v/>
      </c>
      <c r="H59" s="141" t="str" cm="1">
        <f t="array" aca="1" ref="H59" ca="1">IFERROR(INDEX($C$16:$C$116,SMALL(IF($C$16:$C$116&lt;&gt;"",ROW($C$16:$C$116)-ROW($C$16)+1),ROW(A44))),"")</f>
        <v/>
      </c>
      <c r="I59" s="140" t="str" cm="1">
        <f t="array" aca="1" ref="I59" ca="1">IFERROR(INDEX($D$16:$D$116,SMALL(IF($D$16:$D$116&lt;&gt;"",ROW($D$16:$D$116)-ROW($D$16)+1),ROW(A44))),"")</f>
        <v/>
      </c>
      <c r="J59" s="140" t="str" cm="1">
        <f t="array" aca="1" ref="J59" ca="1">IFERROR(INDEX($E$16:$E$116,SMALL(IF($E$16:$E$116&lt;&gt;"",ROW($E$16:$E$116)-ROW($E$16)+1),ROW(A44))),"")</f>
        <v/>
      </c>
      <c r="K59" s="140" t="str" cm="1">
        <f t="array" aca="1" ref="K59" ca="1">IFERROR(INDEX($F$16:$F$116,SMALL(IF($F$16:$F$116&lt;&gt;"",ROW($F$16:$F$116)-ROW($F$16)+1),ROW(A44))),"")</f>
        <v/>
      </c>
      <c r="L59" s="140" t="str">
        <f t="shared" ca="1" si="11"/>
        <v/>
      </c>
      <c r="M59" s="140" t="str" cm="1">
        <f t="array" aca="1" ref="M59" ca="1">IFERROR(INDEX($G$16:$G$116,SMALL(IF($G$16:$G$116&lt;&gt;"",ROW($G$16:$G$116)-ROW($G$16)+1),ROW(A44))),"")</f>
        <v/>
      </c>
      <c r="N59" s="145" t="str">
        <f t="shared" ca="1" si="12"/>
        <v/>
      </c>
      <c r="O59" s="146" t="str">
        <f t="shared" ca="1" si="13"/>
        <v/>
      </c>
      <c r="P59" s="146" t="str" cm="1">
        <f t="array" aca="1" ref="P59" ca="1">IF($J59&lt;&gt;"",IF(INDIRECT($H59&amp;"!"&amp;$O59)&lt;&gt;"",INDIRECT($H59&amp;"!"&amp;$O59),""),"")</f>
        <v/>
      </c>
      <c r="Q59" s="146" t="str">
        <f t="shared" ca="1" si="14"/>
        <v/>
      </c>
      <c r="R59" s="146" t="str" cm="1">
        <f t="array" aca="1" ref="R59" ca="1">IF($J59&lt;&gt;"",IF(INDIRECT($H59&amp;"!"&amp;$Q59)&lt;&gt;"",INDIRECT($H59&amp;"!"&amp;$Q59),""),"")</f>
        <v/>
      </c>
      <c r="S59" s="146" t="str">
        <f t="shared" ca="1" si="15"/>
        <v/>
      </c>
      <c r="T59" s="146" t="str" cm="1">
        <f t="array" aca="1" ref="T59" ca="1">IF($J59&lt;&gt;"",IF(INDIRECT($H59&amp;"!"&amp;$S59)&lt;&gt;"",INDIRECT($H59&amp;"!"&amp;$S59),""),"")</f>
        <v/>
      </c>
      <c r="U59" s="146" t="str">
        <f t="shared" ca="1" si="16"/>
        <v/>
      </c>
      <c r="V59" s="147" t="str" cm="1">
        <f t="array" aca="1" ref="V59" ca="1">IF($J59&lt;&gt;"",IF(INDIRECT($H59&amp;"!"&amp;$U59)&lt;&gt;"",INDIRECT($H59&amp;"!"&amp;$U59),""),"")</f>
        <v/>
      </c>
      <c r="W59" s="294" t="str">
        <f t="shared" ca="1" si="7"/>
        <v/>
      </c>
      <c r="X59" s="295" t="str">
        <f t="shared" ca="1" si="8"/>
        <v/>
      </c>
      <c r="Y59" s="296" t="str" cm="1">
        <f t="array" aca="1" ref="Y59" ca="1">IF($H59&lt;&gt;"",IF(INDIRECT($H59&amp;"!"&amp;$W59&amp;($X59+Y$15+1))&lt;&gt;"",INDIRECT($H59&amp;"!"&amp;$W59&amp;($X59+Y$15+1)),""),"")</f>
        <v/>
      </c>
      <c r="Z59" s="296" t="str" cm="1">
        <f t="array" aca="1" ref="Z59" ca="1">IF($H59&lt;&gt;"",IF(INDIRECT($H59&amp;"!"&amp;$W59&amp;($X59+Z$15+1))&lt;&gt;"",INDIRECT($H59&amp;"!"&amp;$W59&amp;($X59+Z$15+1)),""),"")</f>
        <v/>
      </c>
      <c r="AA59" s="296" t="str" cm="1">
        <f t="array" aca="1" ref="AA59" ca="1">IF($H59&lt;&gt;"",IF(INDIRECT($H59&amp;"!"&amp;$W59&amp;($X59+AA$15+1))&lt;&gt;"",INDIRECT($H59&amp;"!"&amp;$W59&amp;($X59+AA$15+1)),""),"")</f>
        <v/>
      </c>
      <c r="AB59" s="296" t="str" cm="1">
        <f t="array" aca="1" ref="AB59" ca="1">IF($H59&lt;&gt;"",IF(INDIRECT($H59&amp;"!"&amp;$W59&amp;($X59+AB$15+1))&lt;&gt;"",INDIRECT($H59&amp;"!"&amp;$W59&amp;($X59+AB$15+1)),""),"")</f>
        <v/>
      </c>
      <c r="AC59" s="296" t="str" cm="1">
        <f t="array" aca="1" ref="AC59" ca="1">IF(LEFT($J59,5)="Sonde","",IF($H59&lt;&gt;"",IF(INDIRECT($H59&amp;"!"&amp;$W59&amp;($X59+AC$15+1))&lt;&gt;"",INDIRECT($H59&amp;"!"&amp;$W59&amp;($X59+AC$15+1)),""),""))</f>
        <v/>
      </c>
      <c r="AD59" s="296" t="str" cm="1">
        <f t="array" aca="1" ref="AD59" ca="1">IF(OR($J59="Pluviomètre",LEFT($J59,5)="Sonde"),"",IF($H59&lt;&gt;"",IF(INDIRECT($H59&amp;"!"&amp;$W59&amp;($X59+AD$15+1))&lt;&gt;"",INDIRECT($H59&amp;"!"&amp;$W59&amp;($X59+AD$15+1)),""),""))</f>
        <v/>
      </c>
      <c r="AE59" s="296" t="str" cm="1">
        <f t="array" aca="1" ref="AE59" ca="1">IF(OR($J59="Pluviomètre",LEFT($J59,5)="Sonde"),"",IF($H59&lt;&gt;"",IF(INDIRECT($H59&amp;"!"&amp;$W59&amp;($X59+AE$15+1))&lt;&gt;"",INDIRECT($H59&amp;"!"&amp;$W59&amp;($X59+AE$15+1)),""),""))</f>
        <v/>
      </c>
      <c r="AF59" s="296" t="str" cm="1">
        <f t="array" aca="1" ref="AF59" ca="1">IF(OR($J59="Pluviomètre",LEFT($J59,5)="Sonde"),"",IF($H59&lt;&gt;"",IF(INDIRECT($H59&amp;"!"&amp;$W59&amp;($X59+AF$15+1))&lt;&gt;"",INDIRECT($H59&amp;"!"&amp;$W59&amp;($X59+AF$15+1)),""),""))</f>
        <v/>
      </c>
      <c r="AG59" s="296" t="str" cm="1">
        <f t="array" aca="1" ref="AG59" ca="1">IF(OR($J59="Pluviomètre",LEFT($J59,5)="Sonde"),"",IF($H59&lt;&gt;"",IF(INDIRECT($H59&amp;"!"&amp;$W59&amp;($X59+AG$15+1))&lt;&gt;"",INDIRECT($H59&amp;"!"&amp;$W59&amp;($X59+AG$15+1)),""),""))</f>
        <v/>
      </c>
      <c r="AH59" s="296" t="str" cm="1">
        <f t="array" aca="1" ref="AH59" ca="1">IF(OR($J59="Pluviomètre",LEFT($J59,5)="Sonde"),"",IF($H59&lt;&gt;"",IF(INDIRECT($H59&amp;"!"&amp;$W59&amp;($X59+AH$15+1))&lt;&gt;"",INDIRECT($H59&amp;"!"&amp;$W59&amp;($X59+AH$15+1)),""),""))</f>
        <v/>
      </c>
      <c r="AI59" s="294" t="str">
        <f t="shared" ca="1" si="9"/>
        <v/>
      </c>
      <c r="AJ59" s="295" t="str">
        <f t="shared" ca="1" si="10"/>
        <v/>
      </c>
      <c r="AK59" s="296" t="str" cm="1">
        <f t="array" aca="1" ref="AK59" ca="1">IF($H59&lt;&gt;"",IF(INDIRECT($H59&amp;"!"&amp;$AI59&amp;($AJ59+AK$15+1))&lt;&gt;"",INDIRECT($H59&amp;"!"&amp;$AI59&amp;($AJ59+AK$15+1)),""),"")</f>
        <v/>
      </c>
      <c r="AL59" s="296" t="str" cm="1">
        <f t="array" aca="1" ref="AL59" ca="1">IF($H59&lt;&gt;"",IF(INDIRECT($H59&amp;"!"&amp;$AI59&amp;($AJ59+AL$15+1))&lt;&gt;"",INDIRECT($H59&amp;"!"&amp;$AI59&amp;($AJ59+AL$15+1)),""),"")</f>
        <v/>
      </c>
      <c r="AM59" s="296" t="str" cm="1">
        <f t="array" aca="1" ref="AM59" ca="1">IF($H59&lt;&gt;"",IF(INDIRECT($H59&amp;"!"&amp;$AI59&amp;($AJ59+AM$15+1))&lt;&gt;"",INDIRECT($H59&amp;"!"&amp;$AI59&amp;($AJ59+AM$15+1)),""),"")</f>
        <v/>
      </c>
      <c r="AN59" s="296" t="str" cm="1">
        <f t="array" aca="1" ref="AN59" ca="1">IF($H59&lt;&gt;"",IF(INDIRECT($H59&amp;"!"&amp;$AI59&amp;($AJ59+AN$15+1))&lt;&gt;"",INDIRECT($H59&amp;"!"&amp;$AI59&amp;($AJ59+AN$15+1)),""),"")</f>
        <v/>
      </c>
      <c r="AO59" s="296" t="str" cm="1">
        <f t="array" aca="1" ref="AO59" ca="1">IF(LEFT($J59,5)="Sonde","",IF($H59&lt;&gt;"",IF(INDIRECT($H59&amp;"!"&amp;$AI59&amp;($AJ59+AO$15+1))&lt;&gt;"",INDIRECT($H59&amp;"!"&amp;$AI59&amp;($AJ59+AO$15+1)),""),""))</f>
        <v/>
      </c>
      <c r="AP59" s="296" t="str" cm="1">
        <f t="array" aca="1" ref="AP59" ca="1">IF(OR($J59="Pluviomètre",LEFT($J59,5)="Sonde"),"",IF($H59&lt;&gt;"",IF(INDIRECT($H59&amp;"!"&amp;$AI59&amp;($AJ59+AP$15+1))&lt;&gt;"",INDIRECT($H59&amp;"!"&amp;$AI59&amp;($AJ59+AP$15+1)),""),""))</f>
        <v/>
      </c>
      <c r="AQ59" s="296" t="str" cm="1">
        <f t="array" aca="1" ref="AQ59" ca="1">IF(OR($J59="Pluviomètre",LEFT($J59,5)="Sonde"),"",IF($H59&lt;&gt;"",IF(INDIRECT($H59&amp;"!"&amp;$AI59&amp;($AJ59+AQ$15+1))&lt;&gt;"",INDIRECT($H59&amp;"!"&amp;$AI59&amp;($AJ59+AQ$15+1)),""),""))</f>
        <v/>
      </c>
      <c r="AR59" s="296" t="str" cm="1">
        <f t="array" aca="1" ref="AR59" ca="1">IF(OR($J59="Pluviomètre",LEFT($J59,5)="Sonde"),"",IF($H59&lt;&gt;"",IF(INDIRECT($H59&amp;"!"&amp;$AI59&amp;($AJ59+AR$15+1))&lt;&gt;"",INDIRECT($H59&amp;"!"&amp;$AI59&amp;($AJ59+AR$15+1)),""),""))</f>
        <v/>
      </c>
      <c r="AS59" s="296" t="str" cm="1">
        <f t="array" aca="1" ref="AS59" ca="1">IF(OR($J59="Pluviomètre",LEFT($J59,5)="Sonde"),"",IF($H59&lt;&gt;"",IF(INDIRECT($H59&amp;"!"&amp;$AI59&amp;($AJ59+AS$15+1))&lt;&gt;"",INDIRECT($H59&amp;"!"&amp;$AI59&amp;($AJ59+AS$15+1)),""),""))</f>
        <v/>
      </c>
      <c r="AT59" s="296" t="str" cm="1">
        <f t="array" aca="1" ref="AT59" ca="1">IF(OR($J59="Pluviomètre",LEFT($J59,5)="Sonde"),"",IF($H59&lt;&gt;"",IF(INDIRECT($H59&amp;"!"&amp;$AI59&amp;($AJ59+AT$15+1))&lt;&gt;"",INDIRECT($H59&amp;"!"&amp;$AI59&amp;($AJ59+AT$15+1)),""),""))</f>
        <v/>
      </c>
    </row>
    <row r="60" spans="1:46" x14ac:dyDescent="0.4">
      <c r="A60" s="80">
        <v>45</v>
      </c>
      <c r="B60" s="134" t="b">
        <f t="shared" si="6"/>
        <v>0</v>
      </c>
      <c r="C60" s="139" t="str" cm="1">
        <f t="array" aca="1" ref="C60" ca="1">IF(
    AND(
        $B60,
        OR(
            INDIRECT("Descriptif!$M"&amp;($B$1+$A60-1))="Préleveur",
            LEFT(INDIRECT("Descriptif!$M"&amp;($B$1+$A60-1)),5)="Sonde",
            LEFT(INDIRECT("Descriptif!$M"&amp;($B$1+$A60-1)),10)="Débitmètre",
            LEFT(INDIRECT("Descriptif!$F"&amp;($B$1+$A60-1)),6)="PLUVIO"
        )
    ),
    INDIRECT("Descriptif!$"&amp;C$15&amp;($B$1 +$A60 -1)),
    ""
)</f>
        <v/>
      </c>
      <c r="D60" s="277" t="str" cm="1">
        <f t="array" aca="1" ref="D60" ca="1">IF(
    AND(
        $B60,
        OR(
            INDIRECT("Descriptif!$M"&amp;($B$1+$A60-1))="Préleveur",
            LEFT(INDIRECT("Descriptif!$M"&amp;($B$1+$A60-1)),5)="Sonde",
            LEFT(INDIRECT("Descriptif!$M"&amp;($B$1+$A60-1)),10)="Débitmètre",
            LEFT(INDIRECT("Descriptif!$F"&amp;($B$1+$A60-1)),6)="PLUVIO"
        )
    ),
    IF(
        LEFT(INDIRECT("Descriptif!$F"&amp;($B$1+$A60-1)),11)="PLUVIO_STEU",
        "A3",
        IF(
            LEFT(INDIRECT("Descriptif!$F"&amp;($B$1+$A60-1)),10)="PLUVIO_SCL",
            "A1",
            INDIRECT("Descriptif!$"&amp;D$15&amp;($B$1 +$A60 -1))
        )
    ),
    ""
)</f>
        <v/>
      </c>
      <c r="E60" s="277" t="str" cm="1">
        <f t="array" aca="1" ref="E60" ca="1">IF(
    AND(
        $B60,
        OR(
            INDIRECT("Descriptif!$M"&amp;($B$1+$A60-1))="Préleveur",
            LEFT(INDIRECT("Descriptif!$M"&amp;($B$1+$A60-1)),5)="Sonde",
            LEFT(INDIRECT("Descriptif!$M"&amp;($B$1+$A60-1)),10)="Débitmètre",
            LEFT(INDIRECT("Descriptif!$F"&amp;($B$1+$A60-1)),6)="PLUVIO"
        )
    ),
    IF(LEFT(INDIRECT("Descriptif!$F"&amp;($B$1+$A60-1)),6)="PLUVIO","Pluviomètre",INDIRECT("Descriptif!$"&amp;E$15&amp;($B$1 +$A60 -1))),
    ""
)</f>
        <v/>
      </c>
      <c r="F60" s="19" t="str" cm="1">
        <f t="array" aca="1" ref="F60" ca="1">IF(
    AND(
        $B60,
        OR(
            INDIRECT("Descriptif!$M"&amp;($B$1+$A60-1))="Préleveur",
            LEFT(INDIRECT("Descriptif!$M"&amp;($B$1+$A60-1)),5)="Sonde",
            LEFT(INDIRECT("Descriptif!$M"&amp;($B$1+$A60-1)),10)="Débitmètre",
            LEFT(INDIRECT("Descriptif!$F"&amp;($B$1+$A60-1)),6)="PLUVIO"
        )
    ),
    IF(LEFT(INDIRECT("Descriptif!$F"&amp;($B$1+$A60-1)),6)="PLUVIO","Pluviomètre",INDIRECT("Descriptif!$"&amp;F$15&amp;($B$1 +$A60 -1))),
    ""
)</f>
        <v/>
      </c>
      <c r="G60" s="19" t="str" cm="1">
        <f t="array" aca="1" ref="G60" ca="1">IF(
    AND(
        $B60,
        OR(
            INDIRECT("Descriptif!$M"&amp;($B$1+$A60-1))="Préleveur",
            LEFT(INDIRECT("Descriptif!$M"&amp;($B$1+$A60-1)),5)="Sonde",
            LEFT(INDIRECT("Descriptif!$M"&amp;($B$1+$A60-1)),10)="Débitmètre",
            LEFT(INDIRECT("Descriptif!$F"&amp;($B$1+$A60-1)),6)="PLUVIO"
        )
    ),
    IF(LEFT(INDIRECT("Descriptif!$F"&amp;($B$1+$A60-1)),6)="PLUVIO","Pluviomètre",INDIRECT("Descriptif!$"&amp;G$15&amp;($B$1 +$A60 -1))),
    ""
)</f>
        <v/>
      </c>
      <c r="H60" s="141" t="str" cm="1">
        <f t="array" aca="1" ref="H60" ca="1">IFERROR(INDEX($C$16:$C$116,SMALL(IF($C$16:$C$116&lt;&gt;"",ROW($C$16:$C$116)-ROW($C$16)+1),ROW(A45))),"")</f>
        <v/>
      </c>
      <c r="I60" s="140" t="str" cm="1">
        <f t="array" aca="1" ref="I60" ca="1">IFERROR(INDEX($D$16:$D$116,SMALL(IF($D$16:$D$116&lt;&gt;"",ROW($D$16:$D$116)-ROW($D$16)+1),ROW(A45))),"")</f>
        <v/>
      </c>
      <c r="J60" s="140" t="str" cm="1">
        <f t="array" aca="1" ref="J60" ca="1">IFERROR(INDEX($E$16:$E$116,SMALL(IF($E$16:$E$116&lt;&gt;"",ROW($E$16:$E$116)-ROW($E$16)+1),ROW(A45))),"")</f>
        <v/>
      </c>
      <c r="K60" s="140" t="str" cm="1">
        <f t="array" aca="1" ref="K60" ca="1">IFERROR(INDEX($F$16:$F$116,SMALL(IF($F$16:$F$116&lt;&gt;"",ROW($F$16:$F$116)-ROW($F$16)+1),ROW(A45))),"")</f>
        <v/>
      </c>
      <c r="L60" s="140" t="str">
        <f t="shared" ca="1" si="11"/>
        <v/>
      </c>
      <c r="M60" s="140" t="str" cm="1">
        <f t="array" aca="1" ref="M60" ca="1">IFERROR(INDEX($G$16:$G$116,SMALL(IF($G$16:$G$116&lt;&gt;"",ROW($G$16:$G$116)-ROW($G$16)+1),ROW(A45))),"")</f>
        <v/>
      </c>
      <c r="N60" s="145" t="str">
        <f t="shared" ca="1" si="12"/>
        <v/>
      </c>
      <c r="O60" s="146" t="str">
        <f t="shared" ca="1" si="13"/>
        <v/>
      </c>
      <c r="P60" s="146" t="str" cm="1">
        <f t="array" aca="1" ref="P60" ca="1">IF($J60&lt;&gt;"",IF(INDIRECT($H60&amp;"!"&amp;$O60)&lt;&gt;"",INDIRECT($H60&amp;"!"&amp;$O60),""),"")</f>
        <v/>
      </c>
      <c r="Q60" s="146" t="str">
        <f t="shared" ca="1" si="14"/>
        <v/>
      </c>
      <c r="R60" s="146" t="str" cm="1">
        <f t="array" aca="1" ref="R60" ca="1">IF($J60&lt;&gt;"",IF(INDIRECT($H60&amp;"!"&amp;$Q60)&lt;&gt;"",INDIRECT($H60&amp;"!"&amp;$Q60),""),"")</f>
        <v/>
      </c>
      <c r="S60" s="146" t="str">
        <f t="shared" ca="1" si="15"/>
        <v/>
      </c>
      <c r="T60" s="146" t="str" cm="1">
        <f t="array" aca="1" ref="T60" ca="1">IF($J60&lt;&gt;"",IF(INDIRECT($H60&amp;"!"&amp;$S60)&lt;&gt;"",INDIRECT($H60&amp;"!"&amp;$S60),""),"")</f>
        <v/>
      </c>
      <c r="U60" s="146" t="str">
        <f t="shared" ca="1" si="16"/>
        <v/>
      </c>
      <c r="V60" s="147" t="str" cm="1">
        <f t="array" aca="1" ref="V60" ca="1">IF($J60&lt;&gt;"",IF(INDIRECT($H60&amp;"!"&amp;$U60)&lt;&gt;"",INDIRECT($H60&amp;"!"&amp;$U60),""),"")</f>
        <v/>
      </c>
      <c r="W60" s="294" t="str">
        <f t="shared" ca="1" si="7"/>
        <v/>
      </c>
      <c r="X60" s="295" t="str">
        <f t="shared" ca="1" si="8"/>
        <v/>
      </c>
      <c r="Y60" s="296" t="str" cm="1">
        <f t="array" aca="1" ref="Y60" ca="1">IF($H60&lt;&gt;"",IF(INDIRECT($H60&amp;"!"&amp;$W60&amp;($X60+Y$15+1))&lt;&gt;"",INDIRECT($H60&amp;"!"&amp;$W60&amp;($X60+Y$15+1)),""),"")</f>
        <v/>
      </c>
      <c r="Z60" s="296" t="str" cm="1">
        <f t="array" aca="1" ref="Z60" ca="1">IF($H60&lt;&gt;"",IF(INDIRECT($H60&amp;"!"&amp;$W60&amp;($X60+Z$15+1))&lt;&gt;"",INDIRECT($H60&amp;"!"&amp;$W60&amp;($X60+Z$15+1)),""),"")</f>
        <v/>
      </c>
      <c r="AA60" s="296" t="str" cm="1">
        <f t="array" aca="1" ref="AA60" ca="1">IF($H60&lt;&gt;"",IF(INDIRECT($H60&amp;"!"&amp;$W60&amp;($X60+AA$15+1))&lt;&gt;"",INDIRECT($H60&amp;"!"&amp;$W60&amp;($X60+AA$15+1)),""),"")</f>
        <v/>
      </c>
      <c r="AB60" s="296" t="str" cm="1">
        <f t="array" aca="1" ref="AB60" ca="1">IF($H60&lt;&gt;"",IF(INDIRECT($H60&amp;"!"&amp;$W60&amp;($X60+AB$15+1))&lt;&gt;"",INDIRECT($H60&amp;"!"&amp;$W60&amp;($X60+AB$15+1)),""),"")</f>
        <v/>
      </c>
      <c r="AC60" s="296" t="str" cm="1">
        <f t="array" aca="1" ref="AC60" ca="1">IF(LEFT($J60,5)="Sonde","",IF($H60&lt;&gt;"",IF(INDIRECT($H60&amp;"!"&amp;$W60&amp;($X60+AC$15+1))&lt;&gt;"",INDIRECT($H60&amp;"!"&amp;$W60&amp;($X60+AC$15+1)),""),""))</f>
        <v/>
      </c>
      <c r="AD60" s="296" t="str" cm="1">
        <f t="array" aca="1" ref="AD60" ca="1">IF(OR($J60="Pluviomètre",LEFT($J60,5)="Sonde"),"",IF($H60&lt;&gt;"",IF(INDIRECT($H60&amp;"!"&amp;$W60&amp;($X60+AD$15+1))&lt;&gt;"",INDIRECT($H60&amp;"!"&amp;$W60&amp;($X60+AD$15+1)),""),""))</f>
        <v/>
      </c>
      <c r="AE60" s="296" t="str" cm="1">
        <f t="array" aca="1" ref="AE60" ca="1">IF(OR($J60="Pluviomètre",LEFT($J60,5)="Sonde"),"",IF($H60&lt;&gt;"",IF(INDIRECT($H60&amp;"!"&amp;$W60&amp;($X60+AE$15+1))&lt;&gt;"",INDIRECT($H60&amp;"!"&amp;$W60&amp;($X60+AE$15+1)),""),""))</f>
        <v/>
      </c>
      <c r="AF60" s="296" t="str" cm="1">
        <f t="array" aca="1" ref="AF60" ca="1">IF(OR($J60="Pluviomètre",LEFT($J60,5)="Sonde"),"",IF($H60&lt;&gt;"",IF(INDIRECT($H60&amp;"!"&amp;$W60&amp;($X60+AF$15+1))&lt;&gt;"",INDIRECT($H60&amp;"!"&amp;$W60&amp;($X60+AF$15+1)),""),""))</f>
        <v/>
      </c>
      <c r="AG60" s="296" t="str" cm="1">
        <f t="array" aca="1" ref="AG60" ca="1">IF(OR($J60="Pluviomètre",LEFT($J60,5)="Sonde"),"",IF($H60&lt;&gt;"",IF(INDIRECT($H60&amp;"!"&amp;$W60&amp;($X60+AG$15+1))&lt;&gt;"",INDIRECT($H60&amp;"!"&amp;$W60&amp;($X60+AG$15+1)),""),""))</f>
        <v/>
      </c>
      <c r="AH60" s="296" t="str" cm="1">
        <f t="array" aca="1" ref="AH60" ca="1">IF(OR($J60="Pluviomètre",LEFT($J60,5)="Sonde"),"",IF($H60&lt;&gt;"",IF(INDIRECT($H60&amp;"!"&amp;$W60&amp;($X60+AH$15+1))&lt;&gt;"",INDIRECT($H60&amp;"!"&amp;$W60&amp;($X60+AH$15+1)),""),""))</f>
        <v/>
      </c>
      <c r="AI60" s="294" t="str">
        <f t="shared" ca="1" si="9"/>
        <v/>
      </c>
      <c r="AJ60" s="295" t="str">
        <f t="shared" ca="1" si="10"/>
        <v/>
      </c>
      <c r="AK60" s="296" t="str" cm="1">
        <f t="array" aca="1" ref="AK60" ca="1">IF($H60&lt;&gt;"",IF(INDIRECT($H60&amp;"!"&amp;$AI60&amp;($AJ60+AK$15+1))&lt;&gt;"",INDIRECT($H60&amp;"!"&amp;$AI60&amp;($AJ60+AK$15+1)),""),"")</f>
        <v/>
      </c>
      <c r="AL60" s="296" t="str" cm="1">
        <f t="array" aca="1" ref="AL60" ca="1">IF($H60&lt;&gt;"",IF(INDIRECT($H60&amp;"!"&amp;$AI60&amp;($AJ60+AL$15+1))&lt;&gt;"",INDIRECT($H60&amp;"!"&amp;$AI60&amp;($AJ60+AL$15+1)),""),"")</f>
        <v/>
      </c>
      <c r="AM60" s="296" t="str" cm="1">
        <f t="array" aca="1" ref="AM60" ca="1">IF($H60&lt;&gt;"",IF(INDIRECT($H60&amp;"!"&amp;$AI60&amp;($AJ60+AM$15+1))&lt;&gt;"",INDIRECT($H60&amp;"!"&amp;$AI60&amp;($AJ60+AM$15+1)),""),"")</f>
        <v/>
      </c>
      <c r="AN60" s="296" t="str" cm="1">
        <f t="array" aca="1" ref="AN60" ca="1">IF($H60&lt;&gt;"",IF(INDIRECT($H60&amp;"!"&amp;$AI60&amp;($AJ60+AN$15+1))&lt;&gt;"",INDIRECT($H60&amp;"!"&amp;$AI60&amp;($AJ60+AN$15+1)),""),"")</f>
        <v/>
      </c>
      <c r="AO60" s="296" t="str" cm="1">
        <f t="array" aca="1" ref="AO60" ca="1">IF(LEFT($J60,5)="Sonde","",IF($H60&lt;&gt;"",IF(INDIRECT($H60&amp;"!"&amp;$AI60&amp;($AJ60+AO$15+1))&lt;&gt;"",INDIRECT($H60&amp;"!"&amp;$AI60&amp;($AJ60+AO$15+1)),""),""))</f>
        <v/>
      </c>
      <c r="AP60" s="296" t="str" cm="1">
        <f t="array" aca="1" ref="AP60" ca="1">IF(OR($J60="Pluviomètre",LEFT($J60,5)="Sonde"),"",IF($H60&lt;&gt;"",IF(INDIRECT($H60&amp;"!"&amp;$AI60&amp;($AJ60+AP$15+1))&lt;&gt;"",INDIRECT($H60&amp;"!"&amp;$AI60&amp;($AJ60+AP$15+1)),""),""))</f>
        <v/>
      </c>
      <c r="AQ60" s="296" t="str" cm="1">
        <f t="array" aca="1" ref="AQ60" ca="1">IF(OR($J60="Pluviomètre",LEFT($J60,5)="Sonde"),"",IF($H60&lt;&gt;"",IF(INDIRECT($H60&amp;"!"&amp;$AI60&amp;($AJ60+AQ$15+1))&lt;&gt;"",INDIRECT($H60&amp;"!"&amp;$AI60&amp;($AJ60+AQ$15+1)),""),""))</f>
        <v/>
      </c>
      <c r="AR60" s="296" t="str" cm="1">
        <f t="array" aca="1" ref="AR60" ca="1">IF(OR($J60="Pluviomètre",LEFT($J60,5)="Sonde"),"",IF($H60&lt;&gt;"",IF(INDIRECT($H60&amp;"!"&amp;$AI60&amp;($AJ60+AR$15+1))&lt;&gt;"",INDIRECT($H60&amp;"!"&amp;$AI60&amp;($AJ60+AR$15+1)),""),""))</f>
        <v/>
      </c>
      <c r="AS60" s="296" t="str" cm="1">
        <f t="array" aca="1" ref="AS60" ca="1">IF(OR($J60="Pluviomètre",LEFT($J60,5)="Sonde"),"",IF($H60&lt;&gt;"",IF(INDIRECT($H60&amp;"!"&amp;$AI60&amp;($AJ60+AS$15+1))&lt;&gt;"",INDIRECT($H60&amp;"!"&amp;$AI60&amp;($AJ60+AS$15+1)),""),""))</f>
        <v/>
      </c>
      <c r="AT60" s="296" t="str" cm="1">
        <f t="array" aca="1" ref="AT60" ca="1">IF(OR($J60="Pluviomètre",LEFT($J60,5)="Sonde"),"",IF($H60&lt;&gt;"",IF(INDIRECT($H60&amp;"!"&amp;$AI60&amp;($AJ60+AT$15+1))&lt;&gt;"",INDIRECT($H60&amp;"!"&amp;$AI60&amp;($AJ60+AT$15+1)),""),""))</f>
        <v/>
      </c>
    </row>
    <row r="61" spans="1:46" x14ac:dyDescent="0.4">
      <c r="A61" s="80">
        <v>46</v>
      </c>
      <c r="B61" s="134" t="b">
        <f t="shared" si="6"/>
        <v>0</v>
      </c>
      <c r="C61" s="139" t="str" cm="1">
        <f t="array" aca="1" ref="C61" ca="1">IF(
    AND(
        $B61,
        OR(
            INDIRECT("Descriptif!$M"&amp;($B$1+$A61-1))="Préleveur",
            LEFT(INDIRECT("Descriptif!$M"&amp;($B$1+$A61-1)),5)="Sonde",
            LEFT(INDIRECT("Descriptif!$M"&amp;($B$1+$A61-1)),10)="Débitmètre",
            LEFT(INDIRECT("Descriptif!$F"&amp;($B$1+$A61-1)),6)="PLUVIO"
        )
    ),
    INDIRECT("Descriptif!$"&amp;C$15&amp;($B$1 +$A61 -1)),
    ""
)</f>
        <v/>
      </c>
      <c r="D61" s="277" t="str" cm="1">
        <f t="array" aca="1" ref="D61" ca="1">IF(
    AND(
        $B61,
        OR(
            INDIRECT("Descriptif!$M"&amp;($B$1+$A61-1))="Préleveur",
            LEFT(INDIRECT("Descriptif!$M"&amp;($B$1+$A61-1)),5)="Sonde",
            LEFT(INDIRECT("Descriptif!$M"&amp;($B$1+$A61-1)),10)="Débitmètre",
            LEFT(INDIRECT("Descriptif!$F"&amp;($B$1+$A61-1)),6)="PLUVIO"
        )
    ),
    IF(
        LEFT(INDIRECT("Descriptif!$F"&amp;($B$1+$A61-1)),11)="PLUVIO_STEU",
        "A3",
        IF(
            LEFT(INDIRECT("Descriptif!$F"&amp;($B$1+$A61-1)),10)="PLUVIO_SCL",
            "A1",
            INDIRECT("Descriptif!$"&amp;D$15&amp;($B$1 +$A61 -1))
        )
    ),
    ""
)</f>
        <v/>
      </c>
      <c r="E61" s="277" t="str" cm="1">
        <f t="array" aca="1" ref="E61" ca="1">IF(
    AND(
        $B61,
        OR(
            INDIRECT("Descriptif!$M"&amp;($B$1+$A61-1))="Préleveur",
            LEFT(INDIRECT("Descriptif!$M"&amp;($B$1+$A61-1)),5)="Sonde",
            LEFT(INDIRECT("Descriptif!$M"&amp;($B$1+$A61-1)),10)="Débitmètre",
            LEFT(INDIRECT("Descriptif!$F"&amp;($B$1+$A61-1)),6)="PLUVIO"
        )
    ),
    IF(LEFT(INDIRECT("Descriptif!$F"&amp;($B$1+$A61-1)),6)="PLUVIO","Pluviomètre",INDIRECT("Descriptif!$"&amp;E$15&amp;($B$1 +$A61 -1))),
    ""
)</f>
        <v/>
      </c>
      <c r="F61" s="19" t="str" cm="1">
        <f t="array" aca="1" ref="F61" ca="1">IF(
    AND(
        $B61,
        OR(
            INDIRECT("Descriptif!$M"&amp;($B$1+$A61-1))="Préleveur",
            LEFT(INDIRECT("Descriptif!$M"&amp;($B$1+$A61-1)),5)="Sonde",
            LEFT(INDIRECT("Descriptif!$M"&amp;($B$1+$A61-1)),10)="Débitmètre",
            LEFT(INDIRECT("Descriptif!$F"&amp;($B$1+$A61-1)),6)="PLUVIO"
        )
    ),
    IF(LEFT(INDIRECT("Descriptif!$F"&amp;($B$1+$A61-1)),6)="PLUVIO","Pluviomètre",INDIRECT("Descriptif!$"&amp;F$15&amp;($B$1 +$A61 -1))),
    ""
)</f>
        <v/>
      </c>
      <c r="G61" s="19" t="str" cm="1">
        <f t="array" aca="1" ref="G61" ca="1">IF(
    AND(
        $B61,
        OR(
            INDIRECT("Descriptif!$M"&amp;($B$1+$A61-1))="Préleveur",
            LEFT(INDIRECT("Descriptif!$M"&amp;($B$1+$A61-1)),5)="Sonde",
            LEFT(INDIRECT("Descriptif!$M"&amp;($B$1+$A61-1)),10)="Débitmètre",
            LEFT(INDIRECT("Descriptif!$F"&amp;($B$1+$A61-1)),6)="PLUVIO"
        )
    ),
    IF(LEFT(INDIRECT("Descriptif!$F"&amp;($B$1+$A61-1)),6)="PLUVIO","Pluviomètre",INDIRECT("Descriptif!$"&amp;G$15&amp;($B$1 +$A61 -1))),
    ""
)</f>
        <v/>
      </c>
      <c r="H61" s="141" t="str" cm="1">
        <f t="array" aca="1" ref="H61" ca="1">IFERROR(INDEX($C$16:$C$116,SMALL(IF($C$16:$C$116&lt;&gt;"",ROW($C$16:$C$116)-ROW($C$16)+1),ROW(A46))),"")</f>
        <v/>
      </c>
      <c r="I61" s="140" t="str" cm="1">
        <f t="array" aca="1" ref="I61" ca="1">IFERROR(INDEX($D$16:$D$116,SMALL(IF($D$16:$D$116&lt;&gt;"",ROW($D$16:$D$116)-ROW($D$16)+1),ROW(A46))),"")</f>
        <v/>
      </c>
      <c r="J61" s="140" t="str" cm="1">
        <f t="array" aca="1" ref="J61" ca="1">IFERROR(INDEX($E$16:$E$116,SMALL(IF($E$16:$E$116&lt;&gt;"",ROW($E$16:$E$116)-ROW($E$16)+1),ROW(A46))),"")</f>
        <v/>
      </c>
      <c r="K61" s="140" t="str" cm="1">
        <f t="array" aca="1" ref="K61" ca="1">IFERROR(INDEX($F$16:$F$116,SMALL(IF($F$16:$F$116&lt;&gt;"",ROW($F$16:$F$116)-ROW($F$16)+1),ROW(A46))),"")</f>
        <v/>
      </c>
      <c r="L61" s="140" t="str">
        <f t="shared" ca="1" si="11"/>
        <v/>
      </c>
      <c r="M61" s="140" t="str" cm="1">
        <f t="array" aca="1" ref="M61" ca="1">IFERROR(INDEX($G$16:$G$116,SMALL(IF($G$16:$G$116&lt;&gt;"",ROW($G$16:$G$116)-ROW($G$16)+1),ROW(A46))),"")</f>
        <v/>
      </c>
      <c r="N61" s="145" t="str">
        <f t="shared" ca="1" si="12"/>
        <v/>
      </c>
      <c r="O61" s="146" t="str">
        <f t="shared" ca="1" si="13"/>
        <v/>
      </c>
      <c r="P61" s="146" t="str" cm="1">
        <f t="array" aca="1" ref="P61" ca="1">IF($J61&lt;&gt;"",IF(INDIRECT($H61&amp;"!"&amp;$O61)&lt;&gt;"",INDIRECT($H61&amp;"!"&amp;$O61),""),"")</f>
        <v/>
      </c>
      <c r="Q61" s="146" t="str">
        <f t="shared" ca="1" si="14"/>
        <v/>
      </c>
      <c r="R61" s="146" t="str" cm="1">
        <f t="array" aca="1" ref="R61" ca="1">IF($J61&lt;&gt;"",IF(INDIRECT($H61&amp;"!"&amp;$Q61)&lt;&gt;"",INDIRECT($H61&amp;"!"&amp;$Q61),""),"")</f>
        <v/>
      </c>
      <c r="S61" s="146" t="str">
        <f t="shared" ca="1" si="15"/>
        <v/>
      </c>
      <c r="T61" s="146" t="str" cm="1">
        <f t="array" aca="1" ref="T61" ca="1">IF($J61&lt;&gt;"",IF(INDIRECT($H61&amp;"!"&amp;$S61)&lt;&gt;"",INDIRECT($H61&amp;"!"&amp;$S61),""),"")</f>
        <v/>
      </c>
      <c r="U61" s="146" t="str">
        <f t="shared" ca="1" si="16"/>
        <v/>
      </c>
      <c r="V61" s="147" t="str" cm="1">
        <f t="array" aca="1" ref="V61" ca="1">IF($J61&lt;&gt;"",IF(INDIRECT($H61&amp;"!"&amp;$U61)&lt;&gt;"",INDIRECT($H61&amp;"!"&amp;$U61),""),"")</f>
        <v/>
      </c>
      <c r="W61" s="294" t="str">
        <f t="shared" ca="1" si="7"/>
        <v/>
      </c>
      <c r="X61" s="295" t="str">
        <f t="shared" ca="1" si="8"/>
        <v/>
      </c>
      <c r="Y61" s="296" t="str" cm="1">
        <f t="array" aca="1" ref="Y61" ca="1">IF($H61&lt;&gt;"",IF(INDIRECT($H61&amp;"!"&amp;$W61&amp;($X61+Y$15+1))&lt;&gt;"",INDIRECT($H61&amp;"!"&amp;$W61&amp;($X61+Y$15+1)),""),"")</f>
        <v/>
      </c>
      <c r="Z61" s="296" t="str" cm="1">
        <f t="array" aca="1" ref="Z61" ca="1">IF($H61&lt;&gt;"",IF(INDIRECT($H61&amp;"!"&amp;$W61&amp;($X61+Z$15+1))&lt;&gt;"",INDIRECT($H61&amp;"!"&amp;$W61&amp;($X61+Z$15+1)),""),"")</f>
        <v/>
      </c>
      <c r="AA61" s="296" t="str" cm="1">
        <f t="array" aca="1" ref="AA61" ca="1">IF($H61&lt;&gt;"",IF(INDIRECT($H61&amp;"!"&amp;$W61&amp;($X61+AA$15+1))&lt;&gt;"",INDIRECT($H61&amp;"!"&amp;$W61&amp;($X61+AA$15+1)),""),"")</f>
        <v/>
      </c>
      <c r="AB61" s="296" t="str" cm="1">
        <f t="array" aca="1" ref="AB61" ca="1">IF($H61&lt;&gt;"",IF(INDIRECT($H61&amp;"!"&amp;$W61&amp;($X61+AB$15+1))&lt;&gt;"",INDIRECT($H61&amp;"!"&amp;$W61&amp;($X61+AB$15+1)),""),"")</f>
        <v/>
      </c>
      <c r="AC61" s="296" t="str" cm="1">
        <f t="array" aca="1" ref="AC61" ca="1">IF(LEFT($J61,5)="Sonde","",IF($H61&lt;&gt;"",IF(INDIRECT($H61&amp;"!"&amp;$W61&amp;($X61+AC$15+1))&lt;&gt;"",INDIRECT($H61&amp;"!"&amp;$W61&amp;($X61+AC$15+1)),""),""))</f>
        <v/>
      </c>
      <c r="AD61" s="296" t="str" cm="1">
        <f t="array" aca="1" ref="AD61" ca="1">IF(OR($J61="Pluviomètre",LEFT($J61,5)="Sonde"),"",IF($H61&lt;&gt;"",IF(INDIRECT($H61&amp;"!"&amp;$W61&amp;($X61+AD$15+1))&lt;&gt;"",INDIRECT($H61&amp;"!"&amp;$W61&amp;($X61+AD$15+1)),""),""))</f>
        <v/>
      </c>
      <c r="AE61" s="296" t="str" cm="1">
        <f t="array" aca="1" ref="AE61" ca="1">IF(OR($J61="Pluviomètre",LEFT($J61,5)="Sonde"),"",IF($H61&lt;&gt;"",IF(INDIRECT($H61&amp;"!"&amp;$W61&amp;($X61+AE$15+1))&lt;&gt;"",INDIRECT($H61&amp;"!"&amp;$W61&amp;($X61+AE$15+1)),""),""))</f>
        <v/>
      </c>
      <c r="AF61" s="296" t="str" cm="1">
        <f t="array" aca="1" ref="AF61" ca="1">IF(OR($J61="Pluviomètre",LEFT($J61,5)="Sonde"),"",IF($H61&lt;&gt;"",IF(INDIRECT($H61&amp;"!"&amp;$W61&amp;($X61+AF$15+1))&lt;&gt;"",INDIRECT($H61&amp;"!"&amp;$W61&amp;($X61+AF$15+1)),""),""))</f>
        <v/>
      </c>
      <c r="AG61" s="296" t="str" cm="1">
        <f t="array" aca="1" ref="AG61" ca="1">IF(OR($J61="Pluviomètre",LEFT($J61,5)="Sonde"),"",IF($H61&lt;&gt;"",IF(INDIRECT($H61&amp;"!"&amp;$W61&amp;($X61+AG$15+1))&lt;&gt;"",INDIRECT($H61&amp;"!"&amp;$W61&amp;($X61+AG$15+1)),""),""))</f>
        <v/>
      </c>
      <c r="AH61" s="296" t="str" cm="1">
        <f t="array" aca="1" ref="AH61" ca="1">IF(OR($J61="Pluviomètre",LEFT($J61,5)="Sonde"),"",IF($H61&lt;&gt;"",IF(INDIRECT($H61&amp;"!"&amp;$W61&amp;($X61+AH$15+1))&lt;&gt;"",INDIRECT($H61&amp;"!"&amp;$W61&amp;($X61+AH$15+1)),""),""))</f>
        <v/>
      </c>
      <c r="AI61" s="294" t="str">
        <f t="shared" ca="1" si="9"/>
        <v/>
      </c>
      <c r="AJ61" s="295" t="str">
        <f t="shared" ca="1" si="10"/>
        <v/>
      </c>
      <c r="AK61" s="296" t="str" cm="1">
        <f t="array" aca="1" ref="AK61" ca="1">IF($H61&lt;&gt;"",IF(INDIRECT($H61&amp;"!"&amp;$AI61&amp;($AJ61+AK$15+1))&lt;&gt;"",INDIRECT($H61&amp;"!"&amp;$AI61&amp;($AJ61+AK$15+1)),""),"")</f>
        <v/>
      </c>
      <c r="AL61" s="296" t="str" cm="1">
        <f t="array" aca="1" ref="AL61" ca="1">IF($H61&lt;&gt;"",IF(INDIRECT($H61&amp;"!"&amp;$AI61&amp;($AJ61+AL$15+1))&lt;&gt;"",INDIRECT($H61&amp;"!"&amp;$AI61&amp;($AJ61+AL$15+1)),""),"")</f>
        <v/>
      </c>
      <c r="AM61" s="296" t="str" cm="1">
        <f t="array" aca="1" ref="AM61" ca="1">IF($H61&lt;&gt;"",IF(INDIRECT($H61&amp;"!"&amp;$AI61&amp;($AJ61+AM$15+1))&lt;&gt;"",INDIRECT($H61&amp;"!"&amp;$AI61&amp;($AJ61+AM$15+1)),""),"")</f>
        <v/>
      </c>
      <c r="AN61" s="296" t="str" cm="1">
        <f t="array" aca="1" ref="AN61" ca="1">IF($H61&lt;&gt;"",IF(INDIRECT($H61&amp;"!"&amp;$AI61&amp;($AJ61+AN$15+1))&lt;&gt;"",INDIRECT($H61&amp;"!"&amp;$AI61&amp;($AJ61+AN$15+1)),""),"")</f>
        <v/>
      </c>
      <c r="AO61" s="296" t="str" cm="1">
        <f t="array" aca="1" ref="AO61" ca="1">IF(LEFT($J61,5)="Sonde","",IF($H61&lt;&gt;"",IF(INDIRECT($H61&amp;"!"&amp;$AI61&amp;($AJ61+AO$15+1))&lt;&gt;"",INDIRECT($H61&amp;"!"&amp;$AI61&amp;($AJ61+AO$15+1)),""),""))</f>
        <v/>
      </c>
      <c r="AP61" s="296" t="str" cm="1">
        <f t="array" aca="1" ref="AP61" ca="1">IF(OR($J61="Pluviomètre",LEFT($J61,5)="Sonde"),"",IF($H61&lt;&gt;"",IF(INDIRECT($H61&amp;"!"&amp;$AI61&amp;($AJ61+AP$15+1))&lt;&gt;"",INDIRECT($H61&amp;"!"&amp;$AI61&amp;($AJ61+AP$15+1)),""),""))</f>
        <v/>
      </c>
      <c r="AQ61" s="296" t="str" cm="1">
        <f t="array" aca="1" ref="AQ61" ca="1">IF(OR($J61="Pluviomètre",LEFT($J61,5)="Sonde"),"",IF($H61&lt;&gt;"",IF(INDIRECT($H61&amp;"!"&amp;$AI61&amp;($AJ61+AQ$15+1))&lt;&gt;"",INDIRECT($H61&amp;"!"&amp;$AI61&amp;($AJ61+AQ$15+1)),""),""))</f>
        <v/>
      </c>
      <c r="AR61" s="296" t="str" cm="1">
        <f t="array" aca="1" ref="AR61" ca="1">IF(OR($J61="Pluviomètre",LEFT($J61,5)="Sonde"),"",IF($H61&lt;&gt;"",IF(INDIRECT($H61&amp;"!"&amp;$AI61&amp;($AJ61+AR$15+1))&lt;&gt;"",INDIRECT($H61&amp;"!"&amp;$AI61&amp;($AJ61+AR$15+1)),""),""))</f>
        <v/>
      </c>
      <c r="AS61" s="296" t="str" cm="1">
        <f t="array" aca="1" ref="AS61" ca="1">IF(OR($J61="Pluviomètre",LEFT($J61,5)="Sonde"),"",IF($H61&lt;&gt;"",IF(INDIRECT($H61&amp;"!"&amp;$AI61&amp;($AJ61+AS$15+1))&lt;&gt;"",INDIRECT($H61&amp;"!"&amp;$AI61&amp;($AJ61+AS$15+1)),""),""))</f>
        <v/>
      </c>
      <c r="AT61" s="296" t="str" cm="1">
        <f t="array" aca="1" ref="AT61" ca="1">IF(OR($J61="Pluviomètre",LEFT($J61,5)="Sonde"),"",IF($H61&lt;&gt;"",IF(INDIRECT($H61&amp;"!"&amp;$AI61&amp;($AJ61+AT$15+1))&lt;&gt;"",INDIRECT($H61&amp;"!"&amp;$AI61&amp;($AJ61+AT$15+1)),""),""))</f>
        <v/>
      </c>
    </row>
    <row r="62" spans="1:46" x14ac:dyDescent="0.4">
      <c r="A62" s="80">
        <v>47</v>
      </c>
      <c r="B62" s="134" t="b">
        <f t="shared" si="6"/>
        <v>0</v>
      </c>
      <c r="C62" s="139" t="str" cm="1">
        <f t="array" aca="1" ref="C62" ca="1">IF(
    AND(
        $B62,
        OR(
            INDIRECT("Descriptif!$M"&amp;($B$1+$A62-1))="Préleveur",
            LEFT(INDIRECT("Descriptif!$M"&amp;($B$1+$A62-1)),5)="Sonde",
            LEFT(INDIRECT("Descriptif!$M"&amp;($B$1+$A62-1)),10)="Débitmètre",
            LEFT(INDIRECT("Descriptif!$F"&amp;($B$1+$A62-1)),6)="PLUVIO"
        )
    ),
    INDIRECT("Descriptif!$"&amp;C$15&amp;($B$1 +$A62 -1)),
    ""
)</f>
        <v/>
      </c>
      <c r="D62" s="277" t="str" cm="1">
        <f t="array" aca="1" ref="D62" ca="1">IF(
    AND(
        $B62,
        OR(
            INDIRECT("Descriptif!$M"&amp;($B$1+$A62-1))="Préleveur",
            LEFT(INDIRECT("Descriptif!$M"&amp;($B$1+$A62-1)),5)="Sonde",
            LEFT(INDIRECT("Descriptif!$M"&amp;($B$1+$A62-1)),10)="Débitmètre",
            LEFT(INDIRECT("Descriptif!$F"&amp;($B$1+$A62-1)),6)="PLUVIO"
        )
    ),
    IF(
        LEFT(INDIRECT("Descriptif!$F"&amp;($B$1+$A62-1)),11)="PLUVIO_STEU",
        "A3",
        IF(
            LEFT(INDIRECT("Descriptif!$F"&amp;($B$1+$A62-1)),10)="PLUVIO_SCL",
            "A1",
            INDIRECT("Descriptif!$"&amp;D$15&amp;($B$1 +$A62 -1))
        )
    ),
    ""
)</f>
        <v/>
      </c>
      <c r="E62" s="277" t="str" cm="1">
        <f t="array" aca="1" ref="E62" ca="1">IF(
    AND(
        $B62,
        OR(
            INDIRECT("Descriptif!$M"&amp;($B$1+$A62-1))="Préleveur",
            LEFT(INDIRECT("Descriptif!$M"&amp;($B$1+$A62-1)),5)="Sonde",
            LEFT(INDIRECT("Descriptif!$M"&amp;($B$1+$A62-1)),10)="Débitmètre",
            LEFT(INDIRECT("Descriptif!$F"&amp;($B$1+$A62-1)),6)="PLUVIO"
        )
    ),
    IF(LEFT(INDIRECT("Descriptif!$F"&amp;($B$1+$A62-1)),6)="PLUVIO","Pluviomètre",INDIRECT("Descriptif!$"&amp;E$15&amp;($B$1 +$A62 -1))),
    ""
)</f>
        <v/>
      </c>
      <c r="F62" s="19" t="str" cm="1">
        <f t="array" aca="1" ref="F62" ca="1">IF(
    AND(
        $B62,
        OR(
            INDIRECT("Descriptif!$M"&amp;($B$1+$A62-1))="Préleveur",
            LEFT(INDIRECT("Descriptif!$M"&amp;($B$1+$A62-1)),5)="Sonde",
            LEFT(INDIRECT("Descriptif!$M"&amp;($B$1+$A62-1)),10)="Débitmètre",
            LEFT(INDIRECT("Descriptif!$F"&amp;($B$1+$A62-1)),6)="PLUVIO"
        )
    ),
    IF(LEFT(INDIRECT("Descriptif!$F"&amp;($B$1+$A62-1)),6)="PLUVIO","Pluviomètre",INDIRECT("Descriptif!$"&amp;F$15&amp;($B$1 +$A62 -1))),
    ""
)</f>
        <v/>
      </c>
      <c r="G62" s="19" t="str" cm="1">
        <f t="array" aca="1" ref="G62" ca="1">IF(
    AND(
        $B62,
        OR(
            INDIRECT("Descriptif!$M"&amp;($B$1+$A62-1))="Préleveur",
            LEFT(INDIRECT("Descriptif!$M"&amp;($B$1+$A62-1)),5)="Sonde",
            LEFT(INDIRECT("Descriptif!$M"&amp;($B$1+$A62-1)),10)="Débitmètre",
            LEFT(INDIRECT("Descriptif!$F"&amp;($B$1+$A62-1)),6)="PLUVIO"
        )
    ),
    IF(LEFT(INDIRECT("Descriptif!$F"&amp;($B$1+$A62-1)),6)="PLUVIO","Pluviomètre",INDIRECT("Descriptif!$"&amp;G$15&amp;($B$1 +$A62 -1))),
    ""
)</f>
        <v/>
      </c>
      <c r="H62" s="141" t="str" cm="1">
        <f t="array" aca="1" ref="H62" ca="1">IFERROR(INDEX($C$16:$C$116,SMALL(IF($C$16:$C$116&lt;&gt;"",ROW($C$16:$C$116)-ROW($C$16)+1),ROW(A47))),"")</f>
        <v/>
      </c>
      <c r="I62" s="140" t="str" cm="1">
        <f t="array" aca="1" ref="I62" ca="1">IFERROR(INDEX($D$16:$D$116,SMALL(IF($D$16:$D$116&lt;&gt;"",ROW($D$16:$D$116)-ROW($D$16)+1),ROW(A47))),"")</f>
        <v/>
      </c>
      <c r="J62" s="140" t="str" cm="1">
        <f t="array" aca="1" ref="J62" ca="1">IFERROR(INDEX($E$16:$E$116,SMALL(IF($E$16:$E$116&lt;&gt;"",ROW($E$16:$E$116)-ROW($E$16)+1),ROW(A47))),"")</f>
        <v/>
      </c>
      <c r="K62" s="140" t="str" cm="1">
        <f t="array" aca="1" ref="K62" ca="1">IFERROR(INDEX($F$16:$F$116,SMALL(IF($F$16:$F$116&lt;&gt;"",ROW($F$16:$F$116)-ROW($F$16)+1),ROW(A47))),"")</f>
        <v/>
      </c>
      <c r="L62" s="140" t="str">
        <f t="shared" ca="1" si="11"/>
        <v/>
      </c>
      <c r="M62" s="140" t="str" cm="1">
        <f t="array" aca="1" ref="M62" ca="1">IFERROR(INDEX($G$16:$G$116,SMALL(IF($G$16:$G$116&lt;&gt;"",ROW($G$16:$G$116)-ROW($G$16)+1),ROW(A47))),"")</f>
        <v/>
      </c>
      <c r="N62" s="145" t="str">
        <f t="shared" ca="1" si="12"/>
        <v/>
      </c>
      <c r="O62" s="146" t="str">
        <f t="shared" ca="1" si="13"/>
        <v/>
      </c>
      <c r="P62" s="146" t="str" cm="1">
        <f t="array" aca="1" ref="P62" ca="1">IF($J62&lt;&gt;"",IF(INDIRECT($H62&amp;"!"&amp;$O62)&lt;&gt;"",INDIRECT($H62&amp;"!"&amp;$O62),""),"")</f>
        <v/>
      </c>
      <c r="Q62" s="146" t="str">
        <f t="shared" ca="1" si="14"/>
        <v/>
      </c>
      <c r="R62" s="146" t="str" cm="1">
        <f t="array" aca="1" ref="R62" ca="1">IF($J62&lt;&gt;"",IF(INDIRECT($H62&amp;"!"&amp;$Q62)&lt;&gt;"",INDIRECT($H62&amp;"!"&amp;$Q62),""),"")</f>
        <v/>
      </c>
      <c r="S62" s="146" t="str">
        <f t="shared" ca="1" si="15"/>
        <v/>
      </c>
      <c r="T62" s="146" t="str" cm="1">
        <f t="array" aca="1" ref="T62" ca="1">IF($J62&lt;&gt;"",IF(INDIRECT($H62&amp;"!"&amp;$S62)&lt;&gt;"",INDIRECT($H62&amp;"!"&amp;$S62),""),"")</f>
        <v/>
      </c>
      <c r="U62" s="146" t="str">
        <f t="shared" ca="1" si="16"/>
        <v/>
      </c>
      <c r="V62" s="147" t="str" cm="1">
        <f t="array" aca="1" ref="V62" ca="1">IF($J62&lt;&gt;"",IF(INDIRECT($H62&amp;"!"&amp;$U62)&lt;&gt;"",INDIRECT($H62&amp;"!"&amp;$U62),""),"")</f>
        <v/>
      </c>
      <c r="W62" s="294" t="str">
        <f t="shared" ca="1" si="7"/>
        <v/>
      </c>
      <c r="X62" s="295" t="str">
        <f t="shared" ca="1" si="8"/>
        <v/>
      </c>
      <c r="Y62" s="296" t="str" cm="1">
        <f t="array" aca="1" ref="Y62" ca="1">IF($H62&lt;&gt;"",IF(INDIRECT($H62&amp;"!"&amp;$W62&amp;($X62+Y$15+1))&lt;&gt;"",INDIRECT($H62&amp;"!"&amp;$W62&amp;($X62+Y$15+1)),""),"")</f>
        <v/>
      </c>
      <c r="Z62" s="296" t="str" cm="1">
        <f t="array" aca="1" ref="Z62" ca="1">IF($H62&lt;&gt;"",IF(INDIRECT($H62&amp;"!"&amp;$W62&amp;($X62+Z$15+1))&lt;&gt;"",INDIRECT($H62&amp;"!"&amp;$W62&amp;($X62+Z$15+1)),""),"")</f>
        <v/>
      </c>
      <c r="AA62" s="296" t="str" cm="1">
        <f t="array" aca="1" ref="AA62" ca="1">IF($H62&lt;&gt;"",IF(INDIRECT($H62&amp;"!"&amp;$W62&amp;($X62+AA$15+1))&lt;&gt;"",INDIRECT($H62&amp;"!"&amp;$W62&amp;($X62+AA$15+1)),""),"")</f>
        <v/>
      </c>
      <c r="AB62" s="296" t="str" cm="1">
        <f t="array" aca="1" ref="AB62" ca="1">IF($H62&lt;&gt;"",IF(INDIRECT($H62&amp;"!"&amp;$W62&amp;($X62+AB$15+1))&lt;&gt;"",INDIRECT($H62&amp;"!"&amp;$W62&amp;($X62+AB$15+1)),""),"")</f>
        <v/>
      </c>
      <c r="AC62" s="296" t="str" cm="1">
        <f t="array" aca="1" ref="AC62" ca="1">IF(LEFT($J62,5)="Sonde","",IF($H62&lt;&gt;"",IF(INDIRECT($H62&amp;"!"&amp;$W62&amp;($X62+AC$15+1))&lt;&gt;"",INDIRECT($H62&amp;"!"&amp;$W62&amp;($X62+AC$15+1)),""),""))</f>
        <v/>
      </c>
      <c r="AD62" s="296" t="str" cm="1">
        <f t="array" aca="1" ref="AD62" ca="1">IF(OR($J62="Pluviomètre",LEFT($J62,5)="Sonde"),"",IF($H62&lt;&gt;"",IF(INDIRECT($H62&amp;"!"&amp;$W62&amp;($X62+AD$15+1))&lt;&gt;"",INDIRECT($H62&amp;"!"&amp;$W62&amp;($X62+AD$15+1)),""),""))</f>
        <v/>
      </c>
      <c r="AE62" s="296" t="str" cm="1">
        <f t="array" aca="1" ref="AE62" ca="1">IF(OR($J62="Pluviomètre",LEFT($J62,5)="Sonde"),"",IF($H62&lt;&gt;"",IF(INDIRECT($H62&amp;"!"&amp;$W62&amp;($X62+AE$15+1))&lt;&gt;"",INDIRECT($H62&amp;"!"&amp;$W62&amp;($X62+AE$15+1)),""),""))</f>
        <v/>
      </c>
      <c r="AF62" s="296" t="str" cm="1">
        <f t="array" aca="1" ref="AF62" ca="1">IF(OR($J62="Pluviomètre",LEFT($J62,5)="Sonde"),"",IF($H62&lt;&gt;"",IF(INDIRECT($H62&amp;"!"&amp;$W62&amp;($X62+AF$15+1))&lt;&gt;"",INDIRECT($H62&amp;"!"&amp;$W62&amp;($X62+AF$15+1)),""),""))</f>
        <v/>
      </c>
      <c r="AG62" s="296" t="str" cm="1">
        <f t="array" aca="1" ref="AG62" ca="1">IF(OR($J62="Pluviomètre",LEFT($J62,5)="Sonde"),"",IF($H62&lt;&gt;"",IF(INDIRECT($H62&amp;"!"&amp;$W62&amp;($X62+AG$15+1))&lt;&gt;"",INDIRECT($H62&amp;"!"&amp;$W62&amp;($X62+AG$15+1)),""),""))</f>
        <v/>
      </c>
      <c r="AH62" s="296" t="str" cm="1">
        <f t="array" aca="1" ref="AH62" ca="1">IF(OR($J62="Pluviomètre",LEFT($J62,5)="Sonde"),"",IF($H62&lt;&gt;"",IF(INDIRECT($H62&amp;"!"&amp;$W62&amp;($X62+AH$15+1))&lt;&gt;"",INDIRECT($H62&amp;"!"&amp;$W62&amp;($X62+AH$15+1)),""),""))</f>
        <v/>
      </c>
      <c r="AI62" s="294" t="str">
        <f t="shared" ca="1" si="9"/>
        <v/>
      </c>
      <c r="AJ62" s="295" t="str">
        <f t="shared" ca="1" si="10"/>
        <v/>
      </c>
      <c r="AK62" s="296" t="str" cm="1">
        <f t="array" aca="1" ref="AK62" ca="1">IF($H62&lt;&gt;"",IF(INDIRECT($H62&amp;"!"&amp;$AI62&amp;($AJ62+AK$15+1))&lt;&gt;"",INDIRECT($H62&amp;"!"&amp;$AI62&amp;($AJ62+AK$15+1)),""),"")</f>
        <v/>
      </c>
      <c r="AL62" s="296" t="str" cm="1">
        <f t="array" aca="1" ref="AL62" ca="1">IF($H62&lt;&gt;"",IF(INDIRECT($H62&amp;"!"&amp;$AI62&amp;($AJ62+AL$15+1))&lt;&gt;"",INDIRECT($H62&amp;"!"&amp;$AI62&amp;($AJ62+AL$15+1)),""),"")</f>
        <v/>
      </c>
      <c r="AM62" s="296" t="str" cm="1">
        <f t="array" aca="1" ref="AM62" ca="1">IF($H62&lt;&gt;"",IF(INDIRECT($H62&amp;"!"&amp;$AI62&amp;($AJ62+AM$15+1))&lt;&gt;"",INDIRECT($H62&amp;"!"&amp;$AI62&amp;($AJ62+AM$15+1)),""),"")</f>
        <v/>
      </c>
      <c r="AN62" s="296" t="str" cm="1">
        <f t="array" aca="1" ref="AN62" ca="1">IF($H62&lt;&gt;"",IF(INDIRECT($H62&amp;"!"&amp;$AI62&amp;($AJ62+AN$15+1))&lt;&gt;"",INDIRECT($H62&amp;"!"&amp;$AI62&amp;($AJ62+AN$15+1)),""),"")</f>
        <v/>
      </c>
      <c r="AO62" s="296" t="str" cm="1">
        <f t="array" aca="1" ref="AO62" ca="1">IF(LEFT($J62,5)="Sonde","",IF($H62&lt;&gt;"",IF(INDIRECT($H62&amp;"!"&amp;$AI62&amp;($AJ62+AO$15+1))&lt;&gt;"",INDIRECT($H62&amp;"!"&amp;$AI62&amp;($AJ62+AO$15+1)),""),""))</f>
        <v/>
      </c>
      <c r="AP62" s="296" t="str" cm="1">
        <f t="array" aca="1" ref="AP62" ca="1">IF(OR($J62="Pluviomètre",LEFT($J62,5)="Sonde"),"",IF($H62&lt;&gt;"",IF(INDIRECT($H62&amp;"!"&amp;$AI62&amp;($AJ62+AP$15+1))&lt;&gt;"",INDIRECT($H62&amp;"!"&amp;$AI62&amp;($AJ62+AP$15+1)),""),""))</f>
        <v/>
      </c>
      <c r="AQ62" s="296" t="str" cm="1">
        <f t="array" aca="1" ref="AQ62" ca="1">IF(OR($J62="Pluviomètre",LEFT($J62,5)="Sonde"),"",IF($H62&lt;&gt;"",IF(INDIRECT($H62&amp;"!"&amp;$AI62&amp;($AJ62+AQ$15+1))&lt;&gt;"",INDIRECT($H62&amp;"!"&amp;$AI62&amp;($AJ62+AQ$15+1)),""),""))</f>
        <v/>
      </c>
      <c r="AR62" s="296" t="str" cm="1">
        <f t="array" aca="1" ref="AR62" ca="1">IF(OR($J62="Pluviomètre",LEFT($J62,5)="Sonde"),"",IF($H62&lt;&gt;"",IF(INDIRECT($H62&amp;"!"&amp;$AI62&amp;($AJ62+AR$15+1))&lt;&gt;"",INDIRECT($H62&amp;"!"&amp;$AI62&amp;($AJ62+AR$15+1)),""),""))</f>
        <v/>
      </c>
      <c r="AS62" s="296" t="str" cm="1">
        <f t="array" aca="1" ref="AS62" ca="1">IF(OR($J62="Pluviomètre",LEFT($J62,5)="Sonde"),"",IF($H62&lt;&gt;"",IF(INDIRECT($H62&amp;"!"&amp;$AI62&amp;($AJ62+AS$15+1))&lt;&gt;"",INDIRECT($H62&amp;"!"&amp;$AI62&amp;($AJ62+AS$15+1)),""),""))</f>
        <v/>
      </c>
      <c r="AT62" s="296" t="str" cm="1">
        <f t="array" aca="1" ref="AT62" ca="1">IF(OR($J62="Pluviomètre",LEFT($J62,5)="Sonde"),"",IF($H62&lt;&gt;"",IF(INDIRECT($H62&amp;"!"&amp;$AI62&amp;($AJ62+AT$15+1))&lt;&gt;"",INDIRECT($H62&amp;"!"&amp;$AI62&amp;($AJ62+AT$15+1)),""),""))</f>
        <v/>
      </c>
    </row>
    <row r="63" spans="1:46" x14ac:dyDescent="0.4">
      <c r="A63" s="80">
        <v>48</v>
      </c>
      <c r="B63" s="134" t="b">
        <f t="shared" si="6"/>
        <v>0</v>
      </c>
      <c r="C63" s="139" t="str" cm="1">
        <f t="array" aca="1" ref="C63" ca="1">IF(
    AND(
        $B63,
        OR(
            INDIRECT("Descriptif!$M"&amp;($B$1+$A63-1))="Préleveur",
            LEFT(INDIRECT("Descriptif!$M"&amp;($B$1+$A63-1)),5)="Sonde",
            LEFT(INDIRECT("Descriptif!$M"&amp;($B$1+$A63-1)),10)="Débitmètre",
            LEFT(INDIRECT("Descriptif!$F"&amp;($B$1+$A63-1)),6)="PLUVIO"
        )
    ),
    INDIRECT("Descriptif!$"&amp;C$15&amp;($B$1 +$A63 -1)),
    ""
)</f>
        <v/>
      </c>
      <c r="D63" s="277" t="str" cm="1">
        <f t="array" aca="1" ref="D63" ca="1">IF(
    AND(
        $B63,
        OR(
            INDIRECT("Descriptif!$M"&amp;($B$1+$A63-1))="Préleveur",
            LEFT(INDIRECT("Descriptif!$M"&amp;($B$1+$A63-1)),5)="Sonde",
            LEFT(INDIRECT("Descriptif!$M"&amp;($B$1+$A63-1)),10)="Débitmètre",
            LEFT(INDIRECT("Descriptif!$F"&amp;($B$1+$A63-1)),6)="PLUVIO"
        )
    ),
    IF(
        LEFT(INDIRECT("Descriptif!$F"&amp;($B$1+$A63-1)),11)="PLUVIO_STEU",
        "A3",
        IF(
            LEFT(INDIRECT("Descriptif!$F"&amp;($B$1+$A63-1)),10)="PLUVIO_SCL",
            "A1",
            INDIRECT("Descriptif!$"&amp;D$15&amp;($B$1 +$A63 -1))
        )
    ),
    ""
)</f>
        <v/>
      </c>
      <c r="E63" s="277" t="str" cm="1">
        <f t="array" aca="1" ref="E63" ca="1">IF(
    AND(
        $B63,
        OR(
            INDIRECT("Descriptif!$M"&amp;($B$1+$A63-1))="Préleveur",
            LEFT(INDIRECT("Descriptif!$M"&amp;($B$1+$A63-1)),5)="Sonde",
            LEFT(INDIRECT("Descriptif!$M"&amp;($B$1+$A63-1)),10)="Débitmètre",
            LEFT(INDIRECT("Descriptif!$F"&amp;($B$1+$A63-1)),6)="PLUVIO"
        )
    ),
    IF(LEFT(INDIRECT("Descriptif!$F"&amp;($B$1+$A63-1)),6)="PLUVIO","Pluviomètre",INDIRECT("Descriptif!$"&amp;E$15&amp;($B$1 +$A63 -1))),
    ""
)</f>
        <v/>
      </c>
      <c r="F63" s="19" t="str" cm="1">
        <f t="array" aca="1" ref="F63" ca="1">IF(
    AND(
        $B63,
        OR(
            INDIRECT("Descriptif!$M"&amp;($B$1+$A63-1))="Préleveur",
            LEFT(INDIRECT("Descriptif!$M"&amp;($B$1+$A63-1)),5)="Sonde",
            LEFT(INDIRECT("Descriptif!$M"&amp;($B$1+$A63-1)),10)="Débitmètre",
            LEFT(INDIRECT("Descriptif!$F"&amp;($B$1+$A63-1)),6)="PLUVIO"
        )
    ),
    IF(LEFT(INDIRECT("Descriptif!$F"&amp;($B$1+$A63-1)),6)="PLUVIO","Pluviomètre",INDIRECT("Descriptif!$"&amp;F$15&amp;($B$1 +$A63 -1))),
    ""
)</f>
        <v/>
      </c>
      <c r="G63" s="19" t="str" cm="1">
        <f t="array" aca="1" ref="G63" ca="1">IF(
    AND(
        $B63,
        OR(
            INDIRECT("Descriptif!$M"&amp;($B$1+$A63-1))="Préleveur",
            LEFT(INDIRECT("Descriptif!$M"&amp;($B$1+$A63-1)),5)="Sonde",
            LEFT(INDIRECT("Descriptif!$M"&amp;($B$1+$A63-1)),10)="Débitmètre",
            LEFT(INDIRECT("Descriptif!$F"&amp;($B$1+$A63-1)),6)="PLUVIO"
        )
    ),
    IF(LEFT(INDIRECT("Descriptif!$F"&amp;($B$1+$A63-1)),6)="PLUVIO","Pluviomètre",INDIRECT("Descriptif!$"&amp;G$15&amp;($B$1 +$A63 -1))),
    ""
)</f>
        <v/>
      </c>
      <c r="H63" s="141" t="str" cm="1">
        <f t="array" aca="1" ref="H63" ca="1">IFERROR(INDEX($C$16:$C$116,SMALL(IF($C$16:$C$116&lt;&gt;"",ROW($C$16:$C$116)-ROW($C$16)+1),ROW(A48))),"")</f>
        <v/>
      </c>
      <c r="I63" s="140" t="str" cm="1">
        <f t="array" aca="1" ref="I63" ca="1">IFERROR(INDEX($D$16:$D$116,SMALL(IF($D$16:$D$116&lt;&gt;"",ROW($D$16:$D$116)-ROW($D$16)+1),ROW(A48))),"")</f>
        <v/>
      </c>
      <c r="J63" s="140" t="str" cm="1">
        <f t="array" aca="1" ref="J63" ca="1">IFERROR(INDEX($E$16:$E$116,SMALL(IF($E$16:$E$116&lt;&gt;"",ROW($E$16:$E$116)-ROW($E$16)+1),ROW(A48))),"")</f>
        <v/>
      </c>
      <c r="K63" s="140" t="str" cm="1">
        <f t="array" aca="1" ref="K63" ca="1">IFERROR(INDEX($F$16:$F$116,SMALL(IF($F$16:$F$116&lt;&gt;"",ROW($F$16:$F$116)-ROW($F$16)+1),ROW(A48))),"")</f>
        <v/>
      </c>
      <c r="L63" s="140" t="str">
        <f t="shared" ca="1" si="11"/>
        <v/>
      </c>
      <c r="M63" s="140" t="str" cm="1">
        <f t="array" aca="1" ref="M63" ca="1">IFERROR(INDEX($G$16:$G$116,SMALL(IF($G$16:$G$116&lt;&gt;"",ROW($G$16:$G$116)-ROW($G$16)+1),ROW(A48))),"")</f>
        <v/>
      </c>
      <c r="N63" s="145" t="str">
        <f t="shared" ca="1" si="12"/>
        <v/>
      </c>
      <c r="O63" s="146" t="str">
        <f t="shared" ca="1" si="13"/>
        <v/>
      </c>
      <c r="P63" s="146" t="str" cm="1">
        <f t="array" aca="1" ref="P63" ca="1">IF($J63&lt;&gt;"",IF(INDIRECT($H63&amp;"!"&amp;$O63)&lt;&gt;"",INDIRECT($H63&amp;"!"&amp;$O63),""),"")</f>
        <v/>
      </c>
      <c r="Q63" s="146" t="str">
        <f t="shared" ca="1" si="14"/>
        <v/>
      </c>
      <c r="R63" s="146" t="str" cm="1">
        <f t="array" aca="1" ref="R63" ca="1">IF($J63&lt;&gt;"",IF(INDIRECT($H63&amp;"!"&amp;$Q63)&lt;&gt;"",INDIRECT($H63&amp;"!"&amp;$Q63),""),"")</f>
        <v/>
      </c>
      <c r="S63" s="146" t="str">
        <f t="shared" ca="1" si="15"/>
        <v/>
      </c>
      <c r="T63" s="146" t="str" cm="1">
        <f t="array" aca="1" ref="T63" ca="1">IF($J63&lt;&gt;"",IF(INDIRECT($H63&amp;"!"&amp;$S63)&lt;&gt;"",INDIRECT($H63&amp;"!"&amp;$S63),""),"")</f>
        <v/>
      </c>
      <c r="U63" s="146" t="str">
        <f t="shared" ca="1" si="16"/>
        <v/>
      </c>
      <c r="V63" s="147" t="str" cm="1">
        <f t="array" aca="1" ref="V63" ca="1">IF($J63&lt;&gt;"",IF(INDIRECT($H63&amp;"!"&amp;$U63)&lt;&gt;"",INDIRECT($H63&amp;"!"&amp;$U63),""),"")</f>
        <v/>
      </c>
      <c r="W63" s="294" t="str">
        <f t="shared" ca="1" si="7"/>
        <v/>
      </c>
      <c r="X63" s="295" t="str">
        <f t="shared" ca="1" si="8"/>
        <v/>
      </c>
      <c r="Y63" s="296" t="str" cm="1">
        <f t="array" aca="1" ref="Y63" ca="1">IF($H63&lt;&gt;"",IF(INDIRECT($H63&amp;"!"&amp;$W63&amp;($X63+Y$15+1))&lt;&gt;"",INDIRECT($H63&amp;"!"&amp;$W63&amp;($X63+Y$15+1)),""),"")</f>
        <v/>
      </c>
      <c r="Z63" s="296" t="str" cm="1">
        <f t="array" aca="1" ref="Z63" ca="1">IF($H63&lt;&gt;"",IF(INDIRECT($H63&amp;"!"&amp;$W63&amp;($X63+Z$15+1))&lt;&gt;"",INDIRECT($H63&amp;"!"&amp;$W63&amp;($X63+Z$15+1)),""),"")</f>
        <v/>
      </c>
      <c r="AA63" s="296" t="str" cm="1">
        <f t="array" aca="1" ref="AA63" ca="1">IF($H63&lt;&gt;"",IF(INDIRECT($H63&amp;"!"&amp;$W63&amp;($X63+AA$15+1))&lt;&gt;"",INDIRECT($H63&amp;"!"&amp;$W63&amp;($X63+AA$15+1)),""),"")</f>
        <v/>
      </c>
      <c r="AB63" s="296" t="str" cm="1">
        <f t="array" aca="1" ref="AB63" ca="1">IF($H63&lt;&gt;"",IF(INDIRECT($H63&amp;"!"&amp;$W63&amp;($X63+AB$15+1))&lt;&gt;"",INDIRECT($H63&amp;"!"&amp;$W63&amp;($X63+AB$15+1)),""),"")</f>
        <v/>
      </c>
      <c r="AC63" s="296" t="str" cm="1">
        <f t="array" aca="1" ref="AC63" ca="1">IF(LEFT($J63,5)="Sonde","",IF($H63&lt;&gt;"",IF(INDIRECT($H63&amp;"!"&amp;$W63&amp;($X63+AC$15+1))&lt;&gt;"",INDIRECT($H63&amp;"!"&amp;$W63&amp;($X63+AC$15+1)),""),""))</f>
        <v/>
      </c>
      <c r="AD63" s="296" t="str" cm="1">
        <f t="array" aca="1" ref="AD63" ca="1">IF(OR($J63="Pluviomètre",LEFT($J63,5)="Sonde"),"",IF($H63&lt;&gt;"",IF(INDIRECT($H63&amp;"!"&amp;$W63&amp;($X63+AD$15+1))&lt;&gt;"",INDIRECT($H63&amp;"!"&amp;$W63&amp;($X63+AD$15+1)),""),""))</f>
        <v/>
      </c>
      <c r="AE63" s="296" t="str" cm="1">
        <f t="array" aca="1" ref="AE63" ca="1">IF(OR($J63="Pluviomètre",LEFT($J63,5)="Sonde"),"",IF($H63&lt;&gt;"",IF(INDIRECT($H63&amp;"!"&amp;$W63&amp;($X63+AE$15+1))&lt;&gt;"",INDIRECT($H63&amp;"!"&amp;$W63&amp;($X63+AE$15+1)),""),""))</f>
        <v/>
      </c>
      <c r="AF63" s="296" t="str" cm="1">
        <f t="array" aca="1" ref="AF63" ca="1">IF(OR($J63="Pluviomètre",LEFT($J63,5)="Sonde"),"",IF($H63&lt;&gt;"",IF(INDIRECT($H63&amp;"!"&amp;$W63&amp;($X63+AF$15+1))&lt;&gt;"",INDIRECT($H63&amp;"!"&amp;$W63&amp;($X63+AF$15+1)),""),""))</f>
        <v/>
      </c>
      <c r="AG63" s="296" t="str" cm="1">
        <f t="array" aca="1" ref="AG63" ca="1">IF(OR($J63="Pluviomètre",LEFT($J63,5)="Sonde"),"",IF($H63&lt;&gt;"",IF(INDIRECT($H63&amp;"!"&amp;$W63&amp;($X63+AG$15+1))&lt;&gt;"",INDIRECT($H63&amp;"!"&amp;$W63&amp;($X63+AG$15+1)),""),""))</f>
        <v/>
      </c>
      <c r="AH63" s="296" t="str" cm="1">
        <f t="array" aca="1" ref="AH63" ca="1">IF(OR($J63="Pluviomètre",LEFT($J63,5)="Sonde"),"",IF($H63&lt;&gt;"",IF(INDIRECT($H63&amp;"!"&amp;$W63&amp;($X63+AH$15+1))&lt;&gt;"",INDIRECT($H63&amp;"!"&amp;$W63&amp;($X63+AH$15+1)),""),""))</f>
        <v/>
      </c>
      <c r="AI63" s="294" t="str">
        <f t="shared" ca="1" si="9"/>
        <v/>
      </c>
      <c r="AJ63" s="295" t="str">
        <f t="shared" ca="1" si="10"/>
        <v/>
      </c>
      <c r="AK63" s="296" t="str" cm="1">
        <f t="array" aca="1" ref="AK63" ca="1">IF($H63&lt;&gt;"",IF(INDIRECT($H63&amp;"!"&amp;$AI63&amp;($AJ63+AK$15+1))&lt;&gt;"",INDIRECT($H63&amp;"!"&amp;$AI63&amp;($AJ63+AK$15+1)),""),"")</f>
        <v/>
      </c>
      <c r="AL63" s="296" t="str" cm="1">
        <f t="array" aca="1" ref="AL63" ca="1">IF($H63&lt;&gt;"",IF(INDIRECT($H63&amp;"!"&amp;$AI63&amp;($AJ63+AL$15+1))&lt;&gt;"",INDIRECT($H63&amp;"!"&amp;$AI63&amp;($AJ63+AL$15+1)),""),"")</f>
        <v/>
      </c>
      <c r="AM63" s="296" t="str" cm="1">
        <f t="array" aca="1" ref="AM63" ca="1">IF($H63&lt;&gt;"",IF(INDIRECT($H63&amp;"!"&amp;$AI63&amp;($AJ63+AM$15+1))&lt;&gt;"",INDIRECT($H63&amp;"!"&amp;$AI63&amp;($AJ63+AM$15+1)),""),"")</f>
        <v/>
      </c>
      <c r="AN63" s="296" t="str" cm="1">
        <f t="array" aca="1" ref="AN63" ca="1">IF($H63&lt;&gt;"",IF(INDIRECT($H63&amp;"!"&amp;$AI63&amp;($AJ63+AN$15+1))&lt;&gt;"",INDIRECT($H63&amp;"!"&amp;$AI63&amp;($AJ63+AN$15+1)),""),"")</f>
        <v/>
      </c>
      <c r="AO63" s="296" t="str" cm="1">
        <f t="array" aca="1" ref="AO63" ca="1">IF(LEFT($J63,5)="Sonde","",IF($H63&lt;&gt;"",IF(INDIRECT($H63&amp;"!"&amp;$AI63&amp;($AJ63+AO$15+1))&lt;&gt;"",INDIRECT($H63&amp;"!"&amp;$AI63&amp;($AJ63+AO$15+1)),""),""))</f>
        <v/>
      </c>
      <c r="AP63" s="296" t="str" cm="1">
        <f t="array" aca="1" ref="AP63" ca="1">IF(OR($J63="Pluviomètre",LEFT($J63,5)="Sonde"),"",IF($H63&lt;&gt;"",IF(INDIRECT($H63&amp;"!"&amp;$AI63&amp;($AJ63+AP$15+1))&lt;&gt;"",INDIRECT($H63&amp;"!"&amp;$AI63&amp;($AJ63+AP$15+1)),""),""))</f>
        <v/>
      </c>
      <c r="AQ63" s="296" t="str" cm="1">
        <f t="array" aca="1" ref="AQ63" ca="1">IF(OR($J63="Pluviomètre",LEFT($J63,5)="Sonde"),"",IF($H63&lt;&gt;"",IF(INDIRECT($H63&amp;"!"&amp;$AI63&amp;($AJ63+AQ$15+1))&lt;&gt;"",INDIRECT($H63&amp;"!"&amp;$AI63&amp;($AJ63+AQ$15+1)),""),""))</f>
        <v/>
      </c>
      <c r="AR63" s="296" t="str" cm="1">
        <f t="array" aca="1" ref="AR63" ca="1">IF(OR($J63="Pluviomètre",LEFT($J63,5)="Sonde"),"",IF($H63&lt;&gt;"",IF(INDIRECT($H63&amp;"!"&amp;$AI63&amp;($AJ63+AR$15+1))&lt;&gt;"",INDIRECT($H63&amp;"!"&amp;$AI63&amp;($AJ63+AR$15+1)),""),""))</f>
        <v/>
      </c>
      <c r="AS63" s="296" t="str" cm="1">
        <f t="array" aca="1" ref="AS63" ca="1">IF(OR($J63="Pluviomètre",LEFT($J63,5)="Sonde"),"",IF($H63&lt;&gt;"",IF(INDIRECT($H63&amp;"!"&amp;$AI63&amp;($AJ63+AS$15+1))&lt;&gt;"",INDIRECT($H63&amp;"!"&amp;$AI63&amp;($AJ63+AS$15+1)),""),""))</f>
        <v/>
      </c>
      <c r="AT63" s="296" t="str" cm="1">
        <f t="array" aca="1" ref="AT63" ca="1">IF(OR($J63="Pluviomètre",LEFT($J63,5)="Sonde"),"",IF($H63&lt;&gt;"",IF(INDIRECT($H63&amp;"!"&amp;$AI63&amp;($AJ63+AT$15+1))&lt;&gt;"",INDIRECT($H63&amp;"!"&amp;$AI63&amp;($AJ63+AT$15+1)),""),""))</f>
        <v/>
      </c>
    </row>
    <row r="64" spans="1:46" x14ac:dyDescent="0.4">
      <c r="A64" s="80">
        <v>49</v>
      </c>
      <c r="B64" s="134" t="b">
        <f t="shared" si="6"/>
        <v>0</v>
      </c>
      <c r="C64" s="139" t="str" cm="1">
        <f t="array" aca="1" ref="C64" ca="1">IF(
    AND(
        $B64,
        OR(
            INDIRECT("Descriptif!$M"&amp;($B$1+$A64-1))="Préleveur",
            LEFT(INDIRECT("Descriptif!$M"&amp;($B$1+$A64-1)),5)="Sonde",
            LEFT(INDIRECT("Descriptif!$M"&amp;($B$1+$A64-1)),10)="Débitmètre",
            LEFT(INDIRECT("Descriptif!$F"&amp;($B$1+$A64-1)),6)="PLUVIO"
        )
    ),
    INDIRECT("Descriptif!$"&amp;C$15&amp;($B$1 +$A64 -1)),
    ""
)</f>
        <v/>
      </c>
      <c r="D64" s="277" t="str" cm="1">
        <f t="array" aca="1" ref="D64" ca="1">IF(
    AND(
        $B64,
        OR(
            INDIRECT("Descriptif!$M"&amp;($B$1+$A64-1))="Préleveur",
            LEFT(INDIRECT("Descriptif!$M"&amp;($B$1+$A64-1)),5)="Sonde",
            LEFT(INDIRECT("Descriptif!$M"&amp;($B$1+$A64-1)),10)="Débitmètre",
            LEFT(INDIRECT("Descriptif!$F"&amp;($B$1+$A64-1)),6)="PLUVIO"
        )
    ),
    IF(
        LEFT(INDIRECT("Descriptif!$F"&amp;($B$1+$A64-1)),11)="PLUVIO_STEU",
        "A3",
        IF(
            LEFT(INDIRECT("Descriptif!$F"&amp;($B$1+$A64-1)),10)="PLUVIO_SCL",
            "A1",
            INDIRECT("Descriptif!$"&amp;D$15&amp;($B$1 +$A64 -1))
        )
    ),
    ""
)</f>
        <v/>
      </c>
      <c r="E64" s="277" t="str" cm="1">
        <f t="array" aca="1" ref="E64" ca="1">IF(
    AND(
        $B64,
        OR(
            INDIRECT("Descriptif!$M"&amp;($B$1+$A64-1))="Préleveur",
            LEFT(INDIRECT("Descriptif!$M"&amp;($B$1+$A64-1)),5)="Sonde",
            LEFT(INDIRECT("Descriptif!$M"&amp;($B$1+$A64-1)),10)="Débitmètre",
            LEFT(INDIRECT("Descriptif!$F"&amp;($B$1+$A64-1)),6)="PLUVIO"
        )
    ),
    IF(LEFT(INDIRECT("Descriptif!$F"&amp;($B$1+$A64-1)),6)="PLUVIO","Pluviomètre",INDIRECT("Descriptif!$"&amp;E$15&amp;($B$1 +$A64 -1))),
    ""
)</f>
        <v/>
      </c>
      <c r="F64" s="19" t="str" cm="1">
        <f t="array" aca="1" ref="F64" ca="1">IF(
    AND(
        $B64,
        OR(
            INDIRECT("Descriptif!$M"&amp;($B$1+$A64-1))="Préleveur",
            LEFT(INDIRECT("Descriptif!$M"&amp;($B$1+$A64-1)),5)="Sonde",
            LEFT(INDIRECT("Descriptif!$M"&amp;($B$1+$A64-1)),10)="Débitmètre",
            LEFT(INDIRECT("Descriptif!$F"&amp;($B$1+$A64-1)),6)="PLUVIO"
        )
    ),
    IF(LEFT(INDIRECT("Descriptif!$F"&amp;($B$1+$A64-1)),6)="PLUVIO","Pluviomètre",INDIRECT("Descriptif!$"&amp;F$15&amp;($B$1 +$A64 -1))),
    ""
)</f>
        <v/>
      </c>
      <c r="G64" s="19" t="str" cm="1">
        <f t="array" aca="1" ref="G64" ca="1">IF(
    AND(
        $B64,
        OR(
            INDIRECT("Descriptif!$M"&amp;($B$1+$A64-1))="Préleveur",
            LEFT(INDIRECT("Descriptif!$M"&amp;($B$1+$A64-1)),5)="Sonde",
            LEFT(INDIRECT("Descriptif!$M"&amp;($B$1+$A64-1)),10)="Débitmètre",
            LEFT(INDIRECT("Descriptif!$F"&amp;($B$1+$A64-1)),6)="PLUVIO"
        )
    ),
    IF(LEFT(INDIRECT("Descriptif!$F"&amp;($B$1+$A64-1)),6)="PLUVIO","Pluviomètre",INDIRECT("Descriptif!$"&amp;G$15&amp;($B$1 +$A64 -1))),
    ""
)</f>
        <v/>
      </c>
      <c r="H64" s="141" t="str" cm="1">
        <f t="array" aca="1" ref="H64" ca="1">IFERROR(INDEX($C$16:$C$116,SMALL(IF($C$16:$C$116&lt;&gt;"",ROW($C$16:$C$116)-ROW($C$16)+1),ROW(A49))),"")</f>
        <v/>
      </c>
      <c r="I64" s="140" t="str" cm="1">
        <f t="array" aca="1" ref="I64" ca="1">IFERROR(INDEX($D$16:$D$116,SMALL(IF($D$16:$D$116&lt;&gt;"",ROW($D$16:$D$116)-ROW($D$16)+1),ROW(A49))),"")</f>
        <v/>
      </c>
      <c r="J64" s="140" t="str" cm="1">
        <f t="array" aca="1" ref="J64" ca="1">IFERROR(INDEX($E$16:$E$116,SMALL(IF($E$16:$E$116&lt;&gt;"",ROW($E$16:$E$116)-ROW($E$16)+1),ROW(A49))),"")</f>
        <v/>
      </c>
      <c r="K64" s="140" t="str" cm="1">
        <f t="array" aca="1" ref="K64" ca="1">IFERROR(INDEX($F$16:$F$116,SMALL(IF($F$16:$F$116&lt;&gt;"",ROW($F$16:$F$116)-ROW($F$16)+1),ROW(A49))),"")</f>
        <v/>
      </c>
      <c r="L64" s="140" t="str">
        <f t="shared" ca="1" si="11"/>
        <v/>
      </c>
      <c r="M64" s="140" t="str" cm="1">
        <f t="array" aca="1" ref="M64" ca="1">IFERROR(INDEX($G$16:$G$116,SMALL(IF($G$16:$G$116&lt;&gt;"",ROW($G$16:$G$116)-ROW($G$16)+1),ROW(A49))),"")</f>
        <v/>
      </c>
      <c r="N64" s="145" t="str">
        <f t="shared" ca="1" si="12"/>
        <v/>
      </c>
      <c r="O64" s="146" t="str">
        <f t="shared" ca="1" si="13"/>
        <v/>
      </c>
      <c r="P64" s="146" t="str" cm="1">
        <f t="array" aca="1" ref="P64" ca="1">IF($J64&lt;&gt;"",IF(INDIRECT($H64&amp;"!"&amp;$O64)&lt;&gt;"",INDIRECT($H64&amp;"!"&amp;$O64),""),"")</f>
        <v/>
      </c>
      <c r="Q64" s="146" t="str">
        <f t="shared" ca="1" si="14"/>
        <v/>
      </c>
      <c r="R64" s="146" t="str" cm="1">
        <f t="array" aca="1" ref="R64" ca="1">IF($J64&lt;&gt;"",IF(INDIRECT($H64&amp;"!"&amp;$Q64)&lt;&gt;"",INDIRECT($H64&amp;"!"&amp;$Q64),""),"")</f>
        <v/>
      </c>
      <c r="S64" s="146" t="str">
        <f t="shared" ca="1" si="15"/>
        <v/>
      </c>
      <c r="T64" s="146" t="str" cm="1">
        <f t="array" aca="1" ref="T64" ca="1">IF($J64&lt;&gt;"",IF(INDIRECT($H64&amp;"!"&amp;$S64)&lt;&gt;"",INDIRECT($H64&amp;"!"&amp;$S64),""),"")</f>
        <v/>
      </c>
      <c r="U64" s="146" t="str">
        <f t="shared" ca="1" si="16"/>
        <v/>
      </c>
      <c r="V64" s="147" t="str" cm="1">
        <f t="array" aca="1" ref="V64" ca="1">IF($J64&lt;&gt;"",IF(INDIRECT($H64&amp;"!"&amp;$U64)&lt;&gt;"",INDIRECT($H64&amp;"!"&amp;$U64),""),"")</f>
        <v/>
      </c>
      <c r="W64" s="294" t="str">
        <f t="shared" ca="1" si="7"/>
        <v/>
      </c>
      <c r="X64" s="295" t="str">
        <f t="shared" ca="1" si="8"/>
        <v/>
      </c>
      <c r="Y64" s="296" t="str" cm="1">
        <f t="array" aca="1" ref="Y64" ca="1">IF($H64&lt;&gt;"",IF(INDIRECT($H64&amp;"!"&amp;$W64&amp;($X64+Y$15+1))&lt;&gt;"",INDIRECT($H64&amp;"!"&amp;$W64&amp;($X64+Y$15+1)),""),"")</f>
        <v/>
      </c>
      <c r="Z64" s="296" t="str" cm="1">
        <f t="array" aca="1" ref="Z64" ca="1">IF($H64&lt;&gt;"",IF(INDIRECT($H64&amp;"!"&amp;$W64&amp;($X64+Z$15+1))&lt;&gt;"",INDIRECT($H64&amp;"!"&amp;$W64&amp;($X64+Z$15+1)),""),"")</f>
        <v/>
      </c>
      <c r="AA64" s="296" t="str" cm="1">
        <f t="array" aca="1" ref="AA64" ca="1">IF($H64&lt;&gt;"",IF(INDIRECT($H64&amp;"!"&amp;$W64&amp;($X64+AA$15+1))&lt;&gt;"",INDIRECT($H64&amp;"!"&amp;$W64&amp;($X64+AA$15+1)),""),"")</f>
        <v/>
      </c>
      <c r="AB64" s="296" t="str" cm="1">
        <f t="array" aca="1" ref="AB64" ca="1">IF($H64&lt;&gt;"",IF(INDIRECT($H64&amp;"!"&amp;$W64&amp;($X64+AB$15+1))&lt;&gt;"",INDIRECT($H64&amp;"!"&amp;$W64&amp;($X64+AB$15+1)),""),"")</f>
        <v/>
      </c>
      <c r="AC64" s="296" t="str" cm="1">
        <f t="array" aca="1" ref="AC64" ca="1">IF(LEFT($J64,5)="Sonde","",IF($H64&lt;&gt;"",IF(INDIRECT($H64&amp;"!"&amp;$W64&amp;($X64+AC$15+1))&lt;&gt;"",INDIRECT($H64&amp;"!"&amp;$W64&amp;($X64+AC$15+1)),""),""))</f>
        <v/>
      </c>
      <c r="AD64" s="296" t="str" cm="1">
        <f t="array" aca="1" ref="AD64" ca="1">IF(OR($J64="Pluviomètre",LEFT($J64,5)="Sonde"),"",IF($H64&lt;&gt;"",IF(INDIRECT($H64&amp;"!"&amp;$W64&amp;($X64+AD$15+1))&lt;&gt;"",INDIRECT($H64&amp;"!"&amp;$W64&amp;($X64+AD$15+1)),""),""))</f>
        <v/>
      </c>
      <c r="AE64" s="296" t="str" cm="1">
        <f t="array" aca="1" ref="AE64" ca="1">IF(OR($J64="Pluviomètre",LEFT($J64,5)="Sonde"),"",IF($H64&lt;&gt;"",IF(INDIRECT($H64&amp;"!"&amp;$W64&amp;($X64+AE$15+1))&lt;&gt;"",INDIRECT($H64&amp;"!"&amp;$W64&amp;($X64+AE$15+1)),""),""))</f>
        <v/>
      </c>
      <c r="AF64" s="296" t="str" cm="1">
        <f t="array" aca="1" ref="AF64" ca="1">IF(OR($J64="Pluviomètre",LEFT($J64,5)="Sonde"),"",IF($H64&lt;&gt;"",IF(INDIRECT($H64&amp;"!"&amp;$W64&amp;($X64+AF$15+1))&lt;&gt;"",INDIRECT($H64&amp;"!"&amp;$W64&amp;($X64+AF$15+1)),""),""))</f>
        <v/>
      </c>
      <c r="AG64" s="296" t="str" cm="1">
        <f t="array" aca="1" ref="AG64" ca="1">IF(OR($J64="Pluviomètre",LEFT($J64,5)="Sonde"),"",IF($H64&lt;&gt;"",IF(INDIRECT($H64&amp;"!"&amp;$W64&amp;($X64+AG$15+1))&lt;&gt;"",INDIRECT($H64&amp;"!"&amp;$W64&amp;($X64+AG$15+1)),""),""))</f>
        <v/>
      </c>
      <c r="AH64" s="296" t="str" cm="1">
        <f t="array" aca="1" ref="AH64" ca="1">IF(OR($J64="Pluviomètre",LEFT($J64,5)="Sonde"),"",IF($H64&lt;&gt;"",IF(INDIRECT($H64&amp;"!"&amp;$W64&amp;($X64+AH$15+1))&lt;&gt;"",INDIRECT($H64&amp;"!"&amp;$W64&amp;($X64+AH$15+1)),""),""))</f>
        <v/>
      </c>
      <c r="AI64" s="294" t="str">
        <f t="shared" ca="1" si="9"/>
        <v/>
      </c>
      <c r="AJ64" s="295" t="str">
        <f t="shared" ca="1" si="10"/>
        <v/>
      </c>
      <c r="AK64" s="296" t="str" cm="1">
        <f t="array" aca="1" ref="AK64" ca="1">IF($H64&lt;&gt;"",IF(INDIRECT($H64&amp;"!"&amp;$AI64&amp;($AJ64+AK$15+1))&lt;&gt;"",INDIRECT($H64&amp;"!"&amp;$AI64&amp;($AJ64+AK$15+1)),""),"")</f>
        <v/>
      </c>
      <c r="AL64" s="296" t="str" cm="1">
        <f t="array" aca="1" ref="AL64" ca="1">IF($H64&lt;&gt;"",IF(INDIRECT($H64&amp;"!"&amp;$AI64&amp;($AJ64+AL$15+1))&lt;&gt;"",INDIRECT($H64&amp;"!"&amp;$AI64&amp;($AJ64+AL$15+1)),""),"")</f>
        <v/>
      </c>
      <c r="AM64" s="296" t="str" cm="1">
        <f t="array" aca="1" ref="AM64" ca="1">IF($H64&lt;&gt;"",IF(INDIRECT($H64&amp;"!"&amp;$AI64&amp;($AJ64+AM$15+1))&lt;&gt;"",INDIRECT($H64&amp;"!"&amp;$AI64&amp;($AJ64+AM$15+1)),""),"")</f>
        <v/>
      </c>
      <c r="AN64" s="296" t="str" cm="1">
        <f t="array" aca="1" ref="AN64" ca="1">IF($H64&lt;&gt;"",IF(INDIRECT($H64&amp;"!"&amp;$AI64&amp;($AJ64+AN$15+1))&lt;&gt;"",INDIRECT($H64&amp;"!"&amp;$AI64&amp;($AJ64+AN$15+1)),""),"")</f>
        <v/>
      </c>
      <c r="AO64" s="296" t="str" cm="1">
        <f t="array" aca="1" ref="AO64" ca="1">IF(LEFT($J64,5)="Sonde","",IF($H64&lt;&gt;"",IF(INDIRECT($H64&amp;"!"&amp;$AI64&amp;($AJ64+AO$15+1))&lt;&gt;"",INDIRECT($H64&amp;"!"&amp;$AI64&amp;($AJ64+AO$15+1)),""),""))</f>
        <v/>
      </c>
      <c r="AP64" s="296" t="str" cm="1">
        <f t="array" aca="1" ref="AP64" ca="1">IF(OR($J64="Pluviomètre",LEFT($J64,5)="Sonde"),"",IF($H64&lt;&gt;"",IF(INDIRECT($H64&amp;"!"&amp;$AI64&amp;($AJ64+AP$15+1))&lt;&gt;"",INDIRECT($H64&amp;"!"&amp;$AI64&amp;($AJ64+AP$15+1)),""),""))</f>
        <v/>
      </c>
      <c r="AQ64" s="296" t="str" cm="1">
        <f t="array" aca="1" ref="AQ64" ca="1">IF(OR($J64="Pluviomètre",LEFT($J64,5)="Sonde"),"",IF($H64&lt;&gt;"",IF(INDIRECT($H64&amp;"!"&amp;$AI64&amp;($AJ64+AQ$15+1))&lt;&gt;"",INDIRECT($H64&amp;"!"&amp;$AI64&amp;($AJ64+AQ$15+1)),""),""))</f>
        <v/>
      </c>
      <c r="AR64" s="296" t="str" cm="1">
        <f t="array" aca="1" ref="AR64" ca="1">IF(OR($J64="Pluviomètre",LEFT($J64,5)="Sonde"),"",IF($H64&lt;&gt;"",IF(INDIRECT($H64&amp;"!"&amp;$AI64&amp;($AJ64+AR$15+1))&lt;&gt;"",INDIRECT($H64&amp;"!"&amp;$AI64&amp;($AJ64+AR$15+1)),""),""))</f>
        <v/>
      </c>
      <c r="AS64" s="296" t="str" cm="1">
        <f t="array" aca="1" ref="AS64" ca="1">IF(OR($J64="Pluviomètre",LEFT($J64,5)="Sonde"),"",IF($H64&lt;&gt;"",IF(INDIRECT($H64&amp;"!"&amp;$AI64&amp;($AJ64+AS$15+1))&lt;&gt;"",INDIRECT($H64&amp;"!"&amp;$AI64&amp;($AJ64+AS$15+1)),""),""))</f>
        <v/>
      </c>
      <c r="AT64" s="296" t="str" cm="1">
        <f t="array" aca="1" ref="AT64" ca="1">IF(OR($J64="Pluviomètre",LEFT($J64,5)="Sonde"),"",IF($H64&lt;&gt;"",IF(INDIRECT($H64&amp;"!"&amp;$AI64&amp;($AJ64+AT$15+1))&lt;&gt;"",INDIRECT($H64&amp;"!"&amp;$AI64&amp;($AJ64+AT$15+1)),""),""))</f>
        <v/>
      </c>
    </row>
    <row r="65" spans="1:46" x14ac:dyDescent="0.4">
      <c r="A65" s="80">
        <v>50</v>
      </c>
      <c r="B65" s="134" t="b">
        <f t="shared" si="6"/>
        <v>0</v>
      </c>
      <c r="C65" s="139" t="str" cm="1">
        <f t="array" aca="1" ref="C65" ca="1">IF(
    AND(
        $B65,
        OR(
            INDIRECT("Descriptif!$M"&amp;($B$1+$A65-1))="Préleveur",
            LEFT(INDIRECT("Descriptif!$M"&amp;($B$1+$A65-1)),5)="Sonde",
            LEFT(INDIRECT("Descriptif!$M"&amp;($B$1+$A65-1)),10)="Débitmètre",
            LEFT(INDIRECT("Descriptif!$F"&amp;($B$1+$A65-1)),6)="PLUVIO"
        )
    ),
    INDIRECT("Descriptif!$"&amp;C$15&amp;($B$1 +$A65 -1)),
    ""
)</f>
        <v/>
      </c>
      <c r="D65" s="277" t="str" cm="1">
        <f t="array" aca="1" ref="D65" ca="1">IF(
    AND(
        $B65,
        OR(
            INDIRECT("Descriptif!$M"&amp;($B$1+$A65-1))="Préleveur",
            LEFT(INDIRECT("Descriptif!$M"&amp;($B$1+$A65-1)),5)="Sonde",
            LEFT(INDIRECT("Descriptif!$M"&amp;($B$1+$A65-1)),10)="Débitmètre",
            LEFT(INDIRECT("Descriptif!$F"&amp;($B$1+$A65-1)),6)="PLUVIO"
        )
    ),
    IF(
        LEFT(INDIRECT("Descriptif!$F"&amp;($B$1+$A65-1)),11)="PLUVIO_STEU",
        "A3",
        IF(
            LEFT(INDIRECT("Descriptif!$F"&amp;($B$1+$A65-1)),10)="PLUVIO_SCL",
            "A1",
            INDIRECT("Descriptif!$"&amp;D$15&amp;($B$1 +$A65 -1))
        )
    ),
    ""
)</f>
        <v/>
      </c>
      <c r="E65" s="277" t="str" cm="1">
        <f t="array" aca="1" ref="E65" ca="1">IF(
    AND(
        $B65,
        OR(
            INDIRECT("Descriptif!$M"&amp;($B$1+$A65-1))="Préleveur",
            LEFT(INDIRECT("Descriptif!$M"&amp;($B$1+$A65-1)),5)="Sonde",
            LEFT(INDIRECT("Descriptif!$M"&amp;($B$1+$A65-1)),10)="Débitmètre",
            LEFT(INDIRECT("Descriptif!$F"&amp;($B$1+$A65-1)),6)="PLUVIO"
        )
    ),
    IF(LEFT(INDIRECT("Descriptif!$F"&amp;($B$1+$A65-1)),6)="PLUVIO","Pluviomètre",INDIRECT("Descriptif!$"&amp;E$15&amp;($B$1 +$A65 -1))),
    ""
)</f>
        <v/>
      </c>
      <c r="F65" s="19" t="str" cm="1">
        <f t="array" aca="1" ref="F65" ca="1">IF(
    AND(
        $B65,
        OR(
            INDIRECT("Descriptif!$M"&amp;($B$1+$A65-1))="Préleveur",
            LEFT(INDIRECT("Descriptif!$M"&amp;($B$1+$A65-1)),5)="Sonde",
            LEFT(INDIRECT("Descriptif!$M"&amp;($B$1+$A65-1)),10)="Débitmètre",
            LEFT(INDIRECT("Descriptif!$F"&amp;($B$1+$A65-1)),6)="PLUVIO"
        )
    ),
    IF(LEFT(INDIRECT("Descriptif!$F"&amp;($B$1+$A65-1)),6)="PLUVIO","Pluviomètre",INDIRECT("Descriptif!$"&amp;F$15&amp;($B$1 +$A65 -1))),
    ""
)</f>
        <v/>
      </c>
      <c r="G65" s="19" t="str" cm="1">
        <f t="array" aca="1" ref="G65" ca="1">IF(
    AND(
        $B65,
        OR(
            INDIRECT("Descriptif!$M"&amp;($B$1+$A65-1))="Préleveur",
            LEFT(INDIRECT("Descriptif!$M"&amp;($B$1+$A65-1)),5)="Sonde",
            LEFT(INDIRECT("Descriptif!$M"&amp;($B$1+$A65-1)),10)="Débitmètre",
            LEFT(INDIRECT("Descriptif!$F"&amp;($B$1+$A65-1)),6)="PLUVIO"
        )
    ),
    IF(LEFT(INDIRECT("Descriptif!$F"&amp;($B$1+$A65-1)),6)="PLUVIO","Pluviomètre",INDIRECT("Descriptif!$"&amp;G$15&amp;($B$1 +$A65 -1))),
    ""
)</f>
        <v/>
      </c>
      <c r="H65" s="141" t="str" cm="1">
        <f t="array" aca="1" ref="H65" ca="1">IFERROR(INDEX($C$16:$C$116,SMALL(IF($C$16:$C$116&lt;&gt;"",ROW($C$16:$C$116)-ROW($C$16)+1),ROW(A50))),"")</f>
        <v/>
      </c>
      <c r="I65" s="140" t="str" cm="1">
        <f t="array" aca="1" ref="I65" ca="1">IFERROR(INDEX($D$16:$D$116,SMALL(IF($D$16:$D$116&lt;&gt;"",ROW($D$16:$D$116)-ROW($D$16)+1),ROW(A50))),"")</f>
        <v/>
      </c>
      <c r="J65" s="140" t="str" cm="1">
        <f t="array" aca="1" ref="J65" ca="1">IFERROR(INDEX($E$16:$E$116,SMALL(IF($E$16:$E$116&lt;&gt;"",ROW($E$16:$E$116)-ROW($E$16)+1),ROW(A50))),"")</f>
        <v/>
      </c>
      <c r="K65" s="140" t="str" cm="1">
        <f t="array" aca="1" ref="K65" ca="1">IFERROR(INDEX($F$16:$F$116,SMALL(IF($F$16:$F$116&lt;&gt;"",ROW($F$16:$F$116)-ROW($F$16)+1),ROW(A50))),"")</f>
        <v/>
      </c>
      <c r="L65" s="140" t="str">
        <f t="shared" ca="1" si="11"/>
        <v/>
      </c>
      <c r="M65" s="140" t="str" cm="1">
        <f t="array" aca="1" ref="M65" ca="1">IFERROR(INDEX($G$16:$G$116,SMALL(IF($G$16:$G$116&lt;&gt;"",ROW($G$16:$G$116)-ROW($G$16)+1),ROW(A50))),"")</f>
        <v/>
      </c>
      <c r="N65" s="145" t="str">
        <f t="shared" ca="1" si="12"/>
        <v/>
      </c>
      <c r="O65" s="146" t="str">
        <f t="shared" ca="1" si="13"/>
        <v/>
      </c>
      <c r="P65" s="146" t="str" cm="1">
        <f t="array" aca="1" ref="P65" ca="1">IF($J65&lt;&gt;"",IF(INDIRECT($H65&amp;"!"&amp;$O65)&lt;&gt;"",INDIRECT($H65&amp;"!"&amp;$O65),""),"")</f>
        <v/>
      </c>
      <c r="Q65" s="146" t="str">
        <f t="shared" ca="1" si="14"/>
        <v/>
      </c>
      <c r="R65" s="146" t="str" cm="1">
        <f t="array" aca="1" ref="R65" ca="1">IF($J65&lt;&gt;"",IF(INDIRECT($H65&amp;"!"&amp;$Q65)&lt;&gt;"",INDIRECT($H65&amp;"!"&amp;$Q65),""),"")</f>
        <v/>
      </c>
      <c r="S65" s="146" t="str">
        <f t="shared" ca="1" si="15"/>
        <v/>
      </c>
      <c r="T65" s="146" t="str" cm="1">
        <f t="array" aca="1" ref="T65" ca="1">IF($J65&lt;&gt;"",IF(INDIRECT($H65&amp;"!"&amp;$S65)&lt;&gt;"",INDIRECT($H65&amp;"!"&amp;$S65),""),"")</f>
        <v/>
      </c>
      <c r="U65" s="146" t="str">
        <f t="shared" ca="1" si="16"/>
        <v/>
      </c>
      <c r="V65" s="147" t="str" cm="1">
        <f t="array" aca="1" ref="V65" ca="1">IF($J65&lt;&gt;"",IF(INDIRECT($H65&amp;"!"&amp;$U65)&lt;&gt;"",INDIRECT($H65&amp;"!"&amp;$U65),""),"")</f>
        <v/>
      </c>
      <c r="W65" s="294" t="str">
        <f t="shared" ca="1" si="7"/>
        <v/>
      </c>
      <c r="X65" s="295" t="str">
        <f t="shared" ca="1" si="8"/>
        <v/>
      </c>
      <c r="Y65" s="296" t="str" cm="1">
        <f t="array" aca="1" ref="Y65" ca="1">IF($H65&lt;&gt;"",IF(INDIRECT($H65&amp;"!"&amp;$W65&amp;($X65+Y$15+1))&lt;&gt;"",INDIRECT($H65&amp;"!"&amp;$W65&amp;($X65+Y$15+1)),""),"")</f>
        <v/>
      </c>
      <c r="Z65" s="296" t="str" cm="1">
        <f t="array" aca="1" ref="Z65" ca="1">IF($H65&lt;&gt;"",IF(INDIRECT($H65&amp;"!"&amp;$W65&amp;($X65+Z$15+1))&lt;&gt;"",INDIRECT($H65&amp;"!"&amp;$W65&amp;($X65+Z$15+1)),""),"")</f>
        <v/>
      </c>
      <c r="AA65" s="296" t="str" cm="1">
        <f t="array" aca="1" ref="AA65" ca="1">IF($H65&lt;&gt;"",IF(INDIRECT($H65&amp;"!"&amp;$W65&amp;($X65+AA$15+1))&lt;&gt;"",INDIRECT($H65&amp;"!"&amp;$W65&amp;($X65+AA$15+1)),""),"")</f>
        <v/>
      </c>
      <c r="AB65" s="296" t="str" cm="1">
        <f t="array" aca="1" ref="AB65" ca="1">IF($H65&lt;&gt;"",IF(INDIRECT($H65&amp;"!"&amp;$W65&amp;($X65+AB$15+1))&lt;&gt;"",INDIRECT($H65&amp;"!"&amp;$W65&amp;($X65+AB$15+1)),""),"")</f>
        <v/>
      </c>
      <c r="AC65" s="296" t="str" cm="1">
        <f t="array" aca="1" ref="AC65" ca="1">IF(LEFT($J65,5)="Sonde","",IF($H65&lt;&gt;"",IF(INDIRECT($H65&amp;"!"&amp;$W65&amp;($X65+AC$15+1))&lt;&gt;"",INDIRECT($H65&amp;"!"&amp;$W65&amp;($X65+AC$15+1)),""),""))</f>
        <v/>
      </c>
      <c r="AD65" s="296" t="str" cm="1">
        <f t="array" aca="1" ref="AD65" ca="1">IF(OR($J65="Pluviomètre",LEFT($J65,5)="Sonde"),"",IF($H65&lt;&gt;"",IF(INDIRECT($H65&amp;"!"&amp;$W65&amp;($X65+AD$15+1))&lt;&gt;"",INDIRECT($H65&amp;"!"&amp;$W65&amp;($X65+AD$15+1)),""),""))</f>
        <v/>
      </c>
      <c r="AE65" s="296" t="str" cm="1">
        <f t="array" aca="1" ref="AE65" ca="1">IF(OR($J65="Pluviomètre",LEFT($J65,5)="Sonde"),"",IF($H65&lt;&gt;"",IF(INDIRECT($H65&amp;"!"&amp;$W65&amp;($X65+AE$15+1))&lt;&gt;"",INDIRECT($H65&amp;"!"&amp;$W65&amp;($X65+AE$15+1)),""),""))</f>
        <v/>
      </c>
      <c r="AF65" s="296" t="str" cm="1">
        <f t="array" aca="1" ref="AF65" ca="1">IF(OR($J65="Pluviomètre",LEFT($J65,5)="Sonde"),"",IF($H65&lt;&gt;"",IF(INDIRECT($H65&amp;"!"&amp;$W65&amp;($X65+AF$15+1))&lt;&gt;"",INDIRECT($H65&amp;"!"&amp;$W65&amp;($X65+AF$15+1)),""),""))</f>
        <v/>
      </c>
      <c r="AG65" s="296" t="str" cm="1">
        <f t="array" aca="1" ref="AG65" ca="1">IF(OR($J65="Pluviomètre",LEFT($J65,5)="Sonde"),"",IF($H65&lt;&gt;"",IF(INDIRECT($H65&amp;"!"&amp;$W65&amp;($X65+AG$15+1))&lt;&gt;"",INDIRECT($H65&amp;"!"&amp;$W65&amp;($X65+AG$15+1)),""),""))</f>
        <v/>
      </c>
      <c r="AH65" s="296" t="str" cm="1">
        <f t="array" aca="1" ref="AH65" ca="1">IF(OR($J65="Pluviomètre",LEFT($J65,5)="Sonde"),"",IF($H65&lt;&gt;"",IF(INDIRECT($H65&amp;"!"&amp;$W65&amp;($X65+AH$15+1))&lt;&gt;"",INDIRECT($H65&amp;"!"&amp;$W65&amp;($X65+AH$15+1)),""),""))</f>
        <v/>
      </c>
      <c r="AI65" s="294" t="str">
        <f t="shared" ca="1" si="9"/>
        <v/>
      </c>
      <c r="AJ65" s="295" t="str">
        <f t="shared" ca="1" si="10"/>
        <v/>
      </c>
      <c r="AK65" s="296" t="str" cm="1">
        <f t="array" aca="1" ref="AK65" ca="1">IF($H65&lt;&gt;"",IF(INDIRECT($H65&amp;"!"&amp;$AI65&amp;($AJ65+AK$15+1))&lt;&gt;"",INDIRECT($H65&amp;"!"&amp;$AI65&amp;($AJ65+AK$15+1)),""),"")</f>
        <v/>
      </c>
      <c r="AL65" s="296" t="str" cm="1">
        <f t="array" aca="1" ref="AL65" ca="1">IF($H65&lt;&gt;"",IF(INDIRECT($H65&amp;"!"&amp;$AI65&amp;($AJ65+AL$15+1))&lt;&gt;"",INDIRECT($H65&amp;"!"&amp;$AI65&amp;($AJ65+AL$15+1)),""),"")</f>
        <v/>
      </c>
      <c r="AM65" s="296" t="str" cm="1">
        <f t="array" aca="1" ref="AM65" ca="1">IF($H65&lt;&gt;"",IF(INDIRECT($H65&amp;"!"&amp;$AI65&amp;($AJ65+AM$15+1))&lt;&gt;"",INDIRECT($H65&amp;"!"&amp;$AI65&amp;($AJ65+AM$15+1)),""),"")</f>
        <v/>
      </c>
      <c r="AN65" s="296" t="str" cm="1">
        <f t="array" aca="1" ref="AN65" ca="1">IF($H65&lt;&gt;"",IF(INDIRECT($H65&amp;"!"&amp;$AI65&amp;($AJ65+AN$15+1))&lt;&gt;"",INDIRECT($H65&amp;"!"&amp;$AI65&amp;($AJ65+AN$15+1)),""),"")</f>
        <v/>
      </c>
      <c r="AO65" s="296" t="str" cm="1">
        <f t="array" aca="1" ref="AO65" ca="1">IF(LEFT($J65,5)="Sonde","",IF($H65&lt;&gt;"",IF(INDIRECT($H65&amp;"!"&amp;$AI65&amp;($AJ65+AO$15+1))&lt;&gt;"",INDIRECT($H65&amp;"!"&amp;$AI65&amp;($AJ65+AO$15+1)),""),""))</f>
        <v/>
      </c>
      <c r="AP65" s="296" t="str" cm="1">
        <f t="array" aca="1" ref="AP65" ca="1">IF(OR($J65="Pluviomètre",LEFT($J65,5)="Sonde"),"",IF($H65&lt;&gt;"",IF(INDIRECT($H65&amp;"!"&amp;$AI65&amp;($AJ65+AP$15+1))&lt;&gt;"",INDIRECT($H65&amp;"!"&amp;$AI65&amp;($AJ65+AP$15+1)),""),""))</f>
        <v/>
      </c>
      <c r="AQ65" s="296" t="str" cm="1">
        <f t="array" aca="1" ref="AQ65" ca="1">IF(OR($J65="Pluviomètre",LEFT($J65,5)="Sonde"),"",IF($H65&lt;&gt;"",IF(INDIRECT($H65&amp;"!"&amp;$AI65&amp;($AJ65+AQ$15+1))&lt;&gt;"",INDIRECT($H65&amp;"!"&amp;$AI65&amp;($AJ65+AQ$15+1)),""),""))</f>
        <v/>
      </c>
      <c r="AR65" s="296" t="str" cm="1">
        <f t="array" aca="1" ref="AR65" ca="1">IF(OR($J65="Pluviomètre",LEFT($J65,5)="Sonde"),"",IF($H65&lt;&gt;"",IF(INDIRECT($H65&amp;"!"&amp;$AI65&amp;($AJ65+AR$15+1))&lt;&gt;"",INDIRECT($H65&amp;"!"&amp;$AI65&amp;($AJ65+AR$15+1)),""),""))</f>
        <v/>
      </c>
      <c r="AS65" s="296" t="str" cm="1">
        <f t="array" aca="1" ref="AS65" ca="1">IF(OR($J65="Pluviomètre",LEFT($J65,5)="Sonde"),"",IF($H65&lt;&gt;"",IF(INDIRECT($H65&amp;"!"&amp;$AI65&amp;($AJ65+AS$15+1))&lt;&gt;"",INDIRECT($H65&amp;"!"&amp;$AI65&amp;($AJ65+AS$15+1)),""),""))</f>
        <v/>
      </c>
      <c r="AT65" s="296" t="str" cm="1">
        <f t="array" aca="1" ref="AT65" ca="1">IF(OR($J65="Pluviomètre",LEFT($J65,5)="Sonde"),"",IF($H65&lt;&gt;"",IF(INDIRECT($H65&amp;"!"&amp;$AI65&amp;($AJ65+AT$15+1))&lt;&gt;"",INDIRECT($H65&amp;"!"&amp;$AI65&amp;($AJ65+AT$15+1)),""),""))</f>
        <v/>
      </c>
    </row>
    <row r="66" spans="1:46" x14ac:dyDescent="0.4">
      <c r="A66" s="80">
        <v>51</v>
      </c>
      <c r="B66" s="134" t="b">
        <f t="shared" si="6"/>
        <v>0</v>
      </c>
      <c r="C66" s="139" t="str" cm="1">
        <f t="array" aca="1" ref="C66" ca="1">IF(
    AND(
        $B66,
        OR(
            INDIRECT("Descriptif!$M"&amp;($B$1+$A66-1))="Préleveur",
            LEFT(INDIRECT("Descriptif!$M"&amp;($B$1+$A66-1)),5)="Sonde",
            LEFT(INDIRECT("Descriptif!$M"&amp;($B$1+$A66-1)),10)="Débitmètre",
            LEFT(INDIRECT("Descriptif!$F"&amp;($B$1+$A66-1)),6)="PLUVIO"
        )
    ),
    INDIRECT("Descriptif!$"&amp;C$15&amp;($B$1 +$A66 -1)),
    ""
)</f>
        <v/>
      </c>
      <c r="D66" s="277" t="str" cm="1">
        <f t="array" aca="1" ref="D66" ca="1">IF(
    AND(
        $B66,
        OR(
            INDIRECT("Descriptif!$M"&amp;($B$1+$A66-1))="Préleveur",
            LEFT(INDIRECT("Descriptif!$M"&amp;($B$1+$A66-1)),5)="Sonde",
            LEFT(INDIRECT("Descriptif!$M"&amp;($B$1+$A66-1)),10)="Débitmètre",
            LEFT(INDIRECT("Descriptif!$F"&amp;($B$1+$A66-1)),6)="PLUVIO"
        )
    ),
    IF(
        LEFT(INDIRECT("Descriptif!$F"&amp;($B$1+$A66-1)),11)="PLUVIO_STEU",
        "A3",
        IF(
            LEFT(INDIRECT("Descriptif!$F"&amp;($B$1+$A66-1)),10)="PLUVIO_SCL",
            "A1",
            INDIRECT("Descriptif!$"&amp;D$15&amp;($B$1 +$A66 -1))
        )
    ),
    ""
)</f>
        <v/>
      </c>
      <c r="E66" s="277" t="str" cm="1">
        <f t="array" aca="1" ref="E66" ca="1">IF(
    AND(
        $B66,
        OR(
            INDIRECT("Descriptif!$M"&amp;($B$1+$A66-1))="Préleveur",
            LEFT(INDIRECT("Descriptif!$M"&amp;($B$1+$A66-1)),5)="Sonde",
            LEFT(INDIRECT("Descriptif!$M"&amp;($B$1+$A66-1)),10)="Débitmètre",
            LEFT(INDIRECT("Descriptif!$F"&amp;($B$1+$A66-1)),6)="PLUVIO"
        )
    ),
    IF(LEFT(INDIRECT("Descriptif!$F"&amp;($B$1+$A66-1)),6)="PLUVIO","Pluviomètre",INDIRECT("Descriptif!$"&amp;E$15&amp;($B$1 +$A66 -1))),
    ""
)</f>
        <v/>
      </c>
      <c r="F66" s="19" t="str" cm="1">
        <f t="array" aca="1" ref="F66" ca="1">IF(
    AND(
        $B66,
        OR(
            INDIRECT("Descriptif!$M"&amp;($B$1+$A66-1))="Préleveur",
            LEFT(INDIRECT("Descriptif!$M"&amp;($B$1+$A66-1)),5)="Sonde",
            LEFT(INDIRECT("Descriptif!$M"&amp;($B$1+$A66-1)),10)="Débitmètre",
            LEFT(INDIRECT("Descriptif!$F"&amp;($B$1+$A66-1)),6)="PLUVIO"
        )
    ),
    IF(LEFT(INDIRECT("Descriptif!$F"&amp;($B$1+$A66-1)),6)="PLUVIO","Pluviomètre",INDIRECT("Descriptif!$"&amp;F$15&amp;($B$1 +$A66 -1))),
    ""
)</f>
        <v/>
      </c>
      <c r="G66" s="19" t="str" cm="1">
        <f t="array" aca="1" ref="G66" ca="1">IF(
    AND(
        $B66,
        OR(
            INDIRECT("Descriptif!$M"&amp;($B$1+$A66-1))="Préleveur",
            LEFT(INDIRECT("Descriptif!$M"&amp;($B$1+$A66-1)),5)="Sonde",
            LEFT(INDIRECT("Descriptif!$M"&amp;($B$1+$A66-1)),10)="Débitmètre",
            LEFT(INDIRECT("Descriptif!$F"&amp;($B$1+$A66-1)),6)="PLUVIO"
        )
    ),
    IF(LEFT(INDIRECT("Descriptif!$F"&amp;($B$1+$A66-1)),6)="PLUVIO","Pluviomètre",INDIRECT("Descriptif!$"&amp;G$15&amp;($B$1 +$A66 -1))),
    ""
)</f>
        <v/>
      </c>
      <c r="H66" s="141" t="str" cm="1">
        <f t="array" aca="1" ref="H66" ca="1">IFERROR(INDEX($C$16:$C$116,SMALL(IF($C$16:$C$116&lt;&gt;"",ROW($C$16:$C$116)-ROW($C$16)+1),ROW(A51))),"")</f>
        <v/>
      </c>
      <c r="I66" s="140" t="str" cm="1">
        <f t="array" aca="1" ref="I66" ca="1">IFERROR(INDEX($D$16:$D$116,SMALL(IF($D$16:$D$116&lt;&gt;"",ROW($D$16:$D$116)-ROW($D$16)+1),ROW(A51))),"")</f>
        <v/>
      </c>
      <c r="J66" s="140" t="str" cm="1">
        <f t="array" aca="1" ref="J66" ca="1">IFERROR(INDEX($E$16:$E$116,SMALL(IF($E$16:$E$116&lt;&gt;"",ROW($E$16:$E$116)-ROW($E$16)+1),ROW(A51))),"")</f>
        <v/>
      </c>
      <c r="K66" s="140" t="str" cm="1">
        <f t="array" aca="1" ref="K66" ca="1">IFERROR(INDEX($F$16:$F$116,SMALL(IF($F$16:$F$116&lt;&gt;"",ROW($F$16:$F$116)-ROW($F$16)+1),ROW(A51))),"")</f>
        <v/>
      </c>
      <c r="L66" s="140" t="str">
        <f t="shared" ca="1" si="11"/>
        <v/>
      </c>
      <c r="M66" s="140" t="str" cm="1">
        <f t="array" aca="1" ref="M66" ca="1">IFERROR(INDEX($G$16:$G$116,SMALL(IF($G$16:$G$116&lt;&gt;"",ROW($G$16:$G$116)-ROW($G$16)+1),ROW(A51))),"")</f>
        <v/>
      </c>
      <c r="N66" s="145" t="str">
        <f t="shared" ca="1" si="12"/>
        <v/>
      </c>
      <c r="O66" s="146" t="str">
        <f t="shared" ca="1" si="13"/>
        <v/>
      </c>
      <c r="P66" s="146" t="str" cm="1">
        <f t="array" aca="1" ref="P66" ca="1">IF($J66&lt;&gt;"",IF(INDIRECT($H66&amp;"!"&amp;$O66)&lt;&gt;"",INDIRECT($H66&amp;"!"&amp;$O66),""),"")</f>
        <v/>
      </c>
      <c r="Q66" s="146" t="str">
        <f t="shared" ca="1" si="14"/>
        <v/>
      </c>
      <c r="R66" s="146" t="str" cm="1">
        <f t="array" aca="1" ref="R66" ca="1">IF($J66&lt;&gt;"",IF(INDIRECT($H66&amp;"!"&amp;$Q66)&lt;&gt;"",INDIRECT($H66&amp;"!"&amp;$Q66),""),"")</f>
        <v/>
      </c>
      <c r="S66" s="146" t="str">
        <f t="shared" ca="1" si="15"/>
        <v/>
      </c>
      <c r="T66" s="146" t="str" cm="1">
        <f t="array" aca="1" ref="T66" ca="1">IF($J66&lt;&gt;"",IF(INDIRECT($H66&amp;"!"&amp;$S66)&lt;&gt;"",INDIRECT($H66&amp;"!"&amp;$S66),""),"")</f>
        <v/>
      </c>
      <c r="U66" s="146" t="str">
        <f t="shared" ca="1" si="16"/>
        <v/>
      </c>
      <c r="V66" s="147" t="str" cm="1">
        <f t="array" aca="1" ref="V66" ca="1">IF($J66&lt;&gt;"",IF(INDIRECT($H66&amp;"!"&amp;$U66)&lt;&gt;"",INDIRECT($H66&amp;"!"&amp;$U66),""),"")</f>
        <v/>
      </c>
      <c r="W66" s="294" t="str">
        <f t="shared" ca="1" si="7"/>
        <v/>
      </c>
      <c r="X66" s="295" t="str">
        <f t="shared" ca="1" si="8"/>
        <v/>
      </c>
      <c r="Y66" s="296" t="str" cm="1">
        <f t="array" aca="1" ref="Y66" ca="1">IF($H66&lt;&gt;"",IF(INDIRECT($H66&amp;"!"&amp;$W66&amp;($X66+Y$15+1))&lt;&gt;"",INDIRECT($H66&amp;"!"&amp;$W66&amp;($X66+Y$15+1)),""),"")</f>
        <v/>
      </c>
      <c r="Z66" s="296" t="str" cm="1">
        <f t="array" aca="1" ref="Z66" ca="1">IF($H66&lt;&gt;"",IF(INDIRECT($H66&amp;"!"&amp;$W66&amp;($X66+Z$15+1))&lt;&gt;"",INDIRECT($H66&amp;"!"&amp;$W66&amp;($X66+Z$15+1)),""),"")</f>
        <v/>
      </c>
      <c r="AA66" s="296" t="str" cm="1">
        <f t="array" aca="1" ref="AA66" ca="1">IF($H66&lt;&gt;"",IF(INDIRECT($H66&amp;"!"&amp;$W66&amp;($X66+AA$15+1))&lt;&gt;"",INDIRECT($H66&amp;"!"&amp;$W66&amp;($X66+AA$15+1)),""),"")</f>
        <v/>
      </c>
      <c r="AB66" s="296" t="str" cm="1">
        <f t="array" aca="1" ref="AB66" ca="1">IF($H66&lt;&gt;"",IF(INDIRECT($H66&amp;"!"&amp;$W66&amp;($X66+AB$15+1))&lt;&gt;"",INDIRECT($H66&amp;"!"&amp;$W66&amp;($X66+AB$15+1)),""),"")</f>
        <v/>
      </c>
      <c r="AC66" s="296" t="str" cm="1">
        <f t="array" aca="1" ref="AC66" ca="1">IF(LEFT($J66,5)="Sonde","",IF($H66&lt;&gt;"",IF(INDIRECT($H66&amp;"!"&amp;$W66&amp;($X66+AC$15+1))&lt;&gt;"",INDIRECT($H66&amp;"!"&amp;$W66&amp;($X66+AC$15+1)),""),""))</f>
        <v/>
      </c>
      <c r="AD66" s="296" t="str" cm="1">
        <f t="array" aca="1" ref="AD66" ca="1">IF(OR($J66="Pluviomètre",LEFT($J66,5)="Sonde"),"",IF($H66&lt;&gt;"",IF(INDIRECT($H66&amp;"!"&amp;$W66&amp;($X66+AD$15+1))&lt;&gt;"",INDIRECT($H66&amp;"!"&amp;$W66&amp;($X66+AD$15+1)),""),""))</f>
        <v/>
      </c>
      <c r="AE66" s="296" t="str" cm="1">
        <f t="array" aca="1" ref="AE66" ca="1">IF(OR($J66="Pluviomètre",LEFT($J66,5)="Sonde"),"",IF($H66&lt;&gt;"",IF(INDIRECT($H66&amp;"!"&amp;$W66&amp;($X66+AE$15+1))&lt;&gt;"",INDIRECT($H66&amp;"!"&amp;$W66&amp;($X66+AE$15+1)),""),""))</f>
        <v/>
      </c>
      <c r="AF66" s="296" t="str" cm="1">
        <f t="array" aca="1" ref="AF66" ca="1">IF(OR($J66="Pluviomètre",LEFT($J66,5)="Sonde"),"",IF($H66&lt;&gt;"",IF(INDIRECT($H66&amp;"!"&amp;$W66&amp;($X66+AF$15+1))&lt;&gt;"",INDIRECT($H66&amp;"!"&amp;$W66&amp;($X66+AF$15+1)),""),""))</f>
        <v/>
      </c>
      <c r="AG66" s="296" t="str" cm="1">
        <f t="array" aca="1" ref="AG66" ca="1">IF(OR($J66="Pluviomètre",LEFT($J66,5)="Sonde"),"",IF($H66&lt;&gt;"",IF(INDIRECT($H66&amp;"!"&amp;$W66&amp;($X66+AG$15+1))&lt;&gt;"",INDIRECT($H66&amp;"!"&amp;$W66&amp;($X66+AG$15+1)),""),""))</f>
        <v/>
      </c>
      <c r="AH66" s="296" t="str" cm="1">
        <f t="array" aca="1" ref="AH66" ca="1">IF(OR($J66="Pluviomètre",LEFT($J66,5)="Sonde"),"",IF($H66&lt;&gt;"",IF(INDIRECT($H66&amp;"!"&amp;$W66&amp;($X66+AH$15+1))&lt;&gt;"",INDIRECT($H66&amp;"!"&amp;$W66&amp;($X66+AH$15+1)),""),""))</f>
        <v/>
      </c>
      <c r="AI66" s="294" t="str">
        <f t="shared" ca="1" si="9"/>
        <v/>
      </c>
      <c r="AJ66" s="295" t="str">
        <f t="shared" ca="1" si="10"/>
        <v/>
      </c>
      <c r="AK66" s="296" t="str" cm="1">
        <f t="array" aca="1" ref="AK66" ca="1">IF($H66&lt;&gt;"",IF(INDIRECT($H66&amp;"!"&amp;$AI66&amp;($AJ66+AK$15+1))&lt;&gt;"",INDIRECT($H66&amp;"!"&amp;$AI66&amp;($AJ66+AK$15+1)),""),"")</f>
        <v/>
      </c>
      <c r="AL66" s="296" t="str" cm="1">
        <f t="array" aca="1" ref="AL66" ca="1">IF($H66&lt;&gt;"",IF(INDIRECT($H66&amp;"!"&amp;$AI66&amp;($AJ66+AL$15+1))&lt;&gt;"",INDIRECT($H66&amp;"!"&amp;$AI66&amp;($AJ66+AL$15+1)),""),"")</f>
        <v/>
      </c>
      <c r="AM66" s="296" t="str" cm="1">
        <f t="array" aca="1" ref="AM66" ca="1">IF($H66&lt;&gt;"",IF(INDIRECT($H66&amp;"!"&amp;$AI66&amp;($AJ66+AM$15+1))&lt;&gt;"",INDIRECT($H66&amp;"!"&amp;$AI66&amp;($AJ66+AM$15+1)),""),"")</f>
        <v/>
      </c>
      <c r="AN66" s="296" t="str" cm="1">
        <f t="array" aca="1" ref="AN66" ca="1">IF($H66&lt;&gt;"",IF(INDIRECT($H66&amp;"!"&amp;$AI66&amp;($AJ66+AN$15+1))&lt;&gt;"",INDIRECT($H66&amp;"!"&amp;$AI66&amp;($AJ66+AN$15+1)),""),"")</f>
        <v/>
      </c>
      <c r="AO66" s="296" t="str" cm="1">
        <f t="array" aca="1" ref="AO66" ca="1">IF(LEFT($J66,5)="Sonde","",IF($H66&lt;&gt;"",IF(INDIRECT($H66&amp;"!"&amp;$AI66&amp;($AJ66+AO$15+1))&lt;&gt;"",INDIRECT($H66&amp;"!"&amp;$AI66&amp;($AJ66+AO$15+1)),""),""))</f>
        <v/>
      </c>
      <c r="AP66" s="296" t="str" cm="1">
        <f t="array" aca="1" ref="AP66" ca="1">IF(OR($J66="Pluviomètre",LEFT($J66,5)="Sonde"),"",IF($H66&lt;&gt;"",IF(INDIRECT($H66&amp;"!"&amp;$AI66&amp;($AJ66+AP$15+1))&lt;&gt;"",INDIRECT($H66&amp;"!"&amp;$AI66&amp;($AJ66+AP$15+1)),""),""))</f>
        <v/>
      </c>
      <c r="AQ66" s="296" t="str" cm="1">
        <f t="array" aca="1" ref="AQ66" ca="1">IF(OR($J66="Pluviomètre",LEFT($J66,5)="Sonde"),"",IF($H66&lt;&gt;"",IF(INDIRECT($H66&amp;"!"&amp;$AI66&amp;($AJ66+AQ$15+1))&lt;&gt;"",INDIRECT($H66&amp;"!"&amp;$AI66&amp;($AJ66+AQ$15+1)),""),""))</f>
        <v/>
      </c>
      <c r="AR66" s="296" t="str" cm="1">
        <f t="array" aca="1" ref="AR66" ca="1">IF(OR($J66="Pluviomètre",LEFT($J66,5)="Sonde"),"",IF($H66&lt;&gt;"",IF(INDIRECT($H66&amp;"!"&amp;$AI66&amp;($AJ66+AR$15+1))&lt;&gt;"",INDIRECT($H66&amp;"!"&amp;$AI66&amp;($AJ66+AR$15+1)),""),""))</f>
        <v/>
      </c>
      <c r="AS66" s="296" t="str" cm="1">
        <f t="array" aca="1" ref="AS66" ca="1">IF(OR($J66="Pluviomètre",LEFT($J66,5)="Sonde"),"",IF($H66&lt;&gt;"",IF(INDIRECT($H66&amp;"!"&amp;$AI66&amp;($AJ66+AS$15+1))&lt;&gt;"",INDIRECT($H66&amp;"!"&amp;$AI66&amp;($AJ66+AS$15+1)),""),""))</f>
        <v/>
      </c>
      <c r="AT66" s="296" t="str" cm="1">
        <f t="array" aca="1" ref="AT66" ca="1">IF(OR($J66="Pluviomètre",LEFT($J66,5)="Sonde"),"",IF($H66&lt;&gt;"",IF(INDIRECT($H66&amp;"!"&amp;$AI66&amp;($AJ66+AT$15+1))&lt;&gt;"",INDIRECT($H66&amp;"!"&amp;$AI66&amp;($AJ66+AT$15+1)),""),""))</f>
        <v/>
      </c>
    </row>
    <row r="67" spans="1:46" x14ac:dyDescent="0.4">
      <c r="A67" s="80">
        <v>52</v>
      </c>
      <c r="B67" s="134" t="b">
        <f t="shared" si="6"/>
        <v>0</v>
      </c>
      <c r="C67" s="139" t="str" cm="1">
        <f t="array" aca="1" ref="C67" ca="1">IF(
    AND(
        $B67,
        OR(
            INDIRECT("Descriptif!$M"&amp;($B$1+$A67-1))="Préleveur",
            LEFT(INDIRECT("Descriptif!$M"&amp;($B$1+$A67-1)),5)="Sonde",
            LEFT(INDIRECT("Descriptif!$M"&amp;($B$1+$A67-1)),10)="Débitmètre",
            LEFT(INDIRECT("Descriptif!$F"&amp;($B$1+$A67-1)),6)="PLUVIO"
        )
    ),
    INDIRECT("Descriptif!$"&amp;C$15&amp;($B$1 +$A67 -1)),
    ""
)</f>
        <v/>
      </c>
      <c r="D67" s="277" t="str" cm="1">
        <f t="array" aca="1" ref="D67" ca="1">IF(
    AND(
        $B67,
        OR(
            INDIRECT("Descriptif!$M"&amp;($B$1+$A67-1))="Préleveur",
            LEFT(INDIRECT("Descriptif!$M"&amp;($B$1+$A67-1)),5)="Sonde",
            LEFT(INDIRECT("Descriptif!$M"&amp;($B$1+$A67-1)),10)="Débitmètre",
            LEFT(INDIRECT("Descriptif!$F"&amp;($B$1+$A67-1)),6)="PLUVIO"
        )
    ),
    IF(
        LEFT(INDIRECT("Descriptif!$F"&amp;($B$1+$A67-1)),11)="PLUVIO_STEU",
        "A3",
        IF(
            LEFT(INDIRECT("Descriptif!$F"&amp;($B$1+$A67-1)),10)="PLUVIO_SCL",
            "A1",
            INDIRECT("Descriptif!$"&amp;D$15&amp;($B$1 +$A67 -1))
        )
    ),
    ""
)</f>
        <v/>
      </c>
      <c r="E67" s="277" t="str" cm="1">
        <f t="array" aca="1" ref="E67" ca="1">IF(
    AND(
        $B67,
        OR(
            INDIRECT("Descriptif!$M"&amp;($B$1+$A67-1))="Préleveur",
            LEFT(INDIRECT("Descriptif!$M"&amp;($B$1+$A67-1)),5)="Sonde",
            LEFT(INDIRECT("Descriptif!$M"&amp;($B$1+$A67-1)),10)="Débitmètre",
            LEFT(INDIRECT("Descriptif!$F"&amp;($B$1+$A67-1)),6)="PLUVIO"
        )
    ),
    IF(LEFT(INDIRECT("Descriptif!$F"&amp;($B$1+$A67-1)),6)="PLUVIO","Pluviomètre",INDIRECT("Descriptif!$"&amp;E$15&amp;($B$1 +$A67 -1))),
    ""
)</f>
        <v/>
      </c>
      <c r="F67" s="19" t="str" cm="1">
        <f t="array" aca="1" ref="F67" ca="1">IF(
    AND(
        $B67,
        OR(
            INDIRECT("Descriptif!$M"&amp;($B$1+$A67-1))="Préleveur",
            LEFT(INDIRECT("Descriptif!$M"&amp;($B$1+$A67-1)),5)="Sonde",
            LEFT(INDIRECT("Descriptif!$M"&amp;($B$1+$A67-1)),10)="Débitmètre",
            LEFT(INDIRECT("Descriptif!$F"&amp;($B$1+$A67-1)),6)="PLUVIO"
        )
    ),
    IF(LEFT(INDIRECT("Descriptif!$F"&amp;($B$1+$A67-1)),6)="PLUVIO","Pluviomètre",INDIRECT("Descriptif!$"&amp;F$15&amp;($B$1 +$A67 -1))),
    ""
)</f>
        <v/>
      </c>
      <c r="G67" s="19" t="str" cm="1">
        <f t="array" aca="1" ref="G67" ca="1">IF(
    AND(
        $B67,
        OR(
            INDIRECT("Descriptif!$M"&amp;($B$1+$A67-1))="Préleveur",
            LEFT(INDIRECT("Descriptif!$M"&amp;($B$1+$A67-1)),5)="Sonde",
            LEFT(INDIRECT("Descriptif!$M"&amp;($B$1+$A67-1)),10)="Débitmètre",
            LEFT(INDIRECT("Descriptif!$F"&amp;($B$1+$A67-1)),6)="PLUVIO"
        )
    ),
    IF(LEFT(INDIRECT("Descriptif!$F"&amp;($B$1+$A67-1)),6)="PLUVIO","Pluviomètre",INDIRECT("Descriptif!$"&amp;G$15&amp;($B$1 +$A67 -1))),
    ""
)</f>
        <v/>
      </c>
      <c r="H67" s="141" t="str" cm="1">
        <f t="array" aca="1" ref="H67" ca="1">IFERROR(INDEX($C$16:$C$116,SMALL(IF($C$16:$C$116&lt;&gt;"",ROW($C$16:$C$116)-ROW($C$16)+1),ROW(A52))),"")</f>
        <v/>
      </c>
      <c r="I67" s="140" t="str" cm="1">
        <f t="array" aca="1" ref="I67" ca="1">IFERROR(INDEX($D$16:$D$116,SMALL(IF($D$16:$D$116&lt;&gt;"",ROW($D$16:$D$116)-ROW($D$16)+1),ROW(A52))),"")</f>
        <v/>
      </c>
      <c r="J67" s="140" t="str" cm="1">
        <f t="array" aca="1" ref="J67" ca="1">IFERROR(INDEX($E$16:$E$116,SMALL(IF($E$16:$E$116&lt;&gt;"",ROW($E$16:$E$116)-ROW($E$16)+1),ROW(A52))),"")</f>
        <v/>
      </c>
      <c r="K67" s="140" t="str" cm="1">
        <f t="array" aca="1" ref="K67" ca="1">IFERROR(INDEX($F$16:$F$116,SMALL(IF($F$16:$F$116&lt;&gt;"",ROW($F$16:$F$116)-ROW($F$16)+1),ROW(A52))),"")</f>
        <v/>
      </c>
      <c r="L67" s="140" t="str">
        <f t="shared" ca="1" si="11"/>
        <v/>
      </c>
      <c r="M67" s="140" t="str" cm="1">
        <f t="array" aca="1" ref="M67" ca="1">IFERROR(INDEX($G$16:$G$116,SMALL(IF($G$16:$G$116&lt;&gt;"",ROW($G$16:$G$116)-ROW($G$16)+1),ROW(A52))),"")</f>
        <v/>
      </c>
      <c r="N67" s="145" t="str">
        <f t="shared" ca="1" si="12"/>
        <v/>
      </c>
      <c r="O67" s="146" t="str">
        <f t="shared" ca="1" si="13"/>
        <v/>
      </c>
      <c r="P67" s="146" t="str" cm="1">
        <f t="array" aca="1" ref="P67" ca="1">IF($J67&lt;&gt;"",IF(INDIRECT($H67&amp;"!"&amp;$O67)&lt;&gt;"",INDIRECT($H67&amp;"!"&amp;$O67),""),"")</f>
        <v/>
      </c>
      <c r="Q67" s="146" t="str">
        <f t="shared" ca="1" si="14"/>
        <v/>
      </c>
      <c r="R67" s="146" t="str" cm="1">
        <f t="array" aca="1" ref="R67" ca="1">IF($J67&lt;&gt;"",IF(INDIRECT($H67&amp;"!"&amp;$Q67)&lt;&gt;"",INDIRECT($H67&amp;"!"&amp;$Q67),""),"")</f>
        <v/>
      </c>
      <c r="S67" s="146" t="str">
        <f t="shared" ca="1" si="15"/>
        <v/>
      </c>
      <c r="T67" s="146" t="str" cm="1">
        <f t="array" aca="1" ref="T67" ca="1">IF($J67&lt;&gt;"",IF(INDIRECT($H67&amp;"!"&amp;$S67)&lt;&gt;"",INDIRECT($H67&amp;"!"&amp;$S67),""),"")</f>
        <v/>
      </c>
      <c r="U67" s="146" t="str">
        <f t="shared" ca="1" si="16"/>
        <v/>
      </c>
      <c r="V67" s="147" t="str" cm="1">
        <f t="array" aca="1" ref="V67" ca="1">IF($J67&lt;&gt;"",IF(INDIRECT($H67&amp;"!"&amp;$U67)&lt;&gt;"",INDIRECT($H67&amp;"!"&amp;$U67),""),"")</f>
        <v/>
      </c>
      <c r="W67" s="294" t="str">
        <f t="shared" ca="1" si="7"/>
        <v/>
      </c>
      <c r="X67" s="295" t="str">
        <f t="shared" ca="1" si="8"/>
        <v/>
      </c>
      <c r="Y67" s="296" t="str" cm="1">
        <f t="array" aca="1" ref="Y67" ca="1">IF($H67&lt;&gt;"",IF(INDIRECT($H67&amp;"!"&amp;$W67&amp;($X67+Y$15+1))&lt;&gt;"",INDIRECT($H67&amp;"!"&amp;$W67&amp;($X67+Y$15+1)),""),"")</f>
        <v/>
      </c>
      <c r="Z67" s="296" t="str" cm="1">
        <f t="array" aca="1" ref="Z67" ca="1">IF($H67&lt;&gt;"",IF(INDIRECT($H67&amp;"!"&amp;$W67&amp;($X67+Z$15+1))&lt;&gt;"",INDIRECT($H67&amp;"!"&amp;$W67&amp;($X67+Z$15+1)),""),"")</f>
        <v/>
      </c>
      <c r="AA67" s="296" t="str" cm="1">
        <f t="array" aca="1" ref="AA67" ca="1">IF($H67&lt;&gt;"",IF(INDIRECT($H67&amp;"!"&amp;$W67&amp;($X67+AA$15+1))&lt;&gt;"",INDIRECT($H67&amp;"!"&amp;$W67&amp;($X67+AA$15+1)),""),"")</f>
        <v/>
      </c>
      <c r="AB67" s="296" t="str" cm="1">
        <f t="array" aca="1" ref="AB67" ca="1">IF($H67&lt;&gt;"",IF(INDIRECT($H67&amp;"!"&amp;$W67&amp;($X67+AB$15+1))&lt;&gt;"",INDIRECT($H67&amp;"!"&amp;$W67&amp;($X67+AB$15+1)),""),"")</f>
        <v/>
      </c>
      <c r="AC67" s="296" t="str" cm="1">
        <f t="array" aca="1" ref="AC67" ca="1">IF(LEFT($J67,5)="Sonde","",IF($H67&lt;&gt;"",IF(INDIRECT($H67&amp;"!"&amp;$W67&amp;($X67+AC$15+1))&lt;&gt;"",INDIRECT($H67&amp;"!"&amp;$W67&amp;($X67+AC$15+1)),""),""))</f>
        <v/>
      </c>
      <c r="AD67" s="296" t="str" cm="1">
        <f t="array" aca="1" ref="AD67" ca="1">IF(OR($J67="Pluviomètre",LEFT($J67,5)="Sonde"),"",IF($H67&lt;&gt;"",IF(INDIRECT($H67&amp;"!"&amp;$W67&amp;($X67+AD$15+1))&lt;&gt;"",INDIRECT($H67&amp;"!"&amp;$W67&amp;($X67+AD$15+1)),""),""))</f>
        <v/>
      </c>
      <c r="AE67" s="296" t="str" cm="1">
        <f t="array" aca="1" ref="AE67" ca="1">IF(OR($J67="Pluviomètre",LEFT($J67,5)="Sonde"),"",IF($H67&lt;&gt;"",IF(INDIRECT($H67&amp;"!"&amp;$W67&amp;($X67+AE$15+1))&lt;&gt;"",INDIRECT($H67&amp;"!"&amp;$W67&amp;($X67+AE$15+1)),""),""))</f>
        <v/>
      </c>
      <c r="AF67" s="296" t="str" cm="1">
        <f t="array" aca="1" ref="AF67" ca="1">IF(OR($J67="Pluviomètre",LEFT($J67,5)="Sonde"),"",IF($H67&lt;&gt;"",IF(INDIRECT($H67&amp;"!"&amp;$W67&amp;($X67+AF$15+1))&lt;&gt;"",INDIRECT($H67&amp;"!"&amp;$W67&amp;($X67+AF$15+1)),""),""))</f>
        <v/>
      </c>
      <c r="AG67" s="296" t="str" cm="1">
        <f t="array" aca="1" ref="AG67" ca="1">IF(OR($J67="Pluviomètre",LEFT($J67,5)="Sonde"),"",IF($H67&lt;&gt;"",IF(INDIRECT($H67&amp;"!"&amp;$W67&amp;($X67+AG$15+1))&lt;&gt;"",INDIRECT($H67&amp;"!"&amp;$W67&amp;($X67+AG$15+1)),""),""))</f>
        <v/>
      </c>
      <c r="AH67" s="296" t="str" cm="1">
        <f t="array" aca="1" ref="AH67" ca="1">IF(OR($J67="Pluviomètre",LEFT($J67,5)="Sonde"),"",IF($H67&lt;&gt;"",IF(INDIRECT($H67&amp;"!"&amp;$W67&amp;($X67+AH$15+1))&lt;&gt;"",INDIRECT($H67&amp;"!"&amp;$W67&amp;($X67+AH$15+1)),""),""))</f>
        <v/>
      </c>
      <c r="AI67" s="294" t="str">
        <f t="shared" ca="1" si="9"/>
        <v/>
      </c>
      <c r="AJ67" s="295" t="str">
        <f t="shared" ca="1" si="10"/>
        <v/>
      </c>
      <c r="AK67" s="296" t="str" cm="1">
        <f t="array" aca="1" ref="AK67" ca="1">IF($H67&lt;&gt;"",IF(INDIRECT($H67&amp;"!"&amp;$AI67&amp;($AJ67+AK$15+1))&lt;&gt;"",INDIRECT($H67&amp;"!"&amp;$AI67&amp;($AJ67+AK$15+1)),""),"")</f>
        <v/>
      </c>
      <c r="AL67" s="296" t="str" cm="1">
        <f t="array" aca="1" ref="AL67" ca="1">IF($H67&lt;&gt;"",IF(INDIRECT($H67&amp;"!"&amp;$AI67&amp;($AJ67+AL$15+1))&lt;&gt;"",INDIRECT($H67&amp;"!"&amp;$AI67&amp;($AJ67+AL$15+1)),""),"")</f>
        <v/>
      </c>
      <c r="AM67" s="296" t="str" cm="1">
        <f t="array" aca="1" ref="AM67" ca="1">IF($H67&lt;&gt;"",IF(INDIRECT($H67&amp;"!"&amp;$AI67&amp;($AJ67+AM$15+1))&lt;&gt;"",INDIRECT($H67&amp;"!"&amp;$AI67&amp;($AJ67+AM$15+1)),""),"")</f>
        <v/>
      </c>
      <c r="AN67" s="296" t="str" cm="1">
        <f t="array" aca="1" ref="AN67" ca="1">IF($H67&lt;&gt;"",IF(INDIRECT($H67&amp;"!"&amp;$AI67&amp;($AJ67+AN$15+1))&lt;&gt;"",INDIRECT($H67&amp;"!"&amp;$AI67&amp;($AJ67+AN$15+1)),""),"")</f>
        <v/>
      </c>
      <c r="AO67" s="296" t="str" cm="1">
        <f t="array" aca="1" ref="AO67" ca="1">IF(LEFT($J67,5)="Sonde","",IF($H67&lt;&gt;"",IF(INDIRECT($H67&amp;"!"&amp;$AI67&amp;($AJ67+AO$15+1))&lt;&gt;"",INDIRECT($H67&amp;"!"&amp;$AI67&amp;($AJ67+AO$15+1)),""),""))</f>
        <v/>
      </c>
      <c r="AP67" s="296" t="str" cm="1">
        <f t="array" aca="1" ref="AP67" ca="1">IF(OR($J67="Pluviomètre",LEFT($J67,5)="Sonde"),"",IF($H67&lt;&gt;"",IF(INDIRECT($H67&amp;"!"&amp;$AI67&amp;($AJ67+AP$15+1))&lt;&gt;"",INDIRECT($H67&amp;"!"&amp;$AI67&amp;($AJ67+AP$15+1)),""),""))</f>
        <v/>
      </c>
      <c r="AQ67" s="296" t="str" cm="1">
        <f t="array" aca="1" ref="AQ67" ca="1">IF(OR($J67="Pluviomètre",LEFT($J67,5)="Sonde"),"",IF($H67&lt;&gt;"",IF(INDIRECT($H67&amp;"!"&amp;$AI67&amp;($AJ67+AQ$15+1))&lt;&gt;"",INDIRECT($H67&amp;"!"&amp;$AI67&amp;($AJ67+AQ$15+1)),""),""))</f>
        <v/>
      </c>
      <c r="AR67" s="296" t="str" cm="1">
        <f t="array" aca="1" ref="AR67" ca="1">IF(OR($J67="Pluviomètre",LEFT($J67,5)="Sonde"),"",IF($H67&lt;&gt;"",IF(INDIRECT($H67&amp;"!"&amp;$AI67&amp;($AJ67+AR$15+1))&lt;&gt;"",INDIRECT($H67&amp;"!"&amp;$AI67&amp;($AJ67+AR$15+1)),""),""))</f>
        <v/>
      </c>
      <c r="AS67" s="296" t="str" cm="1">
        <f t="array" aca="1" ref="AS67" ca="1">IF(OR($J67="Pluviomètre",LEFT($J67,5)="Sonde"),"",IF($H67&lt;&gt;"",IF(INDIRECT($H67&amp;"!"&amp;$AI67&amp;($AJ67+AS$15+1))&lt;&gt;"",INDIRECT($H67&amp;"!"&amp;$AI67&amp;($AJ67+AS$15+1)),""),""))</f>
        <v/>
      </c>
      <c r="AT67" s="296" t="str" cm="1">
        <f t="array" aca="1" ref="AT67" ca="1">IF(OR($J67="Pluviomètre",LEFT($J67,5)="Sonde"),"",IF($H67&lt;&gt;"",IF(INDIRECT($H67&amp;"!"&amp;$AI67&amp;($AJ67+AT$15+1))&lt;&gt;"",INDIRECT($H67&amp;"!"&amp;$AI67&amp;($AJ67+AT$15+1)),""),""))</f>
        <v/>
      </c>
    </row>
    <row r="68" spans="1:46" x14ac:dyDescent="0.4">
      <c r="A68" s="80">
        <v>53</v>
      </c>
      <c r="B68" s="134" t="b">
        <f t="shared" si="6"/>
        <v>0</v>
      </c>
      <c r="C68" s="139" t="str" cm="1">
        <f t="array" aca="1" ref="C68" ca="1">IF(
    AND(
        $B68,
        OR(
            INDIRECT("Descriptif!$M"&amp;($B$1+$A68-1))="Préleveur",
            LEFT(INDIRECT("Descriptif!$M"&amp;($B$1+$A68-1)),5)="Sonde",
            LEFT(INDIRECT("Descriptif!$M"&amp;($B$1+$A68-1)),10)="Débitmètre",
            LEFT(INDIRECT("Descriptif!$F"&amp;($B$1+$A68-1)),6)="PLUVIO"
        )
    ),
    INDIRECT("Descriptif!$"&amp;C$15&amp;($B$1 +$A68 -1)),
    ""
)</f>
        <v/>
      </c>
      <c r="D68" s="277" t="str" cm="1">
        <f t="array" aca="1" ref="D68" ca="1">IF(
    AND(
        $B68,
        OR(
            INDIRECT("Descriptif!$M"&amp;($B$1+$A68-1))="Préleveur",
            LEFT(INDIRECT("Descriptif!$M"&amp;($B$1+$A68-1)),5)="Sonde",
            LEFT(INDIRECT("Descriptif!$M"&amp;($B$1+$A68-1)),10)="Débitmètre",
            LEFT(INDIRECT("Descriptif!$F"&amp;($B$1+$A68-1)),6)="PLUVIO"
        )
    ),
    IF(
        LEFT(INDIRECT("Descriptif!$F"&amp;($B$1+$A68-1)),11)="PLUVIO_STEU",
        "A3",
        IF(
            LEFT(INDIRECT("Descriptif!$F"&amp;($B$1+$A68-1)),10)="PLUVIO_SCL",
            "A1",
            INDIRECT("Descriptif!$"&amp;D$15&amp;($B$1 +$A68 -1))
        )
    ),
    ""
)</f>
        <v/>
      </c>
      <c r="E68" s="277" t="str" cm="1">
        <f t="array" aca="1" ref="E68" ca="1">IF(
    AND(
        $B68,
        OR(
            INDIRECT("Descriptif!$M"&amp;($B$1+$A68-1))="Préleveur",
            LEFT(INDIRECT("Descriptif!$M"&amp;($B$1+$A68-1)),5)="Sonde",
            LEFT(INDIRECT("Descriptif!$M"&amp;($B$1+$A68-1)),10)="Débitmètre",
            LEFT(INDIRECT("Descriptif!$F"&amp;($B$1+$A68-1)),6)="PLUVIO"
        )
    ),
    IF(LEFT(INDIRECT("Descriptif!$F"&amp;($B$1+$A68-1)),6)="PLUVIO","Pluviomètre",INDIRECT("Descriptif!$"&amp;E$15&amp;($B$1 +$A68 -1))),
    ""
)</f>
        <v/>
      </c>
      <c r="F68" s="19" t="str" cm="1">
        <f t="array" aca="1" ref="F68" ca="1">IF(
    AND(
        $B68,
        OR(
            INDIRECT("Descriptif!$M"&amp;($B$1+$A68-1))="Préleveur",
            LEFT(INDIRECT("Descriptif!$M"&amp;($B$1+$A68-1)),5)="Sonde",
            LEFT(INDIRECT("Descriptif!$M"&amp;($B$1+$A68-1)),10)="Débitmètre",
            LEFT(INDIRECT("Descriptif!$F"&amp;($B$1+$A68-1)),6)="PLUVIO"
        )
    ),
    IF(LEFT(INDIRECT("Descriptif!$F"&amp;($B$1+$A68-1)),6)="PLUVIO","Pluviomètre",INDIRECT("Descriptif!$"&amp;F$15&amp;($B$1 +$A68 -1))),
    ""
)</f>
        <v/>
      </c>
      <c r="G68" s="19" t="str" cm="1">
        <f t="array" aca="1" ref="G68" ca="1">IF(
    AND(
        $B68,
        OR(
            INDIRECT("Descriptif!$M"&amp;($B$1+$A68-1))="Préleveur",
            LEFT(INDIRECT("Descriptif!$M"&amp;($B$1+$A68-1)),5)="Sonde",
            LEFT(INDIRECT("Descriptif!$M"&amp;($B$1+$A68-1)),10)="Débitmètre",
            LEFT(INDIRECT("Descriptif!$F"&amp;($B$1+$A68-1)),6)="PLUVIO"
        )
    ),
    IF(LEFT(INDIRECT("Descriptif!$F"&amp;($B$1+$A68-1)),6)="PLUVIO","Pluviomètre",INDIRECT("Descriptif!$"&amp;G$15&amp;($B$1 +$A68 -1))),
    ""
)</f>
        <v/>
      </c>
      <c r="H68" s="141" t="str" cm="1">
        <f t="array" aca="1" ref="H68" ca="1">IFERROR(INDEX($C$16:$C$116,SMALL(IF($C$16:$C$116&lt;&gt;"",ROW($C$16:$C$116)-ROW($C$16)+1),ROW(A53))),"")</f>
        <v/>
      </c>
      <c r="I68" s="140" t="str" cm="1">
        <f t="array" aca="1" ref="I68" ca="1">IFERROR(INDEX($D$16:$D$116,SMALL(IF($D$16:$D$116&lt;&gt;"",ROW($D$16:$D$116)-ROW($D$16)+1),ROW(A53))),"")</f>
        <v/>
      </c>
      <c r="J68" s="140" t="str" cm="1">
        <f t="array" aca="1" ref="J68" ca="1">IFERROR(INDEX($E$16:$E$116,SMALL(IF($E$16:$E$116&lt;&gt;"",ROW($E$16:$E$116)-ROW($E$16)+1),ROW(A53))),"")</f>
        <v/>
      </c>
      <c r="K68" s="140" t="str" cm="1">
        <f t="array" aca="1" ref="K68" ca="1">IFERROR(INDEX($F$16:$F$116,SMALL(IF($F$16:$F$116&lt;&gt;"",ROW($F$16:$F$116)-ROW($F$16)+1),ROW(A53))),"")</f>
        <v/>
      </c>
      <c r="L68" s="140" t="str">
        <f t="shared" ca="1" si="11"/>
        <v/>
      </c>
      <c r="M68" s="140" t="str" cm="1">
        <f t="array" aca="1" ref="M68" ca="1">IFERROR(INDEX($G$16:$G$116,SMALL(IF($G$16:$G$116&lt;&gt;"",ROW($G$16:$G$116)-ROW($G$16)+1),ROW(A53))),"")</f>
        <v/>
      </c>
      <c r="N68" s="145" t="str">
        <f t="shared" ca="1" si="12"/>
        <v/>
      </c>
      <c r="O68" s="146" t="str">
        <f t="shared" ca="1" si="13"/>
        <v/>
      </c>
      <c r="P68" s="146" t="str" cm="1">
        <f t="array" aca="1" ref="P68" ca="1">IF($J68&lt;&gt;"",IF(INDIRECT($H68&amp;"!"&amp;$O68)&lt;&gt;"",INDIRECT($H68&amp;"!"&amp;$O68),""),"")</f>
        <v/>
      </c>
      <c r="Q68" s="146" t="str">
        <f t="shared" ca="1" si="14"/>
        <v/>
      </c>
      <c r="R68" s="146" t="str" cm="1">
        <f t="array" aca="1" ref="R68" ca="1">IF($J68&lt;&gt;"",IF(INDIRECT($H68&amp;"!"&amp;$Q68)&lt;&gt;"",INDIRECT($H68&amp;"!"&amp;$Q68),""),"")</f>
        <v/>
      </c>
      <c r="S68" s="146" t="str">
        <f t="shared" ca="1" si="15"/>
        <v/>
      </c>
      <c r="T68" s="146" t="str" cm="1">
        <f t="array" aca="1" ref="T68" ca="1">IF($J68&lt;&gt;"",IF(INDIRECT($H68&amp;"!"&amp;$S68)&lt;&gt;"",INDIRECT($H68&amp;"!"&amp;$S68),""),"")</f>
        <v/>
      </c>
      <c r="U68" s="146" t="str">
        <f t="shared" ca="1" si="16"/>
        <v/>
      </c>
      <c r="V68" s="147" t="str" cm="1">
        <f t="array" aca="1" ref="V68" ca="1">IF($J68&lt;&gt;"",IF(INDIRECT($H68&amp;"!"&amp;$U68)&lt;&gt;"",INDIRECT($H68&amp;"!"&amp;$U68),""),"")</f>
        <v/>
      </c>
      <c r="W68" s="294" t="str">
        <f t="shared" ca="1" si="7"/>
        <v/>
      </c>
      <c r="X68" s="295" t="str">
        <f t="shared" ca="1" si="8"/>
        <v/>
      </c>
      <c r="Y68" s="296" t="str" cm="1">
        <f t="array" aca="1" ref="Y68" ca="1">IF($H68&lt;&gt;"",IF(INDIRECT($H68&amp;"!"&amp;$W68&amp;($X68+Y$15+1))&lt;&gt;"",INDIRECT($H68&amp;"!"&amp;$W68&amp;($X68+Y$15+1)),""),"")</f>
        <v/>
      </c>
      <c r="Z68" s="296" t="str" cm="1">
        <f t="array" aca="1" ref="Z68" ca="1">IF($H68&lt;&gt;"",IF(INDIRECT($H68&amp;"!"&amp;$W68&amp;($X68+Z$15+1))&lt;&gt;"",INDIRECT($H68&amp;"!"&amp;$W68&amp;($X68+Z$15+1)),""),"")</f>
        <v/>
      </c>
      <c r="AA68" s="296" t="str" cm="1">
        <f t="array" aca="1" ref="AA68" ca="1">IF($H68&lt;&gt;"",IF(INDIRECT($H68&amp;"!"&amp;$W68&amp;($X68+AA$15+1))&lt;&gt;"",INDIRECT($H68&amp;"!"&amp;$W68&amp;($X68+AA$15+1)),""),"")</f>
        <v/>
      </c>
      <c r="AB68" s="296" t="str" cm="1">
        <f t="array" aca="1" ref="AB68" ca="1">IF($H68&lt;&gt;"",IF(INDIRECT($H68&amp;"!"&amp;$W68&amp;($X68+AB$15+1))&lt;&gt;"",INDIRECT($H68&amp;"!"&amp;$W68&amp;($X68+AB$15+1)),""),"")</f>
        <v/>
      </c>
      <c r="AC68" s="296" t="str" cm="1">
        <f t="array" aca="1" ref="AC68" ca="1">IF(LEFT($J68,5)="Sonde","",IF($H68&lt;&gt;"",IF(INDIRECT($H68&amp;"!"&amp;$W68&amp;($X68+AC$15+1))&lt;&gt;"",INDIRECT($H68&amp;"!"&amp;$W68&amp;($X68+AC$15+1)),""),""))</f>
        <v/>
      </c>
      <c r="AD68" s="296" t="str" cm="1">
        <f t="array" aca="1" ref="AD68" ca="1">IF(OR($J68="Pluviomètre",LEFT($J68,5)="Sonde"),"",IF($H68&lt;&gt;"",IF(INDIRECT($H68&amp;"!"&amp;$W68&amp;($X68+AD$15+1))&lt;&gt;"",INDIRECT($H68&amp;"!"&amp;$W68&amp;($X68+AD$15+1)),""),""))</f>
        <v/>
      </c>
      <c r="AE68" s="296" t="str" cm="1">
        <f t="array" aca="1" ref="AE68" ca="1">IF(OR($J68="Pluviomètre",LEFT($J68,5)="Sonde"),"",IF($H68&lt;&gt;"",IF(INDIRECT($H68&amp;"!"&amp;$W68&amp;($X68+AE$15+1))&lt;&gt;"",INDIRECT($H68&amp;"!"&amp;$W68&amp;($X68+AE$15+1)),""),""))</f>
        <v/>
      </c>
      <c r="AF68" s="296" t="str" cm="1">
        <f t="array" aca="1" ref="AF68" ca="1">IF(OR($J68="Pluviomètre",LEFT($J68,5)="Sonde"),"",IF($H68&lt;&gt;"",IF(INDIRECT($H68&amp;"!"&amp;$W68&amp;($X68+AF$15+1))&lt;&gt;"",INDIRECT($H68&amp;"!"&amp;$W68&amp;($X68+AF$15+1)),""),""))</f>
        <v/>
      </c>
      <c r="AG68" s="296" t="str" cm="1">
        <f t="array" aca="1" ref="AG68" ca="1">IF(OR($J68="Pluviomètre",LEFT($J68,5)="Sonde"),"",IF($H68&lt;&gt;"",IF(INDIRECT($H68&amp;"!"&amp;$W68&amp;($X68+AG$15+1))&lt;&gt;"",INDIRECT($H68&amp;"!"&amp;$W68&amp;($X68+AG$15+1)),""),""))</f>
        <v/>
      </c>
      <c r="AH68" s="296" t="str" cm="1">
        <f t="array" aca="1" ref="AH68" ca="1">IF(OR($J68="Pluviomètre",LEFT($J68,5)="Sonde"),"",IF($H68&lt;&gt;"",IF(INDIRECT($H68&amp;"!"&amp;$W68&amp;($X68+AH$15+1))&lt;&gt;"",INDIRECT($H68&amp;"!"&amp;$W68&amp;($X68+AH$15+1)),""),""))</f>
        <v/>
      </c>
      <c r="AI68" s="294" t="str">
        <f t="shared" ca="1" si="9"/>
        <v/>
      </c>
      <c r="AJ68" s="295" t="str">
        <f t="shared" ca="1" si="10"/>
        <v/>
      </c>
      <c r="AK68" s="296" t="str" cm="1">
        <f t="array" aca="1" ref="AK68" ca="1">IF($H68&lt;&gt;"",IF(INDIRECT($H68&amp;"!"&amp;$AI68&amp;($AJ68+AK$15+1))&lt;&gt;"",INDIRECT($H68&amp;"!"&amp;$AI68&amp;($AJ68+AK$15+1)),""),"")</f>
        <v/>
      </c>
      <c r="AL68" s="296" t="str" cm="1">
        <f t="array" aca="1" ref="AL68" ca="1">IF($H68&lt;&gt;"",IF(INDIRECT($H68&amp;"!"&amp;$AI68&amp;($AJ68+AL$15+1))&lt;&gt;"",INDIRECT($H68&amp;"!"&amp;$AI68&amp;($AJ68+AL$15+1)),""),"")</f>
        <v/>
      </c>
      <c r="AM68" s="296" t="str" cm="1">
        <f t="array" aca="1" ref="AM68" ca="1">IF($H68&lt;&gt;"",IF(INDIRECT($H68&amp;"!"&amp;$AI68&amp;($AJ68+AM$15+1))&lt;&gt;"",INDIRECT($H68&amp;"!"&amp;$AI68&amp;($AJ68+AM$15+1)),""),"")</f>
        <v/>
      </c>
      <c r="AN68" s="296" t="str" cm="1">
        <f t="array" aca="1" ref="AN68" ca="1">IF($H68&lt;&gt;"",IF(INDIRECT($H68&amp;"!"&amp;$AI68&amp;($AJ68+AN$15+1))&lt;&gt;"",INDIRECT($H68&amp;"!"&amp;$AI68&amp;($AJ68+AN$15+1)),""),"")</f>
        <v/>
      </c>
      <c r="AO68" s="296" t="str" cm="1">
        <f t="array" aca="1" ref="AO68" ca="1">IF(LEFT($J68,5)="Sonde","",IF($H68&lt;&gt;"",IF(INDIRECT($H68&amp;"!"&amp;$AI68&amp;($AJ68+AO$15+1))&lt;&gt;"",INDIRECT($H68&amp;"!"&amp;$AI68&amp;($AJ68+AO$15+1)),""),""))</f>
        <v/>
      </c>
      <c r="AP68" s="296" t="str" cm="1">
        <f t="array" aca="1" ref="AP68" ca="1">IF(OR($J68="Pluviomètre",LEFT($J68,5)="Sonde"),"",IF($H68&lt;&gt;"",IF(INDIRECT($H68&amp;"!"&amp;$AI68&amp;($AJ68+AP$15+1))&lt;&gt;"",INDIRECT($H68&amp;"!"&amp;$AI68&amp;($AJ68+AP$15+1)),""),""))</f>
        <v/>
      </c>
      <c r="AQ68" s="296" t="str" cm="1">
        <f t="array" aca="1" ref="AQ68" ca="1">IF(OR($J68="Pluviomètre",LEFT($J68,5)="Sonde"),"",IF($H68&lt;&gt;"",IF(INDIRECT($H68&amp;"!"&amp;$AI68&amp;($AJ68+AQ$15+1))&lt;&gt;"",INDIRECT($H68&amp;"!"&amp;$AI68&amp;($AJ68+AQ$15+1)),""),""))</f>
        <v/>
      </c>
      <c r="AR68" s="296" t="str" cm="1">
        <f t="array" aca="1" ref="AR68" ca="1">IF(OR($J68="Pluviomètre",LEFT($J68,5)="Sonde"),"",IF($H68&lt;&gt;"",IF(INDIRECT($H68&amp;"!"&amp;$AI68&amp;($AJ68+AR$15+1))&lt;&gt;"",INDIRECT($H68&amp;"!"&amp;$AI68&amp;($AJ68+AR$15+1)),""),""))</f>
        <v/>
      </c>
      <c r="AS68" s="296" t="str" cm="1">
        <f t="array" aca="1" ref="AS68" ca="1">IF(OR($J68="Pluviomètre",LEFT($J68,5)="Sonde"),"",IF($H68&lt;&gt;"",IF(INDIRECT($H68&amp;"!"&amp;$AI68&amp;($AJ68+AS$15+1))&lt;&gt;"",INDIRECT($H68&amp;"!"&amp;$AI68&amp;($AJ68+AS$15+1)),""),""))</f>
        <v/>
      </c>
      <c r="AT68" s="296" t="str" cm="1">
        <f t="array" aca="1" ref="AT68" ca="1">IF(OR($J68="Pluviomètre",LEFT($J68,5)="Sonde"),"",IF($H68&lt;&gt;"",IF(INDIRECT($H68&amp;"!"&amp;$AI68&amp;($AJ68+AT$15+1))&lt;&gt;"",INDIRECT($H68&amp;"!"&amp;$AI68&amp;($AJ68+AT$15+1)),""),""))</f>
        <v/>
      </c>
    </row>
    <row r="69" spans="1:46" x14ac:dyDescent="0.4">
      <c r="A69" s="80">
        <v>54</v>
      </c>
      <c r="B69" s="134" t="b">
        <f t="shared" si="6"/>
        <v>0</v>
      </c>
      <c r="C69" s="139" t="str" cm="1">
        <f t="array" aca="1" ref="C69" ca="1">IF(
    AND(
        $B69,
        OR(
            INDIRECT("Descriptif!$M"&amp;($B$1+$A69-1))="Préleveur",
            LEFT(INDIRECT("Descriptif!$M"&amp;($B$1+$A69-1)),5)="Sonde",
            LEFT(INDIRECT("Descriptif!$M"&amp;($B$1+$A69-1)),10)="Débitmètre",
            LEFT(INDIRECT("Descriptif!$F"&amp;($B$1+$A69-1)),6)="PLUVIO"
        )
    ),
    INDIRECT("Descriptif!$"&amp;C$15&amp;($B$1 +$A69 -1)),
    ""
)</f>
        <v/>
      </c>
      <c r="D69" s="277" t="str" cm="1">
        <f t="array" aca="1" ref="D69" ca="1">IF(
    AND(
        $B69,
        OR(
            INDIRECT("Descriptif!$M"&amp;($B$1+$A69-1))="Préleveur",
            LEFT(INDIRECT("Descriptif!$M"&amp;($B$1+$A69-1)),5)="Sonde",
            LEFT(INDIRECT("Descriptif!$M"&amp;($B$1+$A69-1)),10)="Débitmètre",
            LEFT(INDIRECT("Descriptif!$F"&amp;($B$1+$A69-1)),6)="PLUVIO"
        )
    ),
    IF(
        LEFT(INDIRECT("Descriptif!$F"&amp;($B$1+$A69-1)),11)="PLUVIO_STEU",
        "A3",
        IF(
            LEFT(INDIRECT("Descriptif!$F"&amp;($B$1+$A69-1)),10)="PLUVIO_SCL",
            "A1",
            INDIRECT("Descriptif!$"&amp;D$15&amp;($B$1 +$A69 -1))
        )
    ),
    ""
)</f>
        <v/>
      </c>
      <c r="E69" s="277" t="str" cm="1">
        <f t="array" aca="1" ref="E69" ca="1">IF(
    AND(
        $B69,
        OR(
            INDIRECT("Descriptif!$M"&amp;($B$1+$A69-1))="Préleveur",
            LEFT(INDIRECT("Descriptif!$M"&amp;($B$1+$A69-1)),5)="Sonde",
            LEFT(INDIRECT("Descriptif!$M"&amp;($B$1+$A69-1)),10)="Débitmètre",
            LEFT(INDIRECT("Descriptif!$F"&amp;($B$1+$A69-1)),6)="PLUVIO"
        )
    ),
    IF(LEFT(INDIRECT("Descriptif!$F"&amp;($B$1+$A69-1)),6)="PLUVIO","Pluviomètre",INDIRECT("Descriptif!$"&amp;E$15&amp;($B$1 +$A69 -1))),
    ""
)</f>
        <v/>
      </c>
      <c r="F69" s="19" t="str" cm="1">
        <f t="array" aca="1" ref="F69" ca="1">IF(
    AND(
        $B69,
        OR(
            INDIRECT("Descriptif!$M"&amp;($B$1+$A69-1))="Préleveur",
            LEFT(INDIRECT("Descriptif!$M"&amp;($B$1+$A69-1)),5)="Sonde",
            LEFT(INDIRECT("Descriptif!$M"&amp;($B$1+$A69-1)),10)="Débitmètre",
            LEFT(INDIRECT("Descriptif!$F"&amp;($B$1+$A69-1)),6)="PLUVIO"
        )
    ),
    IF(LEFT(INDIRECT("Descriptif!$F"&amp;($B$1+$A69-1)),6)="PLUVIO","Pluviomètre",INDIRECT("Descriptif!$"&amp;F$15&amp;($B$1 +$A69 -1))),
    ""
)</f>
        <v/>
      </c>
      <c r="G69" s="19" t="str" cm="1">
        <f t="array" aca="1" ref="G69" ca="1">IF(
    AND(
        $B69,
        OR(
            INDIRECT("Descriptif!$M"&amp;($B$1+$A69-1))="Préleveur",
            LEFT(INDIRECT("Descriptif!$M"&amp;($B$1+$A69-1)),5)="Sonde",
            LEFT(INDIRECT("Descriptif!$M"&amp;($B$1+$A69-1)),10)="Débitmètre",
            LEFT(INDIRECT("Descriptif!$F"&amp;($B$1+$A69-1)),6)="PLUVIO"
        )
    ),
    IF(LEFT(INDIRECT("Descriptif!$F"&amp;($B$1+$A69-1)),6)="PLUVIO","Pluviomètre",INDIRECT("Descriptif!$"&amp;G$15&amp;($B$1 +$A69 -1))),
    ""
)</f>
        <v/>
      </c>
      <c r="H69" s="141" t="str" cm="1">
        <f t="array" aca="1" ref="H69" ca="1">IFERROR(INDEX($C$16:$C$116,SMALL(IF($C$16:$C$116&lt;&gt;"",ROW($C$16:$C$116)-ROW($C$16)+1),ROW(A54))),"")</f>
        <v/>
      </c>
      <c r="I69" s="140" t="str" cm="1">
        <f t="array" aca="1" ref="I69" ca="1">IFERROR(INDEX($D$16:$D$116,SMALL(IF($D$16:$D$116&lt;&gt;"",ROW($D$16:$D$116)-ROW($D$16)+1),ROW(A54))),"")</f>
        <v/>
      </c>
      <c r="J69" s="140" t="str" cm="1">
        <f t="array" aca="1" ref="J69" ca="1">IFERROR(INDEX($E$16:$E$116,SMALL(IF($E$16:$E$116&lt;&gt;"",ROW($E$16:$E$116)-ROW($E$16)+1),ROW(A54))),"")</f>
        <v/>
      </c>
      <c r="K69" s="140" t="str" cm="1">
        <f t="array" aca="1" ref="K69" ca="1">IFERROR(INDEX($F$16:$F$116,SMALL(IF($F$16:$F$116&lt;&gt;"",ROW($F$16:$F$116)-ROW($F$16)+1),ROW(A54))),"")</f>
        <v/>
      </c>
      <c r="L69" s="140" t="str">
        <f t="shared" ca="1" si="11"/>
        <v/>
      </c>
      <c r="M69" s="140" t="str" cm="1">
        <f t="array" aca="1" ref="M69" ca="1">IFERROR(INDEX($G$16:$G$116,SMALL(IF($G$16:$G$116&lt;&gt;"",ROW($G$16:$G$116)-ROW($G$16)+1),ROW(A54))),"")</f>
        <v/>
      </c>
      <c r="N69" s="145" t="str">
        <f t="shared" ca="1" si="12"/>
        <v/>
      </c>
      <c r="O69" s="146" t="str">
        <f t="shared" ca="1" si="13"/>
        <v/>
      </c>
      <c r="P69" s="146" t="str" cm="1">
        <f t="array" aca="1" ref="P69" ca="1">IF($J69&lt;&gt;"",IF(INDIRECT($H69&amp;"!"&amp;$O69)&lt;&gt;"",INDIRECT($H69&amp;"!"&amp;$O69),""),"")</f>
        <v/>
      </c>
      <c r="Q69" s="146" t="str">
        <f t="shared" ca="1" si="14"/>
        <v/>
      </c>
      <c r="R69" s="146" t="str" cm="1">
        <f t="array" aca="1" ref="R69" ca="1">IF($J69&lt;&gt;"",IF(INDIRECT($H69&amp;"!"&amp;$Q69)&lt;&gt;"",INDIRECT($H69&amp;"!"&amp;$Q69),""),"")</f>
        <v/>
      </c>
      <c r="S69" s="146" t="str">
        <f t="shared" ca="1" si="15"/>
        <v/>
      </c>
      <c r="T69" s="146" t="str" cm="1">
        <f t="array" aca="1" ref="T69" ca="1">IF($J69&lt;&gt;"",IF(INDIRECT($H69&amp;"!"&amp;$S69)&lt;&gt;"",INDIRECT($H69&amp;"!"&amp;$S69),""),"")</f>
        <v/>
      </c>
      <c r="U69" s="146" t="str">
        <f t="shared" ca="1" si="16"/>
        <v/>
      </c>
      <c r="V69" s="147" t="str" cm="1">
        <f t="array" aca="1" ref="V69" ca="1">IF($J69&lt;&gt;"",IF(INDIRECT($H69&amp;"!"&amp;$U69)&lt;&gt;"",INDIRECT($H69&amp;"!"&amp;$U69),""),"")</f>
        <v/>
      </c>
      <c r="W69" s="294" t="str">
        <f t="shared" ca="1" si="7"/>
        <v/>
      </c>
      <c r="X69" s="148" t="str">
        <f t="shared" ca="1" si="8"/>
        <v/>
      </c>
      <c r="Y69" s="149" t="str" cm="1">
        <f t="array" aca="1" ref="Y69" ca="1">IF($H69&lt;&gt;"",IF(INDIRECT($H69&amp;"!"&amp;$W69&amp;($X69+Y$15+1))&lt;&gt;"",INDIRECT($H69&amp;"!"&amp;$W69&amp;($X69+Y$15+1)),""),"")</f>
        <v/>
      </c>
      <c r="Z69" s="149" t="str" cm="1">
        <f t="array" aca="1" ref="Z69" ca="1">IF($H69&lt;&gt;"",IF(INDIRECT($H69&amp;"!"&amp;$W69&amp;($X69+Z$15+1))&lt;&gt;"",INDIRECT($H69&amp;"!"&amp;$W69&amp;($X69+Z$15+1)),""),"")</f>
        <v/>
      </c>
      <c r="AA69" s="149" t="str" cm="1">
        <f t="array" aca="1" ref="AA69" ca="1">IF($H69&lt;&gt;"",IF(INDIRECT($H69&amp;"!"&amp;$W69&amp;($X69+AA$15+1))&lt;&gt;"",INDIRECT($H69&amp;"!"&amp;$W69&amp;($X69+AA$15+1)),""),"")</f>
        <v/>
      </c>
      <c r="AB69" s="149" t="str" cm="1">
        <f t="array" aca="1" ref="AB69" ca="1">IF($H69&lt;&gt;"",IF(INDIRECT($H69&amp;"!"&amp;$W69&amp;($X69+AB$15+1))&lt;&gt;"",INDIRECT($H69&amp;"!"&amp;$W69&amp;($X69+AB$15+1)),""),"")</f>
        <v/>
      </c>
      <c r="AC69" s="296" t="str" cm="1">
        <f t="array" aca="1" ref="AC69" ca="1">IF(LEFT($J69,5)="Sonde","",IF($H69&lt;&gt;"",IF(INDIRECT($H69&amp;"!"&amp;$W69&amp;($X69+AC$15+1))&lt;&gt;"",INDIRECT($H69&amp;"!"&amp;$W69&amp;($X69+AC$15+1)),""),""))</f>
        <v/>
      </c>
      <c r="AD69" s="296" t="str" cm="1">
        <f t="array" aca="1" ref="AD69" ca="1">IF(OR($J69="Pluviomètre",LEFT($J69,5)="Sonde"),"",IF($H69&lt;&gt;"",IF(INDIRECT($H69&amp;"!"&amp;$W69&amp;($X69+AD$15+1))&lt;&gt;"",INDIRECT($H69&amp;"!"&amp;$W69&amp;($X69+AD$15+1)),""),""))</f>
        <v/>
      </c>
      <c r="AE69" s="296" t="str" cm="1">
        <f t="array" aca="1" ref="AE69" ca="1">IF(OR($J69="Pluviomètre",LEFT($J69,5)="Sonde"),"",IF($H69&lt;&gt;"",IF(INDIRECT($H69&amp;"!"&amp;$W69&amp;($X69+AE$15+1))&lt;&gt;"",INDIRECT($H69&amp;"!"&amp;$W69&amp;($X69+AE$15+1)),""),""))</f>
        <v/>
      </c>
      <c r="AF69" s="296" t="str" cm="1">
        <f t="array" aca="1" ref="AF69" ca="1">IF(OR($J69="Pluviomètre",LEFT($J69,5)="Sonde"),"",IF($H69&lt;&gt;"",IF(INDIRECT($H69&amp;"!"&amp;$W69&amp;($X69+AF$15+1))&lt;&gt;"",INDIRECT($H69&amp;"!"&amp;$W69&amp;($X69+AF$15+1)),""),""))</f>
        <v/>
      </c>
      <c r="AG69" s="296" t="str" cm="1">
        <f t="array" aca="1" ref="AG69" ca="1">IF(OR($J69="Pluviomètre",LEFT($J69,5)="Sonde"),"",IF($H69&lt;&gt;"",IF(INDIRECT($H69&amp;"!"&amp;$W69&amp;($X69+AG$15+1))&lt;&gt;"",INDIRECT($H69&amp;"!"&amp;$W69&amp;($X69+AG$15+1)),""),""))</f>
        <v/>
      </c>
      <c r="AH69" s="296" t="str" cm="1">
        <f t="array" aca="1" ref="AH69" ca="1">IF(OR($J69="Pluviomètre",LEFT($J69,5)="Sonde"),"",IF($H69&lt;&gt;"",IF(INDIRECT($H69&amp;"!"&amp;$W69&amp;($X69+AH$15+1))&lt;&gt;"",INDIRECT($H69&amp;"!"&amp;$W69&amp;($X69+AH$15+1)),""),""))</f>
        <v/>
      </c>
      <c r="AI69" s="294" t="str">
        <f t="shared" ca="1" si="9"/>
        <v/>
      </c>
      <c r="AJ69" s="148" t="str">
        <f t="shared" ca="1" si="10"/>
        <v/>
      </c>
      <c r="AK69" s="296" t="str" cm="1">
        <f t="array" aca="1" ref="AK69" ca="1">IF($H69&lt;&gt;"",IF(INDIRECT($H69&amp;"!"&amp;$AI69&amp;($AJ69+AK$15+1))&lt;&gt;"",INDIRECT($H69&amp;"!"&amp;$AI69&amp;($AJ69+AK$15+1)),""),"")</f>
        <v/>
      </c>
      <c r="AL69" s="296" t="str" cm="1">
        <f t="array" aca="1" ref="AL69" ca="1">IF($H69&lt;&gt;"",IF(INDIRECT($H69&amp;"!"&amp;$AI69&amp;($AJ69+AL$15+1))&lt;&gt;"",INDIRECT($H69&amp;"!"&amp;$AI69&amp;($AJ69+AL$15+1)),""),"")</f>
        <v/>
      </c>
      <c r="AM69" s="296" t="str" cm="1">
        <f t="array" aca="1" ref="AM69" ca="1">IF($H69&lt;&gt;"",IF(INDIRECT($H69&amp;"!"&amp;$AI69&amp;($AJ69+AM$15+1))&lt;&gt;"",INDIRECT($H69&amp;"!"&amp;$AI69&amp;($AJ69+AM$15+1)),""),"")</f>
        <v/>
      </c>
      <c r="AN69" s="296" t="str" cm="1">
        <f t="array" aca="1" ref="AN69" ca="1">IF($H69&lt;&gt;"",IF(INDIRECT($H69&amp;"!"&amp;$AI69&amp;($AJ69+AN$15+1))&lt;&gt;"",INDIRECT($H69&amp;"!"&amp;$AI69&amp;($AJ69+AN$15+1)),""),"")</f>
        <v/>
      </c>
      <c r="AO69" s="296" t="str" cm="1">
        <f t="array" aca="1" ref="AO69" ca="1">IF(LEFT($J69,5)="Sonde","",IF($H69&lt;&gt;"",IF(INDIRECT($H69&amp;"!"&amp;$AI69&amp;($AJ69+AO$15+1))&lt;&gt;"",INDIRECT($H69&amp;"!"&amp;$AI69&amp;($AJ69+AO$15+1)),""),""))</f>
        <v/>
      </c>
      <c r="AP69" s="296" t="str" cm="1">
        <f t="array" aca="1" ref="AP69" ca="1">IF(OR($J69="Pluviomètre",LEFT($J69,5)="Sonde"),"",IF($H69&lt;&gt;"",IF(INDIRECT($H69&amp;"!"&amp;$AI69&amp;($AJ69+AP$15+1))&lt;&gt;"",INDIRECT($H69&amp;"!"&amp;$AI69&amp;($AJ69+AP$15+1)),""),""))</f>
        <v/>
      </c>
      <c r="AQ69" s="296" t="str" cm="1">
        <f t="array" aca="1" ref="AQ69" ca="1">IF(OR($J69="Pluviomètre",LEFT($J69,5)="Sonde"),"",IF($H69&lt;&gt;"",IF(INDIRECT($H69&amp;"!"&amp;$AI69&amp;($AJ69+AQ$15+1))&lt;&gt;"",INDIRECT($H69&amp;"!"&amp;$AI69&amp;($AJ69+AQ$15+1)),""),""))</f>
        <v/>
      </c>
      <c r="AR69" s="296" t="str" cm="1">
        <f t="array" aca="1" ref="AR69" ca="1">IF(OR($J69="Pluviomètre",LEFT($J69,5)="Sonde"),"",IF($H69&lt;&gt;"",IF(INDIRECT($H69&amp;"!"&amp;$AI69&amp;($AJ69+AR$15+1))&lt;&gt;"",INDIRECT($H69&amp;"!"&amp;$AI69&amp;($AJ69+AR$15+1)),""),""))</f>
        <v/>
      </c>
      <c r="AS69" s="296" t="str" cm="1">
        <f t="array" aca="1" ref="AS69" ca="1">IF(OR($J69="Pluviomètre",LEFT($J69,5)="Sonde"),"",IF($H69&lt;&gt;"",IF(INDIRECT($H69&amp;"!"&amp;$AI69&amp;($AJ69+AS$15+1))&lt;&gt;"",INDIRECT($H69&amp;"!"&amp;$AI69&amp;($AJ69+AS$15+1)),""),""))</f>
        <v/>
      </c>
      <c r="AT69" s="296" t="str" cm="1">
        <f t="array" aca="1" ref="AT69" ca="1">IF(OR($J69="Pluviomètre",LEFT($J69,5)="Sonde"),"",IF($H69&lt;&gt;"",IF(INDIRECT($H69&amp;"!"&amp;$AI69&amp;($AJ69+AT$15+1))&lt;&gt;"",INDIRECT($H69&amp;"!"&amp;$AI69&amp;($AJ69+AT$15+1)),""),""))</f>
        <v/>
      </c>
    </row>
    <row r="70" spans="1:46" x14ac:dyDescent="0.4">
      <c r="A70" s="80">
        <v>55</v>
      </c>
      <c r="B70" s="134" t="b">
        <f t="shared" si="6"/>
        <v>0</v>
      </c>
      <c r="C70" s="139" t="str" cm="1">
        <f t="array" aca="1" ref="C70" ca="1">IF(
    AND(
        $B70,
        OR(
            INDIRECT("Descriptif!$M"&amp;($B$1+$A70-1))="Préleveur",
            LEFT(INDIRECT("Descriptif!$M"&amp;($B$1+$A70-1)),5)="Sonde",
            LEFT(INDIRECT("Descriptif!$M"&amp;($B$1+$A70-1)),10)="Débitmètre",
            LEFT(INDIRECT("Descriptif!$F"&amp;($B$1+$A70-1)),6)="PLUVIO"
        )
    ),
    INDIRECT("Descriptif!$"&amp;C$15&amp;($B$1 +$A70 -1)),
    ""
)</f>
        <v/>
      </c>
      <c r="D70" s="277" t="str" cm="1">
        <f t="array" aca="1" ref="D70" ca="1">IF(
    AND(
        $B70,
        OR(
            INDIRECT("Descriptif!$M"&amp;($B$1+$A70-1))="Préleveur",
            LEFT(INDIRECT("Descriptif!$M"&amp;($B$1+$A70-1)),5)="Sonde",
            LEFT(INDIRECT("Descriptif!$M"&amp;($B$1+$A70-1)),10)="Débitmètre",
            LEFT(INDIRECT("Descriptif!$F"&amp;($B$1+$A70-1)),6)="PLUVIO"
        )
    ),
    IF(
        LEFT(INDIRECT("Descriptif!$F"&amp;($B$1+$A70-1)),11)="PLUVIO_STEU",
        "A3",
        IF(
            LEFT(INDIRECT("Descriptif!$F"&amp;($B$1+$A70-1)),10)="PLUVIO_SCL",
            "A1",
            INDIRECT("Descriptif!$"&amp;D$15&amp;($B$1 +$A70 -1))
        )
    ),
    ""
)</f>
        <v/>
      </c>
      <c r="E70" s="277" t="str" cm="1">
        <f t="array" aca="1" ref="E70" ca="1">IF(
    AND(
        $B70,
        OR(
            INDIRECT("Descriptif!$M"&amp;($B$1+$A70-1))="Préleveur",
            LEFT(INDIRECT("Descriptif!$M"&amp;($B$1+$A70-1)),5)="Sonde",
            LEFT(INDIRECT("Descriptif!$M"&amp;($B$1+$A70-1)),10)="Débitmètre",
            LEFT(INDIRECT("Descriptif!$F"&amp;($B$1+$A70-1)),6)="PLUVIO"
        )
    ),
    IF(LEFT(INDIRECT("Descriptif!$F"&amp;($B$1+$A70-1)),6)="PLUVIO","Pluviomètre",INDIRECT("Descriptif!$"&amp;E$15&amp;($B$1 +$A70 -1))),
    ""
)</f>
        <v/>
      </c>
      <c r="F70" s="19" t="str" cm="1">
        <f t="array" aca="1" ref="F70" ca="1">IF(
    AND(
        $B70,
        OR(
            INDIRECT("Descriptif!$M"&amp;($B$1+$A70-1))="Préleveur",
            LEFT(INDIRECT("Descriptif!$M"&amp;($B$1+$A70-1)),5)="Sonde",
            LEFT(INDIRECT("Descriptif!$M"&amp;($B$1+$A70-1)),10)="Débitmètre",
            LEFT(INDIRECT("Descriptif!$F"&amp;($B$1+$A70-1)),6)="PLUVIO"
        )
    ),
    IF(LEFT(INDIRECT("Descriptif!$F"&amp;($B$1+$A70-1)),6)="PLUVIO","Pluviomètre",INDIRECT("Descriptif!$"&amp;F$15&amp;($B$1 +$A70 -1))),
    ""
)</f>
        <v/>
      </c>
      <c r="G70" s="19" t="str" cm="1">
        <f t="array" aca="1" ref="G70" ca="1">IF(
    AND(
        $B70,
        OR(
            INDIRECT("Descriptif!$M"&amp;($B$1+$A70-1))="Préleveur",
            LEFT(INDIRECT("Descriptif!$M"&amp;($B$1+$A70-1)),5)="Sonde",
            LEFT(INDIRECT("Descriptif!$M"&amp;($B$1+$A70-1)),10)="Débitmètre",
            LEFT(INDIRECT("Descriptif!$F"&amp;($B$1+$A70-1)),6)="PLUVIO"
        )
    ),
    IF(LEFT(INDIRECT("Descriptif!$F"&amp;($B$1+$A70-1)),6)="PLUVIO","Pluviomètre",INDIRECT("Descriptif!$"&amp;G$15&amp;($B$1 +$A70 -1))),
    ""
)</f>
        <v/>
      </c>
      <c r="H70" s="141" t="str" cm="1">
        <f t="array" aca="1" ref="H70" ca="1">IFERROR(INDEX($C$16:$C$116,SMALL(IF($C$16:$C$116&lt;&gt;"",ROW($C$16:$C$116)-ROW($C$16)+1),ROW(A55))),"")</f>
        <v/>
      </c>
      <c r="I70" s="140" t="str" cm="1">
        <f t="array" aca="1" ref="I70" ca="1">IFERROR(INDEX($D$16:$D$116,SMALL(IF($D$16:$D$116&lt;&gt;"",ROW($D$16:$D$116)-ROW($D$16)+1),ROW(A55))),"")</f>
        <v/>
      </c>
      <c r="J70" s="140" t="str" cm="1">
        <f t="array" aca="1" ref="J70" ca="1">IFERROR(INDEX($E$16:$E$116,SMALL(IF($E$16:$E$116&lt;&gt;"",ROW($E$16:$E$116)-ROW($E$16)+1),ROW(A55))),"")</f>
        <v/>
      </c>
      <c r="K70" s="140" t="str" cm="1">
        <f t="array" aca="1" ref="K70" ca="1">IFERROR(INDEX($F$16:$F$116,SMALL(IF($F$16:$F$116&lt;&gt;"",ROW($F$16:$F$116)-ROW($F$16)+1),ROW(A55))),"")</f>
        <v/>
      </c>
      <c r="L70" s="140" t="str">
        <f t="shared" ca="1" si="11"/>
        <v/>
      </c>
      <c r="M70" s="140" t="str" cm="1">
        <f t="array" aca="1" ref="M70" ca="1">IFERROR(INDEX($G$16:$G$116,SMALL(IF($G$16:$G$116&lt;&gt;"",ROW($G$16:$G$116)-ROW($G$16)+1),ROW(A55))),"")</f>
        <v/>
      </c>
      <c r="N70" s="145" t="str">
        <f t="shared" ca="1" si="12"/>
        <v/>
      </c>
      <c r="O70" s="146" t="str">
        <f t="shared" ca="1" si="13"/>
        <v/>
      </c>
      <c r="P70" s="146" t="str" cm="1">
        <f t="array" aca="1" ref="P70" ca="1">IF($J70&lt;&gt;"",IF(INDIRECT($H70&amp;"!"&amp;$O70)&lt;&gt;"",INDIRECT($H70&amp;"!"&amp;$O70),""),"")</f>
        <v/>
      </c>
      <c r="Q70" s="146" t="str">
        <f t="shared" ca="1" si="14"/>
        <v/>
      </c>
      <c r="R70" s="146" t="str" cm="1">
        <f t="array" aca="1" ref="R70" ca="1">IF($J70&lt;&gt;"",IF(INDIRECT($H70&amp;"!"&amp;$Q70)&lt;&gt;"",INDIRECT($H70&amp;"!"&amp;$Q70),""),"")</f>
        <v/>
      </c>
      <c r="S70" s="146" t="str">
        <f t="shared" ca="1" si="15"/>
        <v/>
      </c>
      <c r="T70" s="146" t="str" cm="1">
        <f t="array" aca="1" ref="T70" ca="1">IF($J70&lt;&gt;"",IF(INDIRECT($H70&amp;"!"&amp;$S70)&lt;&gt;"",INDIRECT($H70&amp;"!"&amp;$S70),""),"")</f>
        <v/>
      </c>
      <c r="U70" s="146" t="str">
        <f t="shared" ca="1" si="16"/>
        <v/>
      </c>
      <c r="V70" s="147" t="str" cm="1">
        <f t="array" aca="1" ref="V70" ca="1">IF($J70&lt;&gt;"",IF(INDIRECT($H70&amp;"!"&amp;$U70)&lt;&gt;"",INDIRECT($H70&amp;"!"&amp;$U70),""),"")</f>
        <v/>
      </c>
      <c r="W70" s="294" t="str">
        <f t="shared" ca="1" si="7"/>
        <v/>
      </c>
      <c r="X70" s="148" t="str">
        <f t="shared" ca="1" si="8"/>
        <v/>
      </c>
      <c r="Y70" s="149" t="str" cm="1">
        <f t="array" aca="1" ref="Y70" ca="1">IF($H70&lt;&gt;"",IF(INDIRECT($H70&amp;"!"&amp;$W70&amp;($X70+Y$15+1))&lt;&gt;"",INDIRECT($H70&amp;"!"&amp;$W70&amp;($X70+Y$15+1)),""),"")</f>
        <v/>
      </c>
      <c r="Z70" s="149" t="str" cm="1">
        <f t="array" aca="1" ref="Z70" ca="1">IF($H70&lt;&gt;"",IF(INDIRECT($H70&amp;"!"&amp;$W70&amp;($X70+Z$15+1))&lt;&gt;"",INDIRECT($H70&amp;"!"&amp;$W70&amp;($X70+Z$15+1)),""),"")</f>
        <v/>
      </c>
      <c r="AA70" s="149" t="str" cm="1">
        <f t="array" aca="1" ref="AA70" ca="1">IF($H70&lt;&gt;"",IF(INDIRECT($H70&amp;"!"&amp;$W70&amp;($X70+AA$15+1))&lt;&gt;"",INDIRECT($H70&amp;"!"&amp;$W70&amp;($X70+AA$15+1)),""),"")</f>
        <v/>
      </c>
      <c r="AB70" s="149" t="str" cm="1">
        <f t="array" aca="1" ref="AB70" ca="1">IF($H70&lt;&gt;"",IF(INDIRECT($H70&amp;"!"&amp;$W70&amp;($X70+AB$15+1))&lt;&gt;"",INDIRECT($H70&amp;"!"&amp;$W70&amp;($X70+AB$15+1)),""),"")</f>
        <v/>
      </c>
      <c r="AC70" s="296" t="str" cm="1">
        <f t="array" aca="1" ref="AC70" ca="1">IF(LEFT($J70,5)="Sonde","",IF($H70&lt;&gt;"",IF(INDIRECT($H70&amp;"!"&amp;$W70&amp;($X70+AC$15+1))&lt;&gt;"",INDIRECT($H70&amp;"!"&amp;$W70&amp;($X70+AC$15+1)),""),""))</f>
        <v/>
      </c>
      <c r="AD70" s="296" t="str" cm="1">
        <f t="array" aca="1" ref="AD70" ca="1">IF(OR($J70="Pluviomètre",LEFT($J70,5)="Sonde"),"",IF($H70&lt;&gt;"",IF(INDIRECT($H70&amp;"!"&amp;$W70&amp;($X70+AD$15+1))&lt;&gt;"",INDIRECT($H70&amp;"!"&amp;$W70&amp;($X70+AD$15+1)),""),""))</f>
        <v/>
      </c>
      <c r="AE70" s="296" t="str" cm="1">
        <f t="array" aca="1" ref="AE70" ca="1">IF(OR($J70="Pluviomètre",LEFT($J70,5)="Sonde"),"",IF($H70&lt;&gt;"",IF(INDIRECT($H70&amp;"!"&amp;$W70&amp;($X70+AE$15+1))&lt;&gt;"",INDIRECT($H70&amp;"!"&amp;$W70&amp;($X70+AE$15+1)),""),""))</f>
        <v/>
      </c>
      <c r="AF70" s="296" t="str" cm="1">
        <f t="array" aca="1" ref="AF70" ca="1">IF(OR($J70="Pluviomètre",LEFT($J70,5)="Sonde"),"",IF($H70&lt;&gt;"",IF(INDIRECT($H70&amp;"!"&amp;$W70&amp;($X70+AF$15+1))&lt;&gt;"",INDIRECT($H70&amp;"!"&amp;$W70&amp;($X70+AF$15+1)),""),""))</f>
        <v/>
      </c>
      <c r="AG70" s="296" t="str" cm="1">
        <f t="array" aca="1" ref="AG70" ca="1">IF(OR($J70="Pluviomètre",LEFT($J70,5)="Sonde"),"",IF($H70&lt;&gt;"",IF(INDIRECT($H70&amp;"!"&amp;$W70&amp;($X70+AG$15+1))&lt;&gt;"",INDIRECT($H70&amp;"!"&amp;$W70&amp;($X70+AG$15+1)),""),""))</f>
        <v/>
      </c>
      <c r="AH70" s="296" t="str" cm="1">
        <f t="array" aca="1" ref="AH70" ca="1">IF(OR($J70="Pluviomètre",LEFT($J70,5)="Sonde"),"",IF($H70&lt;&gt;"",IF(INDIRECT($H70&amp;"!"&amp;$W70&amp;($X70+AH$15+1))&lt;&gt;"",INDIRECT($H70&amp;"!"&amp;$W70&amp;($X70+AH$15+1)),""),""))</f>
        <v/>
      </c>
      <c r="AI70" s="294" t="str">
        <f t="shared" ca="1" si="9"/>
        <v/>
      </c>
      <c r="AJ70" s="148" t="str">
        <f t="shared" ca="1" si="10"/>
        <v/>
      </c>
      <c r="AK70" s="296" t="str" cm="1">
        <f t="array" aca="1" ref="AK70" ca="1">IF($H70&lt;&gt;"",IF(INDIRECT($H70&amp;"!"&amp;$AI70&amp;($AJ70+AK$15+1))&lt;&gt;"",INDIRECT($H70&amp;"!"&amp;$AI70&amp;($AJ70+AK$15+1)),""),"")</f>
        <v/>
      </c>
      <c r="AL70" s="296" t="str" cm="1">
        <f t="array" aca="1" ref="AL70" ca="1">IF($H70&lt;&gt;"",IF(INDIRECT($H70&amp;"!"&amp;$AI70&amp;($AJ70+AL$15+1))&lt;&gt;"",INDIRECT($H70&amp;"!"&amp;$AI70&amp;($AJ70+AL$15+1)),""),"")</f>
        <v/>
      </c>
      <c r="AM70" s="296" t="str" cm="1">
        <f t="array" aca="1" ref="AM70" ca="1">IF($H70&lt;&gt;"",IF(INDIRECT($H70&amp;"!"&amp;$AI70&amp;($AJ70+AM$15+1))&lt;&gt;"",INDIRECT($H70&amp;"!"&amp;$AI70&amp;($AJ70+AM$15+1)),""),"")</f>
        <v/>
      </c>
      <c r="AN70" s="296" t="str" cm="1">
        <f t="array" aca="1" ref="AN70" ca="1">IF($H70&lt;&gt;"",IF(INDIRECT($H70&amp;"!"&amp;$AI70&amp;($AJ70+AN$15+1))&lt;&gt;"",INDIRECT($H70&amp;"!"&amp;$AI70&amp;($AJ70+AN$15+1)),""),"")</f>
        <v/>
      </c>
      <c r="AO70" s="296" t="str" cm="1">
        <f t="array" aca="1" ref="AO70" ca="1">IF(LEFT($J70,5)="Sonde","",IF($H70&lt;&gt;"",IF(INDIRECT($H70&amp;"!"&amp;$AI70&amp;($AJ70+AO$15+1))&lt;&gt;"",INDIRECT($H70&amp;"!"&amp;$AI70&amp;($AJ70+AO$15+1)),""),""))</f>
        <v/>
      </c>
      <c r="AP70" s="296" t="str" cm="1">
        <f t="array" aca="1" ref="AP70" ca="1">IF(OR($J70="Pluviomètre",LEFT($J70,5)="Sonde"),"",IF($H70&lt;&gt;"",IF(INDIRECT($H70&amp;"!"&amp;$AI70&amp;($AJ70+AP$15+1))&lt;&gt;"",INDIRECT($H70&amp;"!"&amp;$AI70&amp;($AJ70+AP$15+1)),""),""))</f>
        <v/>
      </c>
      <c r="AQ70" s="296" t="str" cm="1">
        <f t="array" aca="1" ref="AQ70" ca="1">IF(OR($J70="Pluviomètre",LEFT($J70,5)="Sonde"),"",IF($H70&lt;&gt;"",IF(INDIRECT($H70&amp;"!"&amp;$AI70&amp;($AJ70+AQ$15+1))&lt;&gt;"",INDIRECT($H70&amp;"!"&amp;$AI70&amp;($AJ70+AQ$15+1)),""),""))</f>
        <v/>
      </c>
      <c r="AR70" s="296" t="str" cm="1">
        <f t="array" aca="1" ref="AR70" ca="1">IF(OR($J70="Pluviomètre",LEFT($J70,5)="Sonde"),"",IF($H70&lt;&gt;"",IF(INDIRECT($H70&amp;"!"&amp;$AI70&amp;($AJ70+AR$15+1))&lt;&gt;"",INDIRECT($H70&amp;"!"&amp;$AI70&amp;($AJ70+AR$15+1)),""),""))</f>
        <v/>
      </c>
      <c r="AS70" s="296" t="str" cm="1">
        <f t="array" aca="1" ref="AS70" ca="1">IF(OR($J70="Pluviomètre",LEFT($J70,5)="Sonde"),"",IF($H70&lt;&gt;"",IF(INDIRECT($H70&amp;"!"&amp;$AI70&amp;($AJ70+AS$15+1))&lt;&gt;"",INDIRECT($H70&amp;"!"&amp;$AI70&amp;($AJ70+AS$15+1)),""),""))</f>
        <v/>
      </c>
      <c r="AT70" s="296" t="str" cm="1">
        <f t="array" aca="1" ref="AT70" ca="1">IF(OR($J70="Pluviomètre",LEFT($J70,5)="Sonde"),"",IF($H70&lt;&gt;"",IF(INDIRECT($H70&amp;"!"&amp;$AI70&amp;($AJ70+AT$15+1))&lt;&gt;"",INDIRECT($H70&amp;"!"&amp;$AI70&amp;($AJ70+AT$15+1)),""),""))</f>
        <v/>
      </c>
    </row>
    <row r="71" spans="1:46" x14ac:dyDescent="0.4">
      <c r="A71" s="80">
        <v>56</v>
      </c>
      <c r="B71" s="134" t="b">
        <f t="shared" si="6"/>
        <v>0</v>
      </c>
      <c r="C71" s="139" t="str" cm="1">
        <f t="array" aca="1" ref="C71" ca="1">IF(
    AND(
        $B71,
        OR(
            INDIRECT("Descriptif!$M"&amp;($B$1+$A71-1))="Préleveur",
            LEFT(INDIRECT("Descriptif!$M"&amp;($B$1+$A71-1)),5)="Sonde",
            LEFT(INDIRECT("Descriptif!$M"&amp;($B$1+$A71-1)),10)="Débitmètre",
            LEFT(INDIRECT("Descriptif!$F"&amp;($B$1+$A71-1)),6)="PLUVIO"
        )
    ),
    INDIRECT("Descriptif!$"&amp;C$15&amp;($B$1 +$A71 -1)),
    ""
)</f>
        <v/>
      </c>
      <c r="D71" s="277" t="str" cm="1">
        <f t="array" aca="1" ref="D71" ca="1">IF(
    AND(
        $B71,
        OR(
            INDIRECT("Descriptif!$M"&amp;($B$1+$A71-1))="Préleveur",
            LEFT(INDIRECT("Descriptif!$M"&amp;($B$1+$A71-1)),5)="Sonde",
            LEFT(INDIRECT("Descriptif!$M"&amp;($B$1+$A71-1)),10)="Débitmètre",
            LEFT(INDIRECT("Descriptif!$F"&amp;($B$1+$A71-1)),6)="PLUVIO"
        )
    ),
    IF(
        LEFT(INDIRECT("Descriptif!$F"&amp;($B$1+$A71-1)),11)="PLUVIO_STEU",
        "A3",
        IF(
            LEFT(INDIRECT("Descriptif!$F"&amp;($B$1+$A71-1)),10)="PLUVIO_SCL",
            "A1",
            INDIRECT("Descriptif!$"&amp;D$15&amp;($B$1 +$A71 -1))
        )
    ),
    ""
)</f>
        <v/>
      </c>
      <c r="E71" s="277" t="str" cm="1">
        <f t="array" aca="1" ref="E71" ca="1">IF(
    AND(
        $B71,
        OR(
            INDIRECT("Descriptif!$M"&amp;($B$1+$A71-1))="Préleveur",
            LEFT(INDIRECT("Descriptif!$M"&amp;($B$1+$A71-1)),5)="Sonde",
            LEFT(INDIRECT("Descriptif!$M"&amp;($B$1+$A71-1)),10)="Débitmètre",
            LEFT(INDIRECT("Descriptif!$F"&amp;($B$1+$A71-1)),6)="PLUVIO"
        )
    ),
    IF(LEFT(INDIRECT("Descriptif!$F"&amp;($B$1+$A71-1)),6)="PLUVIO","Pluviomètre",INDIRECT("Descriptif!$"&amp;E$15&amp;($B$1 +$A71 -1))),
    ""
)</f>
        <v/>
      </c>
      <c r="F71" s="19" t="str" cm="1">
        <f t="array" aca="1" ref="F71" ca="1">IF(
    AND(
        $B71,
        OR(
            INDIRECT("Descriptif!$M"&amp;($B$1+$A71-1))="Préleveur",
            LEFT(INDIRECT("Descriptif!$M"&amp;($B$1+$A71-1)),5)="Sonde",
            LEFT(INDIRECT("Descriptif!$M"&amp;($B$1+$A71-1)),10)="Débitmètre",
            LEFT(INDIRECT("Descriptif!$F"&amp;($B$1+$A71-1)),6)="PLUVIO"
        )
    ),
    IF(LEFT(INDIRECT("Descriptif!$F"&amp;($B$1+$A71-1)),6)="PLUVIO","Pluviomètre",INDIRECT("Descriptif!$"&amp;F$15&amp;($B$1 +$A71 -1))),
    ""
)</f>
        <v/>
      </c>
      <c r="G71" s="19" t="str" cm="1">
        <f t="array" aca="1" ref="G71" ca="1">IF(
    AND(
        $B71,
        OR(
            INDIRECT("Descriptif!$M"&amp;($B$1+$A71-1))="Préleveur",
            LEFT(INDIRECT("Descriptif!$M"&amp;($B$1+$A71-1)),5)="Sonde",
            LEFT(INDIRECT("Descriptif!$M"&amp;($B$1+$A71-1)),10)="Débitmètre",
            LEFT(INDIRECT("Descriptif!$F"&amp;($B$1+$A71-1)),6)="PLUVIO"
        )
    ),
    IF(LEFT(INDIRECT("Descriptif!$F"&amp;($B$1+$A71-1)),6)="PLUVIO","Pluviomètre",INDIRECT("Descriptif!$"&amp;G$15&amp;($B$1 +$A71 -1))),
    ""
)</f>
        <v/>
      </c>
      <c r="H71" s="141" t="str" cm="1">
        <f t="array" aca="1" ref="H71" ca="1">IFERROR(INDEX($C$16:$C$116,SMALL(IF($C$16:$C$116&lt;&gt;"",ROW($C$16:$C$116)-ROW($C$16)+1),ROW(A56))),"")</f>
        <v/>
      </c>
      <c r="I71" s="140" t="str" cm="1">
        <f t="array" aca="1" ref="I71" ca="1">IFERROR(INDEX($D$16:$D$116,SMALL(IF($D$16:$D$116&lt;&gt;"",ROW($D$16:$D$116)-ROW($D$16)+1),ROW(A56))),"")</f>
        <v/>
      </c>
      <c r="J71" s="140" t="str" cm="1">
        <f t="array" aca="1" ref="J71" ca="1">IFERROR(INDEX($E$16:$E$116,SMALL(IF($E$16:$E$116&lt;&gt;"",ROW($E$16:$E$116)-ROW($E$16)+1),ROW(A56))),"")</f>
        <v/>
      </c>
      <c r="K71" s="140" t="str" cm="1">
        <f t="array" aca="1" ref="K71" ca="1">IFERROR(INDEX($F$16:$F$116,SMALL(IF($F$16:$F$116&lt;&gt;"",ROW($F$16:$F$116)-ROW($F$16)+1),ROW(A56))),"")</f>
        <v/>
      </c>
      <c r="L71" s="140" t="str">
        <f t="shared" ca="1" si="11"/>
        <v/>
      </c>
      <c r="M71" s="140" t="str" cm="1">
        <f t="array" aca="1" ref="M71" ca="1">IFERROR(INDEX($G$16:$G$116,SMALL(IF($G$16:$G$116&lt;&gt;"",ROW($G$16:$G$116)-ROW($G$16)+1),ROW(A56))),"")</f>
        <v/>
      </c>
      <c r="N71" s="145" t="str">
        <f t="shared" ca="1" si="12"/>
        <v/>
      </c>
      <c r="O71" s="146" t="str">
        <f t="shared" ca="1" si="13"/>
        <v/>
      </c>
      <c r="P71" s="146" t="str" cm="1">
        <f t="array" aca="1" ref="P71" ca="1">IF($J71&lt;&gt;"",IF(INDIRECT($H71&amp;"!"&amp;$O71)&lt;&gt;"",INDIRECT($H71&amp;"!"&amp;$O71),""),"")</f>
        <v/>
      </c>
      <c r="Q71" s="146" t="str">
        <f t="shared" ca="1" si="14"/>
        <v/>
      </c>
      <c r="R71" s="146" t="str" cm="1">
        <f t="array" aca="1" ref="R71" ca="1">IF($J71&lt;&gt;"",IF(INDIRECT($H71&amp;"!"&amp;$Q71)&lt;&gt;"",INDIRECT($H71&amp;"!"&amp;$Q71),""),"")</f>
        <v/>
      </c>
      <c r="S71" s="146" t="str">
        <f t="shared" ca="1" si="15"/>
        <v/>
      </c>
      <c r="T71" s="146" t="str" cm="1">
        <f t="array" aca="1" ref="T71" ca="1">IF($J71&lt;&gt;"",IF(INDIRECT($H71&amp;"!"&amp;$S71)&lt;&gt;"",INDIRECT($H71&amp;"!"&amp;$S71),""),"")</f>
        <v/>
      </c>
      <c r="U71" s="146" t="str">
        <f t="shared" ca="1" si="16"/>
        <v/>
      </c>
      <c r="V71" s="147" t="str" cm="1">
        <f t="array" aca="1" ref="V71" ca="1">IF($J71&lt;&gt;"",IF(INDIRECT($H71&amp;"!"&amp;$U71)&lt;&gt;"",INDIRECT($H71&amp;"!"&amp;$U71),""),"")</f>
        <v/>
      </c>
      <c r="W71" s="294" t="str">
        <f t="shared" ca="1" si="7"/>
        <v/>
      </c>
      <c r="X71" s="148" t="str">
        <f t="shared" ca="1" si="8"/>
        <v/>
      </c>
      <c r="Y71" s="149" t="str" cm="1">
        <f t="array" aca="1" ref="Y71" ca="1">IF($H71&lt;&gt;"",IF(INDIRECT($H71&amp;"!"&amp;$W71&amp;($X71+Y$15+1))&lt;&gt;"",INDIRECT($H71&amp;"!"&amp;$W71&amp;($X71+Y$15+1)),""),"")</f>
        <v/>
      </c>
      <c r="Z71" s="149" t="str" cm="1">
        <f t="array" aca="1" ref="Z71" ca="1">IF($H71&lt;&gt;"",IF(INDIRECT($H71&amp;"!"&amp;$W71&amp;($X71+Z$15+1))&lt;&gt;"",INDIRECT($H71&amp;"!"&amp;$W71&amp;($X71+Z$15+1)),""),"")</f>
        <v/>
      </c>
      <c r="AA71" s="149" t="str" cm="1">
        <f t="array" aca="1" ref="AA71" ca="1">IF($H71&lt;&gt;"",IF(INDIRECT($H71&amp;"!"&amp;$W71&amp;($X71+AA$15+1))&lt;&gt;"",INDIRECT($H71&amp;"!"&amp;$W71&amp;($X71+AA$15+1)),""),"")</f>
        <v/>
      </c>
      <c r="AB71" s="149" t="str" cm="1">
        <f t="array" aca="1" ref="AB71" ca="1">IF($H71&lt;&gt;"",IF(INDIRECT($H71&amp;"!"&amp;$W71&amp;($X71+AB$15+1))&lt;&gt;"",INDIRECT($H71&amp;"!"&amp;$W71&amp;($X71+AB$15+1)),""),"")</f>
        <v/>
      </c>
      <c r="AC71" s="296" t="str" cm="1">
        <f t="array" aca="1" ref="AC71" ca="1">IF(LEFT($J71,5)="Sonde","",IF($H71&lt;&gt;"",IF(INDIRECT($H71&amp;"!"&amp;$W71&amp;($X71+AC$15+1))&lt;&gt;"",INDIRECT($H71&amp;"!"&amp;$W71&amp;($X71+AC$15+1)),""),""))</f>
        <v/>
      </c>
      <c r="AD71" s="296" t="str" cm="1">
        <f t="array" aca="1" ref="AD71" ca="1">IF(OR($J71="Pluviomètre",LEFT($J71,5)="Sonde"),"",IF($H71&lt;&gt;"",IF(INDIRECT($H71&amp;"!"&amp;$W71&amp;($X71+AD$15+1))&lt;&gt;"",INDIRECT($H71&amp;"!"&amp;$W71&amp;($X71+AD$15+1)),""),""))</f>
        <v/>
      </c>
      <c r="AE71" s="296" t="str" cm="1">
        <f t="array" aca="1" ref="AE71" ca="1">IF(OR($J71="Pluviomètre",LEFT($J71,5)="Sonde"),"",IF($H71&lt;&gt;"",IF(INDIRECT($H71&amp;"!"&amp;$W71&amp;($X71+AE$15+1))&lt;&gt;"",INDIRECT($H71&amp;"!"&amp;$W71&amp;($X71+AE$15+1)),""),""))</f>
        <v/>
      </c>
      <c r="AF71" s="296" t="str" cm="1">
        <f t="array" aca="1" ref="AF71" ca="1">IF(OR($J71="Pluviomètre",LEFT($J71,5)="Sonde"),"",IF($H71&lt;&gt;"",IF(INDIRECT($H71&amp;"!"&amp;$W71&amp;($X71+AF$15+1))&lt;&gt;"",INDIRECT($H71&amp;"!"&amp;$W71&amp;($X71+AF$15+1)),""),""))</f>
        <v/>
      </c>
      <c r="AG71" s="296" t="str" cm="1">
        <f t="array" aca="1" ref="AG71" ca="1">IF(OR($J71="Pluviomètre",LEFT($J71,5)="Sonde"),"",IF($H71&lt;&gt;"",IF(INDIRECT($H71&amp;"!"&amp;$W71&amp;($X71+AG$15+1))&lt;&gt;"",INDIRECT($H71&amp;"!"&amp;$W71&amp;($X71+AG$15+1)),""),""))</f>
        <v/>
      </c>
      <c r="AH71" s="296" t="str" cm="1">
        <f t="array" aca="1" ref="AH71" ca="1">IF(OR($J71="Pluviomètre",LEFT($J71,5)="Sonde"),"",IF($H71&lt;&gt;"",IF(INDIRECT($H71&amp;"!"&amp;$W71&amp;($X71+AH$15+1))&lt;&gt;"",INDIRECT($H71&amp;"!"&amp;$W71&amp;($X71+AH$15+1)),""),""))</f>
        <v/>
      </c>
      <c r="AI71" s="294" t="str">
        <f t="shared" ca="1" si="9"/>
        <v/>
      </c>
      <c r="AJ71" s="148" t="str">
        <f t="shared" ca="1" si="10"/>
        <v/>
      </c>
      <c r="AK71" s="296" t="str" cm="1">
        <f t="array" aca="1" ref="AK71" ca="1">IF($H71&lt;&gt;"",IF(INDIRECT($H71&amp;"!"&amp;$AI71&amp;($AJ71+AK$15+1))&lt;&gt;"",INDIRECT($H71&amp;"!"&amp;$AI71&amp;($AJ71+AK$15+1)),""),"")</f>
        <v/>
      </c>
      <c r="AL71" s="296" t="str" cm="1">
        <f t="array" aca="1" ref="AL71" ca="1">IF($H71&lt;&gt;"",IF(INDIRECT($H71&amp;"!"&amp;$AI71&amp;($AJ71+AL$15+1))&lt;&gt;"",INDIRECT($H71&amp;"!"&amp;$AI71&amp;($AJ71+AL$15+1)),""),"")</f>
        <v/>
      </c>
      <c r="AM71" s="296" t="str" cm="1">
        <f t="array" aca="1" ref="AM71" ca="1">IF($H71&lt;&gt;"",IF(INDIRECT($H71&amp;"!"&amp;$AI71&amp;($AJ71+AM$15+1))&lt;&gt;"",INDIRECT($H71&amp;"!"&amp;$AI71&amp;($AJ71+AM$15+1)),""),"")</f>
        <v/>
      </c>
      <c r="AN71" s="296" t="str" cm="1">
        <f t="array" aca="1" ref="AN71" ca="1">IF($H71&lt;&gt;"",IF(INDIRECT($H71&amp;"!"&amp;$AI71&amp;($AJ71+AN$15+1))&lt;&gt;"",INDIRECT($H71&amp;"!"&amp;$AI71&amp;($AJ71+AN$15+1)),""),"")</f>
        <v/>
      </c>
      <c r="AO71" s="296" t="str" cm="1">
        <f t="array" aca="1" ref="AO71" ca="1">IF(LEFT($J71,5)="Sonde","",IF($H71&lt;&gt;"",IF(INDIRECT($H71&amp;"!"&amp;$AI71&amp;($AJ71+AO$15+1))&lt;&gt;"",INDIRECT($H71&amp;"!"&amp;$AI71&amp;($AJ71+AO$15+1)),""),""))</f>
        <v/>
      </c>
      <c r="AP71" s="296" t="str" cm="1">
        <f t="array" aca="1" ref="AP71" ca="1">IF(OR($J71="Pluviomètre",LEFT($J71,5)="Sonde"),"",IF($H71&lt;&gt;"",IF(INDIRECT($H71&amp;"!"&amp;$AI71&amp;($AJ71+AP$15+1))&lt;&gt;"",INDIRECT($H71&amp;"!"&amp;$AI71&amp;($AJ71+AP$15+1)),""),""))</f>
        <v/>
      </c>
      <c r="AQ71" s="296" t="str" cm="1">
        <f t="array" aca="1" ref="AQ71" ca="1">IF(OR($J71="Pluviomètre",LEFT($J71,5)="Sonde"),"",IF($H71&lt;&gt;"",IF(INDIRECT($H71&amp;"!"&amp;$AI71&amp;($AJ71+AQ$15+1))&lt;&gt;"",INDIRECT($H71&amp;"!"&amp;$AI71&amp;($AJ71+AQ$15+1)),""),""))</f>
        <v/>
      </c>
      <c r="AR71" s="296" t="str" cm="1">
        <f t="array" aca="1" ref="AR71" ca="1">IF(OR($J71="Pluviomètre",LEFT($J71,5)="Sonde"),"",IF($H71&lt;&gt;"",IF(INDIRECT($H71&amp;"!"&amp;$AI71&amp;($AJ71+AR$15+1))&lt;&gt;"",INDIRECT($H71&amp;"!"&amp;$AI71&amp;($AJ71+AR$15+1)),""),""))</f>
        <v/>
      </c>
      <c r="AS71" s="296" t="str" cm="1">
        <f t="array" aca="1" ref="AS71" ca="1">IF(OR($J71="Pluviomètre",LEFT($J71,5)="Sonde"),"",IF($H71&lt;&gt;"",IF(INDIRECT($H71&amp;"!"&amp;$AI71&amp;($AJ71+AS$15+1))&lt;&gt;"",INDIRECT($H71&amp;"!"&amp;$AI71&amp;($AJ71+AS$15+1)),""),""))</f>
        <v/>
      </c>
      <c r="AT71" s="296" t="str" cm="1">
        <f t="array" aca="1" ref="AT71" ca="1">IF(OR($J71="Pluviomètre",LEFT($J71,5)="Sonde"),"",IF($H71&lt;&gt;"",IF(INDIRECT($H71&amp;"!"&amp;$AI71&amp;($AJ71+AT$15+1))&lt;&gt;"",INDIRECT($H71&amp;"!"&amp;$AI71&amp;($AJ71+AT$15+1)),""),""))</f>
        <v/>
      </c>
    </row>
    <row r="72" spans="1:46" x14ac:dyDescent="0.4">
      <c r="A72" s="80">
        <v>57</v>
      </c>
      <c r="B72" s="134" t="b">
        <f t="shared" si="6"/>
        <v>0</v>
      </c>
      <c r="C72" s="139" t="str" cm="1">
        <f t="array" aca="1" ref="C72" ca="1">IF(
    AND(
        $B72,
        OR(
            INDIRECT("Descriptif!$M"&amp;($B$1+$A72-1))="Préleveur",
            LEFT(INDIRECT("Descriptif!$M"&amp;($B$1+$A72-1)),5)="Sonde",
            LEFT(INDIRECT("Descriptif!$M"&amp;($B$1+$A72-1)),10)="Débitmètre",
            LEFT(INDIRECT("Descriptif!$F"&amp;($B$1+$A72-1)),6)="PLUVIO"
        )
    ),
    INDIRECT("Descriptif!$"&amp;C$15&amp;($B$1 +$A72 -1)),
    ""
)</f>
        <v/>
      </c>
      <c r="D72" s="277" t="str" cm="1">
        <f t="array" aca="1" ref="D72" ca="1">IF(
    AND(
        $B72,
        OR(
            INDIRECT("Descriptif!$M"&amp;($B$1+$A72-1))="Préleveur",
            LEFT(INDIRECT("Descriptif!$M"&amp;($B$1+$A72-1)),5)="Sonde",
            LEFT(INDIRECT("Descriptif!$M"&amp;($B$1+$A72-1)),10)="Débitmètre",
            LEFT(INDIRECT("Descriptif!$F"&amp;($B$1+$A72-1)),6)="PLUVIO"
        )
    ),
    IF(
        LEFT(INDIRECT("Descriptif!$F"&amp;($B$1+$A72-1)),11)="PLUVIO_STEU",
        "A3",
        IF(
            LEFT(INDIRECT("Descriptif!$F"&amp;($B$1+$A72-1)),10)="PLUVIO_SCL",
            "A1",
            INDIRECT("Descriptif!$"&amp;D$15&amp;($B$1 +$A72 -1))
        )
    ),
    ""
)</f>
        <v/>
      </c>
      <c r="E72" s="277" t="str" cm="1">
        <f t="array" aca="1" ref="E72" ca="1">IF(
    AND(
        $B72,
        OR(
            INDIRECT("Descriptif!$M"&amp;($B$1+$A72-1))="Préleveur",
            LEFT(INDIRECT("Descriptif!$M"&amp;($B$1+$A72-1)),5)="Sonde",
            LEFT(INDIRECT("Descriptif!$M"&amp;($B$1+$A72-1)),10)="Débitmètre",
            LEFT(INDIRECT("Descriptif!$F"&amp;($B$1+$A72-1)),6)="PLUVIO"
        )
    ),
    IF(LEFT(INDIRECT("Descriptif!$F"&amp;($B$1+$A72-1)),6)="PLUVIO","Pluviomètre",INDIRECT("Descriptif!$"&amp;E$15&amp;($B$1 +$A72 -1))),
    ""
)</f>
        <v/>
      </c>
      <c r="F72" s="19" t="str" cm="1">
        <f t="array" aca="1" ref="F72" ca="1">IF(
    AND(
        $B72,
        OR(
            INDIRECT("Descriptif!$M"&amp;($B$1+$A72-1))="Préleveur",
            LEFT(INDIRECT("Descriptif!$M"&amp;($B$1+$A72-1)),5)="Sonde",
            LEFT(INDIRECT("Descriptif!$M"&amp;($B$1+$A72-1)),10)="Débitmètre",
            LEFT(INDIRECT("Descriptif!$F"&amp;($B$1+$A72-1)),6)="PLUVIO"
        )
    ),
    IF(LEFT(INDIRECT("Descriptif!$F"&amp;($B$1+$A72-1)),6)="PLUVIO","Pluviomètre",INDIRECT("Descriptif!$"&amp;F$15&amp;($B$1 +$A72 -1))),
    ""
)</f>
        <v/>
      </c>
      <c r="G72" s="19" t="str" cm="1">
        <f t="array" aca="1" ref="G72" ca="1">IF(
    AND(
        $B72,
        OR(
            INDIRECT("Descriptif!$M"&amp;($B$1+$A72-1))="Préleveur",
            LEFT(INDIRECT("Descriptif!$M"&amp;($B$1+$A72-1)),5)="Sonde",
            LEFT(INDIRECT("Descriptif!$M"&amp;($B$1+$A72-1)),10)="Débitmètre",
            LEFT(INDIRECT("Descriptif!$F"&amp;($B$1+$A72-1)),6)="PLUVIO"
        )
    ),
    IF(LEFT(INDIRECT("Descriptif!$F"&amp;($B$1+$A72-1)),6)="PLUVIO","Pluviomètre",INDIRECT("Descriptif!$"&amp;G$15&amp;($B$1 +$A72 -1))),
    ""
)</f>
        <v/>
      </c>
      <c r="H72" s="141" t="str" cm="1">
        <f t="array" aca="1" ref="H72" ca="1">IFERROR(INDEX($C$16:$C$116,SMALL(IF($C$16:$C$116&lt;&gt;"",ROW($C$16:$C$116)-ROW($C$16)+1),ROW(A57))),"")</f>
        <v/>
      </c>
      <c r="I72" s="140" t="str" cm="1">
        <f t="array" aca="1" ref="I72" ca="1">IFERROR(INDEX($D$16:$D$116,SMALL(IF($D$16:$D$116&lt;&gt;"",ROW($D$16:$D$116)-ROW($D$16)+1),ROW(A57))),"")</f>
        <v/>
      </c>
      <c r="J72" s="140" t="str" cm="1">
        <f t="array" aca="1" ref="J72" ca="1">IFERROR(INDEX($E$16:$E$116,SMALL(IF($E$16:$E$116&lt;&gt;"",ROW($E$16:$E$116)-ROW($E$16)+1),ROW(A57))),"")</f>
        <v/>
      </c>
      <c r="K72" s="140" t="str" cm="1">
        <f t="array" aca="1" ref="K72" ca="1">IFERROR(INDEX($F$16:$F$116,SMALL(IF($F$16:$F$116&lt;&gt;"",ROW($F$16:$F$116)-ROW($F$16)+1),ROW(A57))),"")</f>
        <v/>
      </c>
      <c r="L72" s="140" t="str">
        <f t="shared" ca="1" si="11"/>
        <v/>
      </c>
      <c r="M72" s="140" t="str" cm="1">
        <f t="array" aca="1" ref="M72" ca="1">IFERROR(INDEX($G$16:$G$116,SMALL(IF($G$16:$G$116&lt;&gt;"",ROW($G$16:$G$116)-ROW($G$16)+1),ROW(A57))),"")</f>
        <v/>
      </c>
      <c r="N72" s="145" t="str">
        <f t="shared" ca="1" si="12"/>
        <v/>
      </c>
      <c r="O72" s="146" t="str">
        <f t="shared" ca="1" si="13"/>
        <v/>
      </c>
      <c r="P72" s="146" t="str" cm="1">
        <f t="array" aca="1" ref="P72" ca="1">IF($J72&lt;&gt;"",IF(INDIRECT($H72&amp;"!"&amp;$O72)&lt;&gt;"",INDIRECT($H72&amp;"!"&amp;$O72),""),"")</f>
        <v/>
      </c>
      <c r="Q72" s="146" t="str">
        <f t="shared" ca="1" si="14"/>
        <v/>
      </c>
      <c r="R72" s="146" t="str" cm="1">
        <f t="array" aca="1" ref="R72" ca="1">IF($J72&lt;&gt;"",IF(INDIRECT($H72&amp;"!"&amp;$Q72)&lt;&gt;"",INDIRECT($H72&amp;"!"&amp;$Q72),""),"")</f>
        <v/>
      </c>
      <c r="S72" s="146" t="str">
        <f t="shared" ca="1" si="15"/>
        <v/>
      </c>
      <c r="T72" s="146" t="str" cm="1">
        <f t="array" aca="1" ref="T72" ca="1">IF($J72&lt;&gt;"",IF(INDIRECT($H72&amp;"!"&amp;$S72)&lt;&gt;"",INDIRECT($H72&amp;"!"&amp;$S72),""),"")</f>
        <v/>
      </c>
      <c r="U72" s="146" t="str">
        <f t="shared" ca="1" si="16"/>
        <v/>
      </c>
      <c r="V72" s="147" t="str" cm="1">
        <f t="array" aca="1" ref="V72" ca="1">IF($J72&lt;&gt;"",IF(INDIRECT($H72&amp;"!"&amp;$U72)&lt;&gt;"",INDIRECT($H72&amp;"!"&amp;$U72),""),"")</f>
        <v/>
      </c>
      <c r="W72" s="294" t="str">
        <f t="shared" ca="1" si="7"/>
        <v/>
      </c>
      <c r="X72" s="148" t="str">
        <f t="shared" ca="1" si="8"/>
        <v/>
      </c>
      <c r="Y72" s="149" t="str" cm="1">
        <f t="array" aca="1" ref="Y72" ca="1">IF($H72&lt;&gt;"",IF(INDIRECT($H72&amp;"!"&amp;$W72&amp;($X72+Y$15+1))&lt;&gt;"",INDIRECT($H72&amp;"!"&amp;$W72&amp;($X72+Y$15+1)),""),"")</f>
        <v/>
      </c>
      <c r="Z72" s="149" t="str" cm="1">
        <f t="array" aca="1" ref="Z72" ca="1">IF($H72&lt;&gt;"",IF(INDIRECT($H72&amp;"!"&amp;$W72&amp;($X72+Z$15+1))&lt;&gt;"",INDIRECT($H72&amp;"!"&amp;$W72&amp;($X72+Z$15+1)),""),"")</f>
        <v/>
      </c>
      <c r="AA72" s="149" t="str" cm="1">
        <f t="array" aca="1" ref="AA72" ca="1">IF($H72&lt;&gt;"",IF(INDIRECT($H72&amp;"!"&amp;$W72&amp;($X72+AA$15+1))&lt;&gt;"",INDIRECT($H72&amp;"!"&amp;$W72&amp;($X72+AA$15+1)),""),"")</f>
        <v/>
      </c>
      <c r="AB72" s="149" t="str" cm="1">
        <f t="array" aca="1" ref="AB72" ca="1">IF($H72&lt;&gt;"",IF(INDIRECT($H72&amp;"!"&amp;$W72&amp;($X72+AB$15+1))&lt;&gt;"",INDIRECT($H72&amp;"!"&amp;$W72&amp;($X72+AB$15+1)),""),"")</f>
        <v/>
      </c>
      <c r="AC72" s="296" t="str" cm="1">
        <f t="array" aca="1" ref="AC72" ca="1">IF(LEFT($J72,5)="Sonde","",IF($H72&lt;&gt;"",IF(INDIRECT($H72&amp;"!"&amp;$W72&amp;($X72+AC$15+1))&lt;&gt;"",INDIRECT($H72&amp;"!"&amp;$W72&amp;($X72+AC$15+1)),""),""))</f>
        <v/>
      </c>
      <c r="AD72" s="296" t="str" cm="1">
        <f t="array" aca="1" ref="AD72" ca="1">IF(OR($J72="Pluviomètre",LEFT($J72,5)="Sonde"),"",IF($H72&lt;&gt;"",IF(INDIRECT($H72&amp;"!"&amp;$W72&amp;($X72+AD$15+1))&lt;&gt;"",INDIRECT($H72&amp;"!"&amp;$W72&amp;($X72+AD$15+1)),""),""))</f>
        <v/>
      </c>
      <c r="AE72" s="296" t="str" cm="1">
        <f t="array" aca="1" ref="AE72" ca="1">IF(OR($J72="Pluviomètre",LEFT($J72,5)="Sonde"),"",IF($H72&lt;&gt;"",IF(INDIRECT($H72&amp;"!"&amp;$W72&amp;($X72+AE$15+1))&lt;&gt;"",INDIRECT($H72&amp;"!"&amp;$W72&amp;($X72+AE$15+1)),""),""))</f>
        <v/>
      </c>
      <c r="AF72" s="296" t="str" cm="1">
        <f t="array" aca="1" ref="AF72" ca="1">IF(OR($J72="Pluviomètre",LEFT($J72,5)="Sonde"),"",IF($H72&lt;&gt;"",IF(INDIRECT($H72&amp;"!"&amp;$W72&amp;($X72+AF$15+1))&lt;&gt;"",INDIRECT($H72&amp;"!"&amp;$W72&amp;($X72+AF$15+1)),""),""))</f>
        <v/>
      </c>
      <c r="AG72" s="296" t="str" cm="1">
        <f t="array" aca="1" ref="AG72" ca="1">IF(OR($J72="Pluviomètre",LEFT($J72,5)="Sonde"),"",IF($H72&lt;&gt;"",IF(INDIRECT($H72&amp;"!"&amp;$W72&amp;($X72+AG$15+1))&lt;&gt;"",INDIRECT($H72&amp;"!"&amp;$W72&amp;($X72+AG$15+1)),""),""))</f>
        <v/>
      </c>
      <c r="AH72" s="296" t="str" cm="1">
        <f t="array" aca="1" ref="AH72" ca="1">IF(OR($J72="Pluviomètre",LEFT($J72,5)="Sonde"),"",IF($H72&lt;&gt;"",IF(INDIRECT($H72&amp;"!"&amp;$W72&amp;($X72+AH$15+1))&lt;&gt;"",INDIRECT($H72&amp;"!"&amp;$W72&amp;($X72+AH$15+1)),""),""))</f>
        <v/>
      </c>
      <c r="AI72" s="294" t="str">
        <f t="shared" ca="1" si="9"/>
        <v/>
      </c>
      <c r="AJ72" s="148" t="str">
        <f t="shared" ca="1" si="10"/>
        <v/>
      </c>
      <c r="AK72" s="296" t="str" cm="1">
        <f t="array" aca="1" ref="AK72" ca="1">IF($H72&lt;&gt;"",IF(INDIRECT($H72&amp;"!"&amp;$AI72&amp;($AJ72+AK$15+1))&lt;&gt;"",INDIRECT($H72&amp;"!"&amp;$AI72&amp;($AJ72+AK$15+1)),""),"")</f>
        <v/>
      </c>
      <c r="AL72" s="296" t="str" cm="1">
        <f t="array" aca="1" ref="AL72" ca="1">IF($H72&lt;&gt;"",IF(INDIRECT($H72&amp;"!"&amp;$AI72&amp;($AJ72+AL$15+1))&lt;&gt;"",INDIRECT($H72&amp;"!"&amp;$AI72&amp;($AJ72+AL$15+1)),""),"")</f>
        <v/>
      </c>
      <c r="AM72" s="296" t="str" cm="1">
        <f t="array" aca="1" ref="AM72" ca="1">IF($H72&lt;&gt;"",IF(INDIRECT($H72&amp;"!"&amp;$AI72&amp;($AJ72+AM$15+1))&lt;&gt;"",INDIRECT($H72&amp;"!"&amp;$AI72&amp;($AJ72+AM$15+1)),""),"")</f>
        <v/>
      </c>
      <c r="AN72" s="296" t="str" cm="1">
        <f t="array" aca="1" ref="AN72" ca="1">IF($H72&lt;&gt;"",IF(INDIRECT($H72&amp;"!"&amp;$AI72&amp;($AJ72+AN$15+1))&lt;&gt;"",INDIRECT($H72&amp;"!"&amp;$AI72&amp;($AJ72+AN$15+1)),""),"")</f>
        <v/>
      </c>
      <c r="AO72" s="296" t="str" cm="1">
        <f t="array" aca="1" ref="AO72" ca="1">IF(LEFT($J72,5)="Sonde","",IF($H72&lt;&gt;"",IF(INDIRECT($H72&amp;"!"&amp;$AI72&amp;($AJ72+AO$15+1))&lt;&gt;"",INDIRECT($H72&amp;"!"&amp;$AI72&amp;($AJ72+AO$15+1)),""),""))</f>
        <v/>
      </c>
      <c r="AP72" s="296" t="str" cm="1">
        <f t="array" aca="1" ref="AP72" ca="1">IF(OR($J72="Pluviomètre",LEFT($J72,5)="Sonde"),"",IF($H72&lt;&gt;"",IF(INDIRECT($H72&amp;"!"&amp;$AI72&amp;($AJ72+AP$15+1))&lt;&gt;"",INDIRECT($H72&amp;"!"&amp;$AI72&amp;($AJ72+AP$15+1)),""),""))</f>
        <v/>
      </c>
      <c r="AQ72" s="296" t="str" cm="1">
        <f t="array" aca="1" ref="AQ72" ca="1">IF(OR($J72="Pluviomètre",LEFT($J72,5)="Sonde"),"",IF($H72&lt;&gt;"",IF(INDIRECT($H72&amp;"!"&amp;$AI72&amp;($AJ72+AQ$15+1))&lt;&gt;"",INDIRECT($H72&amp;"!"&amp;$AI72&amp;($AJ72+AQ$15+1)),""),""))</f>
        <v/>
      </c>
      <c r="AR72" s="296" t="str" cm="1">
        <f t="array" aca="1" ref="AR72" ca="1">IF(OR($J72="Pluviomètre",LEFT($J72,5)="Sonde"),"",IF($H72&lt;&gt;"",IF(INDIRECT($H72&amp;"!"&amp;$AI72&amp;($AJ72+AR$15+1))&lt;&gt;"",INDIRECT($H72&amp;"!"&amp;$AI72&amp;($AJ72+AR$15+1)),""),""))</f>
        <v/>
      </c>
      <c r="AS72" s="296" t="str" cm="1">
        <f t="array" aca="1" ref="AS72" ca="1">IF(OR($J72="Pluviomètre",LEFT($J72,5)="Sonde"),"",IF($H72&lt;&gt;"",IF(INDIRECT($H72&amp;"!"&amp;$AI72&amp;($AJ72+AS$15+1))&lt;&gt;"",INDIRECT($H72&amp;"!"&amp;$AI72&amp;($AJ72+AS$15+1)),""),""))</f>
        <v/>
      </c>
      <c r="AT72" s="296" t="str" cm="1">
        <f t="array" aca="1" ref="AT72" ca="1">IF(OR($J72="Pluviomètre",LEFT($J72,5)="Sonde"),"",IF($H72&lt;&gt;"",IF(INDIRECT($H72&amp;"!"&amp;$AI72&amp;($AJ72+AT$15+1))&lt;&gt;"",INDIRECT($H72&amp;"!"&amp;$AI72&amp;($AJ72+AT$15+1)),""),""))</f>
        <v/>
      </c>
    </row>
  </sheetData>
  <sheetProtection algorithmName="SHA-512" hashValue="85QLFwq/ErimLFeMX70tfGhR7qz0IBERXv5Nl9X27nNV/JtpVLj8utd9y4eb61muJd8UyvtcfLlPz4jnSTwr5A==" saltValue="UxtIr82nreiQ7uvkB2bE2g==" spinCount="100000" sheet="1" objects="1" scenarios="1" formatRows="0"/>
  <mergeCells count="8">
    <mergeCell ref="AI14:AT14"/>
    <mergeCell ref="U14:V14"/>
    <mergeCell ref="S14:T14"/>
    <mergeCell ref="W14:AH14"/>
    <mergeCell ref="B3:F3"/>
    <mergeCell ref="A14:B14"/>
    <mergeCell ref="O14:P14"/>
    <mergeCell ref="Q14:R1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7"/>
  <dimension ref="A1:K21"/>
  <sheetViews>
    <sheetView showGridLines="0" topLeftCell="A4" zoomScaleNormal="100" zoomScaleSheetLayoutView="100" workbookViewId="0">
      <selection activeCell="C21" sqref="C21"/>
    </sheetView>
  </sheetViews>
  <sheetFormatPr baseColWidth="10" defaultColWidth="0" defaultRowHeight="12.75" customHeight="1" zeroHeight="1" x14ac:dyDescent="0.4"/>
  <cols>
    <col min="1" max="1" width="2.703125" style="4" customWidth="1"/>
    <col min="2" max="2" width="8.703125" style="4" bestFit="1" customWidth="1"/>
    <col min="3" max="3" width="26.5859375" style="4" bestFit="1" customWidth="1"/>
    <col min="4" max="4" width="19" style="4" customWidth="1"/>
    <col min="5" max="5" width="13" style="8" customWidth="1"/>
    <col min="6" max="6" width="2.703125" style="4" customWidth="1"/>
    <col min="7" max="7" width="12.1171875" style="4" hidden="1" customWidth="1"/>
    <col min="8" max="11" width="0" style="4" hidden="1" customWidth="1"/>
    <col min="12" max="16384" width="11.41015625" style="4" hidden="1"/>
  </cols>
  <sheetData>
    <row r="1" spans="1:6" ht="13" thickBot="1" x14ac:dyDescent="0.45">
      <c r="A1" s="20"/>
      <c r="B1" s="20"/>
      <c r="C1" s="20"/>
      <c r="D1" s="20"/>
      <c r="E1" s="54"/>
      <c r="F1" s="20"/>
    </row>
    <row r="2" spans="1:6" ht="15.7" thickBot="1" x14ac:dyDescent="0.45">
      <c r="A2" s="20"/>
      <c r="B2" s="1201" t="s">
        <v>138</v>
      </c>
      <c r="C2" s="1202"/>
      <c r="D2" s="1202"/>
      <c r="E2" s="1203"/>
      <c r="F2" s="55"/>
    </row>
    <row r="3" spans="1:6" ht="13" thickBot="1" x14ac:dyDescent="0.45">
      <c r="A3" s="20"/>
      <c r="B3" s="20"/>
      <c r="C3" s="20"/>
      <c r="D3" s="20"/>
      <c r="E3" s="54"/>
      <c r="F3" s="20"/>
    </row>
    <row r="4" spans="1:6" s="5" customFormat="1" ht="51" thickBot="1" x14ac:dyDescent="0.45">
      <c r="A4" s="56"/>
      <c r="B4" s="57" t="s">
        <v>25</v>
      </c>
      <c r="C4" s="58" t="s">
        <v>31</v>
      </c>
      <c r="D4" s="58" t="s">
        <v>125</v>
      </c>
      <c r="E4" s="59" t="s">
        <v>139</v>
      </c>
      <c r="F4" s="56"/>
    </row>
    <row r="5" spans="1:6" ht="20.100000000000001" customHeight="1" x14ac:dyDescent="0.4">
      <c r="A5" s="20"/>
      <c r="B5" s="60">
        <v>1458</v>
      </c>
      <c r="C5" s="61" t="s">
        <v>140</v>
      </c>
      <c r="D5" s="62" t="s">
        <v>141</v>
      </c>
      <c r="E5" s="63">
        <v>100</v>
      </c>
      <c r="F5" s="20"/>
    </row>
    <row r="6" spans="1:6" ht="20.100000000000001" customHeight="1" x14ac:dyDescent="0.4">
      <c r="A6" s="20"/>
      <c r="B6" s="64">
        <v>1114</v>
      </c>
      <c r="C6" s="65" t="s">
        <v>142</v>
      </c>
      <c r="D6" s="66" t="s">
        <v>143</v>
      </c>
      <c r="E6" s="67">
        <v>10</v>
      </c>
      <c r="F6" s="20"/>
    </row>
    <row r="7" spans="1:6" ht="20.100000000000001" customHeight="1" x14ac:dyDescent="0.4">
      <c r="A7" s="20"/>
      <c r="B7" s="64">
        <v>1115</v>
      </c>
      <c r="C7" s="65" t="s">
        <v>144</v>
      </c>
      <c r="D7" s="66" t="s">
        <v>141</v>
      </c>
      <c r="E7" s="67">
        <v>100</v>
      </c>
      <c r="F7" s="20"/>
    </row>
    <row r="8" spans="1:6" ht="20.100000000000001" customHeight="1" x14ac:dyDescent="0.4">
      <c r="A8" s="20"/>
      <c r="B8" s="64">
        <v>1116</v>
      </c>
      <c r="C8" s="65" t="s">
        <v>145</v>
      </c>
      <c r="D8" s="66" t="s">
        <v>146</v>
      </c>
      <c r="E8" s="67">
        <v>100</v>
      </c>
      <c r="F8" s="20"/>
    </row>
    <row r="9" spans="1:6" ht="20.100000000000001" customHeight="1" x14ac:dyDescent="0.4">
      <c r="A9" s="20"/>
      <c r="B9" s="64">
        <v>1117</v>
      </c>
      <c r="C9" s="65" t="s">
        <v>147</v>
      </c>
      <c r="D9" s="66" t="s">
        <v>146</v>
      </c>
      <c r="E9" s="67">
        <v>100</v>
      </c>
      <c r="F9" s="20"/>
    </row>
    <row r="10" spans="1:6" ht="20.100000000000001" customHeight="1" x14ac:dyDescent="0.4">
      <c r="A10" s="20"/>
      <c r="B10" s="64">
        <v>1118</v>
      </c>
      <c r="C10" s="65" t="s">
        <v>148</v>
      </c>
      <c r="D10" s="66" t="s">
        <v>146</v>
      </c>
      <c r="E10" s="67">
        <v>1000</v>
      </c>
      <c r="F10" s="20"/>
    </row>
    <row r="11" spans="1:6" ht="20.100000000000001" customHeight="1" x14ac:dyDescent="0.4">
      <c r="A11" s="20"/>
      <c r="B11" s="64">
        <v>6616</v>
      </c>
      <c r="C11" s="65" t="s">
        <v>149</v>
      </c>
      <c r="D11" s="66" t="s">
        <v>143</v>
      </c>
      <c r="E11" s="67">
        <v>10</v>
      </c>
      <c r="F11" s="20"/>
    </row>
    <row r="12" spans="1:6" ht="20.100000000000001" customHeight="1" x14ac:dyDescent="0.4">
      <c r="A12" s="20"/>
      <c r="B12" s="64">
        <v>1497</v>
      </c>
      <c r="C12" s="65" t="s">
        <v>150</v>
      </c>
      <c r="D12" s="66" t="s">
        <v>143</v>
      </c>
      <c r="E12" s="67">
        <v>10</v>
      </c>
      <c r="F12" s="20"/>
    </row>
    <row r="13" spans="1:6" ht="20.100000000000001" customHeight="1" x14ac:dyDescent="0.4">
      <c r="A13" s="20"/>
      <c r="B13" s="64">
        <v>1191</v>
      </c>
      <c r="C13" s="65" t="s">
        <v>151</v>
      </c>
      <c r="D13" s="66" t="s">
        <v>141</v>
      </c>
      <c r="E13" s="67">
        <v>100</v>
      </c>
      <c r="F13" s="20"/>
    </row>
    <row r="14" spans="1:6" ht="20.100000000000001" customHeight="1" x14ac:dyDescent="0.4">
      <c r="A14" s="20"/>
      <c r="B14" s="68">
        <v>1204</v>
      </c>
      <c r="C14" s="69" t="s">
        <v>152</v>
      </c>
      <c r="D14" s="66" t="s">
        <v>146</v>
      </c>
      <c r="E14" s="67">
        <v>1000</v>
      </c>
      <c r="F14" s="20"/>
    </row>
    <row r="15" spans="1:6" ht="20.100000000000001" customHeight="1" x14ac:dyDescent="0.4">
      <c r="A15" s="20"/>
      <c r="B15" s="68">
        <v>1517</v>
      </c>
      <c r="C15" s="69" t="s">
        <v>153</v>
      </c>
      <c r="D15" s="66" t="s">
        <v>154</v>
      </c>
      <c r="E15" s="67">
        <v>10</v>
      </c>
      <c r="F15" s="20"/>
    </row>
    <row r="16" spans="1:6" ht="20.100000000000001" customHeight="1" x14ac:dyDescent="0.4">
      <c r="A16" s="20"/>
      <c r="B16" s="68">
        <v>6598</v>
      </c>
      <c r="C16" s="69" t="s">
        <v>155</v>
      </c>
      <c r="D16" s="66" t="s">
        <v>156</v>
      </c>
      <c r="E16" s="67">
        <v>50</v>
      </c>
      <c r="F16" s="20"/>
    </row>
    <row r="17" spans="1:6" s="7" customFormat="1" ht="20.100000000000001" customHeight="1" x14ac:dyDescent="0.4">
      <c r="A17" s="70"/>
      <c r="B17" s="68">
        <v>6600</v>
      </c>
      <c r="C17" s="69" t="s">
        <v>157</v>
      </c>
      <c r="D17" s="66" t="s">
        <v>156</v>
      </c>
      <c r="E17" s="67">
        <v>100</v>
      </c>
      <c r="F17" s="70"/>
    </row>
    <row r="18" spans="1:6" ht="20.100000000000001" customHeight="1" x14ac:dyDescent="0.4">
      <c r="A18" s="20"/>
      <c r="B18" s="68">
        <v>1278</v>
      </c>
      <c r="C18" s="69" t="s">
        <v>158</v>
      </c>
      <c r="D18" s="66" t="s">
        <v>159</v>
      </c>
      <c r="E18" s="67">
        <v>10</v>
      </c>
      <c r="F18" s="20"/>
    </row>
    <row r="19" spans="1:6" ht="20.100000000000001" customHeight="1" x14ac:dyDescent="0.4">
      <c r="A19" s="20"/>
      <c r="B19" s="68">
        <v>2879</v>
      </c>
      <c r="C19" s="69" t="s">
        <v>160</v>
      </c>
      <c r="D19" s="66" t="s">
        <v>161</v>
      </c>
      <c r="E19" s="67">
        <v>1000</v>
      </c>
      <c r="F19" s="20"/>
    </row>
    <row r="20" spans="1:6" ht="20.100000000000001" customHeight="1" thickBot="1" x14ac:dyDescent="0.45">
      <c r="A20" s="20"/>
      <c r="B20" s="71">
        <v>1780</v>
      </c>
      <c r="C20" s="72" t="s">
        <v>162</v>
      </c>
      <c r="D20" s="73" t="s">
        <v>163</v>
      </c>
      <c r="E20" s="74">
        <v>10</v>
      </c>
      <c r="F20" s="20"/>
    </row>
    <row r="21" spans="1:6" ht="12.7" x14ac:dyDescent="0.4">
      <c r="A21" s="20"/>
      <c r="B21" s="20"/>
      <c r="C21" s="75"/>
      <c r="D21" s="76"/>
      <c r="E21" s="77"/>
      <c r="F21" s="20"/>
    </row>
  </sheetData>
  <sheetProtection algorithmName="SHA-512" hashValue="4LeZUzwBvFshkNUq6RI1iMhvu/m7shxVLy2NKnhwTPPVRluq0pjJNUXb28hWocdPocFD0ooRyZjL7OE0+LA8vw==" saltValue="DfJVY1eqMaBspsq7IKvUVQ==" spinCount="100000" sheet="1" objects="1" scenarios="1" formatRows="0"/>
  <mergeCells count="1">
    <mergeCell ref="B2:E2"/>
  </mergeCells>
  <pageMargins left="0.78740157499999996" right="0.78740157499999996" top="0.984251969" bottom="0.984251969" header="0.4921259845" footer="0.4921259845"/>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18"/>
  <dimension ref="A1:WE27"/>
  <sheetViews>
    <sheetView zoomScale="70" zoomScaleNormal="70" workbookViewId="0">
      <pane xSplit="1" ySplit="4" topLeftCell="B5" activePane="bottomRight" state="frozen"/>
      <selection pane="topRight" activeCell="B1" sqref="B1"/>
      <selection pane="bottomLeft" activeCell="A5" sqref="A5"/>
      <selection pane="bottomRight" sqref="A1:XFD1048576"/>
    </sheetView>
  </sheetViews>
  <sheetFormatPr baseColWidth="10" defaultColWidth="11.41015625" defaultRowHeight="12.7" x14ac:dyDescent="0.4"/>
  <cols>
    <col min="1" max="1" width="5.41015625" style="12" bestFit="1" customWidth="1"/>
    <col min="2" max="3" width="40.703125" style="12" customWidth="1"/>
    <col min="4" max="4" width="15.703125" style="12" customWidth="1"/>
    <col min="5" max="5" width="10.703125" style="12" customWidth="1"/>
    <col min="6" max="7" width="40.703125" style="12" customWidth="1"/>
    <col min="8" max="8" width="15.703125" style="12" customWidth="1"/>
    <col min="9" max="9" width="10.703125" style="12" customWidth="1"/>
    <col min="10" max="11" width="40.703125" style="15" customWidth="1"/>
    <col min="12" max="12" width="15.703125" style="16" customWidth="1"/>
    <col min="13" max="13" width="10.703125" style="16" customWidth="1"/>
    <col min="14" max="15" width="40.703125" style="15" customWidth="1"/>
    <col min="16" max="16" width="15.703125" style="16" customWidth="1"/>
    <col min="17" max="17" width="10.703125" style="16" customWidth="1"/>
    <col min="18" max="19" width="40.703125" style="15" customWidth="1"/>
    <col min="20" max="20" width="15.703125" style="16" customWidth="1"/>
    <col min="21" max="21" width="10.703125" style="16" customWidth="1"/>
    <col min="22" max="23" width="40.703125" style="15" customWidth="1"/>
    <col min="24" max="24" width="15.703125" style="16" customWidth="1"/>
    <col min="25" max="25" width="10.703125" style="16" customWidth="1"/>
    <col min="26" max="27" width="40.703125" style="15" customWidth="1"/>
    <col min="28" max="28" width="15.703125" style="16" customWidth="1"/>
    <col min="29" max="29" width="10.703125" style="16" customWidth="1"/>
    <col min="30" max="31" width="40.703125" style="15" customWidth="1"/>
    <col min="32" max="32" width="15.703125" style="16" customWidth="1"/>
    <col min="33" max="33" width="10.703125" style="16" customWidth="1"/>
    <col min="34" max="35" width="40.703125" style="15" customWidth="1"/>
    <col min="36" max="36" width="15.703125" style="16" customWidth="1"/>
    <col min="37" max="37" width="10.703125" style="16" customWidth="1"/>
    <col min="38" max="39" width="40.703125" style="15" customWidth="1"/>
    <col min="40" max="40" width="15.703125" style="16" customWidth="1"/>
    <col min="41" max="41" width="10.703125" style="16" customWidth="1"/>
    <col min="42" max="43" width="40.703125" style="15" customWidth="1"/>
    <col min="44" max="44" width="15.703125" style="16" customWidth="1"/>
    <col min="45" max="45" width="10.703125" style="16" customWidth="1"/>
    <col min="46" max="47" width="40.703125" style="15" customWidth="1"/>
    <col min="48" max="48" width="15.703125" style="16" customWidth="1"/>
    <col min="49" max="49" width="10.703125" style="16" customWidth="1"/>
    <col min="50" max="51" width="40.703125" style="15" customWidth="1"/>
    <col min="52" max="52" width="15.703125" style="16" customWidth="1"/>
    <col min="53" max="53" width="10.703125" style="16" customWidth="1"/>
    <col min="54" max="55" width="40.703125" style="15" customWidth="1"/>
    <col min="56" max="56" width="15.703125" style="16" customWidth="1"/>
    <col min="57" max="57" width="10.703125" style="16" customWidth="1"/>
    <col min="58" max="59" width="40.703125" style="15" customWidth="1"/>
    <col min="60" max="60" width="15.703125" style="15" customWidth="1"/>
    <col min="61" max="61" width="10.703125" style="15" customWidth="1"/>
    <col min="62" max="63" width="40.703125" style="15" customWidth="1"/>
    <col min="64" max="64" width="15.703125" style="15" customWidth="1"/>
    <col min="65" max="65" width="10.703125" style="15" customWidth="1"/>
    <col min="66" max="67" width="40.703125" style="15" customWidth="1"/>
    <col min="68" max="68" width="15.703125" style="15" customWidth="1"/>
    <col min="69" max="69" width="10.703125" style="15" customWidth="1"/>
    <col min="70" max="71" width="40.703125" style="15" customWidth="1"/>
    <col min="72" max="72" width="15.703125" style="15" customWidth="1"/>
    <col min="73" max="73" width="10.703125" style="15" customWidth="1"/>
    <col min="74" max="75" width="40.703125" style="15" customWidth="1"/>
    <col min="76" max="76" width="15.703125" style="15" customWidth="1"/>
    <col min="77" max="77" width="10.703125" style="15" customWidth="1"/>
    <col min="78" max="78" width="40.703125" style="15" customWidth="1"/>
    <col min="79" max="80" width="7.703125" style="15" customWidth="1"/>
    <col min="81" max="81" width="35.703125" style="15" customWidth="1"/>
    <col min="82" max="82" width="40.703125" style="15" customWidth="1"/>
    <col min="83" max="84" width="7.703125" style="15" customWidth="1"/>
    <col min="85" max="85" width="35.703125" style="15" customWidth="1"/>
    <col min="86" max="86" width="40.703125" style="15" customWidth="1"/>
    <col min="87" max="88" width="7.703125" style="15" customWidth="1"/>
    <col min="89" max="89" width="35.703125" style="15" customWidth="1"/>
    <col min="90" max="90" width="40.703125" style="15" customWidth="1"/>
    <col min="91" max="92" width="7.703125" style="15" customWidth="1"/>
    <col min="93" max="93" width="35.703125" style="15" customWidth="1"/>
    <col min="94" max="94" width="40.703125" style="15" customWidth="1"/>
    <col min="95" max="96" width="7.703125" style="15" customWidth="1"/>
    <col min="97" max="97" width="40.703125" style="15" customWidth="1"/>
    <col min="98" max="99" width="7.703125" style="15" customWidth="1"/>
    <col min="100" max="100" width="35.703125" style="15" customWidth="1"/>
    <col min="101" max="101" width="40.703125" style="15" customWidth="1"/>
    <col min="102" max="103" width="7.703125" style="15" customWidth="1"/>
    <col min="104" max="104" width="35.703125" style="15" customWidth="1"/>
    <col min="105" max="105" width="40.703125" style="15" customWidth="1"/>
    <col min="106" max="107" width="7.703125" style="15" customWidth="1"/>
    <col min="108" max="108" width="35.703125" style="15" customWidth="1"/>
    <col min="109" max="109" width="40.703125" style="15" customWidth="1"/>
    <col min="110" max="111" width="7.703125" style="15" customWidth="1"/>
    <col min="112" max="112" width="35.703125" style="15" customWidth="1"/>
    <col min="113" max="113" width="40.703125" style="15" customWidth="1"/>
    <col min="114" max="115" width="7.703125" style="15" customWidth="1"/>
    <col min="116" max="116" width="35.703125" style="15" customWidth="1"/>
    <col min="117" max="117" width="40.703125" style="15" customWidth="1"/>
    <col min="118" max="119" width="7.703125" style="15" customWidth="1"/>
    <col min="120" max="120" width="35.703125" style="15" customWidth="1"/>
    <col min="121" max="121" width="40.703125" style="15" customWidth="1"/>
    <col min="122" max="123" width="7.703125" style="15" customWidth="1"/>
    <col min="124" max="124" width="35.703125" style="15" customWidth="1"/>
    <col min="125" max="125" width="40.703125" style="15" customWidth="1"/>
    <col min="126" max="127" width="7.703125" style="15" customWidth="1"/>
    <col min="128" max="128" width="35.703125" style="15" customWidth="1"/>
    <col min="129" max="129" width="40.703125" style="15" customWidth="1"/>
    <col min="130" max="131" width="7.703125" style="15" customWidth="1"/>
    <col min="132" max="132" width="35.703125" style="15" customWidth="1"/>
    <col min="133" max="133" width="40.703125" style="15" customWidth="1"/>
    <col min="134" max="135" width="7.703125" style="15" customWidth="1"/>
    <col min="136" max="136" width="40.703125" style="15" customWidth="1"/>
    <col min="137" max="138" width="7.703125" style="15" customWidth="1"/>
    <col min="139" max="139" width="35.703125" style="15" customWidth="1"/>
    <col min="140" max="140" width="40.703125" style="15" customWidth="1"/>
    <col min="141" max="142" width="7.703125" style="15" customWidth="1"/>
    <col min="143" max="143" width="35.703125" style="15" customWidth="1"/>
    <col min="144" max="144" width="40.703125" style="15" customWidth="1"/>
    <col min="145" max="146" width="7.703125" style="15" customWidth="1"/>
    <col min="147" max="147" width="35.703125" style="15" customWidth="1"/>
    <col min="148" max="148" width="40.703125" style="15" customWidth="1"/>
    <col min="149" max="150" width="7.703125" style="15" customWidth="1"/>
    <col min="151" max="151" width="35.703125" style="15" customWidth="1"/>
    <col min="152" max="152" width="40.703125" style="15" customWidth="1"/>
    <col min="153" max="154" width="7.703125" style="15" customWidth="1"/>
    <col min="155" max="155" width="35.703125" style="15" customWidth="1"/>
    <col min="156" max="156" width="40.703125" style="15" customWidth="1"/>
    <col min="157" max="158" width="7.703125" style="15" customWidth="1"/>
    <col min="159" max="159" width="35.703125" style="15" customWidth="1"/>
    <col min="160" max="160" width="40.703125" style="15" customWidth="1"/>
    <col min="161" max="162" width="7.703125" style="15" customWidth="1"/>
    <col min="163" max="163" width="35.703125" style="15" customWidth="1"/>
    <col min="164" max="164" width="40.703125" style="15" customWidth="1"/>
    <col min="165" max="166" width="7.703125" style="15" customWidth="1"/>
    <col min="167" max="167" width="35.703125" style="15" customWidth="1"/>
    <col min="168" max="168" width="40.703125" style="15" customWidth="1"/>
    <col min="169" max="170" width="7.703125" style="15" customWidth="1"/>
    <col min="171" max="171" width="35.703125" style="15" customWidth="1"/>
    <col min="172" max="172" width="40.703125" style="15" customWidth="1"/>
    <col min="173" max="174" width="7.703125" style="15" customWidth="1"/>
    <col min="175" max="175" width="40.703125" style="15" customWidth="1"/>
    <col min="176" max="177" width="7.703125" style="15" customWidth="1"/>
    <col min="178" max="178" width="35.703125" style="15" customWidth="1"/>
    <col min="179" max="179" width="40.703125" style="15" customWidth="1"/>
    <col min="180" max="181" width="7.703125" style="15" customWidth="1"/>
    <col min="182" max="182" width="35.703125" style="15" customWidth="1"/>
    <col min="183" max="183" width="40.703125" style="15" customWidth="1"/>
    <col min="184" max="185" width="7.703125" style="15" customWidth="1"/>
    <col min="186" max="186" width="35.703125" style="15" customWidth="1"/>
    <col min="187" max="187" width="40.703125" style="15" customWidth="1"/>
    <col min="188" max="189" width="7.703125" style="15" customWidth="1"/>
    <col min="190" max="190" width="35.703125" style="15" customWidth="1"/>
    <col min="191" max="191" width="40.703125" style="15" customWidth="1"/>
    <col min="192" max="193" width="7.703125" style="15" customWidth="1"/>
    <col min="194" max="194" width="35.703125" style="15" customWidth="1"/>
    <col min="195" max="195" width="40.703125" style="15" customWidth="1"/>
    <col min="196" max="197" width="7.703125" style="15" customWidth="1"/>
    <col min="198" max="198" width="35.703125" style="15" customWidth="1"/>
    <col min="199" max="199" width="40.703125" style="15" customWidth="1"/>
    <col min="200" max="201" width="7.703125" style="15" customWidth="1"/>
    <col min="202" max="202" width="35.703125" style="15" customWidth="1"/>
    <col min="203" max="203" width="40.703125" style="15" customWidth="1"/>
    <col min="204" max="205" width="7.703125" style="15" customWidth="1"/>
    <col min="206" max="206" width="35.703125" style="15" customWidth="1"/>
    <col min="207" max="207" width="40.703125" style="15" customWidth="1"/>
    <col min="208" max="209" width="7.703125" style="15" customWidth="1"/>
    <col min="210" max="210" width="35.703125" style="15" customWidth="1"/>
    <col min="211" max="211" width="40.703125" style="15" customWidth="1"/>
    <col min="212" max="213" width="7.703125" style="15" customWidth="1"/>
    <col min="214" max="214" width="40.703125" style="15" customWidth="1"/>
    <col min="215" max="216" width="7.703125" style="15" customWidth="1"/>
    <col min="217" max="217" width="35.703125" style="15" customWidth="1"/>
    <col min="218" max="218" width="40.703125" style="15" customWidth="1"/>
    <col min="219" max="220" width="7.703125" style="15" customWidth="1"/>
    <col min="221" max="221" width="35.703125" style="15" customWidth="1"/>
    <col min="222" max="222" width="40.703125" style="15" customWidth="1"/>
    <col min="223" max="224" width="7.703125" style="15" customWidth="1"/>
    <col min="225" max="225" width="35.703125" style="15" customWidth="1"/>
    <col min="226" max="226" width="40.703125" style="15" customWidth="1"/>
    <col min="227" max="228" width="7.703125" style="15" customWidth="1"/>
    <col min="229" max="229" width="35.703125" style="15" customWidth="1"/>
    <col min="230" max="230" width="40.703125" style="15" customWidth="1"/>
    <col min="231" max="232" width="7.703125" style="15" customWidth="1"/>
    <col min="233" max="233" width="35.703125" style="15" customWidth="1"/>
    <col min="234" max="234" width="40.703125" style="15" customWidth="1"/>
    <col min="235" max="236" width="7.703125" style="15" customWidth="1"/>
    <col min="237" max="237" width="35.703125" style="15" customWidth="1"/>
    <col min="238" max="238" width="40.703125" style="15" customWidth="1"/>
    <col min="239" max="240" width="7.703125" style="15" customWidth="1"/>
    <col min="241" max="241" width="35.703125" style="15" customWidth="1"/>
    <col min="242" max="242" width="40.703125" style="15" customWidth="1"/>
    <col min="243" max="244" width="7.703125" style="15" customWidth="1"/>
    <col min="245" max="245" width="35.703125" style="15" customWidth="1"/>
    <col min="246" max="246" width="40.703125" style="15" customWidth="1"/>
    <col min="247" max="248" width="7.703125" style="15" customWidth="1"/>
    <col min="249" max="249" width="35.703125" style="15" customWidth="1"/>
    <col min="250" max="250" width="40.703125" style="15" customWidth="1"/>
    <col min="251" max="252" width="7.703125" style="15" customWidth="1"/>
    <col min="253" max="253" width="40.703125" style="15" customWidth="1"/>
    <col min="254" max="255" width="7.703125" style="15" customWidth="1"/>
    <col min="256" max="256" width="35.703125" style="15" customWidth="1"/>
    <col min="257" max="257" width="40.703125" style="15" customWidth="1"/>
    <col min="258" max="259" width="7.703125" style="15" customWidth="1"/>
    <col min="260" max="260" width="35.703125" style="15" customWidth="1"/>
    <col min="261" max="261" width="40.703125" style="15" customWidth="1"/>
    <col min="262" max="263" width="7.703125" style="15" customWidth="1"/>
    <col min="264" max="264" width="35.703125" style="15" customWidth="1"/>
    <col min="265" max="265" width="40.703125" style="15" customWidth="1"/>
    <col min="266" max="267" width="7.703125" style="15" customWidth="1"/>
    <col min="268" max="268" width="35.703125" style="15" customWidth="1"/>
    <col min="269" max="269" width="40.703125" style="15" customWidth="1"/>
    <col min="270" max="271" width="7.703125" style="15" customWidth="1"/>
    <col min="272" max="272" width="35.703125" style="15" customWidth="1"/>
    <col min="273" max="273" width="40.703125" style="15" customWidth="1"/>
    <col min="274" max="275" width="7.703125" style="15" customWidth="1"/>
    <col min="276" max="276" width="35.703125" style="15" customWidth="1"/>
    <col min="277" max="277" width="40.703125" style="15" customWidth="1"/>
    <col min="278" max="279" width="7.703125" style="15" customWidth="1"/>
    <col min="280" max="280" width="35.703125" style="15" customWidth="1"/>
    <col min="281" max="281" width="40.703125" style="15" customWidth="1"/>
    <col min="282" max="283" width="7.703125" style="15" customWidth="1"/>
    <col min="284" max="284" width="35.703125" style="15" customWidth="1"/>
    <col min="285" max="285" width="40.703125" style="15" customWidth="1"/>
    <col min="286" max="287" width="7.703125" style="15" customWidth="1"/>
    <col min="288" max="288" width="35.703125" style="15" customWidth="1"/>
    <col min="289" max="289" width="40.703125" style="15" customWidth="1"/>
    <col min="290" max="291" width="7.703125" style="15" customWidth="1"/>
    <col min="292" max="292" width="40.703125" style="15" customWidth="1"/>
    <col min="293" max="294" width="7.703125" style="15" customWidth="1"/>
    <col min="295" max="295" width="35.703125" style="15" customWidth="1"/>
    <col min="296" max="296" width="40.703125" style="15" customWidth="1"/>
    <col min="297" max="298" width="7.703125" style="15" customWidth="1"/>
    <col min="299" max="299" width="35.703125" style="15" customWidth="1"/>
    <col min="300" max="300" width="40.703125" style="15" customWidth="1"/>
    <col min="301" max="302" width="7.703125" style="15" customWidth="1"/>
    <col min="303" max="303" width="35.703125" style="15" customWidth="1"/>
    <col min="304" max="304" width="40.703125" style="15" customWidth="1"/>
    <col min="305" max="306" width="7.703125" style="15" customWidth="1"/>
    <col min="307" max="307" width="35.703125" style="15" customWidth="1"/>
    <col min="308" max="308" width="40.703125" style="15" customWidth="1"/>
    <col min="309" max="310" width="7.703125" style="15" customWidth="1"/>
    <col min="311" max="311" width="35.703125" style="15" customWidth="1"/>
    <col min="312" max="312" width="40.703125" style="15" customWidth="1"/>
    <col min="313" max="314" width="7.703125" style="15" customWidth="1"/>
    <col min="315" max="315" width="35.703125" style="15" customWidth="1"/>
    <col min="316" max="316" width="40.703125" style="15" customWidth="1"/>
    <col min="317" max="318" width="7.703125" style="15" customWidth="1"/>
    <col min="319" max="319" width="35.703125" style="15" customWidth="1"/>
    <col min="320" max="320" width="40.703125" style="15" customWidth="1"/>
    <col min="321" max="322" width="7.703125" style="15" customWidth="1"/>
    <col min="323" max="323" width="35.703125" style="317" customWidth="1"/>
    <col min="324" max="324" width="40.703125" style="15" customWidth="1"/>
    <col min="325" max="326" width="7.703125" style="15" customWidth="1"/>
    <col min="327" max="327" width="35.703125" style="15" customWidth="1"/>
    <col min="328" max="328" width="40.703125" style="15" customWidth="1"/>
    <col min="329" max="330" width="7.703125" style="15" customWidth="1"/>
    <col min="331" max="331" width="40.703125" style="15" customWidth="1"/>
    <col min="332" max="333" width="7.703125" style="15" customWidth="1"/>
    <col min="334" max="334" width="35.703125" style="15" customWidth="1"/>
    <col min="335" max="335" width="40.703125" style="15" customWidth="1"/>
    <col min="336" max="337" width="7.703125" style="15" customWidth="1"/>
    <col min="338" max="338" width="35.703125" style="15" customWidth="1"/>
    <col min="339" max="339" width="40.703125" style="15" customWidth="1"/>
    <col min="340" max="341" width="7.703125" style="15" customWidth="1"/>
    <col min="342" max="342" width="35.703125" style="317" customWidth="1"/>
    <col min="343" max="343" width="40.703125" style="15" customWidth="1"/>
    <col min="344" max="345" width="7.703125" style="15" customWidth="1"/>
    <col min="346" max="346" width="35.703125" style="15" customWidth="1"/>
    <col min="347" max="347" width="40.703125" style="15" customWidth="1"/>
    <col min="348" max="349" width="7.703125" style="15" customWidth="1"/>
    <col min="350" max="350" width="35.703125" style="15" customWidth="1"/>
    <col min="351" max="351" width="40.703125" style="15" customWidth="1"/>
    <col min="352" max="353" width="7.703125" style="15" customWidth="1"/>
    <col min="354" max="354" width="35.703125" style="15" customWidth="1"/>
    <col min="355" max="355" width="40.703125" style="15" customWidth="1"/>
    <col min="356" max="357" width="7.703125" style="15" customWidth="1"/>
    <col min="358" max="358" width="35.703125" style="317" customWidth="1"/>
    <col min="359" max="359" width="40.703125" style="317" customWidth="1"/>
    <col min="360" max="361" width="7.703125" style="317" customWidth="1"/>
    <col min="362" max="362" width="35.703125" style="317" customWidth="1"/>
    <col min="363" max="363" width="40.703125" style="15" customWidth="1"/>
    <col min="364" max="365" width="7.703125" style="15" customWidth="1"/>
    <col min="366" max="366" width="35.703125" style="15" customWidth="1"/>
    <col min="367" max="367" width="40.703125" style="15" customWidth="1"/>
    <col min="368" max="368" width="7.703125" style="317" customWidth="1"/>
    <col min="369" max="369" width="7.703125" style="15" customWidth="1"/>
    <col min="370" max="370" width="40.703125" style="15" customWidth="1"/>
    <col min="371" max="371" width="7.703125" style="15" customWidth="1"/>
    <col min="372" max="372" width="7.703125" style="317" customWidth="1"/>
    <col min="373" max="373" width="35.703125" style="15" customWidth="1"/>
    <col min="374" max="374" width="40.703125" style="15" customWidth="1"/>
    <col min="375" max="375" width="7.703125" style="15" customWidth="1"/>
    <col min="376" max="376" width="7.703125" style="317" customWidth="1"/>
    <col min="377" max="377" width="35.703125" style="15" customWidth="1"/>
    <col min="378" max="378" width="40.703125" style="15" customWidth="1"/>
    <col min="379" max="379" width="7.703125" style="15" customWidth="1"/>
    <col min="380" max="380" width="7.703125" style="317" customWidth="1"/>
    <col min="381" max="381" width="35.703125" style="317" customWidth="1"/>
    <col min="382" max="382" width="40.703125" style="15" customWidth="1"/>
    <col min="383" max="383" width="7.703125" style="15" customWidth="1"/>
    <col min="384" max="384" width="7.703125" style="317" customWidth="1"/>
    <col min="385" max="385" width="35.703125" style="15" customWidth="1"/>
    <col min="386" max="386" width="40.703125" style="15" customWidth="1"/>
    <col min="387" max="387" width="7.703125" style="15" customWidth="1"/>
    <col min="388" max="388" width="7.703125" style="317" customWidth="1"/>
    <col min="389" max="389" width="35.703125" style="15" customWidth="1"/>
    <col min="390" max="390" width="40.703125" style="15" customWidth="1"/>
    <col min="391" max="391" width="7.703125" style="15" customWidth="1"/>
    <col min="392" max="392" width="7.703125" style="317" customWidth="1"/>
    <col min="393" max="393" width="35.703125" style="15" customWidth="1"/>
    <col min="394" max="394" width="40.703125" style="15" customWidth="1"/>
    <col min="395" max="395" width="7.703125" style="15" customWidth="1"/>
    <col min="396" max="396" width="7.703125" style="317" customWidth="1"/>
    <col min="397" max="397" width="35.703125" style="317" customWidth="1"/>
    <col min="398" max="398" width="40.703125" style="15" customWidth="1"/>
    <col min="399" max="399" width="7.703125" style="15" customWidth="1"/>
    <col min="400" max="400" width="7.703125" style="317" customWidth="1"/>
    <col min="401" max="401" width="35.703125" style="15" customWidth="1"/>
    <col min="402" max="402" width="40.703125" style="15" customWidth="1"/>
    <col min="403" max="403" width="7.703125" style="15" customWidth="1"/>
    <col min="404" max="404" width="7.703125" style="317" customWidth="1"/>
    <col min="405" max="405" width="35.703125" style="15" customWidth="1"/>
    <col min="406" max="406" width="40.703125" style="15" customWidth="1"/>
    <col min="407" max="408" width="7.703125" style="317" customWidth="1"/>
    <col min="409" max="409" width="40.703125" style="15" customWidth="1"/>
    <col min="410" max="410" width="7.703125" style="15" customWidth="1"/>
    <col min="411" max="411" width="7.703125" style="317" customWidth="1"/>
    <col min="412" max="412" width="35.703125" style="15" customWidth="1"/>
    <col min="413" max="413" width="40.703125" style="15" customWidth="1"/>
    <col min="414" max="414" width="7.703125" style="15" customWidth="1"/>
    <col min="415" max="415" width="7.703125" style="317" customWidth="1"/>
    <col min="416" max="416" width="35.703125" style="15" customWidth="1"/>
    <col min="417" max="417" width="40.703125" style="15" customWidth="1"/>
    <col min="418" max="418" width="7.703125" style="15" customWidth="1"/>
    <col min="419" max="419" width="7.703125" style="317" customWidth="1"/>
    <col min="420" max="420" width="35.703125" style="15" customWidth="1"/>
    <col min="421" max="421" width="40.703125" style="15" customWidth="1"/>
    <col min="422" max="422" width="7.703125" style="15" customWidth="1"/>
    <col min="423" max="423" width="7.703125" style="317" customWidth="1"/>
    <col min="424" max="424" width="35.703125" style="15" customWidth="1"/>
    <col min="425" max="425" width="40.703125" style="15" customWidth="1"/>
    <col min="426" max="426" width="7.703125" style="15" customWidth="1"/>
    <col min="427" max="427" width="7.703125" style="317" customWidth="1"/>
    <col min="428" max="428" width="35.703125" style="15" customWidth="1"/>
    <col min="429" max="429" width="40.703125" style="15" customWidth="1"/>
    <col min="430" max="430" width="7.703125" style="15" customWidth="1"/>
    <col min="431" max="431" width="7.703125" style="317" customWidth="1"/>
    <col min="432" max="432" width="35.703125" style="15" customWidth="1"/>
    <col min="433" max="433" width="40.703125" style="15" customWidth="1"/>
    <col min="434" max="434" width="7.703125" style="15" customWidth="1"/>
    <col min="435" max="435" width="7.703125" style="317" customWidth="1"/>
    <col min="436" max="436" width="35.703125" style="15" customWidth="1"/>
    <col min="437" max="437" width="40.703125" style="15" customWidth="1"/>
    <col min="438" max="438" width="7.703125" style="15" customWidth="1"/>
    <col min="439" max="439" width="7.703125" style="317" customWidth="1"/>
    <col min="440" max="440" width="35.703125" style="15" customWidth="1"/>
    <col min="441" max="441" width="40.703125" style="15" customWidth="1"/>
    <col min="442" max="442" width="7.703125" style="15" customWidth="1"/>
    <col min="443" max="443" width="7.703125" style="317" customWidth="1"/>
    <col min="444" max="444" width="35.703125" style="15" customWidth="1"/>
    <col min="445" max="445" width="40.703125" style="15" customWidth="1"/>
    <col min="446" max="446" width="7.703125" style="15" customWidth="1"/>
    <col min="447" max="447" width="7.703125" style="317" customWidth="1"/>
    <col min="448" max="448" width="40.703125" style="15" customWidth="1"/>
    <col min="449" max="450" width="7.703125" style="15" customWidth="1"/>
    <col min="451" max="452" width="40.703125" style="15" customWidth="1"/>
    <col min="453" max="454" width="7.703125" style="15" customWidth="1"/>
    <col min="455" max="456" width="40.703125" style="15" customWidth="1"/>
    <col min="457" max="458" width="7.703125" style="15" customWidth="1"/>
    <col min="459" max="460" width="40.703125" style="15" customWidth="1"/>
    <col min="461" max="462" width="7.703125" style="15" customWidth="1"/>
    <col min="463" max="464" width="40.703125" style="15" customWidth="1"/>
    <col min="465" max="466" width="7.703125" style="15" customWidth="1"/>
    <col min="467" max="468" width="40.703125" style="15" customWidth="1"/>
    <col min="469" max="470" width="7.703125" style="15" customWidth="1"/>
    <col min="471" max="472" width="40.703125" style="15" customWidth="1"/>
    <col min="473" max="474" width="7.703125" style="15" customWidth="1"/>
    <col min="475" max="476" width="40.703125" style="15" customWidth="1"/>
    <col min="477" max="478" width="7.703125" style="15" customWidth="1"/>
    <col min="479" max="480" width="40.703125" style="15" customWidth="1"/>
    <col min="481" max="482" width="7.703125" style="15" customWidth="1"/>
    <col min="483" max="484" width="40.703125" style="15" customWidth="1"/>
    <col min="485" max="486" width="7.703125" style="15" customWidth="1"/>
    <col min="487" max="487" width="40.703125" style="15" customWidth="1"/>
    <col min="488" max="489" width="7.703125" style="15" customWidth="1"/>
    <col min="490" max="491" width="40.703125" style="15" customWidth="1"/>
    <col min="492" max="493" width="7.703125" style="15" customWidth="1"/>
    <col min="494" max="495" width="40.703125" style="15" customWidth="1"/>
    <col min="496" max="497" width="7.703125" style="15" customWidth="1"/>
    <col min="498" max="499" width="40.703125" style="15" customWidth="1"/>
    <col min="500" max="501" width="7.703125" style="15" customWidth="1"/>
    <col min="502" max="503" width="40.703125" style="15" customWidth="1"/>
    <col min="504" max="505" width="7.703125" style="15" customWidth="1"/>
    <col min="506" max="507" width="40.703125" style="15" customWidth="1"/>
    <col min="508" max="509" width="7.703125" style="15" customWidth="1"/>
    <col min="510" max="511" width="40.703125" style="15" customWidth="1"/>
    <col min="512" max="513" width="7.703125" style="15" customWidth="1"/>
    <col min="514" max="515" width="40.703125" style="15" customWidth="1"/>
    <col min="516" max="517" width="7.703125" style="15" customWidth="1"/>
    <col min="518" max="519" width="40.703125" style="15" customWidth="1"/>
    <col min="520" max="521" width="7.703125" style="15" customWidth="1"/>
    <col min="522" max="523" width="40.703125" style="15" customWidth="1"/>
    <col min="524" max="525" width="7.703125" style="15" customWidth="1"/>
    <col min="526" max="526" width="40.703125" style="15" customWidth="1"/>
    <col min="527" max="528" width="7.703125" style="15" customWidth="1"/>
    <col min="529" max="530" width="40.703125" style="15" customWidth="1"/>
    <col min="531" max="532" width="7.703125" style="15" customWidth="1"/>
    <col min="533" max="534" width="40.703125" style="15" customWidth="1"/>
    <col min="535" max="536" width="7.703125" style="15" customWidth="1"/>
    <col min="537" max="538" width="40.703125" style="15" customWidth="1"/>
    <col min="539" max="540" width="7.703125" style="15" customWidth="1"/>
    <col min="541" max="542" width="40.703125" style="15" customWidth="1"/>
    <col min="543" max="544" width="7.703125" style="15" customWidth="1"/>
    <col min="545" max="546" width="40.703125" style="15" customWidth="1"/>
    <col min="547" max="548" width="7.703125" style="15" customWidth="1"/>
    <col min="549" max="550" width="40.703125" style="15" customWidth="1"/>
    <col min="551" max="552" width="7.703125" style="15" customWidth="1"/>
    <col min="553" max="554" width="40.703125" style="15" customWidth="1"/>
    <col min="555" max="556" width="7.703125" style="15" customWidth="1"/>
    <col min="557" max="558" width="40.703125" style="15" customWidth="1"/>
    <col min="559" max="560" width="7.703125" style="15" customWidth="1"/>
    <col min="561" max="562" width="40.703125" style="15" customWidth="1"/>
    <col min="563" max="564" width="7.703125" style="15" customWidth="1"/>
    <col min="565" max="565" width="40.703125" style="15" customWidth="1"/>
    <col min="566" max="567" width="7.703125" style="15" customWidth="1"/>
    <col min="568" max="569" width="40.703125" style="15" customWidth="1"/>
    <col min="570" max="571" width="7.703125" style="15" customWidth="1"/>
    <col min="572" max="573" width="40.703125" style="15" customWidth="1"/>
    <col min="574" max="575" width="7.703125" style="15" customWidth="1"/>
    <col min="576" max="577" width="40.703125" style="15" customWidth="1"/>
    <col min="578" max="579" width="7.703125" style="15" customWidth="1"/>
    <col min="580" max="581" width="40.703125" style="15" customWidth="1"/>
    <col min="582" max="583" width="7.703125" style="15" customWidth="1"/>
    <col min="584" max="585" width="40.703125" style="15" customWidth="1"/>
    <col min="586" max="587" width="7.703125" style="15" customWidth="1"/>
    <col min="588" max="589" width="40.703125" style="15" customWidth="1"/>
    <col min="590" max="591" width="7.703125" style="15" customWidth="1"/>
    <col min="592" max="593" width="40.703125" style="15" customWidth="1"/>
    <col min="594" max="595" width="7.703125" style="15" customWidth="1"/>
    <col min="596" max="597" width="40.703125" style="15" customWidth="1"/>
    <col min="598" max="599" width="7.703125" style="15" customWidth="1"/>
    <col min="600" max="601" width="40.703125" style="15" customWidth="1"/>
    <col min="602" max="603" width="7.703125" style="15" customWidth="1"/>
    <col min="604" max="604" width="40.703125" style="15" customWidth="1"/>
    <col min="605" max="606" width="7.703125" style="15" customWidth="1"/>
    <col min="607" max="608" width="40.703125" style="15" customWidth="1"/>
    <col min="609" max="610" width="7.703125" style="15" customWidth="1"/>
    <col min="611" max="612" width="40.703125" style="15" customWidth="1"/>
    <col min="613" max="614" width="7.703125" style="15" customWidth="1"/>
    <col min="615" max="616" width="40.703125" style="15" customWidth="1"/>
    <col min="617" max="618" width="7.703125" style="15" customWidth="1"/>
    <col min="619" max="620" width="40.703125" style="15" customWidth="1"/>
    <col min="621" max="622" width="7.703125" style="15" customWidth="1"/>
    <col min="623" max="624" width="40.703125" style="15" customWidth="1"/>
    <col min="625" max="626" width="7.703125" style="15" customWidth="1"/>
    <col min="627" max="628" width="40.703125" style="15" customWidth="1"/>
    <col min="629" max="630" width="7.703125" style="15" customWidth="1"/>
    <col min="631" max="632" width="40.703125" style="15" customWidth="1"/>
    <col min="633" max="634" width="7.703125" style="15" customWidth="1"/>
    <col min="635" max="636" width="40.703125" style="15" customWidth="1"/>
    <col min="637" max="638" width="7.703125" style="15" customWidth="1"/>
    <col min="639" max="640" width="40.703125" style="15" customWidth="1"/>
    <col min="641" max="642" width="7.703125" style="15" customWidth="1"/>
    <col min="643" max="643" width="40.703125" style="15" customWidth="1"/>
    <col min="644" max="645" width="7.703125" style="15" customWidth="1"/>
    <col min="646" max="647" width="40.703125" style="15" customWidth="1"/>
    <col min="648" max="649" width="7.703125" style="15" customWidth="1"/>
    <col min="650" max="651" width="40.703125" style="15" customWidth="1"/>
    <col min="652" max="653" width="7.703125" style="15" customWidth="1"/>
    <col min="654" max="655" width="40.703125" style="15" customWidth="1"/>
    <col min="656" max="657" width="7.703125" style="15" customWidth="1"/>
    <col min="658" max="659" width="40.703125" style="15" customWidth="1"/>
    <col min="660" max="661" width="7.703125" style="15" customWidth="1"/>
    <col min="662" max="663" width="40.703125" style="15" customWidth="1"/>
    <col min="664" max="665" width="7.703125" style="15" customWidth="1"/>
    <col min="666" max="667" width="40.703125" style="15" customWidth="1"/>
    <col min="668" max="669" width="7.703125" style="15" customWidth="1"/>
    <col min="670" max="671" width="40.703125" style="15" customWidth="1"/>
    <col min="672" max="673" width="7.703125" style="15" customWidth="1"/>
    <col min="674" max="675" width="40.703125" style="15" customWidth="1"/>
    <col min="676" max="677" width="7.703125" style="15" customWidth="1"/>
    <col min="678" max="679" width="40.703125" style="15" customWidth="1"/>
    <col min="680" max="681" width="7.703125" style="15" customWidth="1"/>
    <col min="682" max="682" width="40.703125" style="15" customWidth="1"/>
    <col min="683" max="684" width="7.703125" style="15" customWidth="1"/>
    <col min="685" max="686" width="40.703125" style="15" customWidth="1"/>
    <col min="687" max="688" width="7.703125" style="15" customWidth="1"/>
    <col min="689" max="690" width="40.703125" style="15" customWidth="1"/>
    <col min="691" max="692" width="7.703125" style="15" customWidth="1"/>
    <col min="693" max="694" width="40.703125" style="15" customWidth="1"/>
    <col min="695" max="696" width="7.703125" style="15" customWidth="1"/>
    <col min="697" max="698" width="40.703125" style="15" customWidth="1"/>
    <col min="699" max="700" width="7.703125" style="15" customWidth="1"/>
    <col min="701" max="702" width="40.703125" style="15" customWidth="1"/>
    <col min="703" max="704" width="7.703125" style="15" customWidth="1"/>
    <col min="705" max="706" width="40.703125" style="15" customWidth="1"/>
    <col min="707" max="708" width="7.703125" style="15" customWidth="1"/>
    <col min="709" max="710" width="40.703125" style="15" customWidth="1"/>
    <col min="711" max="712" width="7.703125" style="15" customWidth="1"/>
    <col min="713" max="714" width="40.703125" style="15" customWidth="1"/>
    <col min="715" max="716" width="7.703125" style="15" customWidth="1"/>
    <col min="717" max="718" width="40.703125" style="15" customWidth="1"/>
    <col min="719" max="720" width="7.703125" style="15" customWidth="1"/>
    <col min="721" max="721" width="60.703125" style="15" customWidth="1"/>
    <col min="722" max="723" width="8.703125" style="15" customWidth="1"/>
    <col min="724" max="725" width="60.703125" style="15" customWidth="1"/>
    <col min="726" max="727" width="8.703125" style="15" customWidth="1"/>
    <col min="728" max="729" width="60.703125" style="15" customWidth="1"/>
    <col min="730" max="731" width="8.703125" style="15" customWidth="1"/>
    <col min="732" max="733" width="60.703125" style="15" customWidth="1"/>
    <col min="734" max="735" width="8.703125" style="15" customWidth="1"/>
    <col min="736" max="737" width="60.703125" style="15" customWidth="1"/>
    <col min="738" max="739" width="8.703125" style="15" customWidth="1"/>
    <col min="740" max="741" width="60.703125" style="15" customWidth="1"/>
    <col min="742" max="743" width="8.703125" style="15" customWidth="1"/>
    <col min="744" max="745" width="60.703125" style="15" customWidth="1"/>
    <col min="746" max="747" width="8.703125" style="15" customWidth="1"/>
    <col min="748" max="749" width="60.703125" style="15" customWidth="1"/>
    <col min="750" max="751" width="8.703125" style="15" customWidth="1"/>
    <col min="752" max="753" width="60.703125" style="15" customWidth="1"/>
    <col min="754" max="755" width="8.703125" style="15" customWidth="1"/>
    <col min="756" max="757" width="60.703125" style="15" customWidth="1"/>
    <col min="758" max="759" width="8.703125" style="15" customWidth="1"/>
    <col min="760" max="760" width="80.703125" style="15" customWidth="1"/>
    <col min="761" max="762" width="10.703125" style="15" customWidth="1"/>
    <col min="763" max="764" width="80.703125" style="15" customWidth="1"/>
    <col min="765" max="766" width="10.703125" style="15" customWidth="1"/>
    <col min="767" max="768" width="80.703125" style="15" customWidth="1"/>
    <col min="769" max="770" width="10.703125" style="15" customWidth="1"/>
    <col min="771" max="772" width="80.703125" style="15" customWidth="1"/>
    <col min="773" max="774" width="10.703125" style="15" customWidth="1"/>
    <col min="775" max="776" width="80.703125" style="15" customWidth="1"/>
    <col min="777" max="778" width="10.703125" style="15" customWidth="1"/>
    <col min="779" max="780" width="80.703125" style="15" customWidth="1"/>
    <col min="781" max="782" width="10.703125" style="15" customWidth="1"/>
    <col min="783" max="784" width="80.703125" style="15" customWidth="1"/>
    <col min="785" max="786" width="10.703125" style="15" customWidth="1"/>
    <col min="787" max="788" width="80.703125" style="15" customWidth="1"/>
    <col min="789" max="790" width="10.703125" style="15" customWidth="1"/>
    <col min="791" max="792" width="80.703125" style="15" customWidth="1"/>
    <col min="793" max="794" width="10.703125" style="15" customWidth="1"/>
    <col min="795" max="796" width="80.703125" style="15" customWidth="1"/>
    <col min="797" max="798" width="10.703125" style="15" customWidth="1"/>
    <col min="799" max="799" width="150.703125" style="15" customWidth="1"/>
    <col min="800" max="801" width="50.703125" style="15" customWidth="1"/>
    <col min="802" max="803" width="150.703125" style="15" customWidth="1"/>
    <col min="804" max="805" width="50.703125" style="15" customWidth="1"/>
    <col min="806" max="807" width="150.703125" style="15" customWidth="1"/>
    <col min="808" max="809" width="50.703125" style="15" customWidth="1"/>
    <col min="810" max="811" width="150.703125" style="15" customWidth="1"/>
    <col min="812" max="813" width="50.703125" style="15" customWidth="1"/>
    <col min="814" max="815" width="150.703125" style="15" customWidth="1"/>
    <col min="816" max="817" width="50.703125" style="15" customWidth="1"/>
    <col min="818" max="819" width="150.703125" style="15" customWidth="1"/>
    <col min="820" max="821" width="50.703125" style="15" customWidth="1"/>
    <col min="822" max="823" width="150.703125" style="15" customWidth="1"/>
    <col min="824" max="825" width="50.703125" style="15" customWidth="1"/>
    <col min="826" max="827" width="150.703125" style="15" customWidth="1"/>
    <col min="828" max="829" width="50.703125" style="15" customWidth="1"/>
    <col min="830" max="831" width="150.703125" style="15" customWidth="1"/>
    <col min="832" max="833" width="50.703125" style="15" customWidth="1"/>
    <col min="834" max="835" width="150.703125" style="15" customWidth="1"/>
    <col min="836" max="837" width="50.703125" style="15" customWidth="1"/>
    <col min="838" max="914" width="33.41015625" style="15" customWidth="1"/>
    <col min="915" max="930" width="30.87890625" style="15" customWidth="1"/>
    <col min="931" max="946" width="26.703125" style="15" customWidth="1"/>
    <col min="947" max="16384" width="11.41015625" style="15"/>
  </cols>
  <sheetData>
    <row r="1" spans="1:603" ht="22.7" x14ac:dyDescent="0.4">
      <c r="B1" s="13" t="s">
        <v>264</v>
      </c>
      <c r="C1" s="14"/>
      <c r="D1" s="14"/>
      <c r="E1" s="14"/>
      <c r="F1" s="14"/>
      <c r="G1" s="14"/>
      <c r="H1" s="14"/>
      <c r="I1" s="14"/>
    </row>
    <row r="2" spans="1:603" ht="37.700000000000003" customHeight="1" thickBot="1" x14ac:dyDescent="0.45">
      <c r="A2" s="584"/>
      <c r="B2" s="576" t="s">
        <v>177</v>
      </c>
      <c r="C2" s="573"/>
      <c r="D2" s="573"/>
      <c r="E2" s="573"/>
      <c r="F2" s="573"/>
      <c r="G2" s="573"/>
      <c r="H2" s="573"/>
      <c r="I2" s="573"/>
      <c r="J2" s="574"/>
      <c r="K2" s="574"/>
      <c r="L2" s="575"/>
      <c r="M2" s="575"/>
      <c r="N2" s="574"/>
      <c r="O2" s="574"/>
      <c r="P2" s="575"/>
      <c r="Q2" s="575"/>
      <c r="R2" s="574"/>
      <c r="S2" s="574"/>
      <c r="T2" s="575"/>
      <c r="U2" s="575"/>
      <c r="V2" s="579" t="s">
        <v>180</v>
      </c>
      <c r="W2" s="577"/>
      <c r="X2" s="578"/>
      <c r="Y2" s="578"/>
      <c r="Z2" s="577"/>
      <c r="AA2" s="577"/>
      <c r="AB2" s="578"/>
      <c r="AC2" s="578"/>
      <c r="AD2" s="577"/>
      <c r="AE2" s="577"/>
      <c r="AF2" s="578"/>
      <c r="AG2" s="578"/>
      <c r="AH2" s="577"/>
      <c r="AI2" s="577"/>
      <c r="AJ2" s="578"/>
      <c r="AK2" s="578"/>
      <c r="AL2" s="577"/>
      <c r="AM2" s="577"/>
      <c r="AN2" s="578"/>
      <c r="AO2" s="578"/>
      <c r="AP2" s="577"/>
      <c r="AQ2" s="577"/>
      <c r="AR2" s="578"/>
      <c r="AS2" s="578"/>
      <c r="AT2" s="577"/>
      <c r="AU2" s="577"/>
      <c r="AV2" s="578"/>
      <c r="AW2" s="578"/>
      <c r="AX2" s="577"/>
      <c r="AY2" s="577"/>
      <c r="AZ2" s="578"/>
      <c r="BA2" s="578"/>
      <c r="BB2" s="577"/>
      <c r="BC2" s="577"/>
      <c r="BD2" s="578"/>
      <c r="BE2" s="578"/>
      <c r="BF2" s="581" t="s">
        <v>283</v>
      </c>
      <c r="BG2" s="580"/>
      <c r="BH2" s="580"/>
      <c r="BI2" s="580"/>
      <c r="BJ2" s="580"/>
      <c r="BK2" s="580"/>
      <c r="BL2" s="580"/>
      <c r="BM2" s="580"/>
      <c r="BN2" s="580"/>
      <c r="BO2" s="580"/>
      <c r="BP2" s="580"/>
      <c r="BQ2" s="580"/>
      <c r="BR2" s="583" t="s">
        <v>624</v>
      </c>
      <c r="BS2" s="582"/>
      <c r="BT2" s="582"/>
      <c r="BU2" s="582"/>
      <c r="BV2" s="582"/>
      <c r="BW2" s="582"/>
      <c r="BX2" s="582"/>
      <c r="BY2" s="582"/>
      <c r="LK2" s="15"/>
      <c r="MD2" s="15"/>
      <c r="MT2" s="15"/>
      <c r="MU2" s="15"/>
      <c r="MV2" s="15"/>
      <c r="MW2" s="15"/>
      <c r="MX2" s="15"/>
      <c r="ND2" s="15"/>
      <c r="NH2" s="15"/>
      <c r="NL2" s="15"/>
      <c r="NP2" s="15"/>
      <c r="NQ2" s="15"/>
      <c r="NT2" s="15"/>
      <c r="NX2" s="15"/>
      <c r="OB2" s="15"/>
      <c r="OF2" s="15"/>
      <c r="OG2" s="15"/>
      <c r="OJ2" s="15"/>
      <c r="ON2" s="15"/>
      <c r="OQ2" s="15"/>
      <c r="OR2" s="15"/>
      <c r="OU2" s="15"/>
      <c r="OY2" s="15"/>
      <c r="PC2" s="15"/>
      <c r="PG2" s="15"/>
      <c r="PK2" s="15"/>
      <c r="PO2" s="15"/>
      <c r="PS2" s="15"/>
      <c r="PW2" s="15"/>
      <c r="QA2" s="15"/>
      <c r="QE2" s="15"/>
    </row>
    <row r="3" spans="1:603" s="9" customFormat="1" ht="21.7" thickTop="1" x14ac:dyDescent="0.4">
      <c r="A3" s="22" t="s">
        <v>61</v>
      </c>
      <c r="B3" s="23" t="s">
        <v>203</v>
      </c>
      <c r="C3" s="23"/>
      <c r="D3" s="24"/>
      <c r="E3" s="25"/>
      <c r="F3" s="23" t="s">
        <v>204</v>
      </c>
      <c r="G3" s="23"/>
      <c r="H3" s="24"/>
      <c r="I3" s="25"/>
      <c r="J3" s="23" t="s">
        <v>516</v>
      </c>
      <c r="K3" s="23"/>
      <c r="L3" s="24"/>
      <c r="M3" s="25"/>
      <c r="N3" s="23" t="s">
        <v>178</v>
      </c>
      <c r="O3" s="23"/>
      <c r="P3" s="24"/>
      <c r="Q3" s="25"/>
      <c r="R3" s="23" t="s">
        <v>517</v>
      </c>
      <c r="S3" s="23"/>
      <c r="T3" s="24"/>
      <c r="U3" s="25"/>
      <c r="V3" s="26" t="s">
        <v>62</v>
      </c>
      <c r="W3" s="23"/>
      <c r="X3" s="24"/>
      <c r="Y3" s="25"/>
      <c r="Z3" s="27" t="s">
        <v>64</v>
      </c>
      <c r="AA3" s="28"/>
      <c r="AB3" s="29"/>
      <c r="AC3" s="30"/>
      <c r="AD3" s="27" t="s">
        <v>26</v>
      </c>
      <c r="AE3" s="28"/>
      <c r="AF3" s="29"/>
      <c r="AG3" s="30"/>
      <c r="AH3" s="27" t="s">
        <v>580</v>
      </c>
      <c r="AI3" s="28"/>
      <c r="AJ3" s="29"/>
      <c r="AK3" s="30"/>
      <c r="AL3" s="27" t="s">
        <v>65</v>
      </c>
      <c r="AM3" s="28"/>
      <c r="AN3" s="29"/>
      <c r="AO3" s="30"/>
      <c r="AP3" s="27" t="s">
        <v>66</v>
      </c>
      <c r="AQ3" s="23"/>
      <c r="AR3" s="24"/>
      <c r="AS3" s="25"/>
      <c r="AT3" s="27" t="s">
        <v>27</v>
      </c>
      <c r="AU3" s="28"/>
      <c r="AV3" s="29"/>
      <c r="AW3" s="30"/>
      <c r="AX3" s="27" t="s">
        <v>67</v>
      </c>
      <c r="AY3" s="28"/>
      <c r="AZ3" s="29"/>
      <c r="BA3" s="30"/>
      <c r="BB3" s="27" t="s">
        <v>68</v>
      </c>
      <c r="BC3" s="28"/>
      <c r="BD3" s="29"/>
      <c r="BE3" s="30"/>
      <c r="BF3" s="27" t="s">
        <v>69</v>
      </c>
      <c r="BG3" s="28"/>
      <c r="BH3" s="29"/>
      <c r="BI3" s="29"/>
      <c r="BJ3" s="357" t="s">
        <v>70</v>
      </c>
      <c r="BK3" s="358"/>
      <c r="BL3" s="359"/>
      <c r="BM3" s="360"/>
      <c r="BN3" s="27" t="s">
        <v>71</v>
      </c>
      <c r="BO3" s="23"/>
      <c r="BP3" s="24"/>
      <c r="BQ3" s="25"/>
      <c r="BR3" s="27" t="s">
        <v>270</v>
      </c>
      <c r="BS3" s="23"/>
      <c r="BT3" s="24"/>
      <c r="BU3" s="25"/>
      <c r="BV3" s="27" t="s">
        <v>12</v>
      </c>
      <c r="BW3" s="23"/>
      <c r="BX3" s="24"/>
      <c r="BY3" s="25"/>
    </row>
    <row r="4" spans="1:603" s="12" customFormat="1" ht="21.7" thickBot="1" x14ac:dyDescent="0.45">
      <c r="A4" s="31"/>
      <c r="B4" s="32" t="s">
        <v>15</v>
      </c>
      <c r="C4" s="32" t="s">
        <v>205</v>
      </c>
      <c r="D4" s="32" t="s">
        <v>206</v>
      </c>
      <c r="E4" s="33" t="s">
        <v>207</v>
      </c>
      <c r="F4" s="32" t="s">
        <v>15</v>
      </c>
      <c r="G4" s="32" t="s">
        <v>205</v>
      </c>
      <c r="H4" s="32" t="s">
        <v>206</v>
      </c>
      <c r="I4" s="33" t="s">
        <v>207</v>
      </c>
      <c r="J4" s="32" t="s">
        <v>15</v>
      </c>
      <c r="K4" s="32" t="s">
        <v>205</v>
      </c>
      <c r="L4" s="32" t="s">
        <v>206</v>
      </c>
      <c r="M4" s="33" t="s">
        <v>207</v>
      </c>
      <c r="N4" s="32" t="s">
        <v>15</v>
      </c>
      <c r="O4" s="32" t="s">
        <v>205</v>
      </c>
      <c r="P4" s="32" t="s">
        <v>206</v>
      </c>
      <c r="Q4" s="33" t="s">
        <v>207</v>
      </c>
      <c r="R4" s="32" t="s">
        <v>15</v>
      </c>
      <c r="S4" s="32" t="s">
        <v>205</v>
      </c>
      <c r="T4" s="32" t="s">
        <v>206</v>
      </c>
      <c r="U4" s="33" t="s">
        <v>207</v>
      </c>
      <c r="V4" s="34" t="s">
        <v>15</v>
      </c>
      <c r="W4" s="32" t="s">
        <v>205</v>
      </c>
      <c r="X4" s="32" t="s">
        <v>206</v>
      </c>
      <c r="Y4" s="33" t="s">
        <v>207</v>
      </c>
      <c r="Z4" s="32" t="s">
        <v>15</v>
      </c>
      <c r="AA4" s="32" t="s">
        <v>205</v>
      </c>
      <c r="AB4" s="32" t="s">
        <v>206</v>
      </c>
      <c r="AC4" s="33" t="s">
        <v>207</v>
      </c>
      <c r="AD4" s="32" t="s">
        <v>15</v>
      </c>
      <c r="AE4" s="32" t="s">
        <v>205</v>
      </c>
      <c r="AF4" s="32" t="s">
        <v>206</v>
      </c>
      <c r="AG4" s="33" t="s">
        <v>207</v>
      </c>
      <c r="AH4" s="32" t="s">
        <v>15</v>
      </c>
      <c r="AI4" s="32" t="s">
        <v>205</v>
      </c>
      <c r="AJ4" s="32" t="s">
        <v>206</v>
      </c>
      <c r="AK4" s="33" t="s">
        <v>207</v>
      </c>
      <c r="AL4" s="32" t="s">
        <v>15</v>
      </c>
      <c r="AM4" s="32" t="s">
        <v>205</v>
      </c>
      <c r="AN4" s="32" t="s">
        <v>206</v>
      </c>
      <c r="AO4" s="33" t="s">
        <v>207</v>
      </c>
      <c r="AP4" s="32" t="s">
        <v>15</v>
      </c>
      <c r="AQ4" s="32" t="s">
        <v>205</v>
      </c>
      <c r="AR4" s="32" t="s">
        <v>206</v>
      </c>
      <c r="AS4" s="33" t="s">
        <v>207</v>
      </c>
      <c r="AT4" s="32" t="s">
        <v>15</v>
      </c>
      <c r="AU4" s="32" t="s">
        <v>205</v>
      </c>
      <c r="AV4" s="32" t="s">
        <v>206</v>
      </c>
      <c r="AW4" s="33" t="s">
        <v>207</v>
      </c>
      <c r="AX4" s="32" t="s">
        <v>15</v>
      </c>
      <c r="AY4" s="32" t="s">
        <v>205</v>
      </c>
      <c r="AZ4" s="32" t="s">
        <v>206</v>
      </c>
      <c r="BA4" s="33" t="s">
        <v>207</v>
      </c>
      <c r="BB4" s="32" t="s">
        <v>15</v>
      </c>
      <c r="BC4" s="32" t="s">
        <v>205</v>
      </c>
      <c r="BD4" s="32" t="s">
        <v>206</v>
      </c>
      <c r="BE4" s="33" t="s">
        <v>207</v>
      </c>
      <c r="BF4" s="32" t="s">
        <v>15</v>
      </c>
      <c r="BG4" s="32" t="s">
        <v>205</v>
      </c>
      <c r="BH4" s="32" t="s">
        <v>206</v>
      </c>
      <c r="BI4" s="32" t="s">
        <v>207</v>
      </c>
      <c r="BJ4" s="361" t="s">
        <v>15</v>
      </c>
      <c r="BK4" s="32" t="s">
        <v>205</v>
      </c>
      <c r="BL4" s="32" t="s">
        <v>206</v>
      </c>
      <c r="BM4" s="362" t="s">
        <v>207</v>
      </c>
      <c r="BN4" s="32" t="s">
        <v>15</v>
      </c>
      <c r="BO4" s="32" t="s">
        <v>205</v>
      </c>
      <c r="BP4" s="32" t="s">
        <v>206</v>
      </c>
      <c r="BQ4" s="33" t="s">
        <v>207</v>
      </c>
      <c r="BR4" s="32" t="s">
        <v>15</v>
      </c>
      <c r="BS4" s="32" t="s">
        <v>205</v>
      </c>
      <c r="BT4" s="32" t="s">
        <v>206</v>
      </c>
      <c r="BU4" s="33" t="s">
        <v>207</v>
      </c>
      <c r="BV4" s="32" t="s">
        <v>15</v>
      </c>
      <c r="BW4" s="32" t="s">
        <v>205</v>
      </c>
      <c r="BX4" s="32" t="s">
        <v>206</v>
      </c>
      <c r="BY4" s="33" t="s">
        <v>207</v>
      </c>
    </row>
    <row r="5" spans="1:603" s="18" customFormat="1" ht="51" thickTop="1" x14ac:dyDescent="0.4">
      <c r="A5" s="367">
        <v>1</v>
      </c>
      <c r="B5" s="368" t="s">
        <v>208</v>
      </c>
      <c r="C5" s="369" t="s">
        <v>377</v>
      </c>
      <c r="D5" s="370">
        <v>10</v>
      </c>
      <c r="E5" s="371" t="s">
        <v>89</v>
      </c>
      <c r="F5" s="368" t="s">
        <v>208</v>
      </c>
      <c r="G5" s="369" t="s">
        <v>377</v>
      </c>
      <c r="H5" s="370">
        <v>10</v>
      </c>
      <c r="I5" s="371" t="s">
        <v>89</v>
      </c>
      <c r="J5" s="368" t="s">
        <v>208</v>
      </c>
      <c r="K5" s="369" t="s">
        <v>377</v>
      </c>
      <c r="L5" s="370">
        <v>10</v>
      </c>
      <c r="M5" s="371" t="s">
        <v>89</v>
      </c>
      <c r="N5" s="368" t="s">
        <v>208</v>
      </c>
      <c r="O5" s="369" t="s">
        <v>377</v>
      </c>
      <c r="P5" s="370">
        <v>10</v>
      </c>
      <c r="Q5" s="371" t="s">
        <v>89</v>
      </c>
      <c r="R5" s="368" t="s">
        <v>208</v>
      </c>
      <c r="S5" s="369" t="s">
        <v>377</v>
      </c>
      <c r="T5" s="370">
        <v>10</v>
      </c>
      <c r="U5" s="371" t="s">
        <v>89</v>
      </c>
      <c r="V5" s="372" t="s">
        <v>208</v>
      </c>
      <c r="W5" s="369" t="s">
        <v>377</v>
      </c>
      <c r="X5" s="370">
        <v>10</v>
      </c>
      <c r="Y5" s="371" t="s">
        <v>89</v>
      </c>
      <c r="Z5" s="368" t="s">
        <v>208</v>
      </c>
      <c r="AA5" s="369" t="s">
        <v>377</v>
      </c>
      <c r="AB5" s="370">
        <v>10</v>
      </c>
      <c r="AC5" s="371" t="s">
        <v>89</v>
      </c>
      <c r="AD5" s="368" t="s">
        <v>208</v>
      </c>
      <c r="AE5" s="369" t="s">
        <v>377</v>
      </c>
      <c r="AF5" s="370">
        <v>10</v>
      </c>
      <c r="AG5" s="371" t="s">
        <v>89</v>
      </c>
      <c r="AH5" s="368" t="s">
        <v>208</v>
      </c>
      <c r="AI5" s="369" t="s">
        <v>377</v>
      </c>
      <c r="AJ5" s="370">
        <v>10</v>
      </c>
      <c r="AK5" s="371" t="s">
        <v>89</v>
      </c>
      <c r="AL5" s="368" t="s">
        <v>208</v>
      </c>
      <c r="AM5" s="369" t="s">
        <v>377</v>
      </c>
      <c r="AN5" s="370">
        <v>10</v>
      </c>
      <c r="AO5" s="371" t="s">
        <v>89</v>
      </c>
      <c r="AP5" s="372" t="s">
        <v>208</v>
      </c>
      <c r="AQ5" s="369" t="s">
        <v>377</v>
      </c>
      <c r="AR5" s="370">
        <v>10</v>
      </c>
      <c r="AS5" s="371" t="s">
        <v>89</v>
      </c>
      <c r="AT5" s="372" t="s">
        <v>208</v>
      </c>
      <c r="AU5" s="369" t="s">
        <v>377</v>
      </c>
      <c r="AV5" s="370">
        <v>10</v>
      </c>
      <c r="AW5" s="371" t="s">
        <v>89</v>
      </c>
      <c r="AX5" s="368" t="s">
        <v>208</v>
      </c>
      <c r="AY5" s="369" t="s">
        <v>377</v>
      </c>
      <c r="AZ5" s="370">
        <v>10</v>
      </c>
      <c r="BA5" s="371" t="s">
        <v>89</v>
      </c>
      <c r="BB5" s="368" t="s">
        <v>208</v>
      </c>
      <c r="BC5" s="369" t="s">
        <v>377</v>
      </c>
      <c r="BD5" s="370">
        <v>10</v>
      </c>
      <c r="BE5" s="371" t="s">
        <v>89</v>
      </c>
      <c r="BF5" s="368" t="s">
        <v>208</v>
      </c>
      <c r="BG5" s="369" t="s">
        <v>377</v>
      </c>
      <c r="BH5" s="370">
        <v>10</v>
      </c>
      <c r="BI5" s="373" t="s">
        <v>89</v>
      </c>
      <c r="BJ5" s="374" t="s">
        <v>208</v>
      </c>
      <c r="BK5" s="369" t="s">
        <v>377</v>
      </c>
      <c r="BL5" s="370">
        <v>10</v>
      </c>
      <c r="BM5" s="375" t="s">
        <v>89</v>
      </c>
      <c r="BN5" s="368" t="s">
        <v>208</v>
      </c>
      <c r="BO5" s="369" t="s">
        <v>377</v>
      </c>
      <c r="BP5" s="370">
        <v>10</v>
      </c>
      <c r="BQ5" s="371" t="s">
        <v>89</v>
      </c>
      <c r="BR5" s="372" t="s">
        <v>208</v>
      </c>
      <c r="BS5" s="369" t="s">
        <v>377</v>
      </c>
      <c r="BT5" s="370">
        <v>10</v>
      </c>
      <c r="BU5" s="371" t="s">
        <v>89</v>
      </c>
      <c r="BV5" s="372" t="s">
        <v>208</v>
      </c>
      <c r="BW5" s="369" t="s">
        <v>377</v>
      </c>
      <c r="BX5" s="370">
        <v>10</v>
      </c>
      <c r="BY5" s="371" t="s">
        <v>89</v>
      </c>
    </row>
    <row r="6" spans="1:603" s="42" customFormat="1" ht="114" x14ac:dyDescent="0.4">
      <c r="A6" s="35">
        <v>2</v>
      </c>
      <c r="B6" s="36" t="s">
        <v>209</v>
      </c>
      <c r="C6" s="37" t="s">
        <v>526</v>
      </c>
      <c r="D6" s="38">
        <v>10</v>
      </c>
      <c r="E6" s="39" t="s">
        <v>89</v>
      </c>
      <c r="F6" s="36" t="s">
        <v>209</v>
      </c>
      <c r="G6" s="37" t="s">
        <v>526</v>
      </c>
      <c r="H6" s="38">
        <v>10</v>
      </c>
      <c r="I6" s="39" t="s">
        <v>89</v>
      </c>
      <c r="J6" s="36" t="s">
        <v>209</v>
      </c>
      <c r="K6" s="37" t="s">
        <v>526</v>
      </c>
      <c r="L6" s="38">
        <v>10</v>
      </c>
      <c r="M6" s="39" t="s">
        <v>89</v>
      </c>
      <c r="N6" s="36" t="s">
        <v>209</v>
      </c>
      <c r="O6" s="37" t="s">
        <v>526</v>
      </c>
      <c r="P6" s="38">
        <v>10</v>
      </c>
      <c r="Q6" s="39" t="s">
        <v>89</v>
      </c>
      <c r="R6" s="36" t="s">
        <v>209</v>
      </c>
      <c r="S6" s="37" t="s">
        <v>526</v>
      </c>
      <c r="T6" s="38">
        <v>10</v>
      </c>
      <c r="U6" s="39" t="s">
        <v>89</v>
      </c>
      <c r="V6" s="40" t="s">
        <v>210</v>
      </c>
      <c r="W6" s="37" t="s">
        <v>526</v>
      </c>
      <c r="X6" s="38">
        <v>10</v>
      </c>
      <c r="Y6" s="39" t="s">
        <v>89</v>
      </c>
      <c r="Z6" s="36" t="s">
        <v>210</v>
      </c>
      <c r="AA6" s="37" t="s">
        <v>526</v>
      </c>
      <c r="AB6" s="38">
        <v>10</v>
      </c>
      <c r="AC6" s="39" t="s">
        <v>89</v>
      </c>
      <c r="AD6" s="36" t="s">
        <v>72</v>
      </c>
      <c r="AE6" s="37" t="s">
        <v>526</v>
      </c>
      <c r="AF6" s="38">
        <v>10</v>
      </c>
      <c r="AG6" s="39" t="s">
        <v>89</v>
      </c>
      <c r="AH6" s="36" t="s">
        <v>577</v>
      </c>
      <c r="AI6" s="41"/>
      <c r="AJ6" s="38">
        <v>10</v>
      </c>
      <c r="AK6" s="39" t="s">
        <v>89</v>
      </c>
      <c r="AL6" s="36" t="s">
        <v>579</v>
      </c>
      <c r="AM6" s="41"/>
      <c r="AN6" s="38">
        <v>10</v>
      </c>
      <c r="AO6" s="39" t="s">
        <v>89</v>
      </c>
      <c r="AP6" s="36" t="s">
        <v>209</v>
      </c>
      <c r="AQ6" s="37" t="s">
        <v>526</v>
      </c>
      <c r="AR6" s="38">
        <v>10</v>
      </c>
      <c r="AS6" s="39" t="s">
        <v>89</v>
      </c>
      <c r="AT6" s="36" t="s">
        <v>211</v>
      </c>
      <c r="AU6" s="37" t="s">
        <v>526</v>
      </c>
      <c r="AV6" s="38">
        <v>10</v>
      </c>
      <c r="AW6" s="39" t="s">
        <v>89</v>
      </c>
      <c r="AX6" s="36" t="s">
        <v>515</v>
      </c>
      <c r="AY6" s="41" t="s">
        <v>526</v>
      </c>
      <c r="AZ6" s="38">
        <v>10</v>
      </c>
      <c r="BA6" s="39" t="s">
        <v>89</v>
      </c>
      <c r="BB6" s="36" t="s">
        <v>212</v>
      </c>
      <c r="BC6" s="41" t="s">
        <v>526</v>
      </c>
      <c r="BD6" s="38">
        <v>20</v>
      </c>
      <c r="BE6" s="39" t="s">
        <v>89</v>
      </c>
      <c r="BF6" s="36" t="s">
        <v>73</v>
      </c>
      <c r="BG6" s="37" t="s">
        <v>526</v>
      </c>
      <c r="BH6" s="38">
        <v>15</v>
      </c>
      <c r="BI6" s="363" t="s">
        <v>89</v>
      </c>
      <c r="BJ6" s="364" t="s">
        <v>74</v>
      </c>
      <c r="BK6" s="37"/>
      <c r="BL6" s="38">
        <v>15</v>
      </c>
      <c r="BM6" s="365" t="s">
        <v>89</v>
      </c>
      <c r="BN6" s="36" t="s">
        <v>75</v>
      </c>
      <c r="BO6" s="37" t="s">
        <v>526</v>
      </c>
      <c r="BP6" s="38">
        <v>20</v>
      </c>
      <c r="BQ6" s="39" t="s">
        <v>89</v>
      </c>
      <c r="BR6" s="40" t="s">
        <v>271</v>
      </c>
      <c r="BS6" s="37" t="s">
        <v>272</v>
      </c>
      <c r="BT6" s="38">
        <v>30</v>
      </c>
      <c r="BU6" s="39" t="s">
        <v>89</v>
      </c>
      <c r="BV6" s="36" t="s">
        <v>273</v>
      </c>
      <c r="BW6" s="37" t="s">
        <v>274</v>
      </c>
      <c r="BX6" s="38">
        <v>20</v>
      </c>
      <c r="BY6" s="39" t="s">
        <v>89</v>
      </c>
    </row>
    <row r="7" spans="1:603" s="18" customFormat="1" ht="114" x14ac:dyDescent="0.4">
      <c r="A7" s="392">
        <v>3</v>
      </c>
      <c r="B7" s="385" t="s">
        <v>213</v>
      </c>
      <c r="C7" s="389" t="s">
        <v>526</v>
      </c>
      <c r="D7" s="390">
        <v>10</v>
      </c>
      <c r="E7" s="398" t="s">
        <v>89</v>
      </c>
      <c r="F7" s="385" t="s">
        <v>213</v>
      </c>
      <c r="G7" s="389" t="s">
        <v>526</v>
      </c>
      <c r="H7" s="390">
        <v>10</v>
      </c>
      <c r="I7" s="398" t="s">
        <v>89</v>
      </c>
      <c r="J7" s="385" t="s">
        <v>213</v>
      </c>
      <c r="K7" s="389" t="s">
        <v>526</v>
      </c>
      <c r="L7" s="390">
        <v>10</v>
      </c>
      <c r="M7" s="398" t="s">
        <v>89</v>
      </c>
      <c r="N7" s="385" t="s">
        <v>213</v>
      </c>
      <c r="O7" s="389" t="s">
        <v>526</v>
      </c>
      <c r="P7" s="390">
        <v>10</v>
      </c>
      <c r="Q7" s="398" t="s">
        <v>89</v>
      </c>
      <c r="R7" s="385" t="s">
        <v>213</v>
      </c>
      <c r="S7" s="389" t="s">
        <v>526</v>
      </c>
      <c r="T7" s="390">
        <v>10</v>
      </c>
      <c r="U7" s="398" t="s">
        <v>89</v>
      </c>
      <c r="V7" s="397" t="s">
        <v>528</v>
      </c>
      <c r="W7" s="389" t="s">
        <v>214</v>
      </c>
      <c r="X7" s="390">
        <v>10</v>
      </c>
      <c r="Y7" s="398" t="s">
        <v>89</v>
      </c>
      <c r="Z7" s="385" t="s">
        <v>528</v>
      </c>
      <c r="AA7" s="389" t="s">
        <v>214</v>
      </c>
      <c r="AB7" s="390">
        <v>10</v>
      </c>
      <c r="AC7" s="398" t="s">
        <v>89</v>
      </c>
      <c r="AD7" s="385" t="s">
        <v>619</v>
      </c>
      <c r="AE7" s="389" t="s">
        <v>526</v>
      </c>
      <c r="AF7" s="390">
        <v>10</v>
      </c>
      <c r="AG7" s="398" t="s">
        <v>89</v>
      </c>
      <c r="AH7" s="385" t="s">
        <v>578</v>
      </c>
      <c r="AI7" s="389"/>
      <c r="AJ7" s="390">
        <v>10</v>
      </c>
      <c r="AK7" s="398" t="s">
        <v>89</v>
      </c>
      <c r="AL7" s="385" t="s">
        <v>215</v>
      </c>
      <c r="AM7" s="389"/>
      <c r="AN7" s="390">
        <v>10</v>
      </c>
      <c r="AO7" s="398" t="s">
        <v>89</v>
      </c>
      <c r="AP7" s="385" t="s">
        <v>216</v>
      </c>
      <c r="AQ7" s="389" t="s">
        <v>526</v>
      </c>
      <c r="AR7" s="390">
        <v>10</v>
      </c>
      <c r="AS7" s="398" t="s">
        <v>89</v>
      </c>
      <c r="AT7" s="385" t="s">
        <v>217</v>
      </c>
      <c r="AU7" s="399" t="s">
        <v>526</v>
      </c>
      <c r="AV7" s="390">
        <v>10</v>
      </c>
      <c r="AW7" s="398" t="s">
        <v>89</v>
      </c>
      <c r="AX7" s="385" t="s">
        <v>218</v>
      </c>
      <c r="AY7" s="389" t="s">
        <v>526</v>
      </c>
      <c r="AZ7" s="390">
        <v>10</v>
      </c>
      <c r="BA7" s="398" t="s">
        <v>89</v>
      </c>
      <c r="BB7" s="385" t="s">
        <v>219</v>
      </c>
      <c r="BC7" s="389" t="s">
        <v>526</v>
      </c>
      <c r="BD7" s="390">
        <v>20</v>
      </c>
      <c r="BE7" s="398" t="s">
        <v>89</v>
      </c>
      <c r="BF7" s="385" t="s">
        <v>220</v>
      </c>
      <c r="BG7" s="389" t="s">
        <v>221</v>
      </c>
      <c r="BH7" s="390">
        <v>5</v>
      </c>
      <c r="BI7" s="400" t="s">
        <v>89</v>
      </c>
      <c r="BJ7" s="388" t="s">
        <v>220</v>
      </c>
      <c r="BK7" s="389" t="s">
        <v>221</v>
      </c>
      <c r="BL7" s="390">
        <v>5</v>
      </c>
      <c r="BM7" s="391" t="s">
        <v>89</v>
      </c>
      <c r="BN7" s="385" t="s">
        <v>222</v>
      </c>
      <c r="BO7" s="389" t="s">
        <v>526</v>
      </c>
      <c r="BP7" s="390">
        <v>30</v>
      </c>
      <c r="BQ7" s="398" t="s">
        <v>89</v>
      </c>
      <c r="BR7" s="385" t="s">
        <v>275</v>
      </c>
      <c r="BS7" s="389" t="s">
        <v>226</v>
      </c>
      <c r="BT7" s="390">
        <v>30</v>
      </c>
      <c r="BU7" s="398" t="s">
        <v>89</v>
      </c>
      <c r="BV7" s="385" t="s">
        <v>276</v>
      </c>
      <c r="BW7" s="389" t="s">
        <v>601</v>
      </c>
      <c r="BX7" s="390">
        <v>20</v>
      </c>
      <c r="BY7" s="398" t="s">
        <v>89</v>
      </c>
    </row>
    <row r="8" spans="1:603" s="42" customFormat="1" ht="101.35" x14ac:dyDescent="0.4">
      <c r="A8" s="35">
        <v>4</v>
      </c>
      <c r="B8" s="36" t="s">
        <v>223</v>
      </c>
      <c r="C8" s="37" t="s">
        <v>224</v>
      </c>
      <c r="D8" s="38">
        <v>40</v>
      </c>
      <c r="E8" s="39" t="s">
        <v>91</v>
      </c>
      <c r="F8" s="36" t="s">
        <v>225</v>
      </c>
      <c r="G8" s="37" t="s">
        <v>224</v>
      </c>
      <c r="H8" s="38">
        <v>40</v>
      </c>
      <c r="I8" s="39" t="s">
        <v>121</v>
      </c>
      <c r="J8" s="36" t="s">
        <v>223</v>
      </c>
      <c r="K8" s="37" t="s">
        <v>224</v>
      </c>
      <c r="L8" s="38">
        <v>40</v>
      </c>
      <c r="M8" s="39" t="s">
        <v>91</v>
      </c>
      <c r="N8" s="36" t="s">
        <v>223</v>
      </c>
      <c r="O8" s="37" t="s">
        <v>224</v>
      </c>
      <c r="P8" s="38">
        <v>40</v>
      </c>
      <c r="Q8" s="39" t="s">
        <v>91</v>
      </c>
      <c r="R8" s="36" t="s">
        <v>223</v>
      </c>
      <c r="S8" s="37" t="s">
        <v>224</v>
      </c>
      <c r="T8" s="38">
        <v>40</v>
      </c>
      <c r="U8" s="39" t="s">
        <v>91</v>
      </c>
      <c r="V8" s="40" t="s">
        <v>77</v>
      </c>
      <c r="W8" s="37" t="s">
        <v>226</v>
      </c>
      <c r="X8" s="38">
        <v>10</v>
      </c>
      <c r="Y8" s="39" t="s">
        <v>89</v>
      </c>
      <c r="Z8" s="36" t="s">
        <v>77</v>
      </c>
      <c r="AA8" s="37" t="s">
        <v>226</v>
      </c>
      <c r="AB8" s="38">
        <v>10</v>
      </c>
      <c r="AC8" s="39" t="s">
        <v>89</v>
      </c>
      <c r="AD8" s="36" t="s">
        <v>78</v>
      </c>
      <c r="AE8" s="37" t="s">
        <v>226</v>
      </c>
      <c r="AF8" s="38">
        <v>10</v>
      </c>
      <c r="AG8" s="39" t="s">
        <v>89</v>
      </c>
      <c r="AH8" s="36" t="s">
        <v>79</v>
      </c>
      <c r="AI8" s="37" t="s">
        <v>226</v>
      </c>
      <c r="AJ8" s="38">
        <v>10</v>
      </c>
      <c r="AK8" s="39" t="s">
        <v>89</v>
      </c>
      <c r="AL8" s="36" t="s">
        <v>79</v>
      </c>
      <c r="AM8" s="37" t="s">
        <v>226</v>
      </c>
      <c r="AN8" s="38">
        <v>10</v>
      </c>
      <c r="AO8" s="39" t="s">
        <v>89</v>
      </c>
      <c r="AP8" s="40" t="s">
        <v>79</v>
      </c>
      <c r="AQ8" s="37" t="s">
        <v>226</v>
      </c>
      <c r="AR8" s="38">
        <v>10</v>
      </c>
      <c r="AS8" s="39" t="s">
        <v>89</v>
      </c>
      <c r="AT8" s="36" t="s">
        <v>227</v>
      </c>
      <c r="AU8" s="37" t="s">
        <v>226</v>
      </c>
      <c r="AV8" s="38">
        <v>10</v>
      </c>
      <c r="AW8" s="39" t="s">
        <v>89</v>
      </c>
      <c r="AX8" s="36" t="s">
        <v>80</v>
      </c>
      <c r="AY8" s="37" t="s">
        <v>226</v>
      </c>
      <c r="AZ8" s="38">
        <v>10</v>
      </c>
      <c r="BA8" s="39" t="s">
        <v>89</v>
      </c>
      <c r="BB8" s="36" t="s">
        <v>228</v>
      </c>
      <c r="BC8" s="37" t="s">
        <v>526</v>
      </c>
      <c r="BD8" s="38">
        <v>20</v>
      </c>
      <c r="BE8" s="39" t="s">
        <v>89</v>
      </c>
      <c r="BF8" s="36" t="s">
        <v>76</v>
      </c>
      <c r="BG8" s="37" t="s">
        <v>526</v>
      </c>
      <c r="BH8" s="38">
        <v>5</v>
      </c>
      <c r="BI8" s="363" t="s">
        <v>89</v>
      </c>
      <c r="BJ8" s="364" t="s">
        <v>229</v>
      </c>
      <c r="BK8" s="37"/>
      <c r="BL8" s="38">
        <v>5</v>
      </c>
      <c r="BM8" s="365" t="s">
        <v>89</v>
      </c>
      <c r="BN8" s="36" t="s">
        <v>81</v>
      </c>
      <c r="BO8" s="37" t="s">
        <v>221</v>
      </c>
      <c r="BP8" s="38">
        <v>20</v>
      </c>
      <c r="BQ8" s="39" t="s">
        <v>89</v>
      </c>
      <c r="BR8" s="40" t="s">
        <v>277</v>
      </c>
      <c r="BS8" s="37" t="s">
        <v>526</v>
      </c>
      <c r="BT8" s="38">
        <v>30</v>
      </c>
      <c r="BU8" s="39" t="s">
        <v>89</v>
      </c>
      <c r="BV8" s="36" t="s">
        <v>278</v>
      </c>
      <c r="BW8" s="37" t="s">
        <v>226</v>
      </c>
      <c r="BX8" s="38">
        <v>20</v>
      </c>
      <c r="BY8" s="39" t="s">
        <v>89</v>
      </c>
    </row>
    <row r="9" spans="1:603" s="18" customFormat="1" ht="114.7" x14ac:dyDescent="0.4">
      <c r="A9" s="392">
        <v>5</v>
      </c>
      <c r="B9" s="393" t="s">
        <v>230</v>
      </c>
      <c r="C9" s="394" t="s">
        <v>231</v>
      </c>
      <c r="D9" s="395">
        <v>20</v>
      </c>
      <c r="E9" s="396" t="s">
        <v>89</v>
      </c>
      <c r="F9" s="393" t="s">
        <v>232</v>
      </c>
      <c r="G9" s="394" t="s">
        <v>231</v>
      </c>
      <c r="H9" s="395">
        <v>20</v>
      </c>
      <c r="I9" s="396" t="s">
        <v>89</v>
      </c>
      <c r="J9" s="393" t="s">
        <v>230</v>
      </c>
      <c r="K9" s="394" t="s">
        <v>231</v>
      </c>
      <c r="L9" s="395">
        <v>20</v>
      </c>
      <c r="M9" s="396" t="s">
        <v>89</v>
      </c>
      <c r="N9" s="393" t="s">
        <v>230</v>
      </c>
      <c r="O9" s="394" t="s">
        <v>231</v>
      </c>
      <c r="P9" s="395">
        <v>20</v>
      </c>
      <c r="Q9" s="396" t="s">
        <v>89</v>
      </c>
      <c r="R9" s="393" t="s">
        <v>230</v>
      </c>
      <c r="S9" s="394" t="s">
        <v>231</v>
      </c>
      <c r="T9" s="395">
        <v>20</v>
      </c>
      <c r="U9" s="396" t="s">
        <v>89</v>
      </c>
      <c r="V9" s="397" t="s">
        <v>82</v>
      </c>
      <c r="W9" s="389" t="s">
        <v>491</v>
      </c>
      <c r="X9" s="390">
        <v>10</v>
      </c>
      <c r="Y9" s="398" t="s">
        <v>89</v>
      </c>
      <c r="Z9" s="385" t="s">
        <v>82</v>
      </c>
      <c r="AA9" s="389" t="s">
        <v>491</v>
      </c>
      <c r="AB9" s="390">
        <v>10</v>
      </c>
      <c r="AC9" s="398" t="s">
        <v>89</v>
      </c>
      <c r="AD9" s="385" t="s">
        <v>82</v>
      </c>
      <c r="AE9" s="389" t="s">
        <v>492</v>
      </c>
      <c r="AF9" s="390">
        <v>10</v>
      </c>
      <c r="AG9" s="398" t="s">
        <v>89</v>
      </c>
      <c r="AH9" s="385" t="s">
        <v>233</v>
      </c>
      <c r="AI9" s="389" t="s">
        <v>493</v>
      </c>
      <c r="AJ9" s="390">
        <v>10</v>
      </c>
      <c r="AK9" s="398" t="s">
        <v>89</v>
      </c>
      <c r="AL9" s="385" t="s">
        <v>233</v>
      </c>
      <c r="AM9" s="389" t="s">
        <v>493</v>
      </c>
      <c r="AN9" s="390">
        <v>10</v>
      </c>
      <c r="AO9" s="398" t="s">
        <v>89</v>
      </c>
      <c r="AP9" s="397" t="s">
        <v>233</v>
      </c>
      <c r="AQ9" s="389" t="s">
        <v>234</v>
      </c>
      <c r="AR9" s="390">
        <v>10</v>
      </c>
      <c r="AS9" s="398" t="s">
        <v>89</v>
      </c>
      <c r="AT9" s="385" t="s">
        <v>235</v>
      </c>
      <c r="AU9" s="401" t="s">
        <v>236</v>
      </c>
      <c r="AV9" s="390">
        <v>10</v>
      </c>
      <c r="AW9" s="398" t="s">
        <v>89</v>
      </c>
      <c r="AX9" s="385" t="s">
        <v>237</v>
      </c>
      <c r="AY9" s="401" t="s">
        <v>236</v>
      </c>
      <c r="AZ9" s="390">
        <v>10</v>
      </c>
      <c r="BA9" s="398" t="s">
        <v>89</v>
      </c>
      <c r="BB9" s="385" t="s">
        <v>238</v>
      </c>
      <c r="BC9" s="399" t="s">
        <v>526</v>
      </c>
      <c r="BD9" s="390">
        <v>20</v>
      </c>
      <c r="BE9" s="398" t="s">
        <v>89</v>
      </c>
      <c r="BF9" s="385" t="s">
        <v>239</v>
      </c>
      <c r="BG9" s="389" t="s">
        <v>240</v>
      </c>
      <c r="BH9" s="390">
        <v>5</v>
      </c>
      <c r="BI9" s="400" t="s">
        <v>89</v>
      </c>
      <c r="BJ9" s="388" t="s">
        <v>239</v>
      </c>
      <c r="BK9" s="389" t="s">
        <v>240</v>
      </c>
      <c r="BL9" s="390">
        <v>5</v>
      </c>
      <c r="BM9" s="391" t="s">
        <v>89</v>
      </c>
      <c r="BN9" s="393" t="s">
        <v>241</v>
      </c>
      <c r="BO9" s="394" t="s">
        <v>526</v>
      </c>
      <c r="BP9" s="395">
        <v>20</v>
      </c>
      <c r="BQ9" s="396" t="s">
        <v>89</v>
      </c>
      <c r="BR9" s="397" t="s">
        <v>526</v>
      </c>
      <c r="BS9" s="394" t="s">
        <v>526</v>
      </c>
      <c r="BT9" s="395"/>
      <c r="BU9" s="561" t="s">
        <v>427</v>
      </c>
      <c r="BV9" s="397" t="s">
        <v>394</v>
      </c>
      <c r="BW9" s="394" t="s">
        <v>526</v>
      </c>
      <c r="BX9" s="390">
        <v>30</v>
      </c>
      <c r="BY9" s="398" t="s">
        <v>89</v>
      </c>
    </row>
    <row r="10" spans="1:603" s="42" customFormat="1" ht="101.35" x14ac:dyDescent="0.4">
      <c r="A10" s="35">
        <v>6</v>
      </c>
      <c r="B10" s="43" t="s">
        <v>416</v>
      </c>
      <c r="C10" s="44" t="s">
        <v>526</v>
      </c>
      <c r="D10" s="45">
        <v>20</v>
      </c>
      <c r="E10" s="46" t="s">
        <v>89</v>
      </c>
      <c r="F10" s="43" t="s">
        <v>620</v>
      </c>
      <c r="G10" s="44" t="s">
        <v>526</v>
      </c>
      <c r="H10" s="45">
        <v>20</v>
      </c>
      <c r="I10" s="46" t="s">
        <v>89</v>
      </c>
      <c r="J10" s="43" t="s">
        <v>416</v>
      </c>
      <c r="K10" s="44" t="s">
        <v>526</v>
      </c>
      <c r="L10" s="45">
        <v>20</v>
      </c>
      <c r="M10" s="46" t="s">
        <v>89</v>
      </c>
      <c r="N10" s="43" t="s">
        <v>416</v>
      </c>
      <c r="O10" s="44" t="s">
        <v>526</v>
      </c>
      <c r="P10" s="45">
        <v>20</v>
      </c>
      <c r="Q10" s="46" t="s">
        <v>89</v>
      </c>
      <c r="R10" s="43" t="s">
        <v>416</v>
      </c>
      <c r="S10" s="44" t="s">
        <v>526</v>
      </c>
      <c r="T10" s="45">
        <v>20</v>
      </c>
      <c r="U10" s="46" t="s">
        <v>89</v>
      </c>
      <c r="V10" s="40" t="s">
        <v>242</v>
      </c>
      <c r="W10" s="41" t="s">
        <v>526</v>
      </c>
      <c r="X10" s="38">
        <v>10</v>
      </c>
      <c r="Y10" s="39" t="s">
        <v>89</v>
      </c>
      <c r="Z10" s="36" t="s">
        <v>243</v>
      </c>
      <c r="AA10" s="37" t="s">
        <v>526</v>
      </c>
      <c r="AB10" s="38">
        <v>10</v>
      </c>
      <c r="AC10" s="39" t="s">
        <v>89</v>
      </c>
      <c r="AD10" s="36" t="s">
        <v>437</v>
      </c>
      <c r="AE10" s="37" t="s">
        <v>526</v>
      </c>
      <c r="AF10" s="38">
        <v>10</v>
      </c>
      <c r="AG10" s="39" t="s">
        <v>89</v>
      </c>
      <c r="AH10" s="36" t="s">
        <v>437</v>
      </c>
      <c r="AI10" s="37"/>
      <c r="AJ10" s="38">
        <v>10</v>
      </c>
      <c r="AK10" s="39" t="s">
        <v>89</v>
      </c>
      <c r="AL10" s="36" t="s">
        <v>437</v>
      </c>
      <c r="AM10" s="37"/>
      <c r="AN10" s="38">
        <v>10</v>
      </c>
      <c r="AO10" s="39" t="s">
        <v>89</v>
      </c>
      <c r="AP10" s="40" t="s">
        <v>437</v>
      </c>
      <c r="AQ10" s="41" t="s">
        <v>526</v>
      </c>
      <c r="AR10" s="38">
        <v>10</v>
      </c>
      <c r="AS10" s="39" t="s">
        <v>89</v>
      </c>
      <c r="AT10" s="36" t="s">
        <v>514</v>
      </c>
      <c r="AU10" s="37" t="s">
        <v>526</v>
      </c>
      <c r="AV10" s="38">
        <v>10</v>
      </c>
      <c r="AW10" s="39" t="s">
        <v>89</v>
      </c>
      <c r="AX10" s="36" t="s">
        <v>244</v>
      </c>
      <c r="AY10" s="37" t="s">
        <v>526</v>
      </c>
      <c r="AZ10" s="38">
        <v>20</v>
      </c>
      <c r="BA10" s="39" t="s">
        <v>89</v>
      </c>
      <c r="BB10" s="36" t="s">
        <v>245</v>
      </c>
      <c r="BC10" s="37" t="s">
        <v>526</v>
      </c>
      <c r="BD10" s="38">
        <v>5</v>
      </c>
      <c r="BE10" s="39" t="s">
        <v>89</v>
      </c>
      <c r="BF10" s="36" t="s">
        <v>83</v>
      </c>
      <c r="BG10" s="37" t="s">
        <v>240</v>
      </c>
      <c r="BH10" s="38">
        <v>5</v>
      </c>
      <c r="BI10" s="363" t="s">
        <v>89</v>
      </c>
      <c r="BJ10" s="364" t="s">
        <v>526</v>
      </c>
      <c r="BK10" s="37" t="s">
        <v>623</v>
      </c>
      <c r="BL10" s="38">
        <v>0</v>
      </c>
      <c r="BM10" s="365" t="s">
        <v>89</v>
      </c>
      <c r="BN10" s="36" t="s">
        <v>526</v>
      </c>
      <c r="BO10" s="37" t="s">
        <v>526</v>
      </c>
      <c r="BP10" s="38"/>
      <c r="BQ10" s="563" t="s">
        <v>427</v>
      </c>
      <c r="BR10" s="40" t="s">
        <v>526</v>
      </c>
      <c r="BS10" s="37" t="s">
        <v>526</v>
      </c>
      <c r="BT10" s="38"/>
      <c r="BU10" s="39" t="s">
        <v>427</v>
      </c>
      <c r="BV10" s="40" t="s">
        <v>526</v>
      </c>
      <c r="BW10" s="37" t="s">
        <v>526</v>
      </c>
      <c r="BX10" s="38"/>
      <c r="BY10" s="563" t="s">
        <v>427</v>
      </c>
    </row>
    <row r="11" spans="1:603" s="18" customFormat="1" ht="140.35" x14ac:dyDescent="0.4">
      <c r="A11" s="392">
        <v>7</v>
      </c>
      <c r="B11" s="393" t="s">
        <v>417</v>
      </c>
      <c r="C11" s="394" t="s">
        <v>526</v>
      </c>
      <c r="D11" s="395">
        <v>20</v>
      </c>
      <c r="E11" s="396" t="s">
        <v>89</v>
      </c>
      <c r="F11" s="393" t="s">
        <v>621</v>
      </c>
      <c r="G11" s="394" t="s">
        <v>526</v>
      </c>
      <c r="H11" s="395">
        <v>20</v>
      </c>
      <c r="I11" s="396" t="s">
        <v>89</v>
      </c>
      <c r="J11" s="393" t="s">
        <v>417</v>
      </c>
      <c r="K11" s="394" t="s">
        <v>526</v>
      </c>
      <c r="L11" s="395">
        <v>20</v>
      </c>
      <c r="M11" s="396" t="s">
        <v>89</v>
      </c>
      <c r="N11" s="393" t="s">
        <v>417</v>
      </c>
      <c r="O11" s="394" t="s">
        <v>526</v>
      </c>
      <c r="P11" s="395">
        <v>20</v>
      </c>
      <c r="Q11" s="396" t="s">
        <v>89</v>
      </c>
      <c r="R11" s="393" t="s">
        <v>417</v>
      </c>
      <c r="S11" s="394" t="s">
        <v>526</v>
      </c>
      <c r="T11" s="395">
        <v>20</v>
      </c>
      <c r="U11" s="396" t="s">
        <v>89</v>
      </c>
      <c r="V11" s="397" t="s">
        <v>247</v>
      </c>
      <c r="W11" s="389" t="s">
        <v>526</v>
      </c>
      <c r="X11" s="390">
        <v>10</v>
      </c>
      <c r="Y11" s="398" t="s">
        <v>89</v>
      </c>
      <c r="Z11" s="397" t="s">
        <v>247</v>
      </c>
      <c r="AA11" s="389" t="s">
        <v>526</v>
      </c>
      <c r="AB11" s="390">
        <v>10</v>
      </c>
      <c r="AC11" s="398" t="s">
        <v>89</v>
      </c>
      <c r="AD11" s="397" t="s">
        <v>247</v>
      </c>
      <c r="AE11" s="389" t="s">
        <v>526</v>
      </c>
      <c r="AF11" s="390">
        <v>10</v>
      </c>
      <c r="AG11" s="398" t="s">
        <v>89</v>
      </c>
      <c r="AH11" s="397" t="s">
        <v>247</v>
      </c>
      <c r="AI11" s="389" t="s">
        <v>526</v>
      </c>
      <c r="AJ11" s="390">
        <v>10</v>
      </c>
      <c r="AK11" s="398" t="s">
        <v>89</v>
      </c>
      <c r="AL11" s="397" t="s">
        <v>247</v>
      </c>
      <c r="AM11" s="389" t="s">
        <v>526</v>
      </c>
      <c r="AN11" s="390">
        <v>10</v>
      </c>
      <c r="AO11" s="398" t="s">
        <v>89</v>
      </c>
      <c r="AP11" s="397" t="s">
        <v>247</v>
      </c>
      <c r="AQ11" s="389" t="s">
        <v>526</v>
      </c>
      <c r="AR11" s="390">
        <v>10</v>
      </c>
      <c r="AS11" s="398" t="s">
        <v>89</v>
      </c>
      <c r="AT11" s="385" t="s">
        <v>614</v>
      </c>
      <c r="AU11" s="399" t="s">
        <v>526</v>
      </c>
      <c r="AV11" s="390">
        <v>15</v>
      </c>
      <c r="AW11" s="398" t="s">
        <v>89</v>
      </c>
      <c r="AX11" s="397" t="s">
        <v>248</v>
      </c>
      <c r="AY11" s="389" t="s">
        <v>526</v>
      </c>
      <c r="AZ11" s="390">
        <v>20</v>
      </c>
      <c r="BA11" s="398" t="s">
        <v>89</v>
      </c>
      <c r="BB11" s="385" t="s">
        <v>249</v>
      </c>
      <c r="BC11" s="389" t="s">
        <v>526</v>
      </c>
      <c r="BD11" s="390">
        <v>5</v>
      </c>
      <c r="BE11" s="398" t="s">
        <v>89</v>
      </c>
      <c r="BF11" s="385" t="s">
        <v>246</v>
      </c>
      <c r="BG11" s="389" t="s">
        <v>494</v>
      </c>
      <c r="BH11" s="390">
        <v>10</v>
      </c>
      <c r="BI11" s="400" t="s">
        <v>89</v>
      </c>
      <c r="BJ11" s="567" t="s">
        <v>622</v>
      </c>
      <c r="BK11" s="568" t="s">
        <v>494</v>
      </c>
      <c r="BL11" s="569">
        <v>10</v>
      </c>
      <c r="BM11" s="391" t="s">
        <v>89</v>
      </c>
      <c r="BN11" s="385" t="s">
        <v>526</v>
      </c>
      <c r="BO11" s="389" t="s">
        <v>526</v>
      </c>
      <c r="BP11" s="390"/>
      <c r="BQ11" s="380" t="s">
        <v>427</v>
      </c>
      <c r="BR11" s="397" t="s">
        <v>526</v>
      </c>
      <c r="BS11" s="389" t="s">
        <v>526</v>
      </c>
      <c r="BT11" s="390"/>
      <c r="BU11" s="562" t="s">
        <v>427</v>
      </c>
      <c r="BV11" s="397" t="s">
        <v>526</v>
      </c>
      <c r="BW11" s="389" t="s">
        <v>526</v>
      </c>
      <c r="BX11" s="390"/>
      <c r="BY11" s="398" t="s">
        <v>427</v>
      </c>
    </row>
    <row r="12" spans="1:603" s="42" customFormat="1" ht="178.35" x14ac:dyDescent="0.4">
      <c r="A12" s="35">
        <v>8</v>
      </c>
      <c r="B12" s="47" t="s">
        <v>250</v>
      </c>
      <c r="C12" s="42" t="s">
        <v>251</v>
      </c>
      <c r="D12" s="38">
        <v>10</v>
      </c>
      <c r="E12" s="39" t="s">
        <v>89</v>
      </c>
      <c r="F12" s="36" t="s">
        <v>250</v>
      </c>
      <c r="G12" s="37" t="s">
        <v>251</v>
      </c>
      <c r="H12" s="38">
        <v>10</v>
      </c>
      <c r="I12" s="39" t="s">
        <v>89</v>
      </c>
      <c r="J12" s="47" t="s">
        <v>250</v>
      </c>
      <c r="K12" s="42" t="s">
        <v>251</v>
      </c>
      <c r="L12" s="38">
        <v>10</v>
      </c>
      <c r="M12" s="39" t="s">
        <v>89</v>
      </c>
      <c r="N12" s="47" t="s">
        <v>250</v>
      </c>
      <c r="O12" s="42" t="s">
        <v>251</v>
      </c>
      <c r="P12" s="38">
        <v>10</v>
      </c>
      <c r="Q12" s="39" t="s">
        <v>89</v>
      </c>
      <c r="R12" s="47" t="s">
        <v>250</v>
      </c>
      <c r="S12" s="42" t="s">
        <v>251</v>
      </c>
      <c r="T12" s="38">
        <v>10</v>
      </c>
      <c r="U12" s="39" t="s">
        <v>89</v>
      </c>
      <c r="V12" s="40" t="s">
        <v>252</v>
      </c>
      <c r="W12" s="37" t="s">
        <v>602</v>
      </c>
      <c r="X12" s="38">
        <v>10</v>
      </c>
      <c r="Y12" s="39" t="s">
        <v>89</v>
      </c>
      <c r="Z12" s="40" t="s">
        <v>252</v>
      </c>
      <c r="AA12" s="37" t="s">
        <v>602</v>
      </c>
      <c r="AB12" s="38">
        <v>10</v>
      </c>
      <c r="AC12" s="39" t="s">
        <v>89</v>
      </c>
      <c r="AD12" s="40" t="s">
        <v>252</v>
      </c>
      <c r="AE12" s="37" t="s">
        <v>602</v>
      </c>
      <c r="AF12" s="38">
        <v>10</v>
      </c>
      <c r="AG12" s="39" t="s">
        <v>89</v>
      </c>
      <c r="AH12" s="40" t="s">
        <v>252</v>
      </c>
      <c r="AI12" s="37" t="s">
        <v>602</v>
      </c>
      <c r="AJ12" s="38">
        <v>10</v>
      </c>
      <c r="AK12" s="39" t="s">
        <v>89</v>
      </c>
      <c r="AL12" s="40" t="s">
        <v>252</v>
      </c>
      <c r="AM12" s="37" t="s">
        <v>602</v>
      </c>
      <c r="AN12" s="38">
        <v>10</v>
      </c>
      <c r="AO12" s="39" t="s">
        <v>89</v>
      </c>
      <c r="AP12" s="40" t="s">
        <v>252</v>
      </c>
      <c r="AQ12" s="37" t="s">
        <v>602</v>
      </c>
      <c r="AR12" s="38">
        <v>10</v>
      </c>
      <c r="AS12" s="39" t="s">
        <v>89</v>
      </c>
      <c r="AT12" s="36" t="s">
        <v>615</v>
      </c>
      <c r="AU12" s="37" t="s">
        <v>616</v>
      </c>
      <c r="AV12" s="38">
        <v>15</v>
      </c>
      <c r="AW12" s="39" t="s">
        <v>89</v>
      </c>
      <c r="AX12" s="43" t="s">
        <v>253</v>
      </c>
      <c r="AY12" s="44" t="s">
        <v>254</v>
      </c>
      <c r="AZ12" s="45">
        <v>20</v>
      </c>
      <c r="BA12" s="39" t="s">
        <v>89</v>
      </c>
      <c r="BB12" s="36" t="s">
        <v>526</v>
      </c>
      <c r="BC12" s="37" t="s">
        <v>526</v>
      </c>
      <c r="BD12" s="38"/>
      <c r="BE12" s="39" t="s">
        <v>427</v>
      </c>
      <c r="BF12" s="36" t="s">
        <v>84</v>
      </c>
      <c r="BG12" s="37" t="s">
        <v>526</v>
      </c>
      <c r="BH12" s="38">
        <v>5</v>
      </c>
      <c r="BI12" s="363" t="s">
        <v>89</v>
      </c>
      <c r="BJ12" s="364" t="s">
        <v>84</v>
      </c>
      <c r="BK12" s="37" t="s">
        <v>526</v>
      </c>
      <c r="BL12" s="38">
        <v>5</v>
      </c>
      <c r="BM12" s="365" t="s">
        <v>89</v>
      </c>
      <c r="BN12" s="36" t="s">
        <v>526</v>
      </c>
      <c r="BO12" s="37" t="s">
        <v>526</v>
      </c>
      <c r="BP12" s="38"/>
      <c r="BQ12" s="566" t="s">
        <v>427</v>
      </c>
      <c r="BR12" s="40" t="s">
        <v>526</v>
      </c>
      <c r="BS12" s="37" t="s">
        <v>526</v>
      </c>
      <c r="BT12" s="38"/>
      <c r="BU12" s="563" t="s">
        <v>427</v>
      </c>
      <c r="BV12" s="40" t="s">
        <v>526</v>
      </c>
      <c r="BW12" s="37" t="s">
        <v>526</v>
      </c>
      <c r="BX12" s="38"/>
      <c r="BY12" s="565" t="s">
        <v>427</v>
      </c>
    </row>
    <row r="13" spans="1:603" s="18" customFormat="1" ht="93.35" x14ac:dyDescent="0.4">
      <c r="A13" s="376">
        <v>9</v>
      </c>
      <c r="B13" s="377" t="s">
        <v>85</v>
      </c>
      <c r="C13" s="378" t="s">
        <v>526</v>
      </c>
      <c r="D13" s="379">
        <v>20</v>
      </c>
      <c r="E13" s="380" t="s">
        <v>88</v>
      </c>
      <c r="F13" s="377" t="s">
        <v>85</v>
      </c>
      <c r="G13" s="378" t="s">
        <v>526</v>
      </c>
      <c r="H13" s="379">
        <v>20</v>
      </c>
      <c r="I13" s="380" t="s">
        <v>88</v>
      </c>
      <c r="J13" s="377" t="s">
        <v>85</v>
      </c>
      <c r="K13" s="378" t="s">
        <v>526</v>
      </c>
      <c r="L13" s="379">
        <v>20</v>
      </c>
      <c r="M13" s="380" t="s">
        <v>88</v>
      </c>
      <c r="N13" s="377" t="s">
        <v>85</v>
      </c>
      <c r="O13" s="378" t="s">
        <v>526</v>
      </c>
      <c r="P13" s="379">
        <v>20</v>
      </c>
      <c r="Q13" s="380" t="s">
        <v>88</v>
      </c>
      <c r="R13" s="377" t="s">
        <v>618</v>
      </c>
      <c r="S13" s="378" t="s">
        <v>526</v>
      </c>
      <c r="T13" s="379">
        <v>20</v>
      </c>
      <c r="U13" s="380" t="s">
        <v>88</v>
      </c>
      <c r="V13" s="381" t="s">
        <v>256</v>
      </c>
      <c r="W13" s="378" t="s">
        <v>257</v>
      </c>
      <c r="X13" s="379">
        <v>10</v>
      </c>
      <c r="Y13" s="380" t="s">
        <v>89</v>
      </c>
      <c r="Z13" s="381" t="s">
        <v>256</v>
      </c>
      <c r="AA13" s="378" t="s">
        <v>257</v>
      </c>
      <c r="AB13" s="379">
        <v>10</v>
      </c>
      <c r="AC13" s="380" t="s">
        <v>89</v>
      </c>
      <c r="AD13" s="381" t="s">
        <v>256</v>
      </c>
      <c r="AE13" s="378" t="s">
        <v>257</v>
      </c>
      <c r="AF13" s="379">
        <v>10</v>
      </c>
      <c r="AG13" s="380" t="s">
        <v>89</v>
      </c>
      <c r="AH13" s="381" t="s">
        <v>256</v>
      </c>
      <c r="AI13" s="378" t="s">
        <v>257</v>
      </c>
      <c r="AJ13" s="379">
        <v>10</v>
      </c>
      <c r="AK13" s="380" t="s">
        <v>89</v>
      </c>
      <c r="AL13" s="381" t="s">
        <v>256</v>
      </c>
      <c r="AM13" s="378" t="s">
        <v>257</v>
      </c>
      <c r="AN13" s="379">
        <v>10</v>
      </c>
      <c r="AO13" s="380" t="s">
        <v>89</v>
      </c>
      <c r="AP13" s="381" t="s">
        <v>256</v>
      </c>
      <c r="AQ13" s="378" t="s">
        <v>257</v>
      </c>
      <c r="AR13" s="379">
        <v>10</v>
      </c>
      <c r="AS13" s="380" t="s">
        <v>89</v>
      </c>
      <c r="AT13" s="377" t="s">
        <v>526</v>
      </c>
      <c r="AU13" s="378" t="s">
        <v>623</v>
      </c>
      <c r="AV13" s="379">
        <v>0</v>
      </c>
      <c r="AW13" s="380" t="s">
        <v>427</v>
      </c>
      <c r="AX13" s="382" t="s">
        <v>259</v>
      </c>
      <c r="AY13" s="383" t="s">
        <v>526</v>
      </c>
      <c r="AZ13" s="384">
        <v>20</v>
      </c>
      <c r="BA13" s="398" t="s">
        <v>89</v>
      </c>
      <c r="BB13" s="385" t="s">
        <v>526</v>
      </c>
      <c r="BC13" s="378" t="s">
        <v>526</v>
      </c>
      <c r="BD13" s="379"/>
      <c r="BE13" s="380" t="s">
        <v>427</v>
      </c>
      <c r="BF13" s="377" t="s">
        <v>255</v>
      </c>
      <c r="BG13" s="386" t="s">
        <v>526</v>
      </c>
      <c r="BH13" s="379">
        <v>15</v>
      </c>
      <c r="BI13" s="387" t="s">
        <v>89</v>
      </c>
      <c r="BJ13" s="570" t="s">
        <v>255</v>
      </c>
      <c r="BK13" s="571" t="s">
        <v>526</v>
      </c>
      <c r="BL13" s="572">
        <v>15</v>
      </c>
      <c r="BM13" s="391" t="s">
        <v>89</v>
      </c>
      <c r="BN13" s="377" t="s">
        <v>526</v>
      </c>
      <c r="BO13" s="378" t="s">
        <v>526</v>
      </c>
      <c r="BP13" s="379"/>
      <c r="BQ13" s="562" t="s">
        <v>427</v>
      </c>
      <c r="BR13" s="381" t="s">
        <v>526</v>
      </c>
      <c r="BS13" s="378" t="s">
        <v>526</v>
      </c>
      <c r="BT13" s="379"/>
      <c r="BU13" s="398" t="s">
        <v>427</v>
      </c>
      <c r="BV13" s="381" t="s">
        <v>526</v>
      </c>
      <c r="BW13" s="378" t="s">
        <v>526</v>
      </c>
      <c r="BX13" s="379"/>
      <c r="BY13" s="398" t="s">
        <v>427</v>
      </c>
    </row>
    <row r="14" spans="1:603" s="42" customFormat="1" ht="38.35" thickBot="1" x14ac:dyDescent="0.45">
      <c r="A14" s="48">
        <v>10</v>
      </c>
      <c r="B14" s="49" t="s">
        <v>526</v>
      </c>
      <c r="C14" s="50" t="s">
        <v>526</v>
      </c>
      <c r="D14" s="51"/>
      <c r="E14" s="52" t="s">
        <v>427</v>
      </c>
      <c r="F14" s="49" t="s">
        <v>526</v>
      </c>
      <c r="G14" s="50" t="s">
        <v>526</v>
      </c>
      <c r="H14" s="51"/>
      <c r="I14" s="52" t="s">
        <v>427</v>
      </c>
      <c r="J14" s="49" t="s">
        <v>526</v>
      </c>
      <c r="K14" s="50" t="s">
        <v>526</v>
      </c>
      <c r="L14" s="51"/>
      <c r="M14" s="52" t="s">
        <v>427</v>
      </c>
      <c r="N14" s="49" t="s">
        <v>526</v>
      </c>
      <c r="O14" s="50" t="s">
        <v>526</v>
      </c>
      <c r="P14" s="51"/>
      <c r="Q14" s="52" t="s">
        <v>427</v>
      </c>
      <c r="R14" s="49" t="s">
        <v>526</v>
      </c>
      <c r="S14" s="50" t="s">
        <v>526</v>
      </c>
      <c r="T14" s="51"/>
      <c r="U14" s="52" t="s">
        <v>427</v>
      </c>
      <c r="V14" s="53" t="s">
        <v>258</v>
      </c>
      <c r="W14" s="50" t="s">
        <v>526</v>
      </c>
      <c r="X14" s="51">
        <v>10</v>
      </c>
      <c r="Y14" s="52" t="s">
        <v>88</v>
      </c>
      <c r="Z14" s="53" t="s">
        <v>258</v>
      </c>
      <c r="AA14" s="50" t="s">
        <v>526</v>
      </c>
      <c r="AB14" s="51">
        <v>10</v>
      </c>
      <c r="AC14" s="52" t="s">
        <v>88</v>
      </c>
      <c r="AD14" s="53" t="s">
        <v>258</v>
      </c>
      <c r="AE14" s="50" t="s">
        <v>526</v>
      </c>
      <c r="AF14" s="51">
        <v>10</v>
      </c>
      <c r="AG14" s="52" t="s">
        <v>88</v>
      </c>
      <c r="AH14" s="53" t="s">
        <v>258</v>
      </c>
      <c r="AI14" s="50" t="s">
        <v>526</v>
      </c>
      <c r="AJ14" s="51">
        <v>10</v>
      </c>
      <c r="AK14" s="52" t="s">
        <v>88</v>
      </c>
      <c r="AL14" s="53" t="s">
        <v>258</v>
      </c>
      <c r="AM14" s="50" t="s">
        <v>526</v>
      </c>
      <c r="AN14" s="51">
        <v>10</v>
      </c>
      <c r="AO14" s="52" t="s">
        <v>88</v>
      </c>
      <c r="AP14" s="53" t="s">
        <v>258</v>
      </c>
      <c r="AQ14" s="50" t="s">
        <v>526</v>
      </c>
      <c r="AR14" s="51">
        <v>10</v>
      </c>
      <c r="AS14" s="52" t="s">
        <v>88</v>
      </c>
      <c r="AT14" s="49" t="s">
        <v>617</v>
      </c>
      <c r="AU14" s="50" t="s">
        <v>526</v>
      </c>
      <c r="AV14" s="51">
        <v>10</v>
      </c>
      <c r="AW14" s="52" t="s">
        <v>88</v>
      </c>
      <c r="AX14" s="49" t="s">
        <v>260</v>
      </c>
      <c r="AY14" s="50" t="s">
        <v>526</v>
      </c>
      <c r="AZ14" s="51">
        <v>10</v>
      </c>
      <c r="BA14" s="52" t="s">
        <v>88</v>
      </c>
      <c r="BB14" s="49" t="s">
        <v>526</v>
      </c>
      <c r="BC14" s="50" t="s">
        <v>526</v>
      </c>
      <c r="BD14" s="51"/>
      <c r="BE14" s="52" t="s">
        <v>427</v>
      </c>
      <c r="BF14" s="49" t="s">
        <v>87</v>
      </c>
      <c r="BG14" s="50" t="s">
        <v>526</v>
      </c>
      <c r="BH14" s="51">
        <v>25</v>
      </c>
      <c r="BI14" s="366" t="s">
        <v>89</v>
      </c>
      <c r="BJ14" s="559" t="s">
        <v>87</v>
      </c>
      <c r="BK14" s="50" t="s">
        <v>526</v>
      </c>
      <c r="BL14" s="51">
        <v>30</v>
      </c>
      <c r="BM14" s="560" t="s">
        <v>89</v>
      </c>
      <c r="BN14" s="49" t="s">
        <v>526</v>
      </c>
      <c r="BO14" s="50" t="s">
        <v>526</v>
      </c>
      <c r="BP14" s="51"/>
      <c r="BQ14" s="52" t="s">
        <v>427</v>
      </c>
      <c r="BR14" s="53" t="s">
        <v>526</v>
      </c>
      <c r="BS14" s="50" t="s">
        <v>526</v>
      </c>
      <c r="BT14" s="51"/>
      <c r="BU14" s="564" t="s">
        <v>427</v>
      </c>
      <c r="BV14" s="53" t="s">
        <v>526</v>
      </c>
      <c r="BW14" s="50" t="s">
        <v>526</v>
      </c>
      <c r="BX14" s="51"/>
      <c r="BY14" s="564" t="s">
        <v>427</v>
      </c>
    </row>
    <row r="15" spans="1:603" s="11" customFormat="1" x14ac:dyDescent="0.4">
      <c r="A15" s="12"/>
      <c r="B15" s="12"/>
      <c r="C15" s="12"/>
      <c r="D15" s="15">
        <f>SUM(D5:D14)</f>
        <v>160</v>
      </c>
      <c r="E15" s="12"/>
      <c r="F15" s="12"/>
      <c r="G15" s="12"/>
      <c r="H15" s="15">
        <f>SUM(H5:H14)</f>
        <v>160</v>
      </c>
      <c r="I15" s="12"/>
      <c r="J15" s="15"/>
      <c r="K15" s="15"/>
      <c r="L15" s="15">
        <f>SUM(L5:L14)</f>
        <v>160</v>
      </c>
      <c r="M15" s="16"/>
      <c r="N15" s="15"/>
      <c r="O15" s="15"/>
      <c r="P15" s="15">
        <f>SUM(P5:P14)</f>
        <v>160</v>
      </c>
      <c r="Q15" s="16"/>
      <c r="R15" s="15"/>
      <c r="S15" s="15"/>
      <c r="T15" s="15">
        <f>SUM(T5:T14)</f>
        <v>160</v>
      </c>
      <c r="U15" s="16"/>
      <c r="V15" s="15"/>
      <c r="W15" s="15"/>
      <c r="X15" s="15">
        <f>SUM(X5:X14)</f>
        <v>100</v>
      </c>
      <c r="Y15" s="16"/>
      <c r="Z15" s="15"/>
      <c r="AA15" s="15"/>
      <c r="AB15" s="15">
        <f>SUM(AB5:AB14)</f>
        <v>100</v>
      </c>
      <c r="AC15" s="16"/>
      <c r="AD15" s="15"/>
      <c r="AE15" s="15"/>
      <c r="AF15" s="15">
        <f>SUM(AF5:AF14)</f>
        <v>100</v>
      </c>
      <c r="AG15" s="16"/>
      <c r="AH15" s="15"/>
      <c r="AI15" s="15"/>
      <c r="AJ15" s="15">
        <f>SUM(AJ5:AJ14)</f>
        <v>100</v>
      </c>
      <c r="AK15" s="16"/>
      <c r="AL15" s="15"/>
      <c r="AM15" s="15"/>
      <c r="AN15" s="15">
        <f>SUM(AN5:AN14)</f>
        <v>100</v>
      </c>
      <c r="AO15" s="16"/>
      <c r="AP15" s="15"/>
      <c r="AQ15" s="15"/>
      <c r="AR15" s="15">
        <f>SUM(AR5:AR14)</f>
        <v>100</v>
      </c>
      <c r="AS15" s="16"/>
      <c r="AT15" s="15"/>
      <c r="AU15" s="15"/>
      <c r="AV15" s="15">
        <f>SUM(AV5:AV14)</f>
        <v>100</v>
      </c>
      <c r="AW15" s="16"/>
      <c r="AX15" s="15"/>
      <c r="AY15" s="15"/>
      <c r="AZ15" s="15">
        <f>SUM(AZ5:AZ14)</f>
        <v>140</v>
      </c>
      <c r="BA15" s="16"/>
      <c r="BB15" s="15"/>
      <c r="BC15" s="15"/>
      <c r="BD15" s="15">
        <f>SUM(BD5:BD14)</f>
        <v>100</v>
      </c>
      <c r="BE15" s="16"/>
      <c r="BF15" s="15"/>
      <c r="BG15" s="15"/>
      <c r="BH15" s="15">
        <f>SUM(BH5:BH14)</f>
        <v>100</v>
      </c>
      <c r="BI15" s="15"/>
      <c r="BJ15" s="15"/>
      <c r="BK15" s="15"/>
      <c r="BL15" s="15">
        <f>SUM(BL5:BL14)</f>
        <v>100</v>
      </c>
      <c r="BM15" s="15"/>
      <c r="BN15" s="15"/>
      <c r="BO15" s="15"/>
      <c r="BP15" s="15">
        <f>SUM(BP5:BP14)</f>
        <v>100</v>
      </c>
      <c r="BQ15" s="15"/>
      <c r="BR15" s="15"/>
      <c r="BS15" s="15"/>
      <c r="BT15" s="15">
        <f>SUM(BT5:BT14)</f>
        <v>100</v>
      </c>
      <c r="BU15" s="15"/>
      <c r="BV15" s="15"/>
      <c r="BW15" s="15"/>
      <c r="BX15" s="15">
        <f>SUM(BX5:BX14)</f>
        <v>100</v>
      </c>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15"/>
      <c r="FI15" s="15"/>
      <c r="FJ15" s="15"/>
      <c r="FK15" s="15"/>
      <c r="FL15" s="15"/>
      <c r="FM15" s="15"/>
      <c r="FN15" s="15"/>
      <c r="FO15" s="15"/>
      <c r="FP15" s="15"/>
      <c r="FQ15" s="15"/>
      <c r="FR15" s="15"/>
      <c r="FS15" s="15"/>
      <c r="FT15" s="15"/>
      <c r="FU15" s="15"/>
      <c r="FV15" s="15"/>
      <c r="FW15" s="15"/>
      <c r="FX15" s="15"/>
      <c r="FY15" s="15"/>
      <c r="FZ15" s="15"/>
      <c r="GA15" s="15"/>
      <c r="GB15" s="15"/>
      <c r="GC15" s="15"/>
      <c r="GD15" s="15"/>
      <c r="GE15" s="15"/>
      <c r="GF15" s="15"/>
      <c r="GG15" s="15"/>
      <c r="GH15" s="15"/>
      <c r="GI15" s="15"/>
      <c r="GJ15" s="15"/>
      <c r="GK15" s="15"/>
      <c r="GL15" s="15"/>
      <c r="GM15" s="15"/>
      <c r="GN15" s="15"/>
      <c r="GO15" s="15"/>
      <c r="GP15" s="15"/>
      <c r="GQ15" s="15"/>
      <c r="GR15" s="15"/>
      <c r="GS15" s="15"/>
      <c r="GT15" s="15"/>
      <c r="GU15" s="15"/>
      <c r="GV15" s="15"/>
      <c r="GW15" s="15"/>
      <c r="GX15" s="15"/>
      <c r="GY15" s="15"/>
      <c r="GZ15" s="15"/>
      <c r="HA15" s="15"/>
      <c r="HB15" s="15"/>
      <c r="HC15" s="15"/>
      <c r="HD15" s="15"/>
      <c r="HE15" s="15"/>
      <c r="HF15" s="15"/>
      <c r="HG15" s="15"/>
      <c r="HH15" s="15"/>
      <c r="HI15" s="15"/>
      <c r="HJ15" s="15"/>
      <c r="HK15" s="15"/>
      <c r="HL15" s="15"/>
      <c r="HM15" s="15"/>
      <c r="HN15" s="15"/>
      <c r="HO15" s="15"/>
      <c r="HP15" s="15"/>
      <c r="HQ15" s="15"/>
      <c r="HR15" s="15"/>
      <c r="HS15" s="15"/>
      <c r="HT15" s="15"/>
      <c r="HU15" s="15"/>
      <c r="HV15" s="15"/>
      <c r="HW15" s="15"/>
      <c r="HX15" s="15"/>
      <c r="HY15" s="15"/>
      <c r="HZ15" s="15"/>
      <c r="IA15" s="15"/>
      <c r="IB15" s="15"/>
      <c r="IC15" s="15"/>
      <c r="ID15" s="15"/>
      <c r="IE15" s="15"/>
      <c r="IF15" s="15"/>
      <c r="IG15" s="15"/>
      <c r="IH15" s="15"/>
      <c r="II15" s="15"/>
      <c r="IJ15" s="15"/>
      <c r="IK15" s="15"/>
      <c r="IL15" s="15"/>
      <c r="IM15" s="15"/>
      <c r="IN15" s="15"/>
      <c r="IO15" s="15"/>
      <c r="IP15" s="15"/>
      <c r="IQ15" s="15"/>
      <c r="IR15" s="15"/>
      <c r="IS15" s="15"/>
      <c r="IT15" s="15"/>
      <c r="IU15" s="15"/>
      <c r="IV15" s="15"/>
      <c r="IW15" s="15"/>
      <c r="IX15" s="15"/>
      <c r="IY15" s="15"/>
      <c r="IZ15" s="15"/>
      <c r="JA15" s="15"/>
      <c r="JB15" s="15"/>
      <c r="JC15" s="15"/>
      <c r="JD15" s="15"/>
      <c r="JE15" s="15"/>
      <c r="JF15" s="15"/>
      <c r="JG15" s="15"/>
      <c r="JH15" s="15"/>
      <c r="JI15" s="15"/>
      <c r="JJ15" s="15"/>
      <c r="JK15" s="15"/>
      <c r="JL15" s="15"/>
      <c r="JM15" s="15"/>
      <c r="JN15" s="15"/>
      <c r="JO15" s="15"/>
      <c r="JP15" s="15"/>
      <c r="JQ15" s="15"/>
      <c r="JR15" s="15"/>
      <c r="JS15" s="15"/>
      <c r="JT15" s="15"/>
      <c r="JU15" s="15"/>
      <c r="JV15" s="15"/>
      <c r="JW15" s="15"/>
      <c r="JX15" s="15"/>
      <c r="JY15" s="15"/>
      <c r="JZ15" s="15"/>
      <c r="KA15" s="15"/>
      <c r="KB15" s="15"/>
      <c r="KC15" s="15"/>
      <c r="KD15" s="15"/>
      <c r="KE15" s="15"/>
      <c r="KF15" s="15"/>
      <c r="KG15" s="15"/>
      <c r="KH15" s="15"/>
      <c r="KI15" s="15"/>
      <c r="KJ15" s="15"/>
      <c r="KK15" s="15"/>
      <c r="KL15" s="15"/>
      <c r="KM15" s="15"/>
      <c r="KN15" s="15"/>
      <c r="KO15" s="15"/>
      <c r="KP15" s="15"/>
      <c r="KQ15" s="15"/>
      <c r="KR15" s="15"/>
      <c r="KS15" s="15"/>
      <c r="KT15" s="15"/>
      <c r="KU15" s="15"/>
      <c r="KV15" s="15"/>
      <c r="KW15" s="15"/>
      <c r="KX15" s="15"/>
      <c r="KY15" s="15"/>
      <c r="KZ15" s="15"/>
      <c r="LA15" s="15"/>
      <c r="LB15" s="15"/>
      <c r="LC15" s="15"/>
      <c r="LD15" s="15"/>
      <c r="LE15" s="15"/>
      <c r="LF15" s="15"/>
      <c r="LG15" s="15"/>
      <c r="LH15" s="15"/>
      <c r="LI15" s="15"/>
      <c r="LJ15" s="15"/>
      <c r="LK15" s="15"/>
      <c r="LL15" s="15"/>
      <c r="LM15" s="15"/>
      <c r="LN15" s="15"/>
      <c r="LO15" s="15"/>
      <c r="LP15" s="15"/>
      <c r="LQ15" s="15"/>
      <c r="LR15" s="15"/>
      <c r="LS15" s="15"/>
      <c r="LT15" s="15"/>
      <c r="LU15" s="15"/>
      <c r="LV15" s="15"/>
      <c r="LW15" s="15"/>
      <c r="LX15" s="15"/>
      <c r="LY15" s="15"/>
      <c r="LZ15" s="15"/>
      <c r="MA15" s="15"/>
      <c r="MB15" s="15"/>
      <c r="MC15" s="15"/>
      <c r="MD15" s="15"/>
      <c r="ME15" s="15"/>
      <c r="MF15" s="15"/>
      <c r="MG15" s="15"/>
      <c r="MH15" s="15"/>
      <c r="MI15" s="15"/>
      <c r="MJ15" s="15"/>
      <c r="MK15" s="15"/>
      <c r="ML15" s="15"/>
      <c r="MM15" s="15"/>
      <c r="MN15" s="15"/>
      <c r="MO15" s="15"/>
      <c r="MP15" s="15"/>
      <c r="MQ15" s="15"/>
      <c r="MR15" s="15"/>
      <c r="MS15" s="15"/>
      <c r="MT15" s="15"/>
      <c r="MU15" s="15"/>
      <c r="MV15" s="15"/>
      <c r="MW15" s="15"/>
      <c r="MX15" s="15"/>
      <c r="MY15" s="15"/>
      <c r="MZ15" s="15"/>
      <c r="NA15" s="15"/>
      <c r="NB15" s="15"/>
      <c r="NC15" s="15"/>
      <c r="ND15" s="15"/>
      <c r="NE15" s="15"/>
      <c r="NF15" s="15"/>
      <c r="NG15" s="15"/>
      <c r="NH15" s="15"/>
      <c r="NI15" s="15"/>
      <c r="NJ15" s="15"/>
      <c r="NK15" s="15"/>
      <c r="NL15" s="15"/>
      <c r="NM15" s="15"/>
      <c r="NN15" s="15"/>
      <c r="NO15" s="15"/>
      <c r="NP15" s="15"/>
      <c r="NQ15" s="15"/>
      <c r="NR15" s="15"/>
      <c r="NS15" s="15"/>
      <c r="NT15" s="15"/>
      <c r="NU15" s="15"/>
      <c r="NV15" s="15"/>
      <c r="NW15" s="15"/>
      <c r="NX15" s="15"/>
      <c r="NY15" s="15"/>
      <c r="NZ15" s="15"/>
      <c r="OA15" s="15"/>
      <c r="OB15" s="15"/>
      <c r="OC15" s="15"/>
      <c r="OD15" s="15"/>
      <c r="OE15" s="15"/>
      <c r="OF15" s="15"/>
      <c r="OG15" s="15"/>
      <c r="OH15" s="15"/>
      <c r="OI15" s="15"/>
      <c r="OJ15" s="15"/>
      <c r="OK15" s="15"/>
      <c r="OL15" s="15"/>
      <c r="OM15" s="15"/>
      <c r="ON15" s="15"/>
      <c r="OO15" s="15"/>
      <c r="OP15" s="15"/>
      <c r="OQ15" s="15"/>
      <c r="OR15" s="15"/>
      <c r="OS15" s="15"/>
      <c r="OT15" s="15"/>
      <c r="OU15" s="15"/>
      <c r="OV15" s="15"/>
      <c r="OW15" s="15"/>
      <c r="OX15" s="15"/>
      <c r="OY15" s="15"/>
      <c r="OZ15" s="15"/>
      <c r="PA15" s="15"/>
      <c r="PB15" s="15"/>
      <c r="PC15" s="15"/>
      <c r="PD15" s="15"/>
      <c r="PE15" s="15"/>
      <c r="PF15" s="15"/>
      <c r="PG15" s="15"/>
      <c r="PH15" s="15"/>
      <c r="PI15" s="15"/>
      <c r="PJ15" s="15"/>
      <c r="PK15" s="15"/>
      <c r="PL15" s="15"/>
      <c r="PM15" s="15"/>
      <c r="PN15" s="15"/>
      <c r="PO15" s="15"/>
      <c r="PP15" s="15"/>
      <c r="PQ15" s="15"/>
      <c r="PR15" s="15"/>
      <c r="PS15" s="15"/>
      <c r="PT15" s="15"/>
      <c r="PU15" s="15"/>
      <c r="PV15" s="15"/>
      <c r="PW15" s="15"/>
      <c r="PX15" s="15"/>
      <c r="PY15" s="15"/>
      <c r="PZ15" s="15"/>
      <c r="QA15" s="15"/>
      <c r="QB15" s="15"/>
      <c r="QC15" s="15"/>
      <c r="QD15" s="15"/>
      <c r="QE15" s="15"/>
      <c r="QF15" s="15"/>
      <c r="QG15" s="15"/>
      <c r="QH15" s="15"/>
      <c r="QI15" s="15"/>
      <c r="QJ15" s="15"/>
      <c r="QK15" s="15"/>
      <c r="QL15" s="15"/>
      <c r="QM15" s="15"/>
      <c r="QN15" s="15"/>
      <c r="QO15" s="15"/>
      <c r="QP15" s="15"/>
      <c r="QQ15" s="15"/>
      <c r="QR15" s="15"/>
      <c r="QS15" s="15"/>
      <c r="QT15" s="15"/>
      <c r="QU15" s="15"/>
      <c r="QV15" s="15"/>
      <c r="QW15" s="15"/>
      <c r="QX15" s="15"/>
      <c r="QY15" s="15"/>
      <c r="QZ15" s="15"/>
      <c r="RA15" s="15"/>
      <c r="RB15" s="15"/>
      <c r="RC15" s="15"/>
      <c r="RD15" s="15"/>
      <c r="RE15" s="15"/>
      <c r="RF15" s="15"/>
      <c r="RG15" s="15"/>
      <c r="RH15" s="15"/>
      <c r="RI15" s="15"/>
      <c r="RJ15" s="15"/>
      <c r="RK15" s="15"/>
      <c r="RL15" s="15"/>
      <c r="RM15" s="15"/>
      <c r="RN15" s="15"/>
      <c r="RO15" s="15"/>
      <c r="RP15" s="15"/>
      <c r="RQ15" s="15"/>
      <c r="RR15" s="15"/>
      <c r="RS15" s="15"/>
      <c r="RT15" s="15"/>
      <c r="RU15" s="15"/>
      <c r="RV15" s="15"/>
      <c r="RW15" s="15"/>
      <c r="RX15" s="15"/>
      <c r="RY15" s="15"/>
      <c r="RZ15" s="15"/>
      <c r="SA15" s="15"/>
      <c r="SB15" s="15"/>
      <c r="SC15" s="15"/>
      <c r="SD15" s="15"/>
      <c r="SE15" s="15"/>
      <c r="SF15" s="15"/>
      <c r="SG15" s="15"/>
      <c r="SH15" s="15"/>
      <c r="SI15" s="15"/>
      <c r="SJ15" s="15"/>
      <c r="SK15" s="15"/>
      <c r="SL15" s="15"/>
      <c r="SM15" s="15"/>
      <c r="SN15" s="15"/>
      <c r="SO15" s="15"/>
      <c r="SP15" s="15"/>
      <c r="SQ15" s="15"/>
      <c r="SR15" s="15"/>
      <c r="SS15" s="15"/>
      <c r="ST15" s="15"/>
      <c r="SU15" s="15"/>
      <c r="SV15" s="15"/>
      <c r="SW15" s="15"/>
      <c r="SX15" s="15"/>
      <c r="SY15" s="15"/>
      <c r="SZ15" s="15"/>
      <c r="TA15" s="15"/>
      <c r="TB15" s="15"/>
      <c r="TC15" s="15"/>
      <c r="TD15" s="15"/>
      <c r="TE15" s="15"/>
      <c r="TF15" s="15"/>
      <c r="TG15" s="15"/>
      <c r="TH15" s="15"/>
      <c r="TI15" s="15"/>
      <c r="TJ15" s="15"/>
      <c r="TK15" s="15"/>
      <c r="TL15" s="15"/>
      <c r="TM15" s="15"/>
      <c r="TN15" s="15"/>
      <c r="TO15" s="15"/>
      <c r="TP15" s="15"/>
      <c r="TQ15" s="15"/>
      <c r="TR15" s="15"/>
      <c r="TS15" s="15"/>
      <c r="TT15" s="15"/>
      <c r="TU15" s="15"/>
      <c r="TV15" s="15"/>
      <c r="TW15" s="15"/>
      <c r="TX15" s="15"/>
      <c r="TY15" s="15"/>
      <c r="TZ15" s="15"/>
      <c r="UA15" s="15"/>
      <c r="UB15" s="15"/>
      <c r="UC15" s="15"/>
      <c r="UD15" s="15"/>
      <c r="UE15" s="15"/>
      <c r="UF15" s="15"/>
      <c r="UG15" s="15"/>
      <c r="UH15" s="15"/>
      <c r="UI15" s="15"/>
      <c r="UJ15" s="15"/>
      <c r="UK15" s="15"/>
      <c r="UL15" s="15"/>
      <c r="UM15" s="15"/>
      <c r="UN15" s="15"/>
      <c r="UO15" s="15"/>
      <c r="UP15" s="15"/>
      <c r="UQ15" s="15"/>
      <c r="UR15" s="15"/>
      <c r="US15" s="15"/>
      <c r="UT15" s="15"/>
      <c r="UU15" s="15"/>
      <c r="UV15" s="15"/>
      <c r="UW15" s="15"/>
      <c r="UX15" s="15"/>
      <c r="UY15" s="15"/>
      <c r="UZ15" s="15"/>
      <c r="VA15" s="15"/>
      <c r="VB15" s="15"/>
      <c r="VC15" s="15"/>
      <c r="VD15" s="15"/>
      <c r="VE15" s="15"/>
      <c r="VF15" s="15"/>
      <c r="VG15" s="15"/>
      <c r="VH15" s="15"/>
      <c r="VI15" s="15"/>
      <c r="VJ15" s="15"/>
      <c r="VK15" s="15"/>
      <c r="VL15" s="15"/>
      <c r="VM15" s="15"/>
      <c r="VN15" s="15"/>
      <c r="VO15" s="15"/>
      <c r="VP15" s="15"/>
      <c r="VQ15" s="15"/>
      <c r="VR15" s="15"/>
      <c r="VS15" s="15"/>
      <c r="VT15" s="15"/>
      <c r="VU15" s="15"/>
      <c r="VV15" s="15"/>
      <c r="VW15" s="15"/>
      <c r="VX15" s="15"/>
      <c r="VY15" s="15"/>
      <c r="VZ15" s="15"/>
      <c r="WA15" s="15"/>
      <c r="WB15" s="15"/>
      <c r="WC15" s="15"/>
      <c r="WD15" s="15"/>
      <c r="WE15" s="15"/>
    </row>
    <row r="16" spans="1:603" s="11" customFormat="1" x14ac:dyDescent="0.4">
      <c r="A16" s="12"/>
      <c r="B16" s="12"/>
      <c r="C16" s="12"/>
      <c r="D16" s="12"/>
      <c r="E16" s="12"/>
      <c r="F16" s="12"/>
      <c r="G16" s="12"/>
      <c r="H16" s="12"/>
      <c r="I16" s="12"/>
      <c r="J16" s="15"/>
      <c r="K16" s="15"/>
      <c r="L16" s="16"/>
      <c r="M16" s="16"/>
      <c r="N16" s="15"/>
      <c r="O16" s="15"/>
      <c r="P16" s="16"/>
      <c r="Q16" s="16"/>
      <c r="R16" s="15"/>
      <c r="S16" s="15"/>
      <c r="T16" s="16"/>
      <c r="U16" s="16"/>
      <c r="V16" s="15"/>
      <c r="W16" s="15"/>
      <c r="X16" s="16"/>
      <c r="Y16" s="16"/>
      <c r="Z16" s="15"/>
      <c r="AA16" s="15"/>
      <c r="AB16" s="16"/>
      <c r="AC16" s="16"/>
      <c r="AD16" s="15"/>
      <c r="AE16" s="15"/>
      <c r="AF16" s="16"/>
      <c r="AG16" s="16"/>
      <c r="AH16" s="15"/>
      <c r="AI16" s="15"/>
      <c r="AJ16" s="16"/>
      <c r="AK16" s="16"/>
      <c r="AL16" s="15"/>
      <c r="AM16" s="15"/>
      <c r="AN16" s="16"/>
      <c r="AO16" s="16"/>
      <c r="AP16" s="15"/>
      <c r="AQ16" s="15"/>
      <c r="AR16" s="16"/>
      <c r="AS16" s="16"/>
      <c r="AT16" s="15"/>
      <c r="AU16" s="15"/>
      <c r="AV16" s="16"/>
      <c r="AW16" s="16"/>
      <c r="AX16" s="15"/>
      <c r="AY16" s="15"/>
      <c r="AZ16" s="16"/>
      <c r="BA16" s="16"/>
      <c r="BB16" s="15"/>
      <c r="BC16" s="15"/>
      <c r="BD16" s="16"/>
      <c r="BE16" s="16"/>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c r="GJ16" s="15"/>
      <c r="GK16" s="15"/>
      <c r="GL16" s="15"/>
      <c r="GM16" s="15"/>
      <c r="GN16" s="15"/>
      <c r="GO16" s="15"/>
      <c r="GP16" s="15"/>
      <c r="GQ16" s="15"/>
      <c r="GR16" s="15"/>
      <c r="GS16" s="15"/>
      <c r="GT16" s="15"/>
      <c r="GU16" s="15"/>
      <c r="GV16" s="15"/>
      <c r="GW16" s="15"/>
      <c r="GX16" s="15"/>
      <c r="GY16" s="15"/>
      <c r="GZ16" s="15"/>
      <c r="HA16" s="15"/>
      <c r="HB16" s="15"/>
      <c r="HC16" s="15"/>
      <c r="HD16" s="15"/>
      <c r="HE16" s="15"/>
      <c r="HF16" s="15"/>
      <c r="HG16" s="15"/>
      <c r="HH16" s="15"/>
      <c r="HI16" s="15"/>
      <c r="HJ16" s="15"/>
      <c r="HK16" s="15"/>
      <c r="HL16" s="15"/>
      <c r="HM16" s="15"/>
      <c r="HN16" s="15"/>
      <c r="HO16" s="15"/>
      <c r="HP16" s="15"/>
      <c r="HQ16" s="15"/>
      <c r="HR16" s="15"/>
      <c r="HS16" s="15"/>
      <c r="HT16" s="15"/>
      <c r="HU16" s="15"/>
      <c r="HV16" s="15"/>
      <c r="HW16" s="15"/>
      <c r="HX16" s="15"/>
      <c r="HY16" s="15"/>
      <c r="HZ16" s="15"/>
      <c r="IA16" s="15"/>
      <c r="IB16" s="15"/>
      <c r="IC16" s="15"/>
      <c r="ID16" s="15"/>
      <c r="IE16" s="15"/>
      <c r="IF16" s="15"/>
      <c r="IG16" s="15"/>
      <c r="IH16" s="15"/>
      <c r="II16" s="15"/>
      <c r="IJ16" s="15"/>
      <c r="IK16" s="15"/>
      <c r="IL16" s="15"/>
      <c r="IM16" s="15"/>
      <c r="IN16" s="15"/>
      <c r="IO16" s="15"/>
      <c r="IP16" s="15"/>
      <c r="IQ16" s="15"/>
      <c r="IR16" s="15"/>
      <c r="IS16" s="15"/>
      <c r="IT16" s="15"/>
      <c r="IU16" s="15"/>
      <c r="IV16" s="15"/>
      <c r="IW16" s="15"/>
      <c r="IX16" s="15"/>
      <c r="IY16" s="15"/>
      <c r="IZ16" s="15"/>
      <c r="JA16" s="15"/>
      <c r="JB16" s="15"/>
      <c r="JC16" s="15"/>
      <c r="JD16" s="15"/>
      <c r="JE16" s="15"/>
      <c r="JF16" s="15"/>
      <c r="JG16" s="15"/>
      <c r="JH16" s="15"/>
      <c r="JI16" s="15"/>
      <c r="JJ16" s="15"/>
      <c r="JK16" s="15"/>
      <c r="JL16" s="15"/>
      <c r="JM16" s="15"/>
      <c r="JN16" s="15"/>
      <c r="JO16" s="15"/>
      <c r="JP16" s="15"/>
      <c r="JQ16" s="15"/>
      <c r="JR16" s="15"/>
      <c r="JS16" s="15"/>
      <c r="JT16" s="15"/>
      <c r="JU16" s="15"/>
      <c r="JV16" s="15"/>
      <c r="JW16" s="15"/>
      <c r="JX16" s="15"/>
      <c r="JY16" s="15"/>
      <c r="JZ16" s="15"/>
      <c r="KA16" s="15"/>
      <c r="KB16" s="15"/>
      <c r="KC16" s="15"/>
      <c r="KD16" s="15"/>
      <c r="KE16" s="15"/>
      <c r="KF16" s="15"/>
      <c r="KG16" s="15"/>
      <c r="KH16" s="15"/>
      <c r="KI16" s="15"/>
      <c r="KJ16" s="15"/>
      <c r="KK16" s="15"/>
      <c r="KL16" s="15"/>
      <c r="KM16" s="15"/>
      <c r="KN16" s="15"/>
      <c r="KO16" s="15"/>
      <c r="KP16" s="15"/>
      <c r="KQ16" s="15"/>
      <c r="KR16" s="15"/>
      <c r="KS16" s="15"/>
      <c r="KT16" s="15"/>
      <c r="KU16" s="15"/>
      <c r="KV16" s="15"/>
      <c r="KW16" s="15"/>
      <c r="KX16" s="15"/>
      <c r="KY16" s="15"/>
      <c r="KZ16" s="15"/>
      <c r="LA16" s="15"/>
      <c r="LB16" s="15"/>
      <c r="LC16" s="15"/>
      <c r="LD16" s="15"/>
      <c r="LE16" s="15"/>
      <c r="LF16" s="15"/>
      <c r="LG16" s="15"/>
      <c r="LH16" s="15"/>
      <c r="LI16" s="15"/>
      <c r="LJ16" s="15"/>
      <c r="LK16" s="15"/>
      <c r="LL16" s="15"/>
      <c r="LM16" s="15"/>
      <c r="LN16" s="15"/>
      <c r="LO16" s="15"/>
      <c r="LP16" s="15"/>
      <c r="LQ16" s="15"/>
      <c r="LR16" s="15"/>
      <c r="LS16" s="15"/>
      <c r="LT16" s="15"/>
      <c r="LU16" s="15"/>
      <c r="LV16" s="15"/>
      <c r="LW16" s="15"/>
      <c r="LX16" s="15"/>
      <c r="LY16" s="15"/>
      <c r="LZ16" s="15"/>
      <c r="MA16" s="15"/>
      <c r="MB16" s="15"/>
      <c r="MC16" s="15"/>
      <c r="MD16" s="15"/>
      <c r="ME16" s="15"/>
      <c r="MF16" s="15"/>
      <c r="MG16" s="15"/>
      <c r="MH16" s="15"/>
      <c r="MI16" s="15"/>
      <c r="MJ16" s="15"/>
      <c r="MK16" s="15"/>
      <c r="ML16" s="15"/>
      <c r="MM16" s="15"/>
      <c r="MN16" s="15"/>
      <c r="MO16" s="15"/>
      <c r="MP16" s="15"/>
      <c r="MQ16" s="15"/>
      <c r="MR16" s="15"/>
      <c r="MS16" s="15"/>
      <c r="MT16" s="15"/>
      <c r="MU16" s="15"/>
      <c r="MV16" s="15"/>
      <c r="MW16" s="15"/>
      <c r="MX16" s="15"/>
      <c r="MY16" s="15"/>
      <c r="MZ16" s="15"/>
      <c r="NA16" s="15"/>
      <c r="NB16" s="15"/>
      <c r="NC16" s="15"/>
      <c r="ND16" s="15"/>
      <c r="NE16" s="15"/>
      <c r="NF16" s="15"/>
      <c r="NG16" s="15"/>
      <c r="NH16" s="15"/>
      <c r="NI16" s="15"/>
      <c r="NJ16" s="15"/>
      <c r="NK16" s="15"/>
      <c r="NL16" s="15"/>
      <c r="NM16" s="15"/>
      <c r="NN16" s="15"/>
      <c r="NO16" s="15"/>
      <c r="NP16" s="15"/>
      <c r="NQ16" s="15"/>
      <c r="NR16" s="15"/>
      <c r="NS16" s="15"/>
      <c r="NT16" s="15"/>
      <c r="NU16" s="15"/>
      <c r="NV16" s="15"/>
      <c r="NW16" s="15"/>
      <c r="NX16" s="15"/>
      <c r="NY16" s="15"/>
      <c r="NZ16" s="15"/>
      <c r="OA16" s="15"/>
      <c r="OB16" s="15"/>
      <c r="OC16" s="15"/>
      <c r="OD16" s="15"/>
      <c r="OE16" s="15"/>
      <c r="OF16" s="15"/>
      <c r="OG16" s="15"/>
      <c r="OH16" s="15"/>
      <c r="OI16" s="15"/>
      <c r="OJ16" s="15"/>
      <c r="OK16" s="15"/>
      <c r="OL16" s="15"/>
      <c r="OM16" s="15"/>
      <c r="ON16" s="15"/>
      <c r="OO16" s="15"/>
      <c r="OP16" s="15"/>
      <c r="OQ16" s="15"/>
      <c r="OR16" s="15"/>
      <c r="OS16" s="15"/>
      <c r="OT16" s="15"/>
      <c r="OU16" s="15"/>
      <c r="OV16" s="15"/>
      <c r="OW16" s="15"/>
      <c r="OX16" s="15"/>
      <c r="OY16" s="15"/>
      <c r="OZ16" s="15"/>
      <c r="PA16" s="15"/>
      <c r="PB16" s="15"/>
      <c r="PC16" s="15"/>
      <c r="PD16" s="15"/>
      <c r="PE16" s="15"/>
      <c r="PF16" s="15"/>
      <c r="PG16" s="15"/>
      <c r="PH16" s="15"/>
      <c r="PI16" s="15"/>
      <c r="PJ16" s="15"/>
      <c r="PK16" s="15"/>
      <c r="PL16" s="15"/>
      <c r="PM16" s="15"/>
      <c r="PN16" s="15"/>
      <c r="PO16" s="15"/>
      <c r="PP16" s="15"/>
      <c r="PQ16" s="15"/>
      <c r="PR16" s="15"/>
      <c r="PS16" s="15"/>
      <c r="PT16" s="15"/>
      <c r="PU16" s="15"/>
      <c r="PV16" s="15"/>
      <c r="PW16" s="15"/>
      <c r="PX16" s="15"/>
      <c r="PY16" s="15"/>
      <c r="PZ16" s="15"/>
      <c r="QA16" s="15"/>
      <c r="QB16" s="15"/>
      <c r="QC16" s="15"/>
      <c r="QD16" s="15"/>
      <c r="QE16" s="15"/>
      <c r="QF16" s="15"/>
      <c r="QG16" s="15"/>
      <c r="QH16" s="15"/>
      <c r="QI16" s="15"/>
      <c r="QJ16" s="15"/>
      <c r="QK16" s="15"/>
      <c r="QL16" s="15"/>
      <c r="QM16" s="15"/>
      <c r="QN16" s="15"/>
      <c r="QO16" s="15"/>
      <c r="QP16" s="15"/>
      <c r="QQ16" s="15"/>
      <c r="QR16" s="15"/>
      <c r="QS16" s="15"/>
      <c r="QT16" s="15"/>
      <c r="QU16" s="15"/>
      <c r="QV16" s="15"/>
      <c r="QW16" s="15"/>
      <c r="QX16" s="15"/>
      <c r="QY16" s="15"/>
      <c r="QZ16" s="15"/>
      <c r="RA16" s="15"/>
      <c r="RB16" s="15"/>
      <c r="RC16" s="15"/>
      <c r="RD16" s="15"/>
      <c r="RE16" s="15"/>
      <c r="RF16" s="15"/>
      <c r="RG16" s="15"/>
      <c r="RH16" s="15"/>
      <c r="RI16" s="15"/>
      <c r="RJ16" s="15"/>
      <c r="RK16" s="15"/>
      <c r="RL16" s="15"/>
      <c r="RM16" s="15"/>
      <c r="RN16" s="15"/>
      <c r="RO16" s="15"/>
      <c r="RP16" s="15"/>
      <c r="RQ16" s="15"/>
      <c r="RR16" s="15"/>
      <c r="RS16" s="15"/>
      <c r="RT16" s="15"/>
      <c r="RU16" s="15"/>
      <c r="RV16" s="15"/>
      <c r="RW16" s="15"/>
      <c r="RX16" s="15"/>
      <c r="RY16" s="15"/>
      <c r="RZ16" s="15"/>
      <c r="SA16" s="15"/>
      <c r="SB16" s="15"/>
      <c r="SC16" s="15"/>
      <c r="SD16" s="15"/>
      <c r="SE16" s="15"/>
      <c r="SF16" s="15"/>
      <c r="SG16" s="15"/>
      <c r="SH16" s="15"/>
      <c r="SI16" s="15"/>
      <c r="SJ16" s="15"/>
      <c r="SK16" s="15"/>
      <c r="SL16" s="15"/>
      <c r="SM16" s="15"/>
      <c r="SN16" s="15"/>
      <c r="SO16" s="15"/>
      <c r="SP16" s="15"/>
      <c r="SQ16" s="15"/>
      <c r="SR16" s="15"/>
      <c r="SS16" s="15"/>
      <c r="ST16" s="15"/>
      <c r="SU16" s="15"/>
      <c r="SV16" s="15"/>
      <c r="SW16" s="15"/>
      <c r="SX16" s="15"/>
      <c r="SY16" s="15"/>
      <c r="SZ16" s="15"/>
      <c r="TA16" s="15"/>
      <c r="TB16" s="15"/>
      <c r="TC16" s="15"/>
      <c r="TD16" s="15"/>
      <c r="TE16" s="15"/>
      <c r="TF16" s="15"/>
      <c r="TG16" s="15"/>
      <c r="TH16" s="15"/>
      <c r="TI16" s="15"/>
      <c r="TJ16" s="15"/>
      <c r="TK16" s="15"/>
      <c r="TL16" s="15"/>
      <c r="TM16" s="15"/>
      <c r="TN16" s="15"/>
      <c r="TO16" s="15"/>
      <c r="TP16" s="15"/>
      <c r="TQ16" s="15"/>
      <c r="TR16" s="15"/>
      <c r="TS16" s="15"/>
      <c r="TT16" s="15"/>
      <c r="TU16" s="15"/>
      <c r="TV16" s="15"/>
      <c r="TW16" s="15"/>
      <c r="TX16" s="15"/>
      <c r="TY16" s="15"/>
      <c r="TZ16" s="15"/>
      <c r="UA16" s="15"/>
      <c r="UB16" s="15"/>
      <c r="UC16" s="15"/>
      <c r="UD16" s="15"/>
      <c r="UE16" s="15"/>
      <c r="UF16" s="15"/>
      <c r="UG16" s="15"/>
      <c r="UH16" s="15"/>
      <c r="UI16" s="15"/>
      <c r="UJ16" s="15"/>
      <c r="UK16" s="15"/>
      <c r="UL16" s="15"/>
      <c r="UM16" s="15"/>
      <c r="UN16" s="15"/>
      <c r="UO16" s="15"/>
      <c r="UP16" s="15"/>
      <c r="UQ16" s="15"/>
      <c r="UR16" s="15"/>
      <c r="US16" s="15"/>
      <c r="UT16" s="15"/>
      <c r="UU16" s="15"/>
      <c r="UV16" s="15"/>
      <c r="UW16" s="15"/>
      <c r="UX16" s="15"/>
      <c r="UY16" s="15"/>
      <c r="UZ16" s="15"/>
      <c r="VA16" s="15"/>
      <c r="VB16" s="15"/>
      <c r="VC16" s="15"/>
      <c r="VD16" s="15"/>
      <c r="VE16" s="15"/>
      <c r="VF16" s="15"/>
      <c r="VG16" s="15"/>
      <c r="VH16" s="15"/>
      <c r="VI16" s="15"/>
      <c r="VJ16" s="15"/>
      <c r="VK16" s="15"/>
      <c r="VL16" s="15"/>
      <c r="VM16" s="15"/>
      <c r="VN16" s="15"/>
      <c r="VO16" s="15"/>
      <c r="VP16" s="15"/>
      <c r="VQ16" s="15"/>
      <c r="VR16" s="15"/>
      <c r="VS16" s="15"/>
      <c r="VT16" s="15"/>
      <c r="VU16" s="15"/>
      <c r="VV16" s="15"/>
      <c r="VW16" s="15"/>
      <c r="VX16" s="15"/>
      <c r="VY16" s="15"/>
      <c r="VZ16" s="15"/>
      <c r="WA16" s="15"/>
      <c r="WB16" s="15"/>
      <c r="WC16" s="15"/>
      <c r="WD16" s="15"/>
      <c r="WE16" s="15"/>
    </row>
    <row r="17" spans="1:603" s="11" customFormat="1" x14ac:dyDescent="0.4">
      <c r="A17" s="12"/>
      <c r="B17" s="12"/>
      <c r="C17" s="12"/>
      <c r="D17" s="12"/>
      <c r="E17" s="12"/>
      <c r="F17" s="12"/>
      <c r="G17" s="12"/>
      <c r="H17" s="12"/>
      <c r="I17" s="12"/>
      <c r="J17" s="15"/>
      <c r="K17" s="15"/>
      <c r="L17" s="16"/>
      <c r="M17" s="16"/>
      <c r="N17" s="15"/>
      <c r="O17" s="15"/>
      <c r="P17" s="16"/>
      <c r="Q17" s="16"/>
      <c r="R17" s="15"/>
      <c r="S17" s="15"/>
      <c r="T17" s="16"/>
      <c r="U17" s="16"/>
      <c r="V17" s="15"/>
      <c r="W17" s="15"/>
      <c r="X17" s="16"/>
      <c r="Y17" s="16"/>
      <c r="Z17" s="15"/>
      <c r="AA17" s="15"/>
      <c r="AB17" s="16"/>
      <c r="AC17" s="16"/>
      <c r="AD17" s="15"/>
      <c r="AE17" s="15"/>
      <c r="AF17" s="16"/>
      <c r="AG17" s="16"/>
      <c r="AH17" s="15"/>
      <c r="AI17" s="15"/>
      <c r="AJ17" s="16"/>
      <c r="AK17" s="16"/>
      <c r="AL17" s="15"/>
      <c r="AM17" s="15"/>
      <c r="AN17" s="16"/>
      <c r="AO17" s="16"/>
      <c r="AP17" s="15"/>
      <c r="AQ17" s="15"/>
      <c r="AR17" s="16"/>
      <c r="AS17" s="16"/>
      <c r="AT17" s="15"/>
      <c r="AU17" s="15"/>
      <c r="AV17" s="16"/>
      <c r="AW17" s="16"/>
      <c r="AX17" s="15"/>
      <c r="AY17" s="15"/>
      <c r="AZ17" s="16"/>
      <c r="BA17" s="16"/>
      <c r="BB17" s="15"/>
      <c r="BC17" s="15"/>
      <c r="BD17" s="16"/>
      <c r="BE17" s="16"/>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c r="EU17" s="15"/>
      <c r="EV17" s="15"/>
      <c r="EW17" s="15"/>
      <c r="EX17" s="15"/>
      <c r="EY17" s="15"/>
      <c r="EZ17" s="15"/>
      <c r="FA17" s="15"/>
      <c r="FB17" s="15"/>
      <c r="FC17" s="15"/>
      <c r="FD17" s="15"/>
      <c r="FE17" s="15"/>
      <c r="FF17" s="15"/>
      <c r="FG17" s="15"/>
      <c r="FH17" s="15"/>
      <c r="FI17" s="15"/>
      <c r="FJ17" s="15"/>
      <c r="FK17" s="15"/>
      <c r="FL17" s="15"/>
      <c r="FM17" s="15"/>
      <c r="FN17" s="15"/>
      <c r="FO17" s="15"/>
      <c r="FP17" s="15"/>
      <c r="FQ17" s="15"/>
      <c r="FR17" s="15"/>
      <c r="FS17" s="15"/>
      <c r="FT17" s="15"/>
      <c r="FU17" s="15"/>
      <c r="FV17" s="15"/>
      <c r="FW17" s="15"/>
      <c r="FX17" s="15"/>
      <c r="FY17" s="15"/>
      <c r="FZ17" s="15"/>
      <c r="GA17" s="15"/>
      <c r="GB17" s="15"/>
      <c r="GC17" s="15"/>
      <c r="GD17" s="15"/>
      <c r="GE17" s="15"/>
      <c r="GF17" s="15"/>
      <c r="GG17" s="15"/>
      <c r="GH17" s="15"/>
      <c r="GI17" s="15"/>
      <c r="GJ17" s="15"/>
      <c r="GK17" s="15"/>
      <c r="GL17" s="15"/>
      <c r="GM17" s="15"/>
      <c r="GN17" s="15"/>
      <c r="GO17" s="15"/>
      <c r="GP17" s="15"/>
      <c r="GQ17" s="15"/>
      <c r="GR17" s="15"/>
      <c r="GS17" s="15"/>
      <c r="GT17" s="15"/>
      <c r="GU17" s="15"/>
      <c r="GV17" s="15"/>
      <c r="GW17" s="15"/>
      <c r="GX17" s="15"/>
      <c r="GY17" s="15"/>
      <c r="GZ17" s="15"/>
      <c r="HA17" s="15"/>
      <c r="HB17" s="15"/>
      <c r="HC17" s="15"/>
      <c r="HD17" s="15"/>
      <c r="HE17" s="15"/>
      <c r="HF17" s="15"/>
      <c r="HG17" s="15"/>
      <c r="HH17" s="15"/>
      <c r="HI17" s="15"/>
      <c r="HJ17" s="15"/>
      <c r="HK17" s="15"/>
      <c r="HL17" s="15"/>
      <c r="HM17" s="15"/>
      <c r="HN17" s="15"/>
      <c r="HO17" s="15"/>
      <c r="HP17" s="15"/>
      <c r="HQ17" s="15"/>
      <c r="HR17" s="15"/>
      <c r="HS17" s="15"/>
      <c r="HT17" s="15"/>
      <c r="HU17" s="15"/>
      <c r="HV17" s="15"/>
      <c r="HW17" s="15"/>
      <c r="HX17" s="15"/>
      <c r="HY17" s="15"/>
      <c r="HZ17" s="15"/>
      <c r="IA17" s="15"/>
      <c r="IB17" s="15"/>
      <c r="IC17" s="15"/>
      <c r="ID17" s="15"/>
      <c r="IE17" s="15"/>
      <c r="IF17" s="15"/>
      <c r="IG17" s="15"/>
      <c r="IH17" s="15"/>
      <c r="II17" s="15"/>
      <c r="IJ17" s="15"/>
      <c r="IK17" s="15"/>
      <c r="IL17" s="15"/>
      <c r="IM17" s="15"/>
      <c r="IN17" s="15"/>
      <c r="IO17" s="15"/>
      <c r="IP17" s="15"/>
      <c r="IQ17" s="15"/>
      <c r="IR17" s="15"/>
      <c r="IS17" s="15"/>
      <c r="IT17" s="15"/>
      <c r="IU17" s="15"/>
      <c r="IV17" s="15"/>
      <c r="IW17" s="15"/>
      <c r="IX17" s="15"/>
      <c r="IY17" s="15"/>
      <c r="IZ17" s="15"/>
      <c r="JA17" s="15"/>
      <c r="JB17" s="15"/>
      <c r="JC17" s="15"/>
      <c r="JD17" s="15"/>
      <c r="JE17" s="15"/>
      <c r="JF17" s="15"/>
      <c r="JG17" s="15"/>
      <c r="JH17" s="15"/>
      <c r="JI17" s="15"/>
      <c r="JJ17" s="15"/>
      <c r="JK17" s="15"/>
      <c r="JL17" s="15"/>
      <c r="JM17" s="15"/>
      <c r="JN17" s="15"/>
      <c r="JO17" s="15"/>
      <c r="JP17" s="15"/>
      <c r="JQ17" s="15"/>
      <c r="JR17" s="15"/>
      <c r="JS17" s="15"/>
      <c r="JT17" s="15"/>
      <c r="JU17" s="15"/>
      <c r="JV17" s="15"/>
      <c r="JW17" s="15"/>
      <c r="JX17" s="15"/>
      <c r="JY17" s="15"/>
      <c r="JZ17" s="15"/>
      <c r="KA17" s="15"/>
      <c r="KB17" s="15"/>
      <c r="KC17" s="15"/>
      <c r="KD17" s="15"/>
      <c r="KE17" s="15"/>
      <c r="KF17" s="15"/>
      <c r="KG17" s="15"/>
      <c r="KH17" s="15"/>
      <c r="KI17" s="15"/>
      <c r="KJ17" s="15"/>
      <c r="KK17" s="15"/>
      <c r="KL17" s="15"/>
      <c r="KM17" s="15"/>
      <c r="KN17" s="15"/>
      <c r="KO17" s="15"/>
      <c r="KP17" s="15"/>
      <c r="KQ17" s="15"/>
      <c r="KR17" s="15"/>
      <c r="KS17" s="15"/>
      <c r="KT17" s="15"/>
      <c r="KU17" s="15"/>
      <c r="KV17" s="15"/>
      <c r="KW17" s="15"/>
      <c r="KX17" s="15"/>
      <c r="KY17" s="15"/>
      <c r="KZ17" s="15"/>
      <c r="LA17" s="15"/>
      <c r="LB17" s="15"/>
      <c r="LC17" s="15"/>
      <c r="LD17" s="15"/>
      <c r="LE17" s="15"/>
      <c r="LF17" s="15"/>
      <c r="LG17" s="15"/>
      <c r="LH17" s="15"/>
      <c r="LI17" s="15"/>
      <c r="LJ17" s="15"/>
      <c r="LK17" s="15"/>
      <c r="LL17" s="15"/>
      <c r="LM17" s="15"/>
      <c r="LN17" s="15"/>
      <c r="LO17" s="15"/>
      <c r="LP17" s="15"/>
      <c r="LQ17" s="15"/>
      <c r="LR17" s="15"/>
      <c r="LS17" s="15"/>
      <c r="LT17" s="15"/>
      <c r="LU17" s="15"/>
      <c r="LV17" s="15"/>
      <c r="LW17" s="15"/>
      <c r="LX17" s="15"/>
      <c r="LY17" s="15"/>
      <c r="LZ17" s="15"/>
      <c r="MA17" s="15"/>
      <c r="MB17" s="15"/>
      <c r="MC17" s="15"/>
      <c r="MD17" s="15"/>
      <c r="ME17" s="15"/>
      <c r="MF17" s="15"/>
      <c r="MG17" s="15"/>
      <c r="MH17" s="15"/>
      <c r="MI17" s="15"/>
      <c r="MJ17" s="15"/>
      <c r="MK17" s="15"/>
      <c r="ML17" s="15"/>
      <c r="MM17" s="15"/>
      <c r="MN17" s="15"/>
      <c r="MO17" s="15"/>
      <c r="MP17" s="15"/>
      <c r="MQ17" s="15"/>
      <c r="MR17" s="15"/>
      <c r="MS17" s="15"/>
      <c r="MT17" s="15"/>
      <c r="MU17" s="15"/>
      <c r="MV17" s="15"/>
      <c r="MW17" s="15"/>
      <c r="MX17" s="15"/>
      <c r="MY17" s="15"/>
      <c r="MZ17" s="15"/>
      <c r="NA17" s="15"/>
      <c r="NB17" s="15"/>
      <c r="NC17" s="15"/>
      <c r="ND17" s="15"/>
      <c r="NE17" s="15"/>
      <c r="NF17" s="15"/>
      <c r="NG17" s="15"/>
      <c r="NH17" s="15"/>
      <c r="NI17" s="15"/>
      <c r="NJ17" s="15"/>
      <c r="NK17" s="15"/>
      <c r="NL17" s="15"/>
      <c r="NM17" s="15"/>
      <c r="NN17" s="15"/>
      <c r="NO17" s="15"/>
      <c r="NP17" s="15"/>
      <c r="NQ17" s="15"/>
      <c r="NR17" s="15"/>
      <c r="NS17" s="15"/>
      <c r="NT17" s="15"/>
      <c r="NU17" s="15"/>
      <c r="NV17" s="15"/>
      <c r="NW17" s="15"/>
      <c r="NX17" s="15"/>
      <c r="NY17" s="15"/>
      <c r="NZ17" s="15"/>
      <c r="OA17" s="15"/>
      <c r="OB17" s="15"/>
      <c r="OC17" s="15"/>
      <c r="OD17" s="15"/>
      <c r="OE17" s="15"/>
      <c r="OF17" s="15"/>
      <c r="OG17" s="15"/>
      <c r="OH17" s="15"/>
      <c r="OI17" s="15"/>
      <c r="OJ17" s="15"/>
      <c r="OK17" s="15"/>
      <c r="OL17" s="15"/>
      <c r="OM17" s="15"/>
      <c r="ON17" s="15"/>
      <c r="OO17" s="15"/>
      <c r="OP17" s="15"/>
      <c r="OQ17" s="15"/>
      <c r="OR17" s="15"/>
      <c r="OS17" s="15"/>
      <c r="OT17" s="15"/>
      <c r="OU17" s="15"/>
      <c r="OV17" s="15"/>
      <c r="OW17" s="15"/>
      <c r="OX17" s="15"/>
      <c r="OY17" s="15"/>
      <c r="OZ17" s="15"/>
      <c r="PA17" s="15"/>
      <c r="PB17" s="15"/>
      <c r="PC17" s="15"/>
      <c r="PD17" s="15"/>
      <c r="PE17" s="15"/>
      <c r="PF17" s="15"/>
      <c r="PG17" s="15"/>
      <c r="PH17" s="15"/>
      <c r="PI17" s="15"/>
      <c r="PJ17" s="15"/>
      <c r="PK17" s="15"/>
      <c r="PL17" s="15"/>
      <c r="PM17" s="15"/>
      <c r="PN17" s="15"/>
      <c r="PO17" s="15"/>
      <c r="PP17" s="15"/>
      <c r="PQ17" s="15"/>
      <c r="PR17" s="15"/>
      <c r="PS17" s="15"/>
      <c r="PT17" s="15"/>
      <c r="PU17" s="15"/>
      <c r="PV17" s="15"/>
      <c r="PW17" s="15"/>
      <c r="PX17" s="15"/>
      <c r="PY17" s="15"/>
      <c r="PZ17" s="15"/>
      <c r="QA17" s="15"/>
      <c r="QB17" s="15"/>
      <c r="QC17" s="15"/>
      <c r="QD17" s="15"/>
      <c r="QE17" s="15"/>
      <c r="QF17" s="15"/>
      <c r="QG17" s="15"/>
      <c r="QH17" s="15"/>
      <c r="QI17" s="15"/>
      <c r="QJ17" s="15"/>
      <c r="QK17" s="15"/>
      <c r="QL17" s="15"/>
      <c r="QM17" s="15"/>
      <c r="QN17" s="15"/>
      <c r="QO17" s="15"/>
      <c r="QP17" s="15"/>
      <c r="QQ17" s="15"/>
      <c r="QR17" s="15"/>
      <c r="QS17" s="15"/>
      <c r="QT17" s="15"/>
      <c r="QU17" s="15"/>
      <c r="QV17" s="15"/>
      <c r="QW17" s="15"/>
      <c r="QX17" s="15"/>
      <c r="QY17" s="15"/>
      <c r="QZ17" s="15"/>
      <c r="RA17" s="15"/>
      <c r="RB17" s="15"/>
      <c r="RC17" s="15"/>
      <c r="RD17" s="15"/>
      <c r="RE17" s="15"/>
      <c r="RF17" s="15"/>
      <c r="RG17" s="15"/>
      <c r="RH17" s="15"/>
      <c r="RI17" s="15"/>
      <c r="RJ17" s="15"/>
      <c r="RK17" s="15"/>
      <c r="RL17" s="15"/>
      <c r="RM17" s="15"/>
      <c r="RN17" s="15"/>
      <c r="RO17" s="15"/>
      <c r="RP17" s="15"/>
      <c r="RQ17" s="15"/>
      <c r="RR17" s="15"/>
      <c r="RS17" s="15"/>
      <c r="RT17" s="15"/>
      <c r="RU17" s="15"/>
      <c r="RV17" s="15"/>
      <c r="RW17" s="15"/>
      <c r="RX17" s="15"/>
      <c r="RY17" s="15"/>
      <c r="RZ17" s="15"/>
      <c r="SA17" s="15"/>
      <c r="SB17" s="15"/>
      <c r="SC17" s="15"/>
      <c r="SD17" s="15"/>
      <c r="SE17" s="15"/>
      <c r="SF17" s="15"/>
      <c r="SG17" s="15"/>
      <c r="SH17" s="15"/>
      <c r="SI17" s="15"/>
      <c r="SJ17" s="15"/>
      <c r="SK17" s="15"/>
      <c r="SL17" s="15"/>
      <c r="SM17" s="15"/>
      <c r="SN17" s="15"/>
      <c r="SO17" s="15"/>
      <c r="SP17" s="15"/>
      <c r="SQ17" s="15"/>
      <c r="SR17" s="15"/>
      <c r="SS17" s="15"/>
      <c r="ST17" s="15"/>
      <c r="SU17" s="15"/>
      <c r="SV17" s="15"/>
      <c r="SW17" s="15"/>
      <c r="SX17" s="15"/>
      <c r="SY17" s="15"/>
      <c r="SZ17" s="15"/>
      <c r="TA17" s="15"/>
      <c r="TB17" s="15"/>
      <c r="TC17" s="15"/>
      <c r="TD17" s="15"/>
      <c r="TE17" s="15"/>
      <c r="TF17" s="15"/>
      <c r="TG17" s="15"/>
      <c r="TH17" s="15"/>
      <c r="TI17" s="15"/>
      <c r="TJ17" s="15"/>
      <c r="TK17" s="15"/>
      <c r="TL17" s="15"/>
      <c r="TM17" s="15"/>
      <c r="TN17" s="15"/>
      <c r="TO17" s="15"/>
      <c r="TP17" s="15"/>
      <c r="TQ17" s="15"/>
      <c r="TR17" s="15"/>
      <c r="TS17" s="15"/>
      <c r="TT17" s="15"/>
      <c r="TU17" s="15"/>
      <c r="TV17" s="15"/>
      <c r="TW17" s="15"/>
      <c r="TX17" s="15"/>
      <c r="TY17" s="15"/>
      <c r="TZ17" s="15"/>
      <c r="UA17" s="15"/>
      <c r="UB17" s="15"/>
      <c r="UC17" s="15"/>
      <c r="UD17" s="15"/>
      <c r="UE17" s="15"/>
      <c r="UF17" s="15"/>
      <c r="UG17" s="15"/>
      <c r="UH17" s="15"/>
      <c r="UI17" s="15"/>
      <c r="UJ17" s="15"/>
      <c r="UK17" s="15"/>
      <c r="UL17" s="15"/>
      <c r="UM17" s="15"/>
      <c r="UN17" s="15"/>
      <c r="UO17" s="15"/>
      <c r="UP17" s="15"/>
      <c r="UQ17" s="15"/>
      <c r="UR17" s="15"/>
      <c r="US17" s="15"/>
      <c r="UT17" s="15"/>
      <c r="UU17" s="15"/>
      <c r="UV17" s="15"/>
      <c r="UW17" s="15"/>
      <c r="UX17" s="15"/>
      <c r="UY17" s="15"/>
      <c r="UZ17" s="15"/>
      <c r="VA17" s="15"/>
      <c r="VB17" s="15"/>
      <c r="VC17" s="15"/>
      <c r="VD17" s="15"/>
      <c r="VE17" s="15"/>
      <c r="VF17" s="15"/>
      <c r="VG17" s="15"/>
      <c r="VH17" s="15"/>
      <c r="VI17" s="15"/>
      <c r="VJ17" s="15"/>
      <c r="VK17" s="15"/>
      <c r="VL17" s="15"/>
      <c r="VM17" s="15"/>
      <c r="VN17" s="15"/>
      <c r="VO17" s="15"/>
      <c r="VP17" s="15"/>
      <c r="VQ17" s="15"/>
      <c r="VR17" s="15"/>
      <c r="VS17" s="15"/>
      <c r="VT17" s="15"/>
      <c r="VU17" s="15"/>
      <c r="VV17" s="15"/>
      <c r="VW17" s="15"/>
      <c r="VX17" s="15"/>
      <c r="VY17" s="15"/>
      <c r="VZ17" s="15"/>
      <c r="WA17" s="15"/>
      <c r="WB17" s="15"/>
      <c r="WC17" s="15"/>
      <c r="WD17" s="15"/>
      <c r="WE17" s="15"/>
    </row>
    <row r="18" spans="1:603" s="11" customFormat="1" x14ac:dyDescent="0.4">
      <c r="A18" s="12"/>
      <c r="B18" s="12"/>
      <c r="C18" s="12"/>
      <c r="D18" s="12"/>
      <c r="E18" s="12"/>
      <c r="F18" s="12"/>
      <c r="G18" s="12"/>
      <c r="H18" s="12"/>
      <c r="I18" s="12"/>
      <c r="J18" s="15"/>
      <c r="K18" s="15"/>
      <c r="L18" s="16"/>
      <c r="M18" s="16"/>
      <c r="N18" s="15"/>
      <c r="O18" s="15"/>
      <c r="P18" s="16"/>
      <c r="Q18" s="16"/>
      <c r="R18" s="15"/>
      <c r="S18" s="15"/>
      <c r="T18" s="16"/>
      <c r="U18" s="16"/>
      <c r="V18" s="15"/>
      <c r="W18" s="15"/>
      <c r="X18" s="16"/>
      <c r="Y18" s="16"/>
      <c r="Z18" s="15"/>
      <c r="AA18" s="15"/>
      <c r="AB18" s="16"/>
      <c r="AC18" s="16"/>
      <c r="AD18" s="15"/>
      <c r="AE18" s="15"/>
      <c r="AF18" s="16"/>
      <c r="AG18" s="16"/>
      <c r="AH18" s="15"/>
      <c r="AI18" s="15"/>
      <c r="AJ18" s="16"/>
      <c r="AK18" s="16"/>
      <c r="AL18" s="15"/>
      <c r="AM18" s="15"/>
      <c r="AN18" s="16"/>
      <c r="AO18" s="16"/>
      <c r="AP18" s="15"/>
      <c r="AQ18" s="15"/>
      <c r="AR18" s="16"/>
      <c r="AS18" s="16"/>
      <c r="AT18" s="15"/>
      <c r="AU18" s="15"/>
      <c r="AV18" s="16"/>
      <c r="AW18" s="16"/>
      <c r="AX18" s="15"/>
      <c r="AY18" s="15"/>
      <c r="AZ18" s="16"/>
      <c r="BA18" s="16"/>
      <c r="BB18" s="15"/>
      <c r="BC18" s="15"/>
      <c r="BD18" s="16"/>
      <c r="BE18" s="16"/>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5"/>
      <c r="EX18" s="15"/>
      <c r="EY18" s="15"/>
      <c r="EZ18" s="15"/>
      <c r="FA18" s="15"/>
      <c r="FB18" s="15"/>
      <c r="FC18" s="15"/>
      <c r="FD18" s="15"/>
      <c r="FE18" s="15"/>
      <c r="FF18" s="15"/>
      <c r="FG18" s="15"/>
      <c r="FH18" s="15"/>
      <c r="FI18" s="15"/>
      <c r="FJ18" s="15"/>
      <c r="FK18" s="15"/>
      <c r="FL18" s="15"/>
      <c r="FM18" s="15"/>
      <c r="FN18" s="15"/>
      <c r="FO18" s="15"/>
      <c r="FP18" s="15"/>
      <c r="FQ18" s="15"/>
      <c r="FR18" s="15"/>
      <c r="FS18" s="15"/>
      <c r="FT18" s="15"/>
      <c r="FU18" s="15"/>
      <c r="FV18" s="15"/>
      <c r="FW18" s="15"/>
      <c r="FX18" s="15"/>
      <c r="FY18" s="15"/>
      <c r="FZ18" s="15"/>
      <c r="GA18" s="15"/>
      <c r="GB18" s="15"/>
      <c r="GC18" s="15"/>
      <c r="GD18" s="15"/>
      <c r="GE18" s="15"/>
      <c r="GF18" s="15"/>
      <c r="GG18" s="15"/>
      <c r="GH18" s="15"/>
      <c r="GI18" s="15"/>
      <c r="GJ18" s="15"/>
      <c r="GK18" s="15"/>
      <c r="GL18" s="15"/>
      <c r="GM18" s="15"/>
      <c r="GN18" s="15"/>
      <c r="GO18" s="15"/>
      <c r="GP18" s="15"/>
      <c r="GQ18" s="15"/>
      <c r="GR18" s="15"/>
      <c r="GS18" s="15"/>
      <c r="GT18" s="15"/>
      <c r="GU18" s="15"/>
      <c r="GV18" s="15"/>
      <c r="GW18" s="15"/>
      <c r="GX18" s="15"/>
      <c r="GY18" s="15"/>
      <c r="GZ18" s="15"/>
      <c r="HA18" s="15"/>
      <c r="HB18" s="15"/>
      <c r="HC18" s="15"/>
      <c r="HD18" s="15"/>
      <c r="HE18" s="15"/>
      <c r="HF18" s="15"/>
      <c r="HG18" s="15"/>
      <c r="HH18" s="15"/>
      <c r="HI18" s="15"/>
      <c r="HJ18" s="15"/>
      <c r="HK18" s="15"/>
      <c r="HL18" s="15"/>
      <c r="HM18" s="15"/>
      <c r="HN18" s="15"/>
      <c r="HO18" s="15"/>
      <c r="HP18" s="15"/>
      <c r="HQ18" s="15"/>
      <c r="HR18" s="15"/>
      <c r="HS18" s="15"/>
      <c r="HT18" s="15"/>
      <c r="HU18" s="15"/>
      <c r="HV18" s="15"/>
      <c r="HW18" s="15"/>
      <c r="HX18" s="15"/>
      <c r="HY18" s="15"/>
      <c r="HZ18" s="15"/>
      <c r="IA18" s="15"/>
      <c r="IB18" s="15"/>
      <c r="IC18" s="15"/>
      <c r="ID18" s="15"/>
      <c r="IE18" s="15"/>
      <c r="IF18" s="15"/>
      <c r="IG18" s="15"/>
      <c r="IH18" s="15"/>
      <c r="II18" s="15"/>
      <c r="IJ18" s="15"/>
      <c r="IK18" s="15"/>
      <c r="IL18" s="15"/>
      <c r="IM18" s="15"/>
      <c r="IN18" s="15"/>
      <c r="IO18" s="15"/>
      <c r="IP18" s="15"/>
      <c r="IQ18" s="15"/>
      <c r="IR18" s="15"/>
      <c r="IS18" s="15"/>
      <c r="IT18" s="15"/>
      <c r="IU18" s="15"/>
      <c r="IV18" s="15"/>
      <c r="IW18" s="15"/>
      <c r="IX18" s="15"/>
      <c r="IY18" s="15"/>
      <c r="IZ18" s="15"/>
      <c r="JA18" s="15"/>
      <c r="JB18" s="15"/>
      <c r="JC18" s="15"/>
      <c r="JD18" s="15"/>
      <c r="JE18" s="15"/>
      <c r="JF18" s="15"/>
      <c r="JG18" s="15"/>
      <c r="JH18" s="15"/>
      <c r="JI18" s="15"/>
      <c r="JJ18" s="15"/>
      <c r="JK18" s="15"/>
      <c r="JL18" s="15"/>
      <c r="JM18" s="15"/>
      <c r="JN18" s="15"/>
      <c r="JO18" s="15"/>
      <c r="JP18" s="15"/>
      <c r="JQ18" s="15"/>
      <c r="JR18" s="15"/>
      <c r="JS18" s="15"/>
      <c r="JT18" s="15"/>
      <c r="JU18" s="15"/>
      <c r="JV18" s="15"/>
      <c r="JW18" s="15"/>
      <c r="JX18" s="15"/>
      <c r="JY18" s="15"/>
      <c r="JZ18" s="15"/>
      <c r="KA18" s="15"/>
      <c r="KB18" s="15"/>
      <c r="KC18" s="15"/>
      <c r="KD18" s="15"/>
      <c r="KE18" s="15"/>
      <c r="KF18" s="15"/>
      <c r="KG18" s="15"/>
      <c r="KH18" s="15"/>
      <c r="KI18" s="15"/>
      <c r="KJ18" s="15"/>
      <c r="KK18" s="15"/>
      <c r="KL18" s="15"/>
      <c r="KM18" s="15"/>
      <c r="KN18" s="15"/>
      <c r="KO18" s="15"/>
      <c r="KP18" s="15"/>
      <c r="KQ18" s="15"/>
      <c r="KR18" s="15"/>
      <c r="KS18" s="15"/>
      <c r="KT18" s="15"/>
      <c r="KU18" s="15"/>
      <c r="KV18" s="15"/>
      <c r="KW18" s="15"/>
      <c r="KX18" s="15"/>
      <c r="KY18" s="15"/>
      <c r="KZ18" s="15"/>
      <c r="LA18" s="15"/>
      <c r="LB18" s="15"/>
      <c r="LC18" s="15"/>
      <c r="LD18" s="15"/>
      <c r="LE18" s="15"/>
      <c r="LF18" s="15"/>
      <c r="LG18" s="15"/>
      <c r="LH18" s="15"/>
      <c r="LI18" s="15"/>
      <c r="LJ18" s="15"/>
      <c r="LK18" s="15"/>
      <c r="LL18" s="15"/>
      <c r="LM18" s="15"/>
      <c r="LN18" s="15"/>
      <c r="LO18" s="15"/>
      <c r="LP18" s="15"/>
      <c r="LQ18" s="15"/>
      <c r="LR18" s="15"/>
      <c r="LS18" s="15"/>
      <c r="LT18" s="15"/>
      <c r="LU18" s="15"/>
      <c r="LV18" s="15"/>
      <c r="LW18" s="15"/>
      <c r="LX18" s="15"/>
      <c r="LY18" s="15"/>
      <c r="LZ18" s="15"/>
      <c r="MA18" s="15"/>
      <c r="MB18" s="15"/>
      <c r="MC18" s="15"/>
      <c r="MD18" s="15"/>
      <c r="ME18" s="15"/>
      <c r="MF18" s="15"/>
      <c r="MG18" s="15"/>
      <c r="MH18" s="15"/>
      <c r="MI18" s="15"/>
      <c r="MJ18" s="15"/>
      <c r="MK18" s="15"/>
      <c r="ML18" s="15"/>
      <c r="MM18" s="15"/>
      <c r="MN18" s="15"/>
      <c r="MO18" s="15"/>
      <c r="MP18" s="15"/>
      <c r="MQ18" s="15"/>
      <c r="MR18" s="15"/>
      <c r="MS18" s="15"/>
      <c r="MT18" s="15"/>
      <c r="MU18" s="15"/>
      <c r="MV18" s="15"/>
      <c r="MW18" s="15"/>
      <c r="MX18" s="15"/>
      <c r="MY18" s="15"/>
      <c r="MZ18" s="15"/>
      <c r="NA18" s="15"/>
      <c r="NB18" s="15"/>
      <c r="NC18" s="15"/>
      <c r="ND18" s="15"/>
      <c r="NE18" s="15"/>
      <c r="NF18" s="15"/>
      <c r="NG18" s="15"/>
      <c r="NH18" s="15"/>
      <c r="NI18" s="15"/>
      <c r="NJ18" s="15"/>
      <c r="NK18" s="15"/>
      <c r="NL18" s="15"/>
      <c r="NM18" s="15"/>
      <c r="NN18" s="15"/>
      <c r="NO18" s="15"/>
      <c r="NP18" s="15"/>
      <c r="NQ18" s="15"/>
      <c r="NR18" s="15"/>
      <c r="NS18" s="15"/>
      <c r="NT18" s="15"/>
      <c r="NU18" s="15"/>
      <c r="NV18" s="15"/>
      <c r="NW18" s="15"/>
      <c r="NX18" s="15"/>
      <c r="NY18" s="15"/>
      <c r="NZ18" s="15"/>
      <c r="OA18" s="15"/>
      <c r="OB18" s="15"/>
      <c r="OC18" s="15"/>
      <c r="OD18" s="15"/>
      <c r="OE18" s="15"/>
      <c r="OF18" s="15"/>
      <c r="OG18" s="15"/>
      <c r="OH18" s="15"/>
      <c r="OI18" s="15"/>
      <c r="OJ18" s="15"/>
      <c r="OK18" s="15"/>
      <c r="OL18" s="15"/>
      <c r="OM18" s="15"/>
      <c r="ON18" s="15"/>
      <c r="OO18" s="15"/>
      <c r="OP18" s="15"/>
      <c r="OQ18" s="15"/>
      <c r="OR18" s="15"/>
      <c r="OS18" s="15"/>
      <c r="OT18" s="15"/>
      <c r="OU18" s="15"/>
      <c r="OV18" s="15"/>
      <c r="OW18" s="15"/>
      <c r="OX18" s="15"/>
      <c r="OY18" s="15"/>
      <c r="OZ18" s="15"/>
      <c r="PA18" s="15"/>
      <c r="PB18" s="15"/>
      <c r="PC18" s="15"/>
      <c r="PD18" s="15"/>
      <c r="PE18" s="15"/>
      <c r="PF18" s="15"/>
      <c r="PG18" s="15"/>
      <c r="PH18" s="15"/>
      <c r="PI18" s="15"/>
      <c r="PJ18" s="15"/>
      <c r="PK18" s="15"/>
      <c r="PL18" s="15"/>
      <c r="PM18" s="15"/>
      <c r="PN18" s="15"/>
      <c r="PO18" s="15"/>
      <c r="PP18" s="15"/>
      <c r="PQ18" s="15"/>
      <c r="PR18" s="15"/>
      <c r="PS18" s="15"/>
      <c r="PT18" s="15"/>
      <c r="PU18" s="15"/>
      <c r="PV18" s="15"/>
      <c r="PW18" s="15"/>
      <c r="PX18" s="15"/>
      <c r="PY18" s="15"/>
      <c r="PZ18" s="15"/>
      <c r="QA18" s="15"/>
      <c r="QB18" s="15"/>
      <c r="QC18" s="15"/>
      <c r="QD18" s="15"/>
      <c r="QE18" s="15"/>
      <c r="QF18" s="15"/>
      <c r="QG18" s="15"/>
      <c r="QH18" s="15"/>
      <c r="QI18" s="15"/>
      <c r="QJ18" s="15"/>
      <c r="QK18" s="15"/>
      <c r="QL18" s="15"/>
      <c r="QM18" s="15"/>
      <c r="QN18" s="15"/>
      <c r="QO18" s="15"/>
      <c r="QP18" s="15"/>
      <c r="QQ18" s="15"/>
      <c r="QR18" s="15"/>
      <c r="QS18" s="15"/>
      <c r="QT18" s="15"/>
      <c r="QU18" s="15"/>
      <c r="QV18" s="15"/>
      <c r="QW18" s="15"/>
      <c r="QX18" s="15"/>
      <c r="QY18" s="15"/>
      <c r="QZ18" s="15"/>
      <c r="RA18" s="15"/>
      <c r="RB18" s="15"/>
      <c r="RC18" s="15"/>
      <c r="RD18" s="15"/>
      <c r="RE18" s="15"/>
      <c r="RF18" s="15"/>
      <c r="RG18" s="15"/>
      <c r="RH18" s="15"/>
      <c r="RI18" s="15"/>
      <c r="RJ18" s="15"/>
      <c r="RK18" s="15"/>
      <c r="RL18" s="15"/>
      <c r="RM18" s="15"/>
      <c r="RN18" s="15"/>
      <c r="RO18" s="15"/>
      <c r="RP18" s="15"/>
      <c r="RQ18" s="15"/>
      <c r="RR18" s="15"/>
      <c r="RS18" s="15"/>
      <c r="RT18" s="15"/>
      <c r="RU18" s="15"/>
      <c r="RV18" s="15"/>
      <c r="RW18" s="15"/>
      <c r="RX18" s="15"/>
      <c r="RY18" s="15"/>
      <c r="RZ18" s="15"/>
      <c r="SA18" s="15"/>
      <c r="SB18" s="15"/>
      <c r="SC18" s="15"/>
      <c r="SD18" s="15"/>
      <c r="SE18" s="15"/>
      <c r="SF18" s="15"/>
      <c r="SG18" s="15"/>
      <c r="SH18" s="15"/>
      <c r="SI18" s="15"/>
      <c r="SJ18" s="15"/>
      <c r="SK18" s="15"/>
      <c r="SL18" s="15"/>
      <c r="SM18" s="15"/>
      <c r="SN18" s="15"/>
      <c r="SO18" s="15"/>
      <c r="SP18" s="15"/>
      <c r="SQ18" s="15"/>
      <c r="SR18" s="15"/>
      <c r="SS18" s="15"/>
      <c r="ST18" s="15"/>
      <c r="SU18" s="15"/>
      <c r="SV18" s="15"/>
      <c r="SW18" s="15"/>
      <c r="SX18" s="15"/>
      <c r="SY18" s="15"/>
      <c r="SZ18" s="15"/>
      <c r="TA18" s="15"/>
      <c r="TB18" s="15"/>
      <c r="TC18" s="15"/>
      <c r="TD18" s="15"/>
      <c r="TE18" s="15"/>
      <c r="TF18" s="15"/>
      <c r="TG18" s="15"/>
      <c r="TH18" s="15"/>
      <c r="TI18" s="15"/>
      <c r="TJ18" s="15"/>
      <c r="TK18" s="15"/>
      <c r="TL18" s="15"/>
      <c r="TM18" s="15"/>
      <c r="TN18" s="15"/>
      <c r="TO18" s="15"/>
      <c r="TP18" s="15"/>
      <c r="TQ18" s="15"/>
      <c r="TR18" s="15"/>
      <c r="TS18" s="15"/>
      <c r="TT18" s="15"/>
      <c r="TU18" s="15"/>
      <c r="TV18" s="15"/>
      <c r="TW18" s="15"/>
      <c r="TX18" s="15"/>
      <c r="TY18" s="15"/>
      <c r="TZ18" s="15"/>
      <c r="UA18" s="15"/>
      <c r="UB18" s="15"/>
      <c r="UC18" s="15"/>
      <c r="UD18" s="15"/>
      <c r="UE18" s="15"/>
      <c r="UF18" s="15"/>
      <c r="UG18" s="15"/>
      <c r="UH18" s="15"/>
      <c r="UI18" s="15"/>
      <c r="UJ18" s="15"/>
      <c r="UK18" s="15"/>
      <c r="UL18" s="15"/>
      <c r="UM18" s="15"/>
      <c r="UN18" s="15"/>
      <c r="UO18" s="15"/>
      <c r="UP18" s="15"/>
      <c r="UQ18" s="15"/>
      <c r="UR18" s="15"/>
      <c r="US18" s="15"/>
      <c r="UT18" s="15"/>
      <c r="UU18" s="15"/>
      <c r="UV18" s="15"/>
      <c r="UW18" s="15"/>
      <c r="UX18" s="15"/>
      <c r="UY18" s="15"/>
      <c r="UZ18" s="15"/>
      <c r="VA18" s="15"/>
      <c r="VB18" s="15"/>
      <c r="VC18" s="15"/>
      <c r="VD18" s="15"/>
      <c r="VE18" s="15"/>
      <c r="VF18" s="15"/>
      <c r="VG18" s="15"/>
      <c r="VH18" s="15"/>
      <c r="VI18" s="15"/>
      <c r="VJ18" s="15"/>
      <c r="VK18" s="15"/>
      <c r="VL18" s="15"/>
      <c r="VM18" s="15"/>
      <c r="VN18" s="15"/>
      <c r="VO18" s="15"/>
      <c r="VP18" s="15"/>
      <c r="VQ18" s="15"/>
      <c r="VR18" s="15"/>
      <c r="VS18" s="15"/>
      <c r="VT18" s="15"/>
      <c r="VU18" s="15"/>
      <c r="VV18" s="15"/>
      <c r="VW18" s="15"/>
      <c r="VX18" s="15"/>
      <c r="VY18" s="15"/>
      <c r="VZ18" s="15"/>
      <c r="WA18" s="15"/>
      <c r="WB18" s="15"/>
      <c r="WC18" s="15"/>
      <c r="WD18" s="15"/>
      <c r="WE18" s="15"/>
    </row>
    <row r="19" spans="1:603" s="11" customFormat="1" x14ac:dyDescent="0.4">
      <c r="A19" s="12"/>
      <c r="B19" s="12"/>
      <c r="C19" s="12"/>
      <c r="D19" s="12"/>
      <c r="E19" s="12"/>
      <c r="F19" s="12"/>
      <c r="G19" s="12"/>
      <c r="H19" s="12"/>
      <c r="I19" s="12"/>
      <c r="J19" s="15"/>
      <c r="K19" s="15"/>
      <c r="L19" s="16"/>
      <c r="M19" s="16"/>
      <c r="N19" s="15"/>
      <c r="O19" s="15"/>
      <c r="P19" s="16"/>
      <c r="Q19" s="16"/>
      <c r="R19" s="15"/>
      <c r="S19" s="15"/>
      <c r="T19" s="16"/>
      <c r="U19" s="16"/>
      <c r="V19" s="15"/>
      <c r="W19" s="15"/>
      <c r="X19" s="16"/>
      <c r="Y19" s="16"/>
      <c r="Z19" s="15"/>
      <c r="AA19" s="15"/>
      <c r="AB19" s="16"/>
      <c r="AC19" s="16"/>
      <c r="AD19" s="15"/>
      <c r="AE19" s="15"/>
      <c r="AF19" s="16"/>
      <c r="AG19" s="16"/>
      <c r="AH19" s="15"/>
      <c r="AI19" s="15"/>
      <c r="AJ19" s="16"/>
      <c r="AK19" s="16"/>
      <c r="AL19" s="15"/>
      <c r="AM19" s="15"/>
      <c r="AN19" s="16"/>
      <c r="AO19" s="16"/>
      <c r="AP19" s="15"/>
      <c r="AQ19" s="15"/>
      <c r="AR19" s="16"/>
      <c r="AS19" s="16"/>
      <c r="AT19" s="15"/>
      <c r="AU19" s="15"/>
      <c r="AV19" s="16"/>
      <c r="AW19" s="16"/>
      <c r="AX19" s="15"/>
      <c r="AY19" s="15"/>
      <c r="AZ19" s="16"/>
      <c r="BA19" s="16"/>
      <c r="BB19" s="15"/>
      <c r="BC19" s="15"/>
      <c r="BD19" s="16"/>
      <c r="BE19" s="16"/>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c r="DF19" s="15"/>
      <c r="DG19" s="15"/>
      <c r="DH19" s="15"/>
      <c r="DI19" s="15"/>
      <c r="DJ19" s="15"/>
      <c r="DK19" s="15"/>
      <c r="DL19" s="15"/>
      <c r="DM19" s="15"/>
      <c r="DN19" s="15"/>
      <c r="DO19" s="15"/>
      <c r="DP19" s="15"/>
      <c r="DQ19" s="15"/>
      <c r="DR19" s="15"/>
      <c r="DS19" s="15"/>
      <c r="DT19" s="15"/>
      <c r="DU19" s="15"/>
      <c r="DV19" s="15"/>
      <c r="DW19" s="15"/>
      <c r="DX19" s="15"/>
      <c r="DY19" s="15"/>
      <c r="DZ19" s="15"/>
      <c r="EA19" s="15"/>
      <c r="EB19" s="15"/>
      <c r="EC19" s="15"/>
      <c r="ED19" s="15"/>
      <c r="EE19" s="15"/>
      <c r="EF19" s="15"/>
      <c r="EG19" s="15"/>
      <c r="EH19" s="15"/>
      <c r="EI19" s="15"/>
      <c r="EJ19" s="15"/>
      <c r="EK19" s="15"/>
      <c r="EL19" s="15"/>
      <c r="EM19" s="15"/>
      <c r="EN19" s="15"/>
      <c r="EO19" s="15"/>
      <c r="EP19" s="15"/>
      <c r="EQ19" s="15"/>
      <c r="ER19" s="15"/>
      <c r="ES19" s="15"/>
      <c r="ET19" s="15"/>
      <c r="EU19" s="15"/>
      <c r="EV19" s="15"/>
      <c r="EW19" s="15"/>
      <c r="EX19" s="15"/>
      <c r="EY19" s="15"/>
      <c r="EZ19" s="15"/>
      <c r="FA19" s="15"/>
      <c r="FB19" s="15"/>
      <c r="FC19" s="15"/>
      <c r="FD19" s="15"/>
      <c r="FE19" s="15"/>
      <c r="FF19" s="15"/>
      <c r="FG19" s="15"/>
      <c r="FH19" s="15"/>
      <c r="FI19" s="15"/>
      <c r="FJ19" s="15"/>
      <c r="FK19" s="15"/>
      <c r="FL19" s="15"/>
      <c r="FM19" s="15"/>
      <c r="FN19" s="15"/>
      <c r="FO19" s="15"/>
      <c r="FP19" s="15"/>
      <c r="FQ19" s="15"/>
      <c r="FR19" s="15"/>
      <c r="FS19" s="15"/>
      <c r="FT19" s="15"/>
      <c r="FU19" s="15"/>
      <c r="FV19" s="15"/>
      <c r="FW19" s="15"/>
      <c r="FX19" s="15"/>
      <c r="FY19" s="15"/>
      <c r="FZ19" s="15"/>
      <c r="GA19" s="15"/>
      <c r="GB19" s="15"/>
      <c r="GC19" s="15"/>
      <c r="GD19" s="15"/>
      <c r="GE19" s="15"/>
      <c r="GF19" s="15"/>
      <c r="GG19" s="15"/>
      <c r="GH19" s="15"/>
      <c r="GI19" s="15"/>
      <c r="GJ19" s="15"/>
      <c r="GK19" s="15"/>
      <c r="GL19" s="15"/>
      <c r="GM19" s="15"/>
      <c r="GN19" s="15"/>
      <c r="GO19" s="15"/>
      <c r="GP19" s="15"/>
      <c r="GQ19" s="15"/>
      <c r="GR19" s="15"/>
      <c r="GS19" s="15"/>
      <c r="GT19" s="15"/>
      <c r="GU19" s="15"/>
      <c r="GV19" s="15"/>
      <c r="GW19" s="15"/>
      <c r="GX19" s="15"/>
      <c r="GY19" s="15"/>
      <c r="GZ19" s="15"/>
      <c r="HA19" s="15"/>
      <c r="HB19" s="15"/>
      <c r="HC19" s="15"/>
      <c r="HD19" s="15"/>
      <c r="HE19" s="15"/>
      <c r="HF19" s="15"/>
      <c r="HG19" s="15"/>
      <c r="HH19" s="15"/>
      <c r="HI19" s="15"/>
      <c r="HJ19" s="15"/>
      <c r="HK19" s="15"/>
      <c r="HL19" s="15"/>
      <c r="HM19" s="15"/>
      <c r="HN19" s="15"/>
      <c r="HO19" s="15"/>
      <c r="HP19" s="15"/>
      <c r="HQ19" s="15"/>
      <c r="HR19" s="15"/>
      <c r="HS19" s="15"/>
      <c r="HT19" s="15"/>
      <c r="HU19" s="15"/>
      <c r="HV19" s="15"/>
      <c r="HW19" s="15"/>
      <c r="HX19" s="15"/>
      <c r="HY19" s="15"/>
      <c r="HZ19" s="15"/>
      <c r="IA19" s="15"/>
      <c r="IB19" s="15"/>
      <c r="IC19" s="15"/>
      <c r="ID19" s="15"/>
      <c r="IE19" s="15"/>
      <c r="IF19" s="15"/>
      <c r="IG19" s="15"/>
      <c r="IH19" s="15"/>
      <c r="II19" s="15"/>
      <c r="IJ19" s="15"/>
      <c r="IK19" s="15"/>
      <c r="IL19" s="15"/>
      <c r="IM19" s="15"/>
      <c r="IN19" s="15"/>
      <c r="IO19" s="15"/>
      <c r="IP19" s="15"/>
      <c r="IQ19" s="15"/>
      <c r="IR19" s="15"/>
      <c r="IS19" s="15"/>
      <c r="IT19" s="15"/>
      <c r="IU19" s="15"/>
      <c r="IV19" s="15"/>
      <c r="IW19" s="15"/>
      <c r="IX19" s="15"/>
      <c r="IY19" s="15"/>
      <c r="IZ19" s="15"/>
      <c r="JA19" s="15"/>
      <c r="JB19" s="15"/>
      <c r="JC19" s="15"/>
      <c r="JD19" s="15"/>
      <c r="JE19" s="15"/>
      <c r="JF19" s="15"/>
      <c r="JG19" s="15"/>
      <c r="JH19" s="15"/>
      <c r="JI19" s="15"/>
      <c r="JJ19" s="15"/>
      <c r="JK19" s="15"/>
      <c r="JL19" s="15"/>
      <c r="JM19" s="15"/>
      <c r="JN19" s="15"/>
      <c r="JO19" s="15"/>
      <c r="JP19" s="15"/>
      <c r="JQ19" s="15"/>
      <c r="JR19" s="15"/>
      <c r="JS19" s="15"/>
      <c r="JT19" s="15"/>
      <c r="JU19" s="15"/>
      <c r="JV19" s="15"/>
      <c r="JW19" s="15"/>
      <c r="JX19" s="15"/>
      <c r="JY19" s="15"/>
      <c r="JZ19" s="15"/>
      <c r="KA19" s="15"/>
      <c r="KB19" s="15"/>
      <c r="KC19" s="15"/>
      <c r="KD19" s="15"/>
      <c r="KE19" s="15"/>
      <c r="KF19" s="15"/>
      <c r="KG19" s="15"/>
      <c r="KH19" s="15"/>
      <c r="KI19" s="15"/>
      <c r="KJ19" s="15"/>
      <c r="KK19" s="15"/>
      <c r="KL19" s="15"/>
      <c r="KM19" s="15"/>
      <c r="KN19" s="15"/>
      <c r="KO19" s="15"/>
      <c r="KP19" s="15"/>
      <c r="KQ19" s="15"/>
      <c r="KR19" s="15"/>
      <c r="KS19" s="15"/>
      <c r="KT19" s="15"/>
      <c r="KU19" s="15"/>
      <c r="KV19" s="15"/>
      <c r="KW19" s="15"/>
      <c r="KX19" s="15"/>
      <c r="KY19" s="15"/>
      <c r="KZ19" s="15"/>
      <c r="LA19" s="15"/>
      <c r="LB19" s="15"/>
      <c r="LC19" s="15"/>
      <c r="LD19" s="15"/>
      <c r="LE19" s="15"/>
      <c r="LF19" s="15"/>
      <c r="LG19" s="15"/>
      <c r="LH19" s="15"/>
      <c r="LI19" s="15"/>
      <c r="LJ19" s="15"/>
      <c r="LK19" s="15"/>
      <c r="LL19" s="15"/>
      <c r="LM19" s="15"/>
      <c r="LN19" s="15"/>
      <c r="LO19" s="15"/>
      <c r="LP19" s="15"/>
      <c r="LQ19" s="15"/>
      <c r="LR19" s="15"/>
      <c r="LS19" s="15"/>
      <c r="LT19" s="15"/>
      <c r="LU19" s="15"/>
      <c r="LV19" s="15"/>
      <c r="LW19" s="15"/>
      <c r="LX19" s="15"/>
      <c r="LY19" s="15"/>
      <c r="LZ19" s="15"/>
      <c r="MA19" s="15"/>
      <c r="MB19" s="15"/>
      <c r="MC19" s="15"/>
      <c r="MD19" s="15"/>
      <c r="ME19" s="15"/>
      <c r="MF19" s="15"/>
      <c r="MG19" s="15"/>
      <c r="MH19" s="15"/>
      <c r="MI19" s="15"/>
      <c r="MJ19" s="15"/>
      <c r="MK19" s="15"/>
      <c r="ML19" s="15"/>
      <c r="MM19" s="15"/>
      <c r="MN19" s="15"/>
      <c r="MO19" s="15"/>
      <c r="MP19" s="15"/>
      <c r="MQ19" s="15"/>
      <c r="MR19" s="15"/>
      <c r="MS19" s="15"/>
      <c r="MT19" s="15"/>
      <c r="MU19" s="15"/>
      <c r="MV19" s="15"/>
      <c r="MW19" s="15"/>
      <c r="MX19" s="15"/>
      <c r="MY19" s="15"/>
      <c r="MZ19" s="15"/>
      <c r="NA19" s="15"/>
      <c r="NB19" s="15"/>
      <c r="NC19" s="15"/>
      <c r="ND19" s="15"/>
      <c r="NE19" s="15"/>
      <c r="NF19" s="15"/>
      <c r="NG19" s="15"/>
      <c r="NH19" s="15"/>
      <c r="NI19" s="15"/>
      <c r="NJ19" s="15"/>
      <c r="NK19" s="15"/>
      <c r="NL19" s="15"/>
      <c r="NM19" s="15"/>
      <c r="NN19" s="15"/>
      <c r="NO19" s="15"/>
      <c r="NP19" s="15"/>
      <c r="NQ19" s="15"/>
      <c r="NR19" s="15"/>
      <c r="NS19" s="15"/>
      <c r="NT19" s="15"/>
      <c r="NU19" s="15"/>
      <c r="NV19" s="15"/>
      <c r="NW19" s="15"/>
      <c r="NX19" s="15"/>
      <c r="NY19" s="15"/>
      <c r="NZ19" s="15"/>
      <c r="OA19" s="15"/>
      <c r="OB19" s="15"/>
      <c r="OC19" s="15"/>
      <c r="OD19" s="15"/>
      <c r="OE19" s="15"/>
      <c r="OF19" s="15"/>
      <c r="OG19" s="15"/>
      <c r="OH19" s="15"/>
      <c r="OI19" s="15"/>
      <c r="OJ19" s="15"/>
      <c r="OK19" s="15"/>
      <c r="OL19" s="15"/>
      <c r="OM19" s="15"/>
      <c r="ON19" s="15"/>
      <c r="OO19" s="15"/>
      <c r="OP19" s="15"/>
      <c r="OQ19" s="15"/>
      <c r="OR19" s="15"/>
      <c r="OS19" s="15"/>
      <c r="OT19" s="15"/>
      <c r="OU19" s="15"/>
      <c r="OV19" s="15"/>
      <c r="OW19" s="15"/>
      <c r="OX19" s="15"/>
      <c r="OY19" s="15"/>
      <c r="OZ19" s="15"/>
      <c r="PA19" s="15"/>
      <c r="PB19" s="15"/>
      <c r="PC19" s="15"/>
      <c r="PD19" s="15"/>
      <c r="PE19" s="15"/>
      <c r="PF19" s="15"/>
      <c r="PG19" s="15"/>
      <c r="PH19" s="15"/>
      <c r="PI19" s="15"/>
      <c r="PJ19" s="15"/>
      <c r="PK19" s="15"/>
      <c r="PL19" s="15"/>
      <c r="PM19" s="15"/>
      <c r="PN19" s="15"/>
      <c r="PO19" s="15"/>
      <c r="PP19" s="15"/>
      <c r="PQ19" s="15"/>
      <c r="PR19" s="15"/>
      <c r="PS19" s="15"/>
      <c r="PT19" s="15"/>
      <c r="PU19" s="15"/>
      <c r="PV19" s="15"/>
      <c r="PW19" s="15"/>
      <c r="PX19" s="15"/>
      <c r="PY19" s="15"/>
      <c r="PZ19" s="15"/>
      <c r="QA19" s="15"/>
      <c r="QB19" s="15"/>
      <c r="QC19" s="15"/>
      <c r="QD19" s="15"/>
      <c r="QE19" s="15"/>
      <c r="QF19" s="15"/>
      <c r="QG19" s="15"/>
      <c r="QH19" s="15"/>
      <c r="QI19" s="15"/>
      <c r="QJ19" s="15"/>
      <c r="QK19" s="15"/>
      <c r="QL19" s="15"/>
      <c r="QM19" s="15"/>
      <c r="QN19" s="15"/>
      <c r="QO19" s="15"/>
      <c r="QP19" s="15"/>
      <c r="QQ19" s="15"/>
      <c r="QR19" s="15"/>
      <c r="QS19" s="15"/>
      <c r="QT19" s="15"/>
      <c r="QU19" s="15"/>
      <c r="QV19" s="15"/>
      <c r="QW19" s="15"/>
      <c r="QX19" s="15"/>
      <c r="QY19" s="15"/>
      <c r="QZ19" s="15"/>
      <c r="RA19" s="15"/>
      <c r="RB19" s="15"/>
      <c r="RC19" s="15"/>
      <c r="RD19" s="15"/>
      <c r="RE19" s="15"/>
      <c r="RF19" s="15"/>
      <c r="RG19" s="15"/>
      <c r="RH19" s="15"/>
      <c r="RI19" s="15"/>
      <c r="RJ19" s="15"/>
      <c r="RK19" s="15"/>
      <c r="RL19" s="15"/>
      <c r="RM19" s="15"/>
      <c r="RN19" s="15"/>
      <c r="RO19" s="15"/>
      <c r="RP19" s="15"/>
      <c r="RQ19" s="15"/>
      <c r="RR19" s="15"/>
      <c r="RS19" s="15"/>
      <c r="RT19" s="15"/>
      <c r="RU19" s="15"/>
      <c r="RV19" s="15"/>
      <c r="RW19" s="15"/>
      <c r="RX19" s="15"/>
      <c r="RY19" s="15"/>
      <c r="RZ19" s="15"/>
      <c r="SA19" s="15"/>
      <c r="SB19" s="15"/>
      <c r="SC19" s="15"/>
      <c r="SD19" s="15"/>
      <c r="SE19" s="15"/>
      <c r="SF19" s="15"/>
      <c r="SG19" s="15"/>
      <c r="SH19" s="15"/>
      <c r="SI19" s="15"/>
      <c r="SJ19" s="15"/>
      <c r="SK19" s="15"/>
      <c r="SL19" s="15"/>
      <c r="SM19" s="15"/>
      <c r="SN19" s="15"/>
      <c r="SO19" s="15"/>
      <c r="SP19" s="15"/>
      <c r="SQ19" s="15"/>
      <c r="SR19" s="15"/>
      <c r="SS19" s="15"/>
      <c r="ST19" s="15"/>
      <c r="SU19" s="15"/>
      <c r="SV19" s="15"/>
      <c r="SW19" s="15"/>
      <c r="SX19" s="15"/>
      <c r="SY19" s="15"/>
      <c r="SZ19" s="15"/>
      <c r="TA19" s="15"/>
      <c r="TB19" s="15"/>
      <c r="TC19" s="15"/>
      <c r="TD19" s="15"/>
      <c r="TE19" s="15"/>
      <c r="TF19" s="15"/>
      <c r="TG19" s="15"/>
      <c r="TH19" s="15"/>
      <c r="TI19" s="15"/>
      <c r="TJ19" s="15"/>
      <c r="TK19" s="15"/>
      <c r="TL19" s="15"/>
      <c r="TM19" s="15"/>
      <c r="TN19" s="15"/>
      <c r="TO19" s="15"/>
      <c r="TP19" s="15"/>
      <c r="TQ19" s="15"/>
      <c r="TR19" s="15"/>
      <c r="TS19" s="15"/>
      <c r="TT19" s="15"/>
      <c r="TU19" s="15"/>
      <c r="TV19" s="15"/>
      <c r="TW19" s="15"/>
      <c r="TX19" s="15"/>
      <c r="TY19" s="15"/>
      <c r="TZ19" s="15"/>
      <c r="UA19" s="15"/>
      <c r="UB19" s="15"/>
      <c r="UC19" s="15"/>
      <c r="UD19" s="15"/>
      <c r="UE19" s="15"/>
      <c r="UF19" s="15"/>
      <c r="UG19" s="15"/>
      <c r="UH19" s="15"/>
      <c r="UI19" s="15"/>
      <c r="UJ19" s="15"/>
      <c r="UK19" s="15"/>
      <c r="UL19" s="15"/>
      <c r="UM19" s="15"/>
      <c r="UN19" s="15"/>
      <c r="UO19" s="15"/>
      <c r="UP19" s="15"/>
      <c r="UQ19" s="15"/>
      <c r="UR19" s="15"/>
      <c r="US19" s="15"/>
      <c r="UT19" s="15"/>
      <c r="UU19" s="15"/>
      <c r="UV19" s="15"/>
      <c r="UW19" s="15"/>
      <c r="UX19" s="15"/>
      <c r="UY19" s="15"/>
      <c r="UZ19" s="15"/>
      <c r="VA19" s="15"/>
      <c r="VB19" s="15"/>
      <c r="VC19" s="15"/>
      <c r="VD19" s="15"/>
      <c r="VE19" s="15"/>
      <c r="VF19" s="15"/>
      <c r="VG19" s="15"/>
      <c r="VH19" s="15"/>
      <c r="VI19" s="15"/>
      <c r="VJ19" s="15"/>
      <c r="VK19" s="15"/>
      <c r="VL19" s="15"/>
      <c r="VM19" s="15"/>
      <c r="VN19" s="15"/>
      <c r="VO19" s="15"/>
      <c r="VP19" s="15"/>
      <c r="VQ19" s="15"/>
      <c r="VR19" s="15"/>
      <c r="VS19" s="15"/>
      <c r="VT19" s="15"/>
      <c r="VU19" s="15"/>
      <c r="VV19" s="15"/>
      <c r="VW19" s="15"/>
      <c r="VX19" s="15"/>
      <c r="VY19" s="15"/>
      <c r="VZ19" s="15"/>
      <c r="WA19" s="15"/>
      <c r="WB19" s="15"/>
      <c r="WC19" s="15"/>
      <c r="WD19" s="15"/>
      <c r="WE19" s="15"/>
    </row>
    <row r="20" spans="1:603" s="11" customFormat="1" x14ac:dyDescent="0.4">
      <c r="A20" s="12"/>
      <c r="B20" s="12"/>
      <c r="C20" s="12"/>
      <c r="D20" s="12"/>
      <c r="E20" s="12"/>
      <c r="F20" s="12"/>
      <c r="G20" s="12"/>
      <c r="H20" s="12"/>
      <c r="I20" s="12"/>
      <c r="J20" s="15"/>
      <c r="K20" s="15"/>
      <c r="L20" s="16"/>
      <c r="M20" s="16"/>
      <c r="N20" s="15"/>
      <c r="O20" s="15"/>
      <c r="P20" s="16"/>
      <c r="Q20" s="16"/>
      <c r="R20" s="15"/>
      <c r="S20" s="15"/>
      <c r="T20" s="16"/>
      <c r="U20" s="16"/>
      <c r="V20" s="15"/>
      <c r="W20" s="15"/>
      <c r="X20" s="16"/>
      <c r="Y20" s="16"/>
      <c r="Z20" s="15"/>
      <c r="AA20" s="15"/>
      <c r="AB20" s="16"/>
      <c r="AC20" s="16"/>
      <c r="AD20" s="15"/>
      <c r="AE20" s="15"/>
      <c r="AF20" s="16"/>
      <c r="AG20" s="16"/>
      <c r="AH20" s="15"/>
      <c r="AI20" s="15"/>
      <c r="AJ20" s="16"/>
      <c r="AK20" s="16"/>
      <c r="AL20" s="15"/>
      <c r="AM20" s="15"/>
      <c r="AN20" s="16"/>
      <c r="AO20" s="16"/>
      <c r="AP20" s="15"/>
      <c r="AQ20" s="15"/>
      <c r="AR20" s="16"/>
      <c r="AS20" s="16"/>
      <c r="AT20" s="15"/>
      <c r="AU20" s="15"/>
      <c r="AV20" s="16"/>
      <c r="AW20" s="16"/>
      <c r="AX20" s="15"/>
      <c r="AY20" s="15"/>
      <c r="AZ20" s="16"/>
      <c r="BA20" s="16"/>
      <c r="BB20" s="15"/>
      <c r="BC20" s="15"/>
      <c r="BD20" s="16"/>
      <c r="BE20" s="16"/>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c r="DF20" s="15"/>
      <c r="DG20" s="15"/>
      <c r="DH20" s="15"/>
      <c r="DI20" s="15"/>
      <c r="DJ20" s="15"/>
      <c r="DK20" s="15"/>
      <c r="DL20" s="15"/>
      <c r="DM20" s="15"/>
      <c r="DN20" s="15"/>
      <c r="DO20" s="15"/>
      <c r="DP20" s="15"/>
      <c r="DQ20" s="15"/>
      <c r="DR20" s="15"/>
      <c r="DS20" s="15"/>
      <c r="DT20" s="15"/>
      <c r="DU20" s="15"/>
      <c r="DV20" s="15"/>
      <c r="DW20" s="15"/>
      <c r="DX20" s="15"/>
      <c r="DY20" s="15"/>
      <c r="DZ20" s="15"/>
      <c r="EA20" s="15"/>
      <c r="EB20" s="15"/>
      <c r="EC20" s="15"/>
      <c r="ED20" s="15"/>
      <c r="EE20" s="15"/>
      <c r="EF20" s="15"/>
      <c r="EG20" s="15"/>
      <c r="EH20" s="15"/>
      <c r="EI20" s="15"/>
      <c r="EJ20" s="15"/>
      <c r="EK20" s="15"/>
      <c r="EL20" s="15"/>
      <c r="EM20" s="15"/>
      <c r="EN20" s="15"/>
      <c r="EO20" s="15"/>
      <c r="EP20" s="15"/>
      <c r="EQ20" s="15"/>
      <c r="ER20" s="15"/>
      <c r="ES20" s="15"/>
      <c r="ET20" s="15"/>
      <c r="EU20" s="15"/>
      <c r="EV20" s="15"/>
      <c r="EW20" s="15"/>
      <c r="EX20" s="15"/>
      <c r="EY20" s="15"/>
      <c r="EZ20" s="15"/>
      <c r="FA20" s="15"/>
      <c r="FB20" s="15"/>
      <c r="FC20" s="15"/>
      <c r="FD20" s="15"/>
      <c r="FE20" s="15"/>
      <c r="FF20" s="15"/>
      <c r="FG20" s="15"/>
      <c r="FH20" s="15"/>
      <c r="FI20" s="15"/>
      <c r="FJ20" s="15"/>
      <c r="FK20" s="15"/>
      <c r="FL20" s="15"/>
      <c r="FM20" s="15"/>
      <c r="FN20" s="15"/>
      <c r="FO20" s="15"/>
      <c r="FP20" s="15"/>
      <c r="FQ20" s="15"/>
      <c r="FR20" s="15"/>
      <c r="FS20" s="15"/>
      <c r="FT20" s="15"/>
      <c r="FU20" s="15"/>
      <c r="FV20" s="15"/>
      <c r="FW20" s="15"/>
      <c r="FX20" s="15"/>
      <c r="FY20" s="15"/>
      <c r="FZ20" s="15"/>
      <c r="GA20" s="15"/>
      <c r="GB20" s="15"/>
      <c r="GC20" s="15"/>
      <c r="GD20" s="15"/>
      <c r="GE20" s="15"/>
      <c r="GF20" s="15"/>
      <c r="GG20" s="15"/>
      <c r="GH20" s="15"/>
      <c r="GI20" s="15"/>
      <c r="GJ20" s="15"/>
      <c r="GK20" s="15"/>
      <c r="GL20" s="15"/>
      <c r="GM20" s="15"/>
      <c r="GN20" s="15"/>
      <c r="GO20" s="15"/>
      <c r="GP20" s="15"/>
      <c r="GQ20" s="15"/>
      <c r="GR20" s="15"/>
      <c r="GS20" s="15"/>
      <c r="GT20" s="15"/>
      <c r="GU20" s="15"/>
      <c r="GV20" s="15"/>
      <c r="GW20" s="15"/>
      <c r="GX20" s="15"/>
      <c r="GY20" s="15"/>
      <c r="GZ20" s="15"/>
      <c r="HA20" s="15"/>
      <c r="HB20" s="15"/>
      <c r="HC20" s="15"/>
      <c r="HD20" s="15"/>
      <c r="HE20" s="15"/>
      <c r="HF20" s="15"/>
      <c r="HG20" s="15"/>
      <c r="HH20" s="15"/>
      <c r="HI20" s="15"/>
      <c r="HJ20" s="15"/>
      <c r="HK20" s="15"/>
      <c r="HL20" s="15"/>
      <c r="HM20" s="15"/>
      <c r="HN20" s="15"/>
      <c r="HO20" s="15"/>
      <c r="HP20" s="15"/>
      <c r="HQ20" s="15"/>
      <c r="HR20" s="15"/>
      <c r="HS20" s="15"/>
      <c r="HT20" s="15"/>
      <c r="HU20" s="15"/>
      <c r="HV20" s="15"/>
      <c r="HW20" s="15"/>
      <c r="HX20" s="15"/>
      <c r="HY20" s="15"/>
      <c r="HZ20" s="15"/>
      <c r="IA20" s="15"/>
      <c r="IB20" s="15"/>
      <c r="IC20" s="15"/>
      <c r="ID20" s="15"/>
      <c r="IE20" s="15"/>
      <c r="IF20" s="15"/>
      <c r="IG20" s="15"/>
      <c r="IH20" s="15"/>
      <c r="II20" s="15"/>
      <c r="IJ20" s="15"/>
      <c r="IK20" s="15"/>
      <c r="IL20" s="15"/>
      <c r="IM20" s="15"/>
      <c r="IN20" s="15"/>
      <c r="IO20" s="15"/>
      <c r="IP20" s="15"/>
      <c r="IQ20" s="15"/>
      <c r="IR20" s="15"/>
      <c r="IS20" s="15"/>
      <c r="IT20" s="15"/>
      <c r="IU20" s="15"/>
      <c r="IV20" s="15"/>
      <c r="IW20" s="15"/>
      <c r="IX20" s="15"/>
      <c r="IY20" s="15"/>
      <c r="IZ20" s="15"/>
      <c r="JA20" s="15"/>
      <c r="JB20" s="15"/>
      <c r="JC20" s="15"/>
      <c r="JD20" s="15"/>
      <c r="JE20" s="15"/>
      <c r="JF20" s="15"/>
      <c r="JG20" s="15"/>
      <c r="JH20" s="15"/>
      <c r="JI20" s="15"/>
      <c r="JJ20" s="15"/>
      <c r="JK20" s="15"/>
      <c r="JL20" s="15"/>
      <c r="JM20" s="15"/>
      <c r="JN20" s="15"/>
      <c r="JO20" s="15"/>
      <c r="JP20" s="15"/>
      <c r="JQ20" s="15"/>
      <c r="JR20" s="15"/>
      <c r="JS20" s="15"/>
      <c r="JT20" s="15"/>
      <c r="JU20" s="15"/>
      <c r="JV20" s="15"/>
      <c r="JW20" s="15"/>
      <c r="JX20" s="15"/>
      <c r="JY20" s="15"/>
      <c r="JZ20" s="15"/>
      <c r="KA20" s="15"/>
      <c r="KB20" s="15"/>
      <c r="KC20" s="15"/>
      <c r="KD20" s="15"/>
      <c r="KE20" s="15"/>
      <c r="KF20" s="15"/>
      <c r="KG20" s="15"/>
      <c r="KH20" s="15"/>
      <c r="KI20" s="15"/>
      <c r="KJ20" s="15"/>
      <c r="KK20" s="15"/>
      <c r="KL20" s="15"/>
      <c r="KM20" s="15"/>
      <c r="KN20" s="15"/>
      <c r="KO20" s="15"/>
      <c r="KP20" s="15"/>
      <c r="KQ20" s="15"/>
      <c r="KR20" s="15"/>
      <c r="KS20" s="15"/>
      <c r="KT20" s="15"/>
      <c r="KU20" s="15"/>
      <c r="KV20" s="15"/>
      <c r="KW20" s="15"/>
      <c r="KX20" s="15"/>
      <c r="KY20" s="15"/>
      <c r="KZ20" s="15"/>
      <c r="LA20" s="15"/>
      <c r="LB20" s="15"/>
      <c r="LC20" s="15"/>
      <c r="LD20" s="15"/>
      <c r="LE20" s="15"/>
      <c r="LF20" s="15"/>
      <c r="LG20" s="15"/>
      <c r="LH20" s="15"/>
      <c r="LI20" s="15"/>
      <c r="LJ20" s="15"/>
      <c r="LK20" s="15"/>
      <c r="LL20" s="15"/>
      <c r="LM20" s="15"/>
      <c r="LN20" s="15"/>
      <c r="LO20" s="15"/>
      <c r="LP20" s="15"/>
      <c r="LQ20" s="15"/>
      <c r="LR20" s="15"/>
      <c r="LS20" s="15"/>
      <c r="LT20" s="15"/>
      <c r="LU20" s="15"/>
      <c r="LV20" s="15"/>
      <c r="LW20" s="15"/>
      <c r="LX20" s="15"/>
      <c r="LY20" s="15"/>
      <c r="LZ20" s="15"/>
      <c r="MA20" s="15"/>
      <c r="MB20" s="15"/>
      <c r="MC20" s="15"/>
      <c r="MD20" s="15"/>
      <c r="ME20" s="15"/>
      <c r="MF20" s="15"/>
      <c r="MG20" s="15"/>
      <c r="MH20" s="15"/>
      <c r="MI20" s="15"/>
      <c r="MJ20" s="15"/>
      <c r="MK20" s="15"/>
      <c r="ML20" s="15"/>
      <c r="MM20" s="15"/>
      <c r="MN20" s="15"/>
      <c r="MO20" s="15"/>
      <c r="MP20" s="15"/>
      <c r="MQ20" s="15"/>
      <c r="MR20" s="15"/>
      <c r="MS20" s="15"/>
      <c r="MT20" s="15"/>
      <c r="MU20" s="15"/>
      <c r="MV20" s="15"/>
      <c r="MW20" s="15"/>
      <c r="MX20" s="15"/>
      <c r="MY20" s="15"/>
      <c r="MZ20" s="15"/>
      <c r="NA20" s="15"/>
      <c r="NB20" s="15"/>
      <c r="NC20" s="15"/>
      <c r="ND20" s="15"/>
      <c r="NE20" s="15"/>
      <c r="NF20" s="15"/>
      <c r="NG20" s="15"/>
      <c r="NH20" s="15"/>
      <c r="NI20" s="15"/>
      <c r="NJ20" s="15"/>
      <c r="NK20" s="15"/>
      <c r="NL20" s="15"/>
      <c r="NM20" s="15"/>
      <c r="NN20" s="15"/>
      <c r="NO20" s="15"/>
      <c r="NP20" s="15"/>
      <c r="NQ20" s="15"/>
      <c r="NR20" s="15"/>
      <c r="NS20" s="15"/>
      <c r="NT20" s="15"/>
      <c r="NU20" s="15"/>
      <c r="NV20" s="15"/>
      <c r="NW20" s="15"/>
      <c r="NX20" s="15"/>
      <c r="NY20" s="15"/>
      <c r="NZ20" s="15"/>
      <c r="OA20" s="15"/>
      <c r="OB20" s="15"/>
      <c r="OC20" s="15"/>
      <c r="OD20" s="15"/>
      <c r="OE20" s="15"/>
      <c r="OF20" s="15"/>
      <c r="OG20" s="15"/>
      <c r="OH20" s="15"/>
      <c r="OI20" s="15"/>
      <c r="OJ20" s="15"/>
      <c r="OK20" s="15"/>
      <c r="OL20" s="15"/>
      <c r="OM20" s="15"/>
      <c r="ON20" s="15"/>
      <c r="OO20" s="15"/>
      <c r="OP20" s="15"/>
      <c r="OQ20" s="15"/>
      <c r="OR20" s="15"/>
      <c r="OS20" s="15"/>
      <c r="OT20" s="15"/>
      <c r="OU20" s="15"/>
      <c r="OV20" s="15"/>
      <c r="OW20" s="15"/>
      <c r="OX20" s="15"/>
      <c r="OY20" s="15"/>
      <c r="OZ20" s="15"/>
      <c r="PA20" s="15"/>
      <c r="PB20" s="15"/>
      <c r="PC20" s="15"/>
      <c r="PD20" s="15"/>
      <c r="PE20" s="15"/>
      <c r="PF20" s="15"/>
      <c r="PG20" s="15"/>
      <c r="PH20" s="15"/>
      <c r="PI20" s="15"/>
      <c r="PJ20" s="15"/>
      <c r="PK20" s="15"/>
      <c r="PL20" s="15"/>
      <c r="PM20" s="15"/>
      <c r="PN20" s="15"/>
      <c r="PO20" s="15"/>
      <c r="PP20" s="15"/>
      <c r="PQ20" s="15"/>
      <c r="PR20" s="15"/>
      <c r="PS20" s="15"/>
      <c r="PT20" s="15"/>
      <c r="PU20" s="15"/>
      <c r="PV20" s="15"/>
      <c r="PW20" s="15"/>
      <c r="PX20" s="15"/>
      <c r="PY20" s="15"/>
      <c r="PZ20" s="15"/>
      <c r="QA20" s="15"/>
      <c r="QB20" s="15"/>
      <c r="QC20" s="15"/>
      <c r="QD20" s="15"/>
      <c r="QE20" s="15"/>
      <c r="QF20" s="15"/>
      <c r="QG20" s="15"/>
      <c r="QH20" s="15"/>
      <c r="QI20" s="15"/>
      <c r="QJ20" s="15"/>
      <c r="QK20" s="15"/>
      <c r="QL20" s="15"/>
      <c r="QM20" s="15"/>
      <c r="QN20" s="15"/>
      <c r="QO20" s="15"/>
      <c r="QP20" s="15"/>
      <c r="QQ20" s="15"/>
      <c r="QR20" s="15"/>
      <c r="QS20" s="15"/>
      <c r="QT20" s="15"/>
      <c r="QU20" s="15"/>
      <c r="QV20" s="15"/>
      <c r="QW20" s="15"/>
      <c r="QX20" s="15"/>
      <c r="QY20" s="15"/>
      <c r="QZ20" s="15"/>
      <c r="RA20" s="15"/>
      <c r="RB20" s="15"/>
      <c r="RC20" s="15"/>
      <c r="RD20" s="15"/>
      <c r="RE20" s="15"/>
      <c r="RF20" s="15"/>
      <c r="RG20" s="15"/>
      <c r="RH20" s="15"/>
      <c r="RI20" s="15"/>
      <c r="RJ20" s="15"/>
      <c r="RK20" s="15"/>
      <c r="RL20" s="15"/>
      <c r="RM20" s="15"/>
      <c r="RN20" s="15"/>
      <c r="RO20" s="15"/>
      <c r="RP20" s="15"/>
      <c r="RQ20" s="15"/>
      <c r="RR20" s="15"/>
      <c r="RS20" s="15"/>
      <c r="RT20" s="15"/>
      <c r="RU20" s="15"/>
      <c r="RV20" s="15"/>
      <c r="RW20" s="15"/>
      <c r="RX20" s="15"/>
      <c r="RY20" s="15"/>
      <c r="RZ20" s="15"/>
      <c r="SA20" s="15"/>
      <c r="SB20" s="15"/>
      <c r="SC20" s="15"/>
      <c r="SD20" s="15"/>
      <c r="SE20" s="15"/>
      <c r="SF20" s="15"/>
      <c r="SG20" s="15"/>
      <c r="SH20" s="15"/>
      <c r="SI20" s="15"/>
      <c r="SJ20" s="15"/>
      <c r="SK20" s="15"/>
      <c r="SL20" s="15"/>
      <c r="SM20" s="15"/>
      <c r="SN20" s="15"/>
      <c r="SO20" s="15"/>
      <c r="SP20" s="15"/>
      <c r="SQ20" s="15"/>
      <c r="SR20" s="15"/>
      <c r="SS20" s="15"/>
      <c r="ST20" s="15"/>
      <c r="SU20" s="15"/>
      <c r="SV20" s="15"/>
      <c r="SW20" s="15"/>
      <c r="SX20" s="15"/>
      <c r="SY20" s="15"/>
      <c r="SZ20" s="15"/>
      <c r="TA20" s="15"/>
      <c r="TB20" s="15"/>
      <c r="TC20" s="15"/>
      <c r="TD20" s="15"/>
      <c r="TE20" s="15"/>
      <c r="TF20" s="15"/>
      <c r="TG20" s="15"/>
      <c r="TH20" s="15"/>
      <c r="TI20" s="15"/>
      <c r="TJ20" s="15"/>
      <c r="TK20" s="15"/>
      <c r="TL20" s="15"/>
      <c r="TM20" s="15"/>
      <c r="TN20" s="15"/>
      <c r="TO20" s="15"/>
      <c r="TP20" s="15"/>
      <c r="TQ20" s="15"/>
      <c r="TR20" s="15"/>
      <c r="TS20" s="15"/>
      <c r="TT20" s="15"/>
      <c r="TU20" s="15"/>
      <c r="TV20" s="15"/>
      <c r="TW20" s="15"/>
      <c r="TX20" s="15"/>
      <c r="TY20" s="15"/>
      <c r="TZ20" s="15"/>
      <c r="UA20" s="15"/>
      <c r="UB20" s="15"/>
      <c r="UC20" s="15"/>
      <c r="UD20" s="15"/>
      <c r="UE20" s="15"/>
      <c r="UF20" s="15"/>
      <c r="UG20" s="15"/>
      <c r="UH20" s="15"/>
      <c r="UI20" s="15"/>
      <c r="UJ20" s="15"/>
      <c r="UK20" s="15"/>
      <c r="UL20" s="15"/>
      <c r="UM20" s="15"/>
      <c r="UN20" s="15"/>
      <c r="UO20" s="15"/>
      <c r="UP20" s="15"/>
      <c r="UQ20" s="15"/>
      <c r="UR20" s="15"/>
      <c r="US20" s="15"/>
      <c r="UT20" s="15"/>
      <c r="UU20" s="15"/>
      <c r="UV20" s="15"/>
      <c r="UW20" s="15"/>
      <c r="UX20" s="15"/>
      <c r="UY20" s="15"/>
      <c r="UZ20" s="15"/>
      <c r="VA20" s="15"/>
      <c r="VB20" s="15"/>
      <c r="VC20" s="15"/>
      <c r="VD20" s="15"/>
      <c r="VE20" s="15"/>
      <c r="VF20" s="15"/>
      <c r="VG20" s="15"/>
      <c r="VH20" s="15"/>
      <c r="VI20" s="15"/>
      <c r="VJ20" s="15"/>
      <c r="VK20" s="15"/>
      <c r="VL20" s="15"/>
      <c r="VM20" s="15"/>
      <c r="VN20" s="15"/>
      <c r="VO20" s="15"/>
      <c r="VP20" s="15"/>
      <c r="VQ20" s="15"/>
      <c r="VR20" s="15"/>
      <c r="VS20" s="15"/>
      <c r="VT20" s="15"/>
      <c r="VU20" s="15"/>
      <c r="VV20" s="15"/>
      <c r="VW20" s="15"/>
      <c r="VX20" s="15"/>
      <c r="VY20" s="15"/>
      <c r="VZ20" s="15"/>
      <c r="WA20" s="15"/>
      <c r="WB20" s="15"/>
      <c r="WC20" s="15"/>
      <c r="WD20" s="15"/>
      <c r="WE20" s="15"/>
    </row>
    <row r="21" spans="1:603" s="11" customFormat="1" x14ac:dyDescent="0.4">
      <c r="A21" s="12"/>
      <c r="B21" s="12"/>
      <c r="C21" s="12"/>
      <c r="D21" s="12"/>
      <c r="E21" s="12"/>
      <c r="F21" s="12"/>
      <c r="G21" s="12"/>
      <c r="H21" s="12"/>
      <c r="I21" s="12"/>
      <c r="J21" s="15"/>
      <c r="K21" s="15"/>
      <c r="L21" s="16"/>
      <c r="M21" s="16"/>
      <c r="N21" s="15"/>
      <c r="O21" s="15"/>
      <c r="P21" s="16"/>
      <c r="Q21" s="16"/>
      <c r="R21" s="15"/>
      <c r="S21" s="15"/>
      <c r="T21" s="16"/>
      <c r="U21" s="16"/>
      <c r="V21" s="15"/>
      <c r="W21" s="15"/>
      <c r="X21" s="16"/>
      <c r="Y21" s="16"/>
      <c r="Z21" s="15"/>
      <c r="AA21" s="15"/>
      <c r="AB21" s="16"/>
      <c r="AC21" s="16"/>
      <c r="AD21" s="15"/>
      <c r="AE21" s="15"/>
      <c r="AF21" s="16"/>
      <c r="AG21" s="16"/>
      <c r="AH21" s="15"/>
      <c r="AI21" s="15"/>
      <c r="AJ21" s="16"/>
      <c r="AK21" s="16"/>
      <c r="AL21" s="15"/>
      <c r="AM21" s="15"/>
      <c r="AN21" s="16"/>
      <c r="AO21" s="16"/>
      <c r="AP21" s="15"/>
      <c r="AQ21" s="15"/>
      <c r="AR21" s="16"/>
      <c r="AS21" s="16"/>
      <c r="AT21" s="15"/>
      <c r="AU21" s="15"/>
      <c r="AV21" s="16"/>
      <c r="AW21" s="16"/>
      <c r="AX21" s="15"/>
      <c r="AY21" s="15"/>
      <c r="AZ21" s="16"/>
      <c r="BA21" s="16"/>
      <c r="BB21" s="15"/>
      <c r="BC21" s="15"/>
      <c r="BD21" s="16"/>
      <c r="BE21" s="16"/>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c r="DF21" s="15"/>
      <c r="DG21" s="15"/>
      <c r="DH21" s="15"/>
      <c r="DI21" s="15"/>
      <c r="DJ21" s="15"/>
      <c r="DK21" s="15"/>
      <c r="DL21" s="15"/>
      <c r="DM21" s="15"/>
      <c r="DN21" s="15"/>
      <c r="DO21" s="15"/>
      <c r="DP21" s="15"/>
      <c r="DQ21" s="15"/>
      <c r="DR21" s="15"/>
      <c r="DS21" s="15"/>
      <c r="DT21" s="15"/>
      <c r="DU21" s="15"/>
      <c r="DV21" s="15"/>
      <c r="DW21" s="15"/>
      <c r="DX21" s="15"/>
      <c r="DY21" s="15"/>
      <c r="DZ21" s="15"/>
      <c r="EA21" s="15"/>
      <c r="EB21" s="15"/>
      <c r="EC21" s="15"/>
      <c r="ED21" s="15"/>
      <c r="EE21" s="15"/>
      <c r="EF21" s="15"/>
      <c r="EG21" s="15"/>
      <c r="EH21" s="15"/>
      <c r="EI21" s="15"/>
      <c r="EJ21" s="15"/>
      <c r="EK21" s="15"/>
      <c r="EL21" s="15"/>
      <c r="EM21" s="15"/>
      <c r="EN21" s="15"/>
      <c r="EO21" s="15"/>
      <c r="EP21" s="15"/>
      <c r="EQ21" s="15"/>
      <c r="ER21" s="15"/>
      <c r="ES21" s="15"/>
      <c r="ET21" s="15"/>
      <c r="EU21" s="15"/>
      <c r="EV21" s="15"/>
      <c r="EW21" s="15"/>
      <c r="EX21" s="15"/>
      <c r="EY21" s="15"/>
      <c r="EZ21" s="15"/>
      <c r="FA21" s="15"/>
      <c r="FB21" s="15"/>
      <c r="FC21" s="15"/>
      <c r="FD21" s="15"/>
      <c r="FE21" s="15"/>
      <c r="FF21" s="15"/>
      <c r="FG21" s="15"/>
      <c r="FH21" s="15"/>
      <c r="FI21" s="15"/>
      <c r="FJ21" s="15"/>
      <c r="FK21" s="15"/>
      <c r="FL21" s="15"/>
      <c r="FM21" s="15"/>
      <c r="FN21" s="15"/>
      <c r="FO21" s="15"/>
      <c r="FP21" s="15"/>
      <c r="FQ21" s="15"/>
      <c r="FR21" s="15"/>
      <c r="FS21" s="15"/>
      <c r="FT21" s="15"/>
      <c r="FU21" s="15"/>
      <c r="FV21" s="15"/>
      <c r="FW21" s="15"/>
      <c r="FX21" s="15"/>
      <c r="FY21" s="15"/>
      <c r="FZ21" s="15"/>
      <c r="GA21" s="15"/>
      <c r="GB21" s="15"/>
      <c r="GC21" s="15"/>
      <c r="GD21" s="15"/>
      <c r="GE21" s="15"/>
      <c r="GF21" s="15"/>
      <c r="GG21" s="15"/>
      <c r="GH21" s="15"/>
      <c r="GI21" s="15"/>
      <c r="GJ21" s="15"/>
      <c r="GK21" s="15"/>
      <c r="GL21" s="15"/>
      <c r="GM21" s="15"/>
      <c r="GN21" s="15"/>
      <c r="GO21" s="15"/>
      <c r="GP21" s="15"/>
      <c r="GQ21" s="15"/>
      <c r="GR21" s="15"/>
      <c r="GS21" s="15"/>
      <c r="GT21" s="15"/>
      <c r="GU21" s="15"/>
      <c r="GV21" s="15"/>
      <c r="GW21" s="15"/>
      <c r="GX21" s="15"/>
      <c r="GY21" s="15"/>
      <c r="GZ21" s="15"/>
      <c r="HA21" s="15"/>
      <c r="HB21" s="15"/>
      <c r="HC21" s="15"/>
      <c r="HD21" s="15"/>
      <c r="HE21" s="15"/>
      <c r="HF21" s="15"/>
      <c r="HG21" s="15"/>
      <c r="HH21" s="15"/>
      <c r="HI21" s="15"/>
      <c r="HJ21" s="15"/>
      <c r="HK21" s="15"/>
      <c r="HL21" s="15"/>
      <c r="HM21" s="15"/>
      <c r="HN21" s="15"/>
      <c r="HO21" s="15"/>
      <c r="HP21" s="15"/>
      <c r="HQ21" s="15"/>
      <c r="HR21" s="15"/>
      <c r="HS21" s="15"/>
      <c r="HT21" s="15"/>
      <c r="HU21" s="15"/>
      <c r="HV21" s="15"/>
      <c r="HW21" s="15"/>
      <c r="HX21" s="15"/>
      <c r="HY21" s="15"/>
      <c r="HZ21" s="15"/>
      <c r="IA21" s="15"/>
      <c r="IB21" s="15"/>
      <c r="IC21" s="15"/>
      <c r="ID21" s="15"/>
      <c r="IE21" s="15"/>
      <c r="IF21" s="15"/>
      <c r="IG21" s="15"/>
      <c r="IH21" s="15"/>
      <c r="II21" s="15"/>
      <c r="IJ21" s="15"/>
      <c r="IK21" s="15"/>
      <c r="IL21" s="15"/>
      <c r="IM21" s="15"/>
      <c r="IN21" s="15"/>
      <c r="IO21" s="15"/>
      <c r="IP21" s="15"/>
      <c r="IQ21" s="15"/>
      <c r="IR21" s="15"/>
      <c r="IS21" s="15"/>
      <c r="IT21" s="15"/>
      <c r="IU21" s="15"/>
      <c r="IV21" s="15"/>
      <c r="IW21" s="15"/>
      <c r="IX21" s="15"/>
      <c r="IY21" s="15"/>
      <c r="IZ21" s="15"/>
      <c r="JA21" s="15"/>
      <c r="JB21" s="15"/>
      <c r="JC21" s="15"/>
      <c r="JD21" s="15"/>
      <c r="JE21" s="15"/>
      <c r="JF21" s="15"/>
      <c r="JG21" s="15"/>
      <c r="JH21" s="15"/>
      <c r="JI21" s="15"/>
      <c r="JJ21" s="15"/>
      <c r="JK21" s="15"/>
      <c r="JL21" s="15"/>
      <c r="JM21" s="15"/>
      <c r="JN21" s="15"/>
      <c r="JO21" s="15"/>
      <c r="JP21" s="15"/>
      <c r="JQ21" s="15"/>
      <c r="JR21" s="15"/>
      <c r="JS21" s="15"/>
      <c r="JT21" s="15"/>
      <c r="JU21" s="15"/>
      <c r="JV21" s="15"/>
      <c r="JW21" s="15"/>
      <c r="JX21" s="15"/>
      <c r="JY21" s="15"/>
      <c r="JZ21" s="15"/>
      <c r="KA21" s="15"/>
      <c r="KB21" s="15"/>
      <c r="KC21" s="15"/>
      <c r="KD21" s="15"/>
      <c r="KE21" s="15"/>
      <c r="KF21" s="15"/>
      <c r="KG21" s="15"/>
      <c r="KH21" s="15"/>
      <c r="KI21" s="15"/>
      <c r="KJ21" s="15"/>
      <c r="KK21" s="15"/>
      <c r="KL21" s="15"/>
      <c r="KM21" s="15"/>
      <c r="KN21" s="15"/>
      <c r="KO21" s="15"/>
      <c r="KP21" s="15"/>
      <c r="KQ21" s="15"/>
      <c r="KR21" s="15"/>
      <c r="KS21" s="15"/>
      <c r="KT21" s="15"/>
      <c r="KU21" s="15"/>
      <c r="KV21" s="15"/>
      <c r="KW21" s="15"/>
      <c r="KX21" s="15"/>
      <c r="KY21" s="15"/>
      <c r="KZ21" s="15"/>
      <c r="LA21" s="15"/>
      <c r="LB21" s="15"/>
      <c r="LC21" s="15"/>
      <c r="LD21" s="15"/>
      <c r="LE21" s="15"/>
      <c r="LF21" s="15"/>
      <c r="LG21" s="15"/>
      <c r="LH21" s="15"/>
      <c r="LI21" s="15"/>
      <c r="LJ21" s="15"/>
      <c r="LK21" s="15"/>
      <c r="LL21" s="15"/>
      <c r="LM21" s="15"/>
      <c r="LN21" s="15"/>
      <c r="LO21" s="15"/>
      <c r="LP21" s="15"/>
      <c r="LQ21" s="15"/>
      <c r="LR21" s="15"/>
      <c r="LS21" s="15"/>
      <c r="LT21" s="15"/>
      <c r="LU21" s="15"/>
      <c r="LV21" s="15"/>
      <c r="LW21" s="15"/>
      <c r="LX21" s="15"/>
      <c r="LY21" s="15"/>
      <c r="LZ21" s="15"/>
      <c r="MA21" s="15"/>
      <c r="MB21" s="15"/>
      <c r="MC21" s="15"/>
      <c r="MD21" s="15"/>
      <c r="ME21" s="15"/>
      <c r="MF21" s="15"/>
      <c r="MG21" s="15"/>
      <c r="MH21" s="15"/>
      <c r="MI21" s="15"/>
      <c r="MJ21" s="15"/>
      <c r="MK21" s="15"/>
      <c r="ML21" s="15"/>
      <c r="MM21" s="15"/>
      <c r="MN21" s="15"/>
      <c r="MO21" s="15"/>
      <c r="MP21" s="15"/>
      <c r="MQ21" s="15"/>
      <c r="MR21" s="15"/>
      <c r="MS21" s="15"/>
      <c r="MT21" s="15"/>
      <c r="MU21" s="15"/>
      <c r="MV21" s="15"/>
      <c r="MW21" s="15"/>
      <c r="MX21" s="15"/>
      <c r="MY21" s="15"/>
      <c r="MZ21" s="15"/>
      <c r="NA21" s="15"/>
      <c r="NB21" s="15"/>
      <c r="NC21" s="15"/>
      <c r="ND21" s="15"/>
      <c r="NE21" s="15"/>
      <c r="NF21" s="15"/>
      <c r="NG21" s="15"/>
      <c r="NH21" s="15"/>
      <c r="NI21" s="15"/>
      <c r="NJ21" s="15"/>
      <c r="NK21" s="15"/>
      <c r="NL21" s="15"/>
      <c r="NM21" s="15"/>
      <c r="NN21" s="15"/>
      <c r="NO21" s="15"/>
      <c r="NP21" s="15"/>
      <c r="NQ21" s="15"/>
      <c r="NR21" s="15"/>
      <c r="NS21" s="15"/>
      <c r="NT21" s="15"/>
      <c r="NU21" s="15"/>
      <c r="NV21" s="15"/>
      <c r="NW21" s="15"/>
      <c r="NX21" s="15"/>
      <c r="NY21" s="15"/>
      <c r="NZ21" s="15"/>
      <c r="OA21" s="15"/>
      <c r="OB21" s="15"/>
      <c r="OC21" s="15"/>
      <c r="OD21" s="15"/>
      <c r="OE21" s="15"/>
      <c r="OF21" s="15"/>
      <c r="OG21" s="15"/>
      <c r="OH21" s="15"/>
      <c r="OI21" s="15"/>
      <c r="OJ21" s="15"/>
      <c r="OK21" s="15"/>
      <c r="OL21" s="15"/>
      <c r="OM21" s="15"/>
      <c r="ON21" s="15"/>
      <c r="OO21" s="15"/>
      <c r="OP21" s="15"/>
      <c r="OQ21" s="15"/>
      <c r="OR21" s="15"/>
      <c r="OS21" s="15"/>
      <c r="OT21" s="15"/>
      <c r="OU21" s="15"/>
      <c r="OV21" s="15"/>
      <c r="OW21" s="15"/>
      <c r="OX21" s="15"/>
      <c r="OY21" s="15"/>
      <c r="OZ21" s="15"/>
      <c r="PA21" s="15"/>
      <c r="PB21" s="15"/>
      <c r="PC21" s="15"/>
      <c r="PD21" s="15"/>
      <c r="PE21" s="15"/>
      <c r="PF21" s="15"/>
      <c r="PG21" s="15"/>
      <c r="PH21" s="15"/>
      <c r="PI21" s="15"/>
      <c r="PJ21" s="15"/>
      <c r="PK21" s="15"/>
      <c r="PL21" s="15"/>
      <c r="PM21" s="15"/>
      <c r="PN21" s="15"/>
      <c r="PO21" s="15"/>
      <c r="PP21" s="15"/>
      <c r="PQ21" s="15"/>
      <c r="PR21" s="15"/>
      <c r="PS21" s="15"/>
      <c r="PT21" s="15"/>
      <c r="PU21" s="15"/>
      <c r="PV21" s="15"/>
      <c r="PW21" s="15"/>
      <c r="PX21" s="15"/>
      <c r="PY21" s="15"/>
      <c r="PZ21" s="15"/>
      <c r="QA21" s="15"/>
      <c r="QB21" s="15"/>
      <c r="QC21" s="15"/>
      <c r="QD21" s="15"/>
      <c r="QE21" s="15"/>
      <c r="QF21" s="15"/>
      <c r="QG21" s="15"/>
      <c r="QH21" s="15"/>
      <c r="QI21" s="15"/>
      <c r="QJ21" s="15"/>
      <c r="QK21" s="15"/>
      <c r="QL21" s="15"/>
      <c r="QM21" s="15"/>
      <c r="QN21" s="15"/>
      <c r="QO21" s="15"/>
      <c r="QP21" s="15"/>
      <c r="QQ21" s="15"/>
      <c r="QR21" s="15"/>
      <c r="QS21" s="15"/>
      <c r="QT21" s="15"/>
      <c r="QU21" s="15"/>
      <c r="QV21" s="15"/>
      <c r="QW21" s="15"/>
      <c r="QX21" s="15"/>
      <c r="QY21" s="15"/>
      <c r="QZ21" s="15"/>
      <c r="RA21" s="15"/>
      <c r="RB21" s="15"/>
      <c r="RC21" s="15"/>
      <c r="RD21" s="15"/>
      <c r="RE21" s="15"/>
      <c r="RF21" s="15"/>
      <c r="RG21" s="15"/>
      <c r="RH21" s="15"/>
      <c r="RI21" s="15"/>
      <c r="RJ21" s="15"/>
      <c r="RK21" s="15"/>
      <c r="RL21" s="15"/>
      <c r="RM21" s="15"/>
      <c r="RN21" s="15"/>
      <c r="RO21" s="15"/>
      <c r="RP21" s="15"/>
      <c r="RQ21" s="15"/>
      <c r="RR21" s="15"/>
      <c r="RS21" s="15"/>
      <c r="RT21" s="15"/>
      <c r="RU21" s="15"/>
      <c r="RV21" s="15"/>
      <c r="RW21" s="15"/>
      <c r="RX21" s="15"/>
      <c r="RY21" s="15"/>
      <c r="RZ21" s="15"/>
      <c r="SA21" s="15"/>
      <c r="SB21" s="15"/>
      <c r="SC21" s="15"/>
      <c r="SD21" s="15"/>
      <c r="SE21" s="15"/>
      <c r="SF21" s="15"/>
      <c r="SG21" s="15"/>
      <c r="SH21" s="15"/>
      <c r="SI21" s="15"/>
      <c r="SJ21" s="15"/>
      <c r="SK21" s="15"/>
      <c r="SL21" s="15"/>
      <c r="SM21" s="15"/>
      <c r="SN21" s="15"/>
      <c r="SO21" s="15"/>
      <c r="SP21" s="15"/>
      <c r="SQ21" s="15"/>
      <c r="SR21" s="15"/>
      <c r="SS21" s="15"/>
      <c r="ST21" s="15"/>
      <c r="SU21" s="15"/>
      <c r="SV21" s="15"/>
      <c r="SW21" s="15"/>
      <c r="SX21" s="15"/>
      <c r="SY21" s="15"/>
      <c r="SZ21" s="15"/>
      <c r="TA21" s="15"/>
      <c r="TB21" s="15"/>
      <c r="TC21" s="15"/>
      <c r="TD21" s="15"/>
      <c r="TE21" s="15"/>
      <c r="TF21" s="15"/>
      <c r="TG21" s="15"/>
      <c r="TH21" s="15"/>
      <c r="TI21" s="15"/>
      <c r="TJ21" s="15"/>
      <c r="TK21" s="15"/>
      <c r="TL21" s="15"/>
      <c r="TM21" s="15"/>
      <c r="TN21" s="15"/>
      <c r="TO21" s="15"/>
      <c r="TP21" s="15"/>
      <c r="TQ21" s="15"/>
      <c r="TR21" s="15"/>
      <c r="TS21" s="15"/>
      <c r="TT21" s="15"/>
      <c r="TU21" s="15"/>
      <c r="TV21" s="15"/>
      <c r="TW21" s="15"/>
      <c r="TX21" s="15"/>
      <c r="TY21" s="15"/>
      <c r="TZ21" s="15"/>
      <c r="UA21" s="15"/>
      <c r="UB21" s="15"/>
      <c r="UC21" s="15"/>
      <c r="UD21" s="15"/>
      <c r="UE21" s="15"/>
      <c r="UF21" s="15"/>
      <c r="UG21" s="15"/>
      <c r="UH21" s="15"/>
      <c r="UI21" s="15"/>
      <c r="UJ21" s="15"/>
      <c r="UK21" s="15"/>
      <c r="UL21" s="15"/>
      <c r="UM21" s="15"/>
      <c r="UN21" s="15"/>
      <c r="UO21" s="15"/>
      <c r="UP21" s="15"/>
      <c r="UQ21" s="15"/>
      <c r="UR21" s="15"/>
      <c r="US21" s="15"/>
      <c r="UT21" s="15"/>
      <c r="UU21" s="15"/>
      <c r="UV21" s="15"/>
      <c r="UW21" s="15"/>
      <c r="UX21" s="15"/>
      <c r="UY21" s="15"/>
      <c r="UZ21" s="15"/>
      <c r="VA21" s="15"/>
      <c r="VB21" s="15"/>
      <c r="VC21" s="15"/>
      <c r="VD21" s="15"/>
      <c r="VE21" s="15"/>
      <c r="VF21" s="15"/>
      <c r="VG21" s="15"/>
      <c r="VH21" s="15"/>
      <c r="VI21" s="15"/>
      <c r="VJ21" s="15"/>
      <c r="VK21" s="15"/>
      <c r="VL21" s="15"/>
      <c r="VM21" s="15"/>
      <c r="VN21" s="15"/>
      <c r="VO21" s="15"/>
      <c r="VP21" s="15"/>
      <c r="VQ21" s="15"/>
      <c r="VR21" s="15"/>
      <c r="VS21" s="15"/>
      <c r="VT21" s="15"/>
      <c r="VU21" s="15"/>
      <c r="VV21" s="15"/>
      <c r="VW21" s="15"/>
      <c r="VX21" s="15"/>
      <c r="VY21" s="15"/>
      <c r="VZ21" s="15"/>
      <c r="WA21" s="15"/>
      <c r="WB21" s="15"/>
      <c r="WC21" s="15"/>
      <c r="WD21" s="15"/>
      <c r="WE21" s="15"/>
    </row>
    <row r="22" spans="1:603" s="11" customFormat="1" x14ac:dyDescent="0.4">
      <c r="A22" s="12"/>
      <c r="B22" s="12"/>
      <c r="C22" s="12"/>
      <c r="D22" s="12"/>
      <c r="E22" s="12"/>
      <c r="F22" s="12"/>
      <c r="G22" s="12"/>
      <c r="H22" s="12"/>
      <c r="I22" s="12"/>
      <c r="J22" s="15"/>
      <c r="K22" s="15"/>
      <c r="L22" s="16"/>
      <c r="M22" s="16"/>
      <c r="N22" s="15"/>
      <c r="O22" s="15"/>
      <c r="P22" s="16"/>
      <c r="Q22" s="16"/>
      <c r="R22" s="15"/>
      <c r="S22" s="15"/>
      <c r="T22" s="16"/>
      <c r="U22" s="16"/>
      <c r="V22" s="15"/>
      <c r="W22" s="15"/>
      <c r="X22" s="16"/>
      <c r="Y22" s="16"/>
      <c r="Z22" s="15"/>
      <c r="AA22" s="15"/>
      <c r="AB22" s="16"/>
      <c r="AC22" s="16"/>
      <c r="AD22" s="15"/>
      <c r="AE22" s="15"/>
      <c r="AF22" s="16"/>
      <c r="AG22" s="16"/>
      <c r="AH22" s="15"/>
      <c r="AI22" s="15"/>
      <c r="AJ22" s="16"/>
      <c r="AK22" s="16"/>
      <c r="AL22" s="15"/>
      <c r="AM22" s="15"/>
      <c r="AN22" s="16"/>
      <c r="AO22" s="16"/>
      <c r="AP22" s="15"/>
      <c r="AQ22" s="15"/>
      <c r="AR22" s="16"/>
      <c r="AS22" s="16"/>
      <c r="AT22" s="15"/>
      <c r="AU22" s="15"/>
      <c r="AV22" s="16"/>
      <c r="AW22" s="16"/>
      <c r="AX22" s="15"/>
      <c r="AY22" s="15"/>
      <c r="AZ22" s="16"/>
      <c r="BA22" s="16"/>
      <c r="BB22" s="15"/>
      <c r="BC22" s="15"/>
      <c r="BD22" s="16"/>
      <c r="BE22" s="16"/>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c r="CZ22" s="15"/>
      <c r="DA22" s="15"/>
      <c r="DB22" s="15"/>
      <c r="DC22" s="15"/>
      <c r="DD22" s="15"/>
      <c r="DE22" s="15"/>
      <c r="DF22" s="15"/>
      <c r="DG22" s="15"/>
      <c r="DH22" s="15"/>
      <c r="DI22" s="15"/>
      <c r="DJ22" s="15"/>
      <c r="DK22" s="15"/>
      <c r="DL22" s="15"/>
      <c r="DM22" s="15"/>
      <c r="DN22" s="15"/>
      <c r="DO22" s="15"/>
      <c r="DP22" s="15"/>
      <c r="DQ22" s="15"/>
      <c r="DR22" s="15"/>
      <c r="DS22" s="15"/>
      <c r="DT22" s="15"/>
      <c r="DU22" s="15"/>
      <c r="DV22" s="15"/>
      <c r="DW22" s="15"/>
      <c r="DX22" s="15"/>
      <c r="DY22" s="15"/>
      <c r="DZ22" s="15"/>
      <c r="EA22" s="15"/>
      <c r="EB22" s="15"/>
      <c r="EC22" s="15"/>
      <c r="ED22" s="15"/>
      <c r="EE22" s="15"/>
      <c r="EF22" s="15"/>
      <c r="EG22" s="15"/>
      <c r="EH22" s="15"/>
      <c r="EI22" s="15"/>
      <c r="EJ22" s="15"/>
      <c r="EK22" s="15"/>
      <c r="EL22" s="15"/>
      <c r="EM22" s="15"/>
      <c r="EN22" s="15"/>
      <c r="EO22" s="15"/>
      <c r="EP22" s="15"/>
      <c r="EQ22" s="15"/>
      <c r="ER22" s="15"/>
      <c r="ES22" s="15"/>
      <c r="ET22" s="15"/>
      <c r="EU22" s="15"/>
      <c r="EV22" s="15"/>
      <c r="EW22" s="15"/>
      <c r="EX22" s="15"/>
      <c r="EY22" s="15"/>
      <c r="EZ22" s="15"/>
      <c r="FA22" s="15"/>
      <c r="FB22" s="15"/>
      <c r="FC22" s="15"/>
      <c r="FD22" s="15"/>
      <c r="FE22" s="15"/>
      <c r="FF22" s="15"/>
      <c r="FG22" s="15"/>
      <c r="FH22" s="15"/>
      <c r="FI22" s="15"/>
      <c r="FJ22" s="15"/>
      <c r="FK22" s="15"/>
      <c r="FL22" s="15"/>
      <c r="FM22" s="15"/>
      <c r="FN22" s="15"/>
      <c r="FO22" s="15"/>
      <c r="FP22" s="15"/>
      <c r="FQ22" s="15"/>
      <c r="FR22" s="15"/>
      <c r="FS22" s="15"/>
      <c r="FT22" s="15"/>
      <c r="FU22" s="15"/>
      <c r="FV22" s="15"/>
      <c r="FW22" s="15"/>
      <c r="FX22" s="15"/>
      <c r="FY22" s="15"/>
      <c r="FZ22" s="15"/>
      <c r="GA22" s="15"/>
      <c r="GB22" s="15"/>
      <c r="GC22" s="15"/>
      <c r="GD22" s="15"/>
      <c r="GE22" s="15"/>
      <c r="GF22" s="15"/>
      <c r="GG22" s="15"/>
      <c r="GH22" s="15"/>
      <c r="GI22" s="15"/>
      <c r="GJ22" s="15"/>
      <c r="GK22" s="15"/>
      <c r="GL22" s="15"/>
      <c r="GM22" s="15"/>
      <c r="GN22" s="15"/>
      <c r="GO22" s="15"/>
      <c r="GP22" s="15"/>
      <c r="GQ22" s="15"/>
      <c r="GR22" s="15"/>
      <c r="GS22" s="15"/>
      <c r="GT22" s="15"/>
      <c r="GU22" s="15"/>
      <c r="GV22" s="15"/>
      <c r="GW22" s="15"/>
      <c r="GX22" s="15"/>
      <c r="GY22" s="15"/>
      <c r="GZ22" s="15"/>
      <c r="HA22" s="15"/>
      <c r="HB22" s="15"/>
      <c r="HC22" s="15"/>
      <c r="HD22" s="15"/>
      <c r="HE22" s="15"/>
      <c r="HF22" s="15"/>
      <c r="HG22" s="15"/>
      <c r="HH22" s="15"/>
      <c r="HI22" s="15"/>
      <c r="HJ22" s="15"/>
      <c r="HK22" s="15"/>
      <c r="HL22" s="15"/>
      <c r="HM22" s="15"/>
      <c r="HN22" s="15"/>
      <c r="HO22" s="15"/>
      <c r="HP22" s="15"/>
      <c r="HQ22" s="15"/>
      <c r="HR22" s="15"/>
      <c r="HS22" s="15"/>
      <c r="HT22" s="15"/>
      <c r="HU22" s="15"/>
      <c r="HV22" s="15"/>
      <c r="HW22" s="15"/>
      <c r="HX22" s="15"/>
      <c r="HY22" s="15"/>
      <c r="HZ22" s="15"/>
      <c r="IA22" s="15"/>
      <c r="IB22" s="15"/>
      <c r="IC22" s="15"/>
      <c r="ID22" s="15"/>
      <c r="IE22" s="15"/>
      <c r="IF22" s="15"/>
      <c r="IG22" s="15"/>
      <c r="IH22" s="15"/>
      <c r="II22" s="15"/>
      <c r="IJ22" s="15"/>
      <c r="IK22" s="15"/>
      <c r="IL22" s="15"/>
      <c r="IM22" s="15"/>
      <c r="IN22" s="15"/>
      <c r="IO22" s="15"/>
      <c r="IP22" s="15"/>
      <c r="IQ22" s="15"/>
      <c r="IR22" s="15"/>
      <c r="IS22" s="15"/>
      <c r="IT22" s="15"/>
      <c r="IU22" s="15"/>
      <c r="IV22" s="15"/>
      <c r="IW22" s="15"/>
      <c r="IX22" s="15"/>
      <c r="IY22" s="15"/>
      <c r="IZ22" s="15"/>
      <c r="JA22" s="15"/>
      <c r="JB22" s="15"/>
      <c r="JC22" s="15"/>
      <c r="JD22" s="15"/>
      <c r="JE22" s="15"/>
      <c r="JF22" s="15"/>
      <c r="JG22" s="15"/>
      <c r="JH22" s="15"/>
      <c r="JI22" s="15"/>
      <c r="JJ22" s="15"/>
      <c r="JK22" s="15"/>
      <c r="JL22" s="15"/>
      <c r="JM22" s="15"/>
      <c r="JN22" s="15"/>
      <c r="JO22" s="15"/>
      <c r="JP22" s="15"/>
      <c r="JQ22" s="15"/>
      <c r="JR22" s="15"/>
      <c r="JS22" s="15"/>
      <c r="JT22" s="15"/>
      <c r="JU22" s="15"/>
      <c r="JV22" s="15"/>
      <c r="JW22" s="15"/>
      <c r="JX22" s="15"/>
      <c r="JY22" s="15"/>
      <c r="JZ22" s="15"/>
      <c r="KA22" s="15"/>
      <c r="KB22" s="15"/>
      <c r="KC22" s="15"/>
      <c r="KD22" s="15"/>
      <c r="KE22" s="15"/>
      <c r="KF22" s="15"/>
      <c r="KG22" s="15"/>
      <c r="KH22" s="15"/>
      <c r="KI22" s="15"/>
      <c r="KJ22" s="15"/>
      <c r="KK22" s="15"/>
      <c r="KL22" s="15"/>
      <c r="KM22" s="15"/>
      <c r="KN22" s="15"/>
      <c r="KO22" s="15"/>
      <c r="KP22" s="15"/>
      <c r="KQ22" s="15"/>
      <c r="KR22" s="15"/>
      <c r="KS22" s="15"/>
      <c r="KT22" s="15"/>
      <c r="KU22" s="15"/>
      <c r="KV22" s="15"/>
      <c r="KW22" s="15"/>
      <c r="KX22" s="15"/>
      <c r="KY22" s="15"/>
      <c r="KZ22" s="15"/>
      <c r="LA22" s="15"/>
      <c r="LB22" s="15"/>
      <c r="LC22" s="15"/>
      <c r="LD22" s="15"/>
      <c r="LE22" s="15"/>
      <c r="LF22" s="15"/>
      <c r="LG22" s="15"/>
      <c r="LH22" s="15"/>
      <c r="LI22" s="15"/>
      <c r="LJ22" s="15"/>
      <c r="LK22" s="15"/>
      <c r="LL22" s="15"/>
      <c r="LM22" s="15"/>
      <c r="LN22" s="15"/>
      <c r="LO22" s="15"/>
      <c r="LP22" s="15"/>
      <c r="LQ22" s="15"/>
      <c r="LR22" s="15"/>
      <c r="LS22" s="15"/>
      <c r="LT22" s="15"/>
      <c r="LU22" s="15"/>
      <c r="LV22" s="15"/>
      <c r="LW22" s="15"/>
      <c r="LX22" s="15"/>
      <c r="LY22" s="15"/>
      <c r="LZ22" s="15"/>
      <c r="MA22" s="15"/>
      <c r="MB22" s="15"/>
      <c r="MC22" s="15"/>
      <c r="MD22" s="15"/>
      <c r="ME22" s="15"/>
      <c r="MF22" s="15"/>
      <c r="MG22" s="15"/>
      <c r="MH22" s="15"/>
      <c r="MI22" s="15"/>
      <c r="MJ22" s="15"/>
      <c r="MK22" s="15"/>
      <c r="ML22" s="15"/>
      <c r="MM22" s="15"/>
      <c r="MN22" s="15"/>
      <c r="MO22" s="15"/>
      <c r="MP22" s="15"/>
      <c r="MQ22" s="15"/>
      <c r="MR22" s="15"/>
      <c r="MS22" s="15"/>
      <c r="MT22" s="15"/>
      <c r="MU22" s="15"/>
      <c r="MV22" s="15"/>
      <c r="MW22" s="15"/>
      <c r="MX22" s="15"/>
      <c r="MY22" s="15"/>
      <c r="MZ22" s="15"/>
      <c r="NA22" s="15"/>
      <c r="NB22" s="15"/>
      <c r="NC22" s="15"/>
      <c r="ND22" s="15"/>
      <c r="NE22" s="15"/>
      <c r="NF22" s="15"/>
      <c r="NG22" s="15"/>
      <c r="NH22" s="15"/>
      <c r="NI22" s="15"/>
      <c r="NJ22" s="15"/>
      <c r="NK22" s="15"/>
      <c r="NL22" s="15"/>
      <c r="NM22" s="15"/>
      <c r="NN22" s="15"/>
      <c r="NO22" s="15"/>
      <c r="NP22" s="15"/>
      <c r="NQ22" s="15"/>
      <c r="NR22" s="15"/>
      <c r="NS22" s="15"/>
      <c r="NT22" s="15"/>
      <c r="NU22" s="15"/>
      <c r="NV22" s="15"/>
      <c r="NW22" s="15"/>
      <c r="NX22" s="15"/>
      <c r="NY22" s="15"/>
      <c r="NZ22" s="15"/>
      <c r="OA22" s="15"/>
      <c r="OB22" s="15"/>
      <c r="OC22" s="15"/>
      <c r="OD22" s="15"/>
      <c r="OE22" s="15"/>
      <c r="OF22" s="15"/>
      <c r="OG22" s="15"/>
      <c r="OH22" s="15"/>
      <c r="OI22" s="15"/>
      <c r="OJ22" s="15"/>
      <c r="OK22" s="15"/>
      <c r="OL22" s="15"/>
      <c r="OM22" s="15"/>
      <c r="ON22" s="15"/>
      <c r="OO22" s="15"/>
      <c r="OP22" s="15"/>
      <c r="OQ22" s="15"/>
      <c r="OR22" s="15"/>
      <c r="OS22" s="15"/>
      <c r="OT22" s="15"/>
      <c r="OU22" s="15"/>
      <c r="OV22" s="15"/>
      <c r="OW22" s="15"/>
      <c r="OX22" s="15"/>
      <c r="OY22" s="15"/>
      <c r="OZ22" s="15"/>
      <c r="PA22" s="15"/>
      <c r="PB22" s="15"/>
      <c r="PC22" s="15"/>
      <c r="PD22" s="15"/>
      <c r="PE22" s="15"/>
      <c r="PF22" s="15"/>
      <c r="PG22" s="15"/>
      <c r="PH22" s="15"/>
      <c r="PI22" s="15"/>
      <c r="PJ22" s="15"/>
      <c r="PK22" s="15"/>
      <c r="PL22" s="15"/>
      <c r="PM22" s="15"/>
      <c r="PN22" s="15"/>
      <c r="PO22" s="15"/>
      <c r="PP22" s="15"/>
      <c r="PQ22" s="15"/>
      <c r="PR22" s="15"/>
      <c r="PS22" s="15"/>
      <c r="PT22" s="15"/>
      <c r="PU22" s="15"/>
      <c r="PV22" s="15"/>
      <c r="PW22" s="15"/>
      <c r="PX22" s="15"/>
      <c r="PY22" s="15"/>
      <c r="PZ22" s="15"/>
      <c r="QA22" s="15"/>
      <c r="QB22" s="15"/>
      <c r="QC22" s="15"/>
      <c r="QD22" s="15"/>
      <c r="QE22" s="15"/>
      <c r="QF22" s="15"/>
      <c r="QG22" s="15"/>
      <c r="QH22" s="15"/>
      <c r="QI22" s="15"/>
      <c r="QJ22" s="15"/>
      <c r="QK22" s="15"/>
      <c r="QL22" s="15"/>
      <c r="QM22" s="15"/>
      <c r="QN22" s="15"/>
      <c r="QO22" s="15"/>
      <c r="QP22" s="15"/>
      <c r="QQ22" s="15"/>
      <c r="QR22" s="15"/>
      <c r="QS22" s="15"/>
      <c r="QT22" s="15"/>
      <c r="QU22" s="15"/>
      <c r="QV22" s="15"/>
      <c r="QW22" s="15"/>
      <c r="QX22" s="15"/>
      <c r="QY22" s="15"/>
      <c r="QZ22" s="15"/>
      <c r="RA22" s="15"/>
      <c r="RB22" s="15"/>
      <c r="RC22" s="15"/>
      <c r="RD22" s="15"/>
      <c r="RE22" s="15"/>
      <c r="RF22" s="15"/>
      <c r="RG22" s="15"/>
      <c r="RH22" s="15"/>
      <c r="RI22" s="15"/>
      <c r="RJ22" s="15"/>
      <c r="RK22" s="15"/>
      <c r="RL22" s="15"/>
      <c r="RM22" s="15"/>
      <c r="RN22" s="15"/>
      <c r="RO22" s="15"/>
      <c r="RP22" s="15"/>
      <c r="RQ22" s="15"/>
      <c r="RR22" s="15"/>
      <c r="RS22" s="15"/>
      <c r="RT22" s="15"/>
      <c r="RU22" s="15"/>
      <c r="RV22" s="15"/>
      <c r="RW22" s="15"/>
      <c r="RX22" s="15"/>
      <c r="RY22" s="15"/>
      <c r="RZ22" s="15"/>
      <c r="SA22" s="15"/>
      <c r="SB22" s="15"/>
      <c r="SC22" s="15"/>
      <c r="SD22" s="15"/>
      <c r="SE22" s="15"/>
      <c r="SF22" s="15"/>
      <c r="SG22" s="15"/>
      <c r="SH22" s="15"/>
      <c r="SI22" s="15"/>
      <c r="SJ22" s="15"/>
      <c r="SK22" s="15"/>
      <c r="SL22" s="15"/>
      <c r="SM22" s="15"/>
      <c r="SN22" s="15"/>
      <c r="SO22" s="15"/>
      <c r="SP22" s="15"/>
      <c r="SQ22" s="15"/>
      <c r="SR22" s="15"/>
      <c r="SS22" s="15"/>
      <c r="ST22" s="15"/>
      <c r="SU22" s="15"/>
      <c r="SV22" s="15"/>
      <c r="SW22" s="15"/>
      <c r="SX22" s="15"/>
      <c r="SY22" s="15"/>
      <c r="SZ22" s="15"/>
      <c r="TA22" s="15"/>
      <c r="TB22" s="15"/>
      <c r="TC22" s="15"/>
      <c r="TD22" s="15"/>
      <c r="TE22" s="15"/>
      <c r="TF22" s="15"/>
      <c r="TG22" s="15"/>
      <c r="TH22" s="15"/>
      <c r="TI22" s="15"/>
      <c r="TJ22" s="15"/>
      <c r="TK22" s="15"/>
      <c r="TL22" s="15"/>
      <c r="TM22" s="15"/>
      <c r="TN22" s="15"/>
      <c r="TO22" s="15"/>
      <c r="TP22" s="15"/>
      <c r="TQ22" s="15"/>
      <c r="TR22" s="15"/>
      <c r="TS22" s="15"/>
      <c r="TT22" s="15"/>
      <c r="TU22" s="15"/>
      <c r="TV22" s="15"/>
      <c r="TW22" s="15"/>
      <c r="TX22" s="15"/>
      <c r="TY22" s="15"/>
      <c r="TZ22" s="15"/>
      <c r="UA22" s="15"/>
      <c r="UB22" s="15"/>
      <c r="UC22" s="15"/>
      <c r="UD22" s="15"/>
      <c r="UE22" s="15"/>
      <c r="UF22" s="15"/>
      <c r="UG22" s="15"/>
      <c r="UH22" s="15"/>
      <c r="UI22" s="15"/>
      <c r="UJ22" s="15"/>
      <c r="UK22" s="15"/>
      <c r="UL22" s="15"/>
      <c r="UM22" s="15"/>
      <c r="UN22" s="15"/>
      <c r="UO22" s="15"/>
      <c r="UP22" s="15"/>
      <c r="UQ22" s="15"/>
      <c r="UR22" s="15"/>
      <c r="US22" s="15"/>
      <c r="UT22" s="15"/>
      <c r="UU22" s="15"/>
      <c r="UV22" s="15"/>
      <c r="UW22" s="15"/>
      <c r="UX22" s="15"/>
      <c r="UY22" s="15"/>
      <c r="UZ22" s="15"/>
      <c r="VA22" s="15"/>
      <c r="VB22" s="15"/>
      <c r="VC22" s="15"/>
      <c r="VD22" s="15"/>
      <c r="VE22" s="15"/>
      <c r="VF22" s="15"/>
      <c r="VG22" s="15"/>
      <c r="VH22" s="15"/>
      <c r="VI22" s="15"/>
      <c r="VJ22" s="15"/>
      <c r="VK22" s="15"/>
      <c r="VL22" s="15"/>
      <c r="VM22" s="15"/>
      <c r="VN22" s="15"/>
      <c r="VO22" s="15"/>
      <c r="VP22" s="15"/>
      <c r="VQ22" s="15"/>
      <c r="VR22" s="15"/>
      <c r="VS22" s="15"/>
      <c r="VT22" s="15"/>
      <c r="VU22" s="15"/>
      <c r="VV22" s="15"/>
      <c r="VW22" s="15"/>
      <c r="VX22" s="15"/>
      <c r="VY22" s="15"/>
      <c r="VZ22" s="15"/>
      <c r="WA22" s="15"/>
      <c r="WB22" s="15"/>
      <c r="WC22" s="15"/>
      <c r="WD22" s="15"/>
      <c r="WE22" s="15"/>
    </row>
    <row r="23" spans="1:603" s="11" customFormat="1" x14ac:dyDescent="0.4">
      <c r="A23" s="12"/>
      <c r="B23" s="12"/>
      <c r="C23" s="12"/>
      <c r="D23" s="12"/>
      <c r="E23" s="12"/>
      <c r="F23" s="12"/>
      <c r="G23" s="12"/>
      <c r="H23" s="12"/>
      <c r="I23" s="12"/>
      <c r="J23" s="15"/>
      <c r="K23" s="15"/>
      <c r="L23" s="16"/>
      <c r="M23" s="16"/>
      <c r="N23" s="15"/>
      <c r="O23" s="15"/>
      <c r="P23" s="16"/>
      <c r="Q23" s="16"/>
      <c r="R23" s="15"/>
      <c r="S23" s="15"/>
      <c r="T23" s="16"/>
      <c r="U23" s="16"/>
      <c r="V23" s="15"/>
      <c r="W23" s="15"/>
      <c r="X23" s="16"/>
      <c r="Y23" s="16"/>
      <c r="Z23" s="15"/>
      <c r="AA23" s="15"/>
      <c r="AB23" s="16"/>
      <c r="AC23" s="16"/>
      <c r="AD23" s="15"/>
      <c r="AE23" s="15"/>
      <c r="AF23" s="16"/>
      <c r="AG23" s="16"/>
      <c r="AH23" s="15"/>
      <c r="AI23" s="15"/>
      <c r="AJ23" s="16"/>
      <c r="AK23" s="16"/>
      <c r="AL23" s="15"/>
      <c r="AM23" s="15"/>
      <c r="AN23" s="16"/>
      <c r="AO23" s="16"/>
      <c r="AP23" s="15"/>
      <c r="AQ23" s="15"/>
      <c r="AR23" s="16"/>
      <c r="AS23" s="16"/>
      <c r="AT23" s="15"/>
      <c r="AU23" s="15"/>
      <c r="AV23" s="16"/>
      <c r="AW23" s="16"/>
      <c r="AX23" s="15"/>
      <c r="AY23" s="15"/>
      <c r="AZ23" s="16"/>
      <c r="BA23" s="16"/>
      <c r="BB23" s="15"/>
      <c r="BC23" s="15"/>
      <c r="BD23" s="16"/>
      <c r="BE23" s="16"/>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c r="DC23" s="15"/>
      <c r="DD23" s="15"/>
      <c r="DE23" s="15"/>
      <c r="DF23" s="15"/>
      <c r="DG23" s="15"/>
      <c r="DH23" s="15"/>
      <c r="DI23" s="15"/>
      <c r="DJ23" s="15"/>
      <c r="DK23" s="15"/>
      <c r="DL23" s="15"/>
      <c r="DM23" s="15"/>
      <c r="DN23" s="15"/>
      <c r="DO23" s="15"/>
      <c r="DP23" s="15"/>
      <c r="DQ23" s="15"/>
      <c r="DR23" s="15"/>
      <c r="DS23" s="15"/>
      <c r="DT23" s="15"/>
      <c r="DU23" s="15"/>
      <c r="DV23" s="15"/>
      <c r="DW23" s="15"/>
      <c r="DX23" s="15"/>
      <c r="DY23" s="15"/>
      <c r="DZ23" s="15"/>
      <c r="EA23" s="15"/>
      <c r="EB23" s="15"/>
      <c r="EC23" s="15"/>
      <c r="ED23" s="15"/>
      <c r="EE23" s="15"/>
      <c r="EF23" s="15"/>
      <c r="EG23" s="15"/>
      <c r="EH23" s="15"/>
      <c r="EI23" s="15"/>
      <c r="EJ23" s="15"/>
      <c r="EK23" s="15"/>
      <c r="EL23" s="15"/>
      <c r="EM23" s="15"/>
      <c r="EN23" s="15"/>
      <c r="EO23" s="15"/>
      <c r="EP23" s="15"/>
      <c r="EQ23" s="15"/>
      <c r="ER23" s="15"/>
      <c r="ES23" s="15"/>
      <c r="ET23" s="15"/>
      <c r="EU23" s="15"/>
      <c r="EV23" s="15"/>
      <c r="EW23" s="15"/>
      <c r="EX23" s="15"/>
      <c r="EY23" s="15"/>
      <c r="EZ23" s="15"/>
      <c r="FA23" s="15"/>
      <c r="FB23" s="15"/>
      <c r="FC23" s="15"/>
      <c r="FD23" s="15"/>
      <c r="FE23" s="15"/>
      <c r="FF23" s="15"/>
      <c r="FG23" s="15"/>
      <c r="FH23" s="15"/>
      <c r="FI23" s="15"/>
      <c r="FJ23" s="15"/>
      <c r="FK23" s="15"/>
      <c r="FL23" s="15"/>
      <c r="FM23" s="15"/>
      <c r="FN23" s="15"/>
      <c r="FO23" s="15"/>
      <c r="FP23" s="15"/>
      <c r="FQ23" s="15"/>
      <c r="FR23" s="15"/>
      <c r="FS23" s="15"/>
      <c r="FT23" s="15"/>
      <c r="FU23" s="15"/>
      <c r="FV23" s="15"/>
      <c r="FW23" s="15"/>
      <c r="FX23" s="15"/>
      <c r="FY23" s="15"/>
      <c r="FZ23" s="15"/>
      <c r="GA23" s="15"/>
      <c r="GB23" s="15"/>
      <c r="GC23" s="15"/>
      <c r="GD23" s="15"/>
      <c r="GE23" s="15"/>
      <c r="GF23" s="15"/>
      <c r="GG23" s="15"/>
      <c r="GH23" s="15"/>
      <c r="GI23" s="15"/>
      <c r="GJ23" s="15"/>
      <c r="GK23" s="15"/>
      <c r="GL23" s="15"/>
      <c r="GM23" s="15"/>
      <c r="GN23" s="15"/>
      <c r="GO23" s="15"/>
      <c r="GP23" s="15"/>
      <c r="GQ23" s="15"/>
      <c r="GR23" s="15"/>
      <c r="GS23" s="15"/>
      <c r="GT23" s="15"/>
      <c r="GU23" s="15"/>
      <c r="GV23" s="15"/>
      <c r="GW23" s="15"/>
      <c r="GX23" s="15"/>
      <c r="GY23" s="15"/>
      <c r="GZ23" s="15"/>
      <c r="HA23" s="15"/>
      <c r="HB23" s="15"/>
      <c r="HC23" s="15"/>
      <c r="HD23" s="15"/>
      <c r="HE23" s="15"/>
      <c r="HF23" s="15"/>
      <c r="HG23" s="15"/>
      <c r="HH23" s="15"/>
      <c r="HI23" s="15"/>
      <c r="HJ23" s="15"/>
      <c r="HK23" s="15"/>
      <c r="HL23" s="15"/>
      <c r="HM23" s="15"/>
      <c r="HN23" s="15"/>
      <c r="HO23" s="15"/>
      <c r="HP23" s="15"/>
      <c r="HQ23" s="15"/>
      <c r="HR23" s="15"/>
      <c r="HS23" s="15"/>
      <c r="HT23" s="15"/>
      <c r="HU23" s="15"/>
      <c r="HV23" s="15"/>
      <c r="HW23" s="15"/>
      <c r="HX23" s="15"/>
      <c r="HY23" s="15"/>
      <c r="HZ23" s="15"/>
      <c r="IA23" s="15"/>
      <c r="IB23" s="15"/>
      <c r="IC23" s="15"/>
      <c r="ID23" s="15"/>
      <c r="IE23" s="15"/>
      <c r="IF23" s="15"/>
      <c r="IG23" s="15"/>
      <c r="IH23" s="15"/>
      <c r="II23" s="15"/>
      <c r="IJ23" s="15"/>
      <c r="IK23" s="15"/>
      <c r="IL23" s="15"/>
      <c r="IM23" s="15"/>
      <c r="IN23" s="15"/>
      <c r="IO23" s="15"/>
      <c r="IP23" s="15"/>
      <c r="IQ23" s="15"/>
      <c r="IR23" s="15"/>
      <c r="IS23" s="15"/>
      <c r="IT23" s="15"/>
      <c r="IU23" s="15"/>
      <c r="IV23" s="15"/>
      <c r="IW23" s="15"/>
      <c r="IX23" s="15"/>
      <c r="IY23" s="15"/>
      <c r="IZ23" s="15"/>
      <c r="JA23" s="15"/>
      <c r="JB23" s="15"/>
      <c r="JC23" s="15"/>
      <c r="JD23" s="15"/>
      <c r="JE23" s="15"/>
      <c r="JF23" s="15"/>
      <c r="JG23" s="15"/>
      <c r="JH23" s="15"/>
      <c r="JI23" s="15"/>
      <c r="JJ23" s="15"/>
      <c r="JK23" s="15"/>
      <c r="JL23" s="15"/>
      <c r="JM23" s="15"/>
      <c r="JN23" s="15"/>
      <c r="JO23" s="15"/>
      <c r="JP23" s="15"/>
      <c r="JQ23" s="15"/>
      <c r="JR23" s="15"/>
      <c r="JS23" s="15"/>
      <c r="JT23" s="15"/>
      <c r="JU23" s="15"/>
      <c r="JV23" s="15"/>
      <c r="JW23" s="15"/>
      <c r="JX23" s="15"/>
      <c r="JY23" s="15"/>
      <c r="JZ23" s="15"/>
      <c r="KA23" s="15"/>
      <c r="KB23" s="15"/>
      <c r="KC23" s="15"/>
      <c r="KD23" s="15"/>
      <c r="KE23" s="15"/>
      <c r="KF23" s="15"/>
      <c r="KG23" s="15"/>
      <c r="KH23" s="15"/>
      <c r="KI23" s="15"/>
      <c r="KJ23" s="15"/>
      <c r="KK23" s="15"/>
      <c r="KL23" s="15"/>
      <c r="KM23" s="15"/>
      <c r="KN23" s="15"/>
      <c r="KO23" s="15"/>
      <c r="KP23" s="15"/>
      <c r="KQ23" s="15"/>
      <c r="KR23" s="15"/>
      <c r="KS23" s="15"/>
      <c r="KT23" s="15"/>
      <c r="KU23" s="15"/>
      <c r="KV23" s="15"/>
      <c r="KW23" s="15"/>
      <c r="KX23" s="15"/>
      <c r="KY23" s="15"/>
      <c r="KZ23" s="15"/>
      <c r="LA23" s="15"/>
      <c r="LB23" s="15"/>
      <c r="LC23" s="15"/>
      <c r="LD23" s="15"/>
      <c r="LE23" s="15"/>
      <c r="LF23" s="15"/>
      <c r="LG23" s="15"/>
      <c r="LH23" s="15"/>
      <c r="LI23" s="15"/>
      <c r="LJ23" s="15"/>
      <c r="LK23" s="15"/>
      <c r="LL23" s="15"/>
      <c r="LM23" s="15"/>
      <c r="LN23" s="15"/>
      <c r="LO23" s="15"/>
      <c r="LP23" s="15"/>
      <c r="LQ23" s="15"/>
      <c r="LR23" s="15"/>
      <c r="LS23" s="15"/>
      <c r="LT23" s="15"/>
      <c r="LU23" s="15"/>
      <c r="LV23" s="15"/>
      <c r="LW23" s="15"/>
      <c r="LX23" s="15"/>
      <c r="LY23" s="15"/>
      <c r="LZ23" s="15"/>
      <c r="MA23" s="15"/>
      <c r="MB23" s="15"/>
      <c r="MC23" s="15"/>
      <c r="MD23" s="15"/>
      <c r="ME23" s="15"/>
      <c r="MF23" s="15"/>
      <c r="MG23" s="15"/>
      <c r="MH23" s="15"/>
      <c r="MI23" s="15"/>
      <c r="MJ23" s="15"/>
      <c r="MK23" s="15"/>
      <c r="ML23" s="15"/>
      <c r="MM23" s="15"/>
      <c r="MN23" s="15"/>
      <c r="MO23" s="15"/>
      <c r="MP23" s="15"/>
      <c r="MQ23" s="15"/>
      <c r="MR23" s="15"/>
      <c r="MS23" s="15"/>
      <c r="MT23" s="15"/>
      <c r="MU23" s="15"/>
      <c r="MV23" s="15"/>
      <c r="MW23" s="15"/>
      <c r="MX23" s="15"/>
      <c r="MY23" s="15"/>
      <c r="MZ23" s="15"/>
      <c r="NA23" s="15"/>
      <c r="NB23" s="15"/>
      <c r="NC23" s="15"/>
      <c r="ND23" s="15"/>
      <c r="NE23" s="15"/>
      <c r="NF23" s="15"/>
      <c r="NG23" s="15"/>
      <c r="NH23" s="15"/>
      <c r="NI23" s="15"/>
      <c r="NJ23" s="15"/>
      <c r="NK23" s="15"/>
      <c r="NL23" s="15"/>
      <c r="NM23" s="15"/>
      <c r="NN23" s="15"/>
      <c r="NO23" s="15"/>
      <c r="NP23" s="15"/>
      <c r="NQ23" s="15"/>
      <c r="NR23" s="15"/>
      <c r="NS23" s="15"/>
      <c r="NT23" s="15"/>
      <c r="NU23" s="15"/>
      <c r="NV23" s="15"/>
      <c r="NW23" s="15"/>
      <c r="NX23" s="15"/>
      <c r="NY23" s="15"/>
      <c r="NZ23" s="15"/>
      <c r="OA23" s="15"/>
      <c r="OB23" s="15"/>
      <c r="OC23" s="15"/>
      <c r="OD23" s="15"/>
      <c r="OE23" s="15"/>
      <c r="OF23" s="15"/>
      <c r="OG23" s="15"/>
      <c r="OH23" s="15"/>
      <c r="OI23" s="15"/>
      <c r="OJ23" s="15"/>
      <c r="OK23" s="15"/>
      <c r="OL23" s="15"/>
      <c r="OM23" s="15"/>
      <c r="ON23" s="15"/>
      <c r="OO23" s="15"/>
      <c r="OP23" s="15"/>
      <c r="OQ23" s="15"/>
      <c r="OR23" s="15"/>
      <c r="OS23" s="15"/>
      <c r="OT23" s="15"/>
      <c r="OU23" s="15"/>
      <c r="OV23" s="15"/>
      <c r="OW23" s="15"/>
      <c r="OX23" s="15"/>
      <c r="OY23" s="15"/>
      <c r="OZ23" s="15"/>
      <c r="PA23" s="15"/>
      <c r="PB23" s="15"/>
      <c r="PC23" s="15"/>
      <c r="PD23" s="15"/>
      <c r="PE23" s="15"/>
      <c r="PF23" s="15"/>
      <c r="PG23" s="15"/>
      <c r="PH23" s="15"/>
      <c r="PI23" s="15"/>
      <c r="PJ23" s="15"/>
      <c r="PK23" s="15"/>
      <c r="PL23" s="15"/>
      <c r="PM23" s="15"/>
      <c r="PN23" s="15"/>
      <c r="PO23" s="15"/>
      <c r="PP23" s="15"/>
      <c r="PQ23" s="15"/>
      <c r="PR23" s="15"/>
      <c r="PS23" s="15"/>
      <c r="PT23" s="15"/>
      <c r="PU23" s="15"/>
      <c r="PV23" s="15"/>
      <c r="PW23" s="15"/>
      <c r="PX23" s="15"/>
      <c r="PY23" s="15"/>
      <c r="PZ23" s="15"/>
      <c r="QA23" s="15"/>
      <c r="QB23" s="15"/>
      <c r="QC23" s="15"/>
      <c r="QD23" s="15"/>
      <c r="QE23" s="15"/>
      <c r="QF23" s="15"/>
      <c r="QG23" s="15"/>
      <c r="QH23" s="15"/>
      <c r="QI23" s="15"/>
      <c r="QJ23" s="15"/>
      <c r="QK23" s="15"/>
      <c r="QL23" s="15"/>
      <c r="QM23" s="15"/>
      <c r="QN23" s="15"/>
      <c r="QO23" s="15"/>
      <c r="QP23" s="15"/>
      <c r="QQ23" s="15"/>
      <c r="QR23" s="15"/>
      <c r="QS23" s="15"/>
      <c r="QT23" s="15"/>
      <c r="QU23" s="15"/>
      <c r="QV23" s="15"/>
      <c r="QW23" s="15"/>
      <c r="QX23" s="15"/>
      <c r="QY23" s="15"/>
      <c r="QZ23" s="15"/>
      <c r="RA23" s="15"/>
      <c r="RB23" s="15"/>
      <c r="RC23" s="15"/>
      <c r="RD23" s="15"/>
      <c r="RE23" s="15"/>
      <c r="RF23" s="15"/>
      <c r="RG23" s="15"/>
      <c r="RH23" s="15"/>
      <c r="RI23" s="15"/>
      <c r="RJ23" s="15"/>
      <c r="RK23" s="15"/>
      <c r="RL23" s="15"/>
      <c r="RM23" s="15"/>
      <c r="RN23" s="15"/>
      <c r="RO23" s="15"/>
      <c r="RP23" s="15"/>
      <c r="RQ23" s="15"/>
      <c r="RR23" s="15"/>
      <c r="RS23" s="15"/>
      <c r="RT23" s="15"/>
      <c r="RU23" s="15"/>
      <c r="RV23" s="15"/>
      <c r="RW23" s="15"/>
      <c r="RX23" s="15"/>
      <c r="RY23" s="15"/>
      <c r="RZ23" s="15"/>
      <c r="SA23" s="15"/>
      <c r="SB23" s="15"/>
      <c r="SC23" s="15"/>
      <c r="SD23" s="15"/>
      <c r="SE23" s="15"/>
      <c r="SF23" s="15"/>
      <c r="SG23" s="15"/>
      <c r="SH23" s="15"/>
      <c r="SI23" s="15"/>
      <c r="SJ23" s="15"/>
      <c r="SK23" s="15"/>
      <c r="SL23" s="15"/>
      <c r="SM23" s="15"/>
      <c r="SN23" s="15"/>
      <c r="SO23" s="15"/>
      <c r="SP23" s="15"/>
      <c r="SQ23" s="15"/>
      <c r="SR23" s="15"/>
      <c r="SS23" s="15"/>
      <c r="ST23" s="15"/>
      <c r="SU23" s="15"/>
      <c r="SV23" s="15"/>
      <c r="SW23" s="15"/>
      <c r="SX23" s="15"/>
      <c r="SY23" s="15"/>
      <c r="SZ23" s="15"/>
      <c r="TA23" s="15"/>
      <c r="TB23" s="15"/>
      <c r="TC23" s="15"/>
      <c r="TD23" s="15"/>
      <c r="TE23" s="15"/>
      <c r="TF23" s="15"/>
      <c r="TG23" s="15"/>
      <c r="TH23" s="15"/>
      <c r="TI23" s="15"/>
      <c r="TJ23" s="15"/>
      <c r="TK23" s="15"/>
      <c r="TL23" s="15"/>
      <c r="TM23" s="15"/>
      <c r="TN23" s="15"/>
      <c r="TO23" s="15"/>
      <c r="TP23" s="15"/>
      <c r="TQ23" s="15"/>
      <c r="TR23" s="15"/>
      <c r="TS23" s="15"/>
      <c r="TT23" s="15"/>
      <c r="TU23" s="15"/>
      <c r="TV23" s="15"/>
      <c r="TW23" s="15"/>
      <c r="TX23" s="15"/>
      <c r="TY23" s="15"/>
      <c r="TZ23" s="15"/>
      <c r="UA23" s="15"/>
      <c r="UB23" s="15"/>
      <c r="UC23" s="15"/>
      <c r="UD23" s="15"/>
      <c r="UE23" s="15"/>
      <c r="UF23" s="15"/>
      <c r="UG23" s="15"/>
      <c r="UH23" s="15"/>
      <c r="UI23" s="15"/>
      <c r="UJ23" s="15"/>
      <c r="UK23" s="15"/>
      <c r="UL23" s="15"/>
      <c r="UM23" s="15"/>
      <c r="UN23" s="15"/>
      <c r="UO23" s="15"/>
      <c r="UP23" s="15"/>
      <c r="UQ23" s="15"/>
      <c r="UR23" s="15"/>
      <c r="US23" s="15"/>
      <c r="UT23" s="15"/>
      <c r="UU23" s="15"/>
      <c r="UV23" s="15"/>
      <c r="UW23" s="15"/>
      <c r="UX23" s="15"/>
      <c r="UY23" s="15"/>
      <c r="UZ23" s="15"/>
      <c r="VA23" s="15"/>
      <c r="VB23" s="15"/>
      <c r="VC23" s="15"/>
      <c r="VD23" s="15"/>
      <c r="VE23" s="15"/>
      <c r="VF23" s="15"/>
      <c r="VG23" s="15"/>
      <c r="VH23" s="15"/>
      <c r="VI23" s="15"/>
      <c r="VJ23" s="15"/>
      <c r="VK23" s="15"/>
      <c r="VL23" s="15"/>
      <c r="VM23" s="15"/>
      <c r="VN23" s="15"/>
      <c r="VO23" s="15"/>
      <c r="VP23" s="15"/>
      <c r="VQ23" s="15"/>
      <c r="VR23" s="15"/>
      <c r="VS23" s="15"/>
      <c r="VT23" s="15"/>
      <c r="VU23" s="15"/>
      <c r="VV23" s="15"/>
      <c r="VW23" s="15"/>
      <c r="VX23" s="15"/>
      <c r="VY23" s="15"/>
      <c r="VZ23" s="15"/>
      <c r="WA23" s="15"/>
      <c r="WB23" s="15"/>
      <c r="WC23" s="15"/>
      <c r="WD23" s="15"/>
      <c r="WE23" s="15"/>
    </row>
    <row r="24" spans="1:603" s="17" customFormat="1" x14ac:dyDescent="0.4">
      <c r="A24" s="12"/>
      <c r="B24" s="12"/>
      <c r="C24" s="12"/>
      <c r="D24" s="12"/>
      <c r="E24" s="12"/>
      <c r="F24" s="12"/>
      <c r="G24" s="12"/>
      <c r="H24" s="12"/>
      <c r="I24" s="12"/>
      <c r="J24" s="15"/>
      <c r="K24" s="15"/>
      <c r="L24" s="16"/>
      <c r="M24" s="16"/>
      <c r="N24" s="15"/>
      <c r="O24" s="15"/>
      <c r="P24" s="16"/>
      <c r="Q24" s="16"/>
      <c r="R24" s="15"/>
      <c r="S24" s="15"/>
      <c r="T24" s="16"/>
      <c r="U24" s="16"/>
      <c r="V24" s="15"/>
      <c r="W24" s="15"/>
      <c r="X24" s="16"/>
      <c r="Y24" s="16"/>
      <c r="Z24" s="15"/>
      <c r="AA24" s="15"/>
      <c r="AB24" s="16"/>
      <c r="AC24" s="16"/>
      <c r="AD24" s="15"/>
      <c r="AE24" s="15"/>
      <c r="AF24" s="16"/>
      <c r="AG24" s="16"/>
      <c r="AH24" s="15"/>
      <c r="AI24" s="15"/>
      <c r="AJ24" s="16"/>
      <c r="AK24" s="16"/>
      <c r="AL24" s="15"/>
      <c r="AM24" s="15"/>
      <c r="AN24" s="16"/>
      <c r="AO24" s="16"/>
      <c r="AP24" s="15"/>
      <c r="AQ24" s="15"/>
      <c r="AR24" s="16"/>
      <c r="AS24" s="16"/>
      <c r="AT24" s="15"/>
      <c r="AU24" s="15"/>
      <c r="AV24" s="16"/>
      <c r="AW24" s="16"/>
      <c r="AX24" s="15"/>
      <c r="AY24" s="15"/>
      <c r="AZ24" s="16"/>
      <c r="BA24" s="16"/>
      <c r="BB24" s="15"/>
      <c r="BC24" s="15"/>
      <c r="BD24" s="16"/>
      <c r="BE24" s="16"/>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5"/>
      <c r="DC24" s="15"/>
      <c r="DD24" s="15"/>
      <c r="DE24" s="15"/>
      <c r="DF24" s="15"/>
      <c r="DG24" s="15"/>
      <c r="DH24" s="15"/>
      <c r="DI24" s="15"/>
      <c r="DJ24" s="15"/>
      <c r="DK24" s="15"/>
      <c r="DL24" s="15"/>
      <c r="DM24" s="15"/>
      <c r="DN24" s="15"/>
      <c r="DO24" s="15"/>
      <c r="DP24" s="15"/>
      <c r="DQ24" s="15"/>
      <c r="DR24" s="15"/>
      <c r="DS24" s="15"/>
      <c r="DT24" s="15"/>
      <c r="DU24" s="15"/>
      <c r="DV24" s="15"/>
      <c r="DW24" s="15"/>
      <c r="DX24" s="15"/>
      <c r="DY24" s="15"/>
      <c r="DZ24" s="15"/>
      <c r="EA24" s="15"/>
      <c r="EB24" s="15"/>
      <c r="EC24" s="15"/>
      <c r="ED24" s="15"/>
      <c r="EE24" s="15"/>
      <c r="EF24" s="15"/>
      <c r="EG24" s="15"/>
      <c r="EH24" s="15"/>
      <c r="EI24" s="15"/>
      <c r="EJ24" s="15"/>
      <c r="EK24" s="15"/>
      <c r="EL24" s="15"/>
      <c r="EM24" s="15"/>
      <c r="EN24" s="15"/>
      <c r="EO24" s="15"/>
      <c r="EP24" s="15"/>
      <c r="EQ24" s="15"/>
      <c r="ER24" s="15"/>
      <c r="ES24" s="15"/>
      <c r="ET24" s="15"/>
      <c r="EU24" s="15"/>
      <c r="EV24" s="15"/>
      <c r="EW24" s="15"/>
      <c r="EX24" s="15"/>
      <c r="EY24" s="15"/>
      <c r="EZ24" s="15"/>
      <c r="FA24" s="15"/>
      <c r="FB24" s="15"/>
      <c r="FC24" s="15"/>
      <c r="FD24" s="15"/>
      <c r="FE24" s="15"/>
      <c r="FF24" s="15"/>
      <c r="FG24" s="15"/>
      <c r="FH24" s="15"/>
      <c r="FI24" s="15"/>
      <c r="FJ24" s="15"/>
      <c r="FK24" s="15"/>
      <c r="FL24" s="15"/>
      <c r="FM24" s="15"/>
      <c r="FN24" s="15"/>
      <c r="FO24" s="15"/>
      <c r="FP24" s="15"/>
      <c r="FQ24" s="15"/>
      <c r="FR24" s="15"/>
      <c r="FS24" s="15"/>
      <c r="FT24" s="15"/>
      <c r="FU24" s="15"/>
      <c r="FV24" s="15"/>
      <c r="FW24" s="15"/>
      <c r="FX24" s="15"/>
      <c r="FY24" s="15"/>
      <c r="FZ24" s="15"/>
      <c r="GA24" s="15"/>
      <c r="GB24" s="15"/>
      <c r="GC24" s="15"/>
      <c r="GD24" s="15"/>
      <c r="GE24" s="15"/>
      <c r="GF24" s="15"/>
      <c r="GG24" s="15"/>
      <c r="GH24" s="15"/>
      <c r="GI24" s="15"/>
      <c r="GJ24" s="15"/>
      <c r="GK24" s="15"/>
      <c r="GL24" s="15"/>
      <c r="GM24" s="15"/>
      <c r="GN24" s="15"/>
      <c r="GO24" s="15"/>
      <c r="GP24" s="15"/>
      <c r="GQ24" s="15"/>
      <c r="GR24" s="15"/>
      <c r="GS24" s="15"/>
      <c r="GT24" s="15"/>
      <c r="GU24" s="15"/>
      <c r="GV24" s="15"/>
      <c r="GW24" s="15"/>
      <c r="GX24" s="15"/>
      <c r="GY24" s="15"/>
      <c r="GZ24" s="15"/>
      <c r="HA24" s="15"/>
      <c r="HB24" s="15"/>
      <c r="HC24" s="15"/>
      <c r="HD24" s="15"/>
      <c r="HE24" s="15"/>
      <c r="HF24" s="15"/>
      <c r="HG24" s="15"/>
      <c r="HH24" s="15"/>
      <c r="HI24" s="15"/>
      <c r="HJ24" s="15"/>
      <c r="HK24" s="15"/>
      <c r="HL24" s="15"/>
      <c r="HM24" s="15"/>
      <c r="HN24" s="15"/>
      <c r="HO24" s="15"/>
      <c r="HP24" s="15"/>
      <c r="HQ24" s="15"/>
      <c r="HR24" s="15"/>
      <c r="HS24" s="15"/>
      <c r="HT24" s="15"/>
      <c r="HU24" s="15"/>
      <c r="HV24" s="15"/>
      <c r="HW24" s="15"/>
      <c r="HX24" s="15"/>
      <c r="HY24" s="15"/>
      <c r="HZ24" s="15"/>
      <c r="IA24" s="15"/>
      <c r="IB24" s="15"/>
      <c r="IC24" s="15"/>
      <c r="ID24" s="15"/>
      <c r="IE24" s="15"/>
      <c r="IF24" s="15"/>
      <c r="IG24" s="15"/>
      <c r="IH24" s="15"/>
      <c r="II24" s="15"/>
      <c r="IJ24" s="15"/>
      <c r="IK24" s="15"/>
      <c r="IL24" s="15"/>
      <c r="IM24" s="15"/>
      <c r="IN24" s="15"/>
      <c r="IO24" s="15"/>
      <c r="IP24" s="15"/>
      <c r="IQ24" s="15"/>
      <c r="IR24" s="15"/>
      <c r="IS24" s="15"/>
      <c r="IT24" s="15"/>
      <c r="IU24" s="15"/>
      <c r="IV24" s="15"/>
      <c r="IW24" s="15"/>
      <c r="IX24" s="15"/>
      <c r="IY24" s="15"/>
      <c r="IZ24" s="15"/>
      <c r="JA24" s="15"/>
      <c r="JB24" s="15"/>
      <c r="JC24" s="15"/>
      <c r="JD24" s="15"/>
      <c r="JE24" s="15"/>
      <c r="JF24" s="15"/>
      <c r="JG24" s="15"/>
      <c r="JH24" s="15"/>
      <c r="JI24" s="15"/>
      <c r="JJ24" s="15"/>
      <c r="JK24" s="15"/>
      <c r="JL24" s="15"/>
      <c r="JM24" s="15"/>
      <c r="JN24" s="15"/>
      <c r="JO24" s="15"/>
      <c r="JP24" s="15"/>
      <c r="JQ24" s="15"/>
      <c r="JR24" s="15"/>
      <c r="JS24" s="15"/>
      <c r="JT24" s="15"/>
      <c r="JU24" s="15"/>
      <c r="JV24" s="15"/>
      <c r="JW24" s="15"/>
      <c r="JX24" s="15"/>
      <c r="JY24" s="15"/>
      <c r="JZ24" s="15"/>
      <c r="KA24" s="15"/>
      <c r="KB24" s="15"/>
      <c r="KC24" s="15"/>
      <c r="KD24" s="15"/>
      <c r="KE24" s="15"/>
      <c r="KF24" s="15"/>
      <c r="KG24" s="15"/>
      <c r="KH24" s="15"/>
      <c r="KI24" s="15"/>
      <c r="KJ24" s="15"/>
      <c r="KK24" s="15"/>
      <c r="KL24" s="15"/>
      <c r="KM24" s="15"/>
      <c r="KN24" s="15"/>
      <c r="KO24" s="15"/>
      <c r="KP24" s="15"/>
      <c r="KQ24" s="15"/>
      <c r="KR24" s="15"/>
      <c r="KS24" s="15"/>
      <c r="KT24" s="15"/>
      <c r="KU24" s="15"/>
      <c r="KV24" s="15"/>
      <c r="KW24" s="15"/>
      <c r="KX24" s="15"/>
      <c r="KY24" s="15"/>
      <c r="KZ24" s="15"/>
      <c r="LA24" s="15"/>
      <c r="LB24" s="15"/>
      <c r="LC24" s="15"/>
      <c r="LD24" s="15"/>
      <c r="LE24" s="15"/>
      <c r="LF24" s="15"/>
      <c r="LG24" s="15"/>
      <c r="LH24" s="15"/>
      <c r="LI24" s="15"/>
      <c r="LJ24" s="15"/>
      <c r="LK24" s="15"/>
      <c r="LL24" s="15"/>
      <c r="LM24" s="15"/>
      <c r="LN24" s="15"/>
      <c r="LO24" s="15"/>
      <c r="LP24" s="15"/>
      <c r="LQ24" s="15"/>
      <c r="LR24" s="15"/>
      <c r="LS24" s="15"/>
      <c r="LT24" s="15"/>
      <c r="LU24" s="15"/>
      <c r="LV24" s="15"/>
      <c r="LW24" s="15"/>
      <c r="LX24" s="15"/>
      <c r="LY24" s="15"/>
      <c r="LZ24" s="15"/>
      <c r="MA24" s="15"/>
      <c r="MB24" s="15"/>
      <c r="MC24" s="15"/>
      <c r="MD24" s="15"/>
      <c r="ME24" s="15"/>
      <c r="MF24" s="15"/>
      <c r="MG24" s="15"/>
      <c r="MH24" s="15"/>
      <c r="MI24" s="15"/>
      <c r="MJ24" s="15"/>
      <c r="MK24" s="15"/>
      <c r="ML24" s="15"/>
      <c r="MM24" s="15"/>
      <c r="MN24" s="15"/>
      <c r="MO24" s="15"/>
      <c r="MP24" s="15"/>
      <c r="MQ24" s="15"/>
      <c r="MR24" s="15"/>
      <c r="MS24" s="15"/>
      <c r="MT24" s="15"/>
      <c r="MU24" s="15"/>
      <c r="MV24" s="15"/>
      <c r="MW24" s="15"/>
      <c r="MX24" s="15"/>
      <c r="MY24" s="15"/>
      <c r="MZ24" s="15"/>
      <c r="NA24" s="15"/>
      <c r="NB24" s="15"/>
      <c r="NC24" s="15"/>
      <c r="ND24" s="15"/>
      <c r="NE24" s="15"/>
      <c r="NF24" s="15"/>
      <c r="NG24" s="15"/>
      <c r="NH24" s="15"/>
      <c r="NI24" s="15"/>
      <c r="NJ24" s="15"/>
      <c r="NK24" s="15"/>
      <c r="NL24" s="15"/>
      <c r="NM24" s="15"/>
      <c r="NN24" s="15"/>
      <c r="NO24" s="15"/>
      <c r="NP24" s="15"/>
      <c r="NQ24" s="15"/>
      <c r="NR24" s="15"/>
      <c r="NS24" s="15"/>
      <c r="NT24" s="15"/>
      <c r="NU24" s="15"/>
      <c r="NV24" s="15"/>
      <c r="NW24" s="15"/>
      <c r="NX24" s="15"/>
      <c r="NY24" s="15"/>
      <c r="NZ24" s="15"/>
      <c r="OA24" s="15"/>
      <c r="OB24" s="15"/>
      <c r="OC24" s="15"/>
      <c r="OD24" s="15"/>
      <c r="OE24" s="15"/>
      <c r="OF24" s="15"/>
      <c r="OG24" s="15"/>
      <c r="OH24" s="15"/>
      <c r="OI24" s="15"/>
      <c r="OJ24" s="15"/>
      <c r="OK24" s="15"/>
      <c r="OL24" s="15"/>
      <c r="OM24" s="15"/>
      <c r="ON24" s="15"/>
      <c r="OO24" s="15"/>
      <c r="OP24" s="15"/>
      <c r="OQ24" s="15"/>
      <c r="OR24" s="15"/>
      <c r="OS24" s="15"/>
      <c r="OT24" s="15"/>
      <c r="OU24" s="15"/>
      <c r="OV24" s="15"/>
      <c r="OW24" s="15"/>
      <c r="OX24" s="15"/>
      <c r="OY24" s="15"/>
      <c r="OZ24" s="15"/>
      <c r="PA24" s="15"/>
      <c r="PB24" s="15"/>
      <c r="PC24" s="15"/>
      <c r="PD24" s="15"/>
      <c r="PE24" s="15"/>
      <c r="PF24" s="15"/>
      <c r="PG24" s="15"/>
      <c r="PH24" s="15"/>
      <c r="PI24" s="15"/>
      <c r="PJ24" s="15"/>
      <c r="PK24" s="15"/>
      <c r="PL24" s="15"/>
      <c r="PM24" s="15"/>
      <c r="PN24" s="15"/>
      <c r="PO24" s="15"/>
      <c r="PP24" s="15"/>
      <c r="PQ24" s="15"/>
      <c r="PR24" s="15"/>
      <c r="PS24" s="15"/>
      <c r="PT24" s="15"/>
      <c r="PU24" s="15"/>
      <c r="PV24" s="15"/>
      <c r="PW24" s="15"/>
      <c r="PX24" s="15"/>
      <c r="PY24" s="15"/>
      <c r="PZ24" s="15"/>
      <c r="QA24" s="15"/>
      <c r="QB24" s="15"/>
      <c r="QC24" s="15"/>
      <c r="QD24" s="15"/>
      <c r="QE24" s="15"/>
      <c r="QF24" s="15"/>
      <c r="QG24" s="15"/>
      <c r="QH24" s="15"/>
      <c r="QI24" s="15"/>
      <c r="QJ24" s="15"/>
      <c r="QK24" s="15"/>
      <c r="QL24" s="15"/>
      <c r="QM24" s="15"/>
      <c r="QN24" s="15"/>
      <c r="QO24" s="15"/>
      <c r="QP24" s="15"/>
      <c r="QQ24" s="15"/>
      <c r="QR24" s="15"/>
      <c r="QS24" s="15"/>
      <c r="QT24" s="15"/>
      <c r="QU24" s="15"/>
      <c r="QV24" s="15"/>
      <c r="QW24" s="15"/>
      <c r="QX24" s="15"/>
      <c r="QY24" s="15"/>
      <c r="QZ24" s="15"/>
      <c r="RA24" s="15"/>
      <c r="RB24" s="15"/>
      <c r="RC24" s="15"/>
      <c r="RD24" s="15"/>
      <c r="RE24" s="15"/>
      <c r="RF24" s="15"/>
      <c r="RG24" s="15"/>
      <c r="RH24" s="15"/>
      <c r="RI24" s="15"/>
      <c r="RJ24" s="15"/>
      <c r="RK24" s="15"/>
      <c r="RL24" s="15"/>
      <c r="RM24" s="15"/>
      <c r="RN24" s="15"/>
      <c r="RO24" s="15"/>
      <c r="RP24" s="15"/>
      <c r="RQ24" s="15"/>
      <c r="RR24" s="15"/>
      <c r="RS24" s="15"/>
      <c r="RT24" s="15"/>
      <c r="RU24" s="15"/>
      <c r="RV24" s="15"/>
      <c r="RW24" s="15"/>
      <c r="RX24" s="15"/>
      <c r="RY24" s="15"/>
      <c r="RZ24" s="15"/>
      <c r="SA24" s="15"/>
      <c r="SB24" s="15"/>
      <c r="SC24" s="15"/>
      <c r="SD24" s="15"/>
      <c r="SE24" s="15"/>
      <c r="SF24" s="15"/>
      <c r="SG24" s="15"/>
      <c r="SH24" s="15"/>
      <c r="SI24" s="15"/>
      <c r="SJ24" s="15"/>
      <c r="SK24" s="15"/>
      <c r="SL24" s="15"/>
      <c r="SM24" s="15"/>
      <c r="SN24" s="15"/>
      <c r="SO24" s="15"/>
      <c r="SP24" s="15"/>
      <c r="SQ24" s="15"/>
      <c r="SR24" s="15"/>
      <c r="SS24" s="15"/>
      <c r="ST24" s="15"/>
      <c r="SU24" s="15"/>
      <c r="SV24" s="15"/>
      <c r="SW24" s="15"/>
      <c r="SX24" s="15"/>
      <c r="SY24" s="15"/>
      <c r="SZ24" s="15"/>
      <c r="TA24" s="15"/>
      <c r="TB24" s="15"/>
      <c r="TC24" s="15"/>
      <c r="TD24" s="15"/>
      <c r="TE24" s="15"/>
      <c r="TF24" s="15"/>
      <c r="TG24" s="15"/>
      <c r="TH24" s="15"/>
      <c r="TI24" s="15"/>
      <c r="TJ24" s="15"/>
      <c r="TK24" s="15"/>
      <c r="TL24" s="15"/>
      <c r="TM24" s="15"/>
      <c r="TN24" s="15"/>
      <c r="TO24" s="15"/>
      <c r="TP24" s="15"/>
      <c r="TQ24" s="15"/>
      <c r="TR24" s="15"/>
      <c r="TS24" s="15"/>
      <c r="TT24" s="15"/>
      <c r="TU24" s="15"/>
      <c r="TV24" s="15"/>
      <c r="TW24" s="15"/>
      <c r="TX24" s="15"/>
      <c r="TY24" s="15"/>
      <c r="TZ24" s="15"/>
      <c r="UA24" s="15"/>
      <c r="UB24" s="15"/>
      <c r="UC24" s="15"/>
      <c r="UD24" s="15"/>
      <c r="UE24" s="15"/>
      <c r="UF24" s="15"/>
      <c r="UG24" s="15"/>
      <c r="UH24" s="15"/>
      <c r="UI24" s="15"/>
      <c r="UJ24" s="15"/>
      <c r="UK24" s="15"/>
      <c r="UL24" s="15"/>
      <c r="UM24" s="15"/>
      <c r="UN24" s="15"/>
      <c r="UO24" s="15"/>
      <c r="UP24" s="15"/>
      <c r="UQ24" s="15"/>
      <c r="UR24" s="15"/>
      <c r="US24" s="15"/>
      <c r="UT24" s="15"/>
      <c r="UU24" s="15"/>
      <c r="UV24" s="15"/>
      <c r="UW24" s="15"/>
      <c r="UX24" s="15"/>
      <c r="UY24" s="15"/>
      <c r="UZ24" s="15"/>
      <c r="VA24" s="15"/>
      <c r="VB24" s="15"/>
      <c r="VC24" s="15"/>
      <c r="VD24" s="15"/>
      <c r="VE24" s="15"/>
      <c r="VF24" s="15"/>
      <c r="VG24" s="15"/>
      <c r="VH24" s="15"/>
      <c r="VI24" s="15"/>
      <c r="VJ24" s="15"/>
      <c r="VK24" s="15"/>
      <c r="VL24" s="15"/>
      <c r="VM24" s="15"/>
      <c r="VN24" s="15"/>
      <c r="VO24" s="15"/>
      <c r="VP24" s="15"/>
      <c r="VQ24" s="15"/>
      <c r="VR24" s="15"/>
      <c r="VS24" s="15"/>
      <c r="VT24" s="15"/>
      <c r="VU24" s="15"/>
      <c r="VV24" s="15"/>
      <c r="VW24" s="15"/>
      <c r="VX24" s="15"/>
      <c r="VY24" s="15"/>
      <c r="VZ24" s="15"/>
      <c r="WA24" s="15"/>
      <c r="WB24" s="15"/>
      <c r="WC24" s="15"/>
      <c r="WD24" s="15"/>
      <c r="WE24" s="15"/>
    </row>
    <row r="25" spans="1:603" s="18" customFormat="1" x14ac:dyDescent="0.4">
      <c r="A25" s="12"/>
      <c r="B25" s="12"/>
      <c r="C25" s="12"/>
      <c r="D25" s="12"/>
      <c r="E25" s="12"/>
      <c r="F25" s="12"/>
      <c r="G25" s="12"/>
      <c r="H25" s="12"/>
      <c r="I25" s="12"/>
      <c r="J25" s="15"/>
      <c r="K25" s="15"/>
      <c r="L25" s="16"/>
      <c r="M25" s="16"/>
      <c r="N25" s="15"/>
      <c r="O25" s="15"/>
      <c r="P25" s="16"/>
      <c r="Q25" s="16"/>
      <c r="R25" s="15"/>
      <c r="S25" s="15"/>
      <c r="T25" s="16"/>
      <c r="U25" s="16"/>
      <c r="V25" s="15"/>
      <c r="W25" s="15"/>
      <c r="X25" s="16"/>
      <c r="Y25" s="16"/>
      <c r="Z25" s="15"/>
      <c r="AA25" s="15"/>
      <c r="AB25" s="16"/>
      <c r="AC25" s="16"/>
      <c r="AD25" s="15"/>
      <c r="AE25" s="15"/>
      <c r="AF25" s="16"/>
      <c r="AG25" s="16"/>
      <c r="AH25" s="15"/>
      <c r="AI25" s="15"/>
      <c r="AJ25" s="16"/>
      <c r="AK25" s="16"/>
      <c r="AL25" s="15"/>
      <c r="AM25" s="15"/>
      <c r="AN25" s="16"/>
      <c r="AO25" s="16"/>
      <c r="AP25" s="15"/>
      <c r="AQ25" s="15"/>
      <c r="AR25" s="16"/>
      <c r="AS25" s="16"/>
      <c r="AT25" s="15"/>
      <c r="AU25" s="15"/>
      <c r="AV25" s="16"/>
      <c r="AW25" s="16"/>
      <c r="AX25" s="15"/>
      <c r="AY25" s="15"/>
      <c r="AZ25" s="16"/>
      <c r="BA25" s="16"/>
      <c r="BB25" s="15"/>
      <c r="BC25" s="15"/>
      <c r="BD25" s="16"/>
      <c r="BE25" s="16"/>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c r="CZ25" s="15"/>
      <c r="DA25" s="15"/>
      <c r="DB25" s="15"/>
      <c r="DC25" s="15"/>
      <c r="DD25" s="15"/>
      <c r="DE25" s="15"/>
      <c r="DF25" s="15"/>
      <c r="DG25" s="15"/>
      <c r="DH25" s="15"/>
      <c r="DI25" s="15"/>
      <c r="DJ25" s="15"/>
      <c r="DK25" s="15"/>
      <c r="DL25" s="15"/>
      <c r="DM25" s="15"/>
      <c r="DN25" s="15"/>
      <c r="DO25" s="15"/>
      <c r="DP25" s="15"/>
      <c r="DQ25" s="15"/>
      <c r="DR25" s="15"/>
      <c r="DS25" s="15"/>
      <c r="DT25" s="15"/>
      <c r="DU25" s="15"/>
      <c r="DV25" s="15"/>
      <c r="DW25" s="15"/>
      <c r="DX25" s="15"/>
      <c r="DY25" s="15"/>
      <c r="DZ25" s="15"/>
      <c r="EA25" s="15"/>
      <c r="EB25" s="15"/>
      <c r="EC25" s="15"/>
      <c r="ED25" s="15"/>
      <c r="EE25" s="15"/>
      <c r="EF25" s="15"/>
      <c r="EG25" s="15"/>
      <c r="EH25" s="15"/>
      <c r="EI25" s="15"/>
      <c r="EJ25" s="15"/>
      <c r="EK25" s="15"/>
      <c r="EL25" s="15"/>
      <c r="EM25" s="15"/>
      <c r="EN25" s="15"/>
      <c r="EO25" s="15"/>
      <c r="EP25" s="15"/>
      <c r="EQ25" s="15"/>
      <c r="ER25" s="15"/>
      <c r="ES25" s="15"/>
      <c r="ET25" s="15"/>
      <c r="EU25" s="15"/>
      <c r="EV25" s="15"/>
      <c r="EW25" s="15"/>
      <c r="EX25" s="15"/>
      <c r="EY25" s="15"/>
      <c r="EZ25" s="15"/>
      <c r="FA25" s="15"/>
      <c r="FB25" s="15"/>
      <c r="FC25" s="15"/>
      <c r="FD25" s="15"/>
      <c r="FE25" s="15"/>
      <c r="FF25" s="15"/>
      <c r="FG25" s="15"/>
      <c r="FH25" s="15"/>
      <c r="FI25" s="15"/>
      <c r="FJ25" s="15"/>
      <c r="FK25" s="15"/>
      <c r="FL25" s="15"/>
      <c r="FM25" s="15"/>
      <c r="FN25" s="15"/>
      <c r="FO25" s="15"/>
      <c r="FP25" s="15"/>
      <c r="FQ25" s="15"/>
      <c r="FR25" s="15"/>
      <c r="FS25" s="15"/>
      <c r="FT25" s="15"/>
      <c r="FU25" s="15"/>
      <c r="FV25" s="15"/>
      <c r="FW25" s="15"/>
      <c r="FX25" s="15"/>
      <c r="FY25" s="15"/>
      <c r="FZ25" s="15"/>
      <c r="GA25" s="15"/>
      <c r="GB25" s="15"/>
      <c r="GC25" s="15"/>
      <c r="GD25" s="15"/>
      <c r="GE25" s="15"/>
      <c r="GF25" s="15"/>
      <c r="GG25" s="15"/>
      <c r="GH25" s="15"/>
      <c r="GI25" s="15"/>
      <c r="GJ25" s="15"/>
      <c r="GK25" s="15"/>
      <c r="GL25" s="15"/>
      <c r="GM25" s="15"/>
      <c r="GN25" s="15"/>
      <c r="GO25" s="15"/>
      <c r="GP25" s="15"/>
      <c r="GQ25" s="15"/>
      <c r="GR25" s="15"/>
      <c r="GS25" s="15"/>
      <c r="GT25" s="15"/>
      <c r="GU25" s="15"/>
      <c r="GV25" s="15"/>
      <c r="GW25" s="15"/>
      <c r="GX25" s="15"/>
      <c r="GY25" s="15"/>
      <c r="GZ25" s="15"/>
      <c r="HA25" s="15"/>
      <c r="HB25" s="15"/>
      <c r="HC25" s="15"/>
      <c r="HD25" s="15"/>
      <c r="HE25" s="15"/>
      <c r="HF25" s="15"/>
      <c r="HG25" s="15"/>
      <c r="HH25" s="15"/>
      <c r="HI25" s="15"/>
      <c r="HJ25" s="15"/>
      <c r="HK25" s="15"/>
      <c r="HL25" s="15"/>
      <c r="HM25" s="15"/>
      <c r="HN25" s="15"/>
      <c r="HO25" s="15"/>
      <c r="HP25" s="15"/>
      <c r="HQ25" s="15"/>
      <c r="HR25" s="15"/>
      <c r="HS25" s="15"/>
      <c r="HT25" s="15"/>
      <c r="HU25" s="15"/>
      <c r="HV25" s="15"/>
      <c r="HW25" s="15"/>
      <c r="HX25" s="15"/>
      <c r="HY25" s="15"/>
      <c r="HZ25" s="15"/>
      <c r="IA25" s="15"/>
      <c r="IB25" s="15"/>
      <c r="IC25" s="15"/>
      <c r="ID25" s="15"/>
      <c r="IE25" s="15"/>
      <c r="IF25" s="15"/>
      <c r="IG25" s="15"/>
      <c r="IH25" s="15"/>
      <c r="II25" s="15"/>
      <c r="IJ25" s="15"/>
      <c r="IK25" s="15"/>
      <c r="IL25" s="15"/>
      <c r="IM25" s="15"/>
      <c r="IN25" s="15"/>
      <c r="IO25" s="15"/>
      <c r="IP25" s="15"/>
      <c r="IQ25" s="15"/>
      <c r="IR25" s="15"/>
      <c r="IS25" s="15"/>
      <c r="IT25" s="15"/>
      <c r="IU25" s="15"/>
      <c r="IV25" s="15"/>
      <c r="IW25" s="15"/>
      <c r="IX25" s="15"/>
      <c r="IY25" s="15"/>
      <c r="IZ25" s="15"/>
      <c r="JA25" s="15"/>
      <c r="JB25" s="15"/>
      <c r="JC25" s="15"/>
      <c r="JD25" s="15"/>
      <c r="JE25" s="15"/>
      <c r="JF25" s="15"/>
      <c r="JG25" s="15"/>
      <c r="JH25" s="15"/>
      <c r="JI25" s="15"/>
      <c r="JJ25" s="15"/>
      <c r="JK25" s="15"/>
      <c r="JL25" s="15"/>
      <c r="JM25" s="15"/>
      <c r="JN25" s="15"/>
      <c r="JO25" s="15"/>
      <c r="JP25" s="15"/>
      <c r="JQ25" s="15"/>
      <c r="JR25" s="15"/>
      <c r="JS25" s="15"/>
      <c r="JT25" s="15"/>
      <c r="JU25" s="15"/>
      <c r="JV25" s="15"/>
      <c r="JW25" s="15"/>
      <c r="JX25" s="15"/>
      <c r="JY25" s="15"/>
      <c r="JZ25" s="15"/>
      <c r="KA25" s="15"/>
      <c r="KB25" s="15"/>
      <c r="KC25" s="15"/>
      <c r="KD25" s="15"/>
      <c r="KE25" s="15"/>
      <c r="KF25" s="15"/>
      <c r="KG25" s="15"/>
      <c r="KH25" s="15"/>
      <c r="KI25" s="15"/>
      <c r="KJ25" s="15"/>
      <c r="KK25" s="15"/>
      <c r="KL25" s="15"/>
      <c r="KM25" s="15"/>
      <c r="KN25" s="15"/>
      <c r="KO25" s="15"/>
      <c r="KP25" s="15"/>
      <c r="KQ25" s="15"/>
      <c r="KR25" s="15"/>
      <c r="KS25" s="15"/>
      <c r="KT25" s="15"/>
      <c r="KU25" s="15"/>
      <c r="KV25" s="15"/>
      <c r="KW25" s="15"/>
      <c r="KX25" s="15"/>
      <c r="KY25" s="15"/>
      <c r="KZ25" s="15"/>
      <c r="LA25" s="15"/>
      <c r="LB25" s="15"/>
      <c r="LC25" s="15"/>
      <c r="LD25" s="15"/>
      <c r="LE25" s="15"/>
      <c r="LF25" s="15"/>
      <c r="LG25" s="15"/>
      <c r="LH25" s="15"/>
      <c r="LI25" s="15"/>
      <c r="LJ25" s="15"/>
      <c r="LK25" s="15"/>
      <c r="LL25" s="15"/>
      <c r="LM25" s="15"/>
      <c r="LN25" s="15"/>
      <c r="LO25" s="15"/>
      <c r="LP25" s="15"/>
      <c r="LQ25" s="15"/>
      <c r="LR25" s="15"/>
      <c r="LS25" s="15"/>
      <c r="LT25" s="15"/>
      <c r="LU25" s="15"/>
      <c r="LV25" s="15"/>
      <c r="LW25" s="15"/>
      <c r="LX25" s="15"/>
      <c r="LY25" s="15"/>
      <c r="LZ25" s="15"/>
      <c r="MA25" s="15"/>
      <c r="MB25" s="15"/>
      <c r="MC25" s="15"/>
      <c r="MD25" s="15"/>
      <c r="ME25" s="15"/>
      <c r="MF25" s="15"/>
      <c r="MG25" s="15"/>
      <c r="MH25" s="15"/>
      <c r="MI25" s="15"/>
      <c r="MJ25" s="15"/>
      <c r="MK25" s="15"/>
      <c r="ML25" s="15"/>
      <c r="MM25" s="15"/>
      <c r="MN25" s="15"/>
      <c r="MO25" s="15"/>
      <c r="MP25" s="15"/>
      <c r="MQ25" s="15"/>
      <c r="MR25" s="15"/>
      <c r="MS25" s="15"/>
      <c r="MT25" s="15"/>
      <c r="MU25" s="15"/>
      <c r="MV25" s="15"/>
      <c r="MW25" s="15"/>
      <c r="MX25" s="15"/>
      <c r="MY25" s="15"/>
      <c r="MZ25" s="15"/>
      <c r="NA25" s="15"/>
      <c r="NB25" s="15"/>
      <c r="NC25" s="15"/>
      <c r="ND25" s="15"/>
      <c r="NE25" s="15"/>
      <c r="NF25" s="15"/>
      <c r="NG25" s="15"/>
      <c r="NH25" s="15"/>
      <c r="NI25" s="15"/>
      <c r="NJ25" s="15"/>
      <c r="NK25" s="15"/>
      <c r="NL25" s="15"/>
      <c r="NM25" s="15"/>
      <c r="NN25" s="15"/>
      <c r="NO25" s="15"/>
      <c r="NP25" s="15"/>
      <c r="NQ25" s="15"/>
      <c r="NR25" s="15"/>
      <c r="NS25" s="15"/>
      <c r="NT25" s="15"/>
      <c r="NU25" s="15"/>
      <c r="NV25" s="15"/>
      <c r="NW25" s="15"/>
      <c r="NX25" s="15"/>
      <c r="NY25" s="15"/>
      <c r="NZ25" s="15"/>
      <c r="OA25" s="15"/>
      <c r="OB25" s="15"/>
      <c r="OC25" s="15"/>
      <c r="OD25" s="15"/>
      <c r="OE25" s="15"/>
      <c r="OF25" s="15"/>
      <c r="OG25" s="15"/>
      <c r="OH25" s="15"/>
      <c r="OI25" s="15"/>
      <c r="OJ25" s="15"/>
      <c r="OK25" s="15"/>
      <c r="OL25" s="15"/>
      <c r="OM25" s="15"/>
      <c r="ON25" s="15"/>
      <c r="OO25" s="15"/>
      <c r="OP25" s="15"/>
      <c r="OQ25" s="15"/>
      <c r="OR25" s="15"/>
      <c r="OS25" s="15"/>
      <c r="OT25" s="15"/>
      <c r="OU25" s="15"/>
      <c r="OV25" s="15"/>
      <c r="OW25" s="15"/>
      <c r="OX25" s="15"/>
      <c r="OY25" s="15"/>
      <c r="OZ25" s="15"/>
      <c r="PA25" s="15"/>
      <c r="PB25" s="15"/>
      <c r="PC25" s="15"/>
      <c r="PD25" s="15"/>
      <c r="PE25" s="15"/>
      <c r="PF25" s="15"/>
      <c r="PG25" s="15"/>
      <c r="PH25" s="15"/>
      <c r="PI25" s="15"/>
      <c r="PJ25" s="15"/>
      <c r="PK25" s="15"/>
      <c r="PL25" s="15"/>
      <c r="PM25" s="15"/>
      <c r="PN25" s="15"/>
      <c r="PO25" s="15"/>
      <c r="PP25" s="15"/>
      <c r="PQ25" s="15"/>
      <c r="PR25" s="15"/>
      <c r="PS25" s="15"/>
      <c r="PT25" s="15"/>
      <c r="PU25" s="15"/>
      <c r="PV25" s="15"/>
      <c r="PW25" s="15"/>
      <c r="PX25" s="15"/>
      <c r="PY25" s="15"/>
      <c r="PZ25" s="15"/>
      <c r="QA25" s="15"/>
      <c r="QB25" s="15"/>
      <c r="QC25" s="15"/>
      <c r="QD25" s="15"/>
      <c r="QE25" s="15"/>
      <c r="QF25" s="15"/>
      <c r="QG25" s="15"/>
      <c r="QH25" s="15"/>
      <c r="QI25" s="15"/>
      <c r="QJ25" s="15"/>
      <c r="QK25" s="15"/>
      <c r="QL25" s="15"/>
      <c r="QM25" s="15"/>
      <c r="QN25" s="15"/>
      <c r="QO25" s="15"/>
      <c r="QP25" s="15"/>
      <c r="QQ25" s="15"/>
      <c r="QR25" s="15"/>
      <c r="QS25" s="15"/>
      <c r="QT25" s="15"/>
      <c r="QU25" s="15"/>
      <c r="QV25" s="15"/>
      <c r="QW25" s="15"/>
      <c r="QX25" s="15"/>
      <c r="QY25" s="15"/>
      <c r="QZ25" s="15"/>
      <c r="RA25" s="15"/>
      <c r="RB25" s="15"/>
      <c r="RC25" s="15"/>
      <c r="RD25" s="15"/>
      <c r="RE25" s="15"/>
      <c r="RF25" s="15"/>
      <c r="RG25" s="15"/>
      <c r="RH25" s="15"/>
      <c r="RI25" s="15"/>
      <c r="RJ25" s="15"/>
      <c r="RK25" s="15"/>
      <c r="RL25" s="15"/>
      <c r="RM25" s="15"/>
      <c r="RN25" s="15"/>
      <c r="RO25" s="15"/>
      <c r="RP25" s="15"/>
      <c r="RQ25" s="15"/>
      <c r="RR25" s="15"/>
      <c r="RS25" s="15"/>
      <c r="RT25" s="15"/>
      <c r="RU25" s="15"/>
      <c r="RV25" s="15"/>
      <c r="RW25" s="15"/>
      <c r="RX25" s="15"/>
      <c r="RY25" s="15"/>
      <c r="RZ25" s="15"/>
      <c r="SA25" s="15"/>
      <c r="SB25" s="15"/>
      <c r="SC25" s="15"/>
      <c r="SD25" s="15"/>
      <c r="SE25" s="15"/>
      <c r="SF25" s="15"/>
      <c r="SG25" s="15"/>
      <c r="SH25" s="15"/>
      <c r="SI25" s="15"/>
      <c r="SJ25" s="15"/>
      <c r="SK25" s="15"/>
      <c r="SL25" s="15"/>
      <c r="SM25" s="15"/>
      <c r="SN25" s="15"/>
      <c r="SO25" s="15"/>
      <c r="SP25" s="15"/>
      <c r="SQ25" s="15"/>
      <c r="SR25" s="15"/>
      <c r="SS25" s="15"/>
      <c r="ST25" s="15"/>
      <c r="SU25" s="15"/>
      <c r="SV25" s="15"/>
      <c r="SW25" s="15"/>
      <c r="SX25" s="15"/>
      <c r="SY25" s="15"/>
      <c r="SZ25" s="15"/>
      <c r="TA25" s="15"/>
      <c r="TB25" s="15"/>
      <c r="TC25" s="15"/>
      <c r="TD25" s="15"/>
      <c r="TE25" s="15"/>
      <c r="TF25" s="15"/>
      <c r="TG25" s="15"/>
      <c r="TH25" s="15"/>
      <c r="TI25" s="15"/>
      <c r="TJ25" s="15"/>
      <c r="TK25" s="15"/>
      <c r="TL25" s="15"/>
      <c r="TM25" s="15"/>
      <c r="TN25" s="15"/>
      <c r="TO25" s="15"/>
      <c r="TP25" s="15"/>
      <c r="TQ25" s="15"/>
      <c r="TR25" s="15"/>
      <c r="TS25" s="15"/>
      <c r="TT25" s="15"/>
      <c r="TU25" s="15"/>
      <c r="TV25" s="15"/>
      <c r="TW25" s="15"/>
      <c r="TX25" s="15"/>
      <c r="TY25" s="15"/>
      <c r="TZ25" s="15"/>
      <c r="UA25" s="15"/>
      <c r="UB25" s="15"/>
      <c r="UC25" s="15"/>
      <c r="UD25" s="15"/>
      <c r="UE25" s="15"/>
      <c r="UF25" s="15"/>
      <c r="UG25" s="15"/>
      <c r="UH25" s="15"/>
      <c r="UI25" s="15"/>
      <c r="UJ25" s="15"/>
      <c r="UK25" s="15"/>
      <c r="UL25" s="15"/>
      <c r="UM25" s="15"/>
      <c r="UN25" s="15"/>
      <c r="UO25" s="15"/>
      <c r="UP25" s="15"/>
      <c r="UQ25" s="15"/>
      <c r="UR25" s="15"/>
      <c r="US25" s="15"/>
      <c r="UT25" s="15"/>
      <c r="UU25" s="15"/>
      <c r="UV25" s="15"/>
      <c r="UW25" s="15"/>
      <c r="UX25" s="15"/>
      <c r="UY25" s="15"/>
      <c r="UZ25" s="15"/>
      <c r="VA25" s="15"/>
      <c r="VB25" s="15"/>
      <c r="VC25" s="15"/>
      <c r="VD25" s="15"/>
      <c r="VE25" s="15"/>
      <c r="VF25" s="15"/>
      <c r="VG25" s="15"/>
      <c r="VH25" s="15"/>
      <c r="VI25" s="15"/>
      <c r="VJ25" s="15"/>
      <c r="VK25" s="15"/>
      <c r="VL25" s="15"/>
      <c r="VM25" s="15"/>
      <c r="VN25" s="15"/>
      <c r="VO25" s="15"/>
      <c r="VP25" s="15"/>
      <c r="VQ25" s="15"/>
      <c r="VR25" s="15"/>
      <c r="VS25" s="15"/>
      <c r="VT25" s="15"/>
      <c r="VU25" s="15"/>
      <c r="VV25" s="15"/>
      <c r="VW25" s="15"/>
      <c r="VX25" s="15"/>
      <c r="VY25" s="15"/>
      <c r="VZ25" s="15"/>
      <c r="WA25" s="15"/>
      <c r="WB25" s="15"/>
      <c r="WC25" s="15"/>
      <c r="WD25" s="15"/>
      <c r="WE25" s="15"/>
    </row>
    <row r="26" spans="1:603" s="18" customFormat="1" x14ac:dyDescent="0.4">
      <c r="A26" s="12"/>
      <c r="B26" s="12"/>
      <c r="C26" s="12"/>
      <c r="D26" s="12"/>
      <c r="E26" s="12"/>
      <c r="F26" s="12"/>
      <c r="G26" s="12"/>
      <c r="H26" s="12"/>
      <c r="I26" s="12"/>
      <c r="J26" s="15"/>
      <c r="K26" s="15"/>
      <c r="L26" s="16"/>
      <c r="M26" s="16"/>
      <c r="N26" s="15"/>
      <c r="O26" s="15"/>
      <c r="P26" s="16"/>
      <c r="Q26" s="16"/>
      <c r="R26" s="15"/>
      <c r="S26" s="15"/>
      <c r="T26" s="16"/>
      <c r="U26" s="16"/>
      <c r="V26" s="15"/>
      <c r="W26" s="15"/>
      <c r="X26" s="16"/>
      <c r="Y26" s="16"/>
      <c r="Z26" s="15"/>
      <c r="AA26" s="15"/>
      <c r="AB26" s="16"/>
      <c r="AC26" s="16"/>
      <c r="AD26" s="15"/>
      <c r="AE26" s="15"/>
      <c r="AF26" s="16"/>
      <c r="AG26" s="16"/>
      <c r="AH26" s="15"/>
      <c r="AI26" s="15"/>
      <c r="AJ26" s="16"/>
      <c r="AK26" s="16"/>
      <c r="AL26" s="15"/>
      <c r="AM26" s="15"/>
      <c r="AN26" s="16"/>
      <c r="AO26" s="16"/>
      <c r="AP26" s="15"/>
      <c r="AQ26" s="15"/>
      <c r="AR26" s="16"/>
      <c r="AS26" s="16"/>
      <c r="AT26" s="15"/>
      <c r="AU26" s="15"/>
      <c r="AV26" s="16"/>
      <c r="AW26" s="16"/>
      <c r="AX26" s="15"/>
      <c r="AY26" s="15"/>
      <c r="AZ26" s="16"/>
      <c r="BA26" s="16"/>
      <c r="BB26" s="15"/>
      <c r="BC26" s="15"/>
      <c r="BD26" s="16"/>
      <c r="BE26" s="16"/>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c r="DF26" s="15"/>
      <c r="DG26" s="15"/>
      <c r="DH26" s="15"/>
      <c r="DI26" s="15"/>
      <c r="DJ26" s="15"/>
      <c r="DK26" s="15"/>
      <c r="DL26" s="15"/>
      <c r="DM26" s="15"/>
      <c r="DN26" s="15"/>
      <c r="DO26" s="15"/>
      <c r="DP26" s="15"/>
      <c r="DQ26" s="15"/>
      <c r="DR26" s="15"/>
      <c r="DS26" s="15"/>
      <c r="DT26" s="15"/>
      <c r="DU26" s="15"/>
      <c r="DV26" s="15"/>
      <c r="DW26" s="15"/>
      <c r="DX26" s="15"/>
      <c r="DY26" s="15"/>
      <c r="DZ26" s="15"/>
      <c r="EA26" s="15"/>
      <c r="EB26" s="15"/>
      <c r="EC26" s="15"/>
      <c r="ED26" s="15"/>
      <c r="EE26" s="15"/>
      <c r="EF26" s="15"/>
      <c r="EG26" s="15"/>
      <c r="EH26" s="15"/>
      <c r="EI26" s="15"/>
      <c r="EJ26" s="15"/>
      <c r="EK26" s="15"/>
      <c r="EL26" s="15"/>
      <c r="EM26" s="15"/>
      <c r="EN26" s="15"/>
      <c r="EO26" s="15"/>
      <c r="EP26" s="15"/>
      <c r="EQ26" s="15"/>
      <c r="ER26" s="15"/>
      <c r="ES26" s="15"/>
      <c r="ET26" s="15"/>
      <c r="EU26" s="15"/>
      <c r="EV26" s="15"/>
      <c r="EW26" s="15"/>
      <c r="EX26" s="15"/>
      <c r="EY26" s="15"/>
      <c r="EZ26" s="15"/>
      <c r="FA26" s="15"/>
      <c r="FB26" s="15"/>
      <c r="FC26" s="15"/>
      <c r="FD26" s="15"/>
      <c r="FE26" s="15"/>
      <c r="FF26" s="15"/>
      <c r="FG26" s="15"/>
      <c r="FH26" s="15"/>
      <c r="FI26" s="15"/>
      <c r="FJ26" s="15"/>
      <c r="FK26" s="15"/>
      <c r="FL26" s="15"/>
      <c r="FM26" s="15"/>
      <c r="FN26" s="15"/>
      <c r="FO26" s="15"/>
      <c r="FP26" s="15"/>
      <c r="FQ26" s="15"/>
      <c r="FR26" s="15"/>
      <c r="FS26" s="15"/>
      <c r="FT26" s="15"/>
      <c r="FU26" s="15"/>
      <c r="FV26" s="15"/>
      <c r="FW26" s="15"/>
      <c r="FX26" s="15"/>
      <c r="FY26" s="15"/>
      <c r="FZ26" s="15"/>
      <c r="GA26" s="15"/>
      <c r="GB26" s="15"/>
      <c r="GC26" s="15"/>
      <c r="GD26" s="15"/>
      <c r="GE26" s="15"/>
      <c r="GF26" s="15"/>
      <c r="GG26" s="15"/>
      <c r="GH26" s="15"/>
      <c r="GI26" s="15"/>
      <c r="GJ26" s="15"/>
      <c r="GK26" s="15"/>
      <c r="GL26" s="15"/>
      <c r="GM26" s="15"/>
      <c r="GN26" s="15"/>
      <c r="GO26" s="15"/>
      <c r="GP26" s="15"/>
      <c r="GQ26" s="15"/>
      <c r="GR26" s="15"/>
      <c r="GS26" s="15"/>
      <c r="GT26" s="15"/>
      <c r="GU26" s="15"/>
      <c r="GV26" s="15"/>
      <c r="GW26" s="15"/>
      <c r="GX26" s="15"/>
      <c r="GY26" s="15"/>
      <c r="GZ26" s="15"/>
      <c r="HA26" s="15"/>
      <c r="HB26" s="15"/>
      <c r="HC26" s="15"/>
      <c r="HD26" s="15"/>
      <c r="HE26" s="15"/>
      <c r="HF26" s="15"/>
      <c r="HG26" s="15"/>
      <c r="HH26" s="15"/>
      <c r="HI26" s="15"/>
      <c r="HJ26" s="15"/>
      <c r="HK26" s="15"/>
      <c r="HL26" s="15"/>
      <c r="HM26" s="15"/>
      <c r="HN26" s="15"/>
      <c r="HO26" s="15"/>
      <c r="HP26" s="15"/>
      <c r="HQ26" s="15"/>
      <c r="HR26" s="15"/>
      <c r="HS26" s="15"/>
      <c r="HT26" s="15"/>
      <c r="HU26" s="15"/>
      <c r="HV26" s="15"/>
      <c r="HW26" s="15"/>
      <c r="HX26" s="15"/>
      <c r="HY26" s="15"/>
      <c r="HZ26" s="15"/>
      <c r="IA26" s="15"/>
      <c r="IB26" s="15"/>
      <c r="IC26" s="15"/>
      <c r="ID26" s="15"/>
      <c r="IE26" s="15"/>
      <c r="IF26" s="15"/>
      <c r="IG26" s="15"/>
      <c r="IH26" s="15"/>
      <c r="II26" s="15"/>
      <c r="IJ26" s="15"/>
      <c r="IK26" s="15"/>
      <c r="IL26" s="15"/>
      <c r="IM26" s="15"/>
      <c r="IN26" s="15"/>
      <c r="IO26" s="15"/>
      <c r="IP26" s="15"/>
      <c r="IQ26" s="15"/>
      <c r="IR26" s="15"/>
      <c r="IS26" s="15"/>
      <c r="IT26" s="15"/>
      <c r="IU26" s="15"/>
      <c r="IV26" s="15"/>
      <c r="IW26" s="15"/>
      <c r="IX26" s="15"/>
      <c r="IY26" s="15"/>
      <c r="IZ26" s="15"/>
      <c r="JA26" s="15"/>
      <c r="JB26" s="15"/>
      <c r="JC26" s="15"/>
      <c r="JD26" s="15"/>
      <c r="JE26" s="15"/>
      <c r="JF26" s="15"/>
      <c r="JG26" s="15"/>
      <c r="JH26" s="15"/>
      <c r="JI26" s="15"/>
      <c r="JJ26" s="15"/>
      <c r="JK26" s="15"/>
      <c r="JL26" s="15"/>
      <c r="JM26" s="15"/>
      <c r="JN26" s="15"/>
      <c r="JO26" s="15"/>
      <c r="JP26" s="15"/>
      <c r="JQ26" s="15"/>
      <c r="JR26" s="15"/>
      <c r="JS26" s="15"/>
      <c r="JT26" s="15"/>
      <c r="JU26" s="15"/>
      <c r="JV26" s="15"/>
      <c r="JW26" s="15"/>
      <c r="JX26" s="15"/>
      <c r="JY26" s="15"/>
      <c r="JZ26" s="15"/>
      <c r="KA26" s="15"/>
      <c r="KB26" s="15"/>
      <c r="KC26" s="15"/>
      <c r="KD26" s="15"/>
      <c r="KE26" s="15"/>
      <c r="KF26" s="15"/>
      <c r="KG26" s="15"/>
      <c r="KH26" s="15"/>
      <c r="KI26" s="15"/>
      <c r="KJ26" s="15"/>
      <c r="KK26" s="15"/>
      <c r="KL26" s="15"/>
      <c r="KM26" s="15"/>
      <c r="KN26" s="15"/>
      <c r="KO26" s="15"/>
      <c r="KP26" s="15"/>
      <c r="KQ26" s="15"/>
      <c r="KR26" s="15"/>
      <c r="KS26" s="15"/>
      <c r="KT26" s="15"/>
      <c r="KU26" s="15"/>
      <c r="KV26" s="15"/>
      <c r="KW26" s="15"/>
      <c r="KX26" s="15"/>
      <c r="KY26" s="15"/>
      <c r="KZ26" s="15"/>
      <c r="LA26" s="15"/>
      <c r="LB26" s="15"/>
      <c r="LC26" s="15"/>
      <c r="LD26" s="15"/>
      <c r="LE26" s="15"/>
      <c r="LF26" s="15"/>
      <c r="LG26" s="15"/>
      <c r="LH26" s="15"/>
      <c r="LI26" s="15"/>
      <c r="LJ26" s="15"/>
      <c r="LK26" s="15"/>
      <c r="LL26" s="15"/>
      <c r="LM26" s="15"/>
      <c r="LN26" s="15"/>
      <c r="LO26" s="15"/>
      <c r="LP26" s="15"/>
      <c r="LQ26" s="15"/>
      <c r="LR26" s="15"/>
      <c r="LS26" s="15"/>
      <c r="LT26" s="15"/>
      <c r="LU26" s="15"/>
      <c r="LV26" s="15"/>
      <c r="LW26" s="15"/>
      <c r="LX26" s="15"/>
      <c r="LY26" s="15"/>
      <c r="LZ26" s="15"/>
      <c r="MA26" s="15"/>
      <c r="MB26" s="15"/>
      <c r="MC26" s="15"/>
      <c r="MD26" s="15"/>
      <c r="ME26" s="15"/>
      <c r="MF26" s="15"/>
      <c r="MG26" s="15"/>
      <c r="MH26" s="15"/>
      <c r="MI26" s="15"/>
      <c r="MJ26" s="15"/>
      <c r="MK26" s="15"/>
      <c r="ML26" s="15"/>
      <c r="MM26" s="15"/>
      <c r="MN26" s="15"/>
      <c r="MO26" s="15"/>
      <c r="MP26" s="15"/>
      <c r="MQ26" s="15"/>
      <c r="MR26" s="15"/>
      <c r="MS26" s="15"/>
      <c r="MT26" s="15"/>
      <c r="MU26" s="15"/>
      <c r="MV26" s="15"/>
      <c r="MW26" s="15"/>
      <c r="MX26" s="15"/>
      <c r="MY26" s="15"/>
      <c r="MZ26" s="15"/>
      <c r="NA26" s="15"/>
      <c r="NB26" s="15"/>
      <c r="NC26" s="15"/>
      <c r="ND26" s="15"/>
      <c r="NE26" s="15"/>
      <c r="NF26" s="15"/>
      <c r="NG26" s="15"/>
      <c r="NH26" s="15"/>
      <c r="NI26" s="15"/>
      <c r="NJ26" s="15"/>
      <c r="NK26" s="15"/>
      <c r="NL26" s="15"/>
      <c r="NM26" s="15"/>
      <c r="NN26" s="15"/>
      <c r="NO26" s="15"/>
      <c r="NP26" s="15"/>
      <c r="NQ26" s="15"/>
      <c r="NR26" s="15"/>
      <c r="NS26" s="15"/>
      <c r="NT26" s="15"/>
      <c r="NU26" s="15"/>
      <c r="NV26" s="15"/>
      <c r="NW26" s="15"/>
      <c r="NX26" s="15"/>
      <c r="NY26" s="15"/>
      <c r="NZ26" s="15"/>
      <c r="OA26" s="15"/>
      <c r="OB26" s="15"/>
      <c r="OC26" s="15"/>
      <c r="OD26" s="15"/>
      <c r="OE26" s="15"/>
      <c r="OF26" s="15"/>
      <c r="OG26" s="15"/>
      <c r="OH26" s="15"/>
      <c r="OI26" s="15"/>
      <c r="OJ26" s="15"/>
      <c r="OK26" s="15"/>
      <c r="OL26" s="15"/>
      <c r="OM26" s="15"/>
      <c r="ON26" s="15"/>
      <c r="OO26" s="15"/>
      <c r="OP26" s="15"/>
      <c r="OQ26" s="15"/>
      <c r="OR26" s="15"/>
      <c r="OS26" s="15"/>
      <c r="OT26" s="15"/>
      <c r="OU26" s="15"/>
      <c r="OV26" s="15"/>
      <c r="OW26" s="15"/>
      <c r="OX26" s="15"/>
      <c r="OY26" s="15"/>
      <c r="OZ26" s="15"/>
      <c r="PA26" s="15"/>
      <c r="PB26" s="15"/>
      <c r="PC26" s="15"/>
      <c r="PD26" s="15"/>
      <c r="PE26" s="15"/>
      <c r="PF26" s="15"/>
      <c r="PG26" s="15"/>
      <c r="PH26" s="15"/>
      <c r="PI26" s="15"/>
      <c r="PJ26" s="15"/>
      <c r="PK26" s="15"/>
      <c r="PL26" s="15"/>
      <c r="PM26" s="15"/>
      <c r="PN26" s="15"/>
      <c r="PO26" s="15"/>
      <c r="PP26" s="15"/>
      <c r="PQ26" s="15"/>
      <c r="PR26" s="15"/>
      <c r="PS26" s="15"/>
      <c r="PT26" s="15"/>
      <c r="PU26" s="15"/>
      <c r="PV26" s="15"/>
      <c r="PW26" s="15"/>
      <c r="PX26" s="15"/>
      <c r="PY26" s="15"/>
      <c r="PZ26" s="15"/>
      <c r="QA26" s="15"/>
      <c r="QB26" s="15"/>
      <c r="QC26" s="15"/>
      <c r="QD26" s="15"/>
      <c r="QE26" s="15"/>
      <c r="QF26" s="15"/>
      <c r="QG26" s="15"/>
      <c r="QH26" s="15"/>
      <c r="QI26" s="15"/>
      <c r="QJ26" s="15"/>
      <c r="QK26" s="15"/>
      <c r="QL26" s="15"/>
      <c r="QM26" s="15"/>
      <c r="QN26" s="15"/>
      <c r="QO26" s="15"/>
      <c r="QP26" s="15"/>
      <c r="QQ26" s="15"/>
      <c r="QR26" s="15"/>
      <c r="QS26" s="15"/>
      <c r="QT26" s="15"/>
      <c r="QU26" s="15"/>
      <c r="QV26" s="15"/>
      <c r="QW26" s="15"/>
      <c r="QX26" s="15"/>
      <c r="QY26" s="15"/>
      <c r="QZ26" s="15"/>
      <c r="RA26" s="15"/>
      <c r="RB26" s="15"/>
      <c r="RC26" s="15"/>
      <c r="RD26" s="15"/>
      <c r="RE26" s="15"/>
      <c r="RF26" s="15"/>
      <c r="RG26" s="15"/>
      <c r="RH26" s="15"/>
      <c r="RI26" s="15"/>
      <c r="RJ26" s="15"/>
      <c r="RK26" s="15"/>
      <c r="RL26" s="15"/>
      <c r="RM26" s="15"/>
      <c r="RN26" s="15"/>
      <c r="RO26" s="15"/>
      <c r="RP26" s="15"/>
      <c r="RQ26" s="15"/>
      <c r="RR26" s="15"/>
      <c r="RS26" s="15"/>
      <c r="RT26" s="15"/>
      <c r="RU26" s="15"/>
      <c r="RV26" s="15"/>
      <c r="RW26" s="15"/>
      <c r="RX26" s="15"/>
      <c r="RY26" s="15"/>
      <c r="RZ26" s="15"/>
      <c r="SA26" s="15"/>
      <c r="SB26" s="15"/>
      <c r="SC26" s="15"/>
      <c r="SD26" s="15"/>
      <c r="SE26" s="15"/>
      <c r="SF26" s="15"/>
      <c r="SG26" s="15"/>
      <c r="SH26" s="15"/>
      <c r="SI26" s="15"/>
      <c r="SJ26" s="15"/>
      <c r="SK26" s="15"/>
      <c r="SL26" s="15"/>
      <c r="SM26" s="15"/>
      <c r="SN26" s="15"/>
      <c r="SO26" s="15"/>
      <c r="SP26" s="15"/>
      <c r="SQ26" s="15"/>
      <c r="SR26" s="15"/>
      <c r="SS26" s="15"/>
      <c r="ST26" s="15"/>
      <c r="SU26" s="15"/>
      <c r="SV26" s="15"/>
      <c r="SW26" s="15"/>
      <c r="SX26" s="15"/>
      <c r="SY26" s="15"/>
      <c r="SZ26" s="15"/>
      <c r="TA26" s="15"/>
      <c r="TB26" s="15"/>
      <c r="TC26" s="15"/>
      <c r="TD26" s="15"/>
      <c r="TE26" s="15"/>
      <c r="TF26" s="15"/>
      <c r="TG26" s="15"/>
      <c r="TH26" s="15"/>
      <c r="TI26" s="15"/>
      <c r="TJ26" s="15"/>
      <c r="TK26" s="15"/>
      <c r="TL26" s="15"/>
      <c r="TM26" s="15"/>
      <c r="TN26" s="15"/>
      <c r="TO26" s="15"/>
      <c r="TP26" s="15"/>
      <c r="TQ26" s="15"/>
      <c r="TR26" s="15"/>
      <c r="TS26" s="15"/>
      <c r="TT26" s="15"/>
      <c r="TU26" s="15"/>
      <c r="TV26" s="15"/>
      <c r="TW26" s="15"/>
      <c r="TX26" s="15"/>
      <c r="TY26" s="15"/>
      <c r="TZ26" s="15"/>
      <c r="UA26" s="15"/>
      <c r="UB26" s="15"/>
      <c r="UC26" s="15"/>
      <c r="UD26" s="15"/>
      <c r="UE26" s="15"/>
      <c r="UF26" s="15"/>
      <c r="UG26" s="15"/>
      <c r="UH26" s="15"/>
      <c r="UI26" s="15"/>
      <c r="UJ26" s="15"/>
      <c r="UK26" s="15"/>
      <c r="UL26" s="15"/>
      <c r="UM26" s="15"/>
      <c r="UN26" s="15"/>
      <c r="UO26" s="15"/>
      <c r="UP26" s="15"/>
      <c r="UQ26" s="15"/>
      <c r="UR26" s="15"/>
      <c r="US26" s="15"/>
      <c r="UT26" s="15"/>
      <c r="UU26" s="15"/>
      <c r="UV26" s="15"/>
      <c r="UW26" s="15"/>
      <c r="UX26" s="15"/>
      <c r="UY26" s="15"/>
      <c r="UZ26" s="15"/>
      <c r="VA26" s="15"/>
      <c r="VB26" s="15"/>
      <c r="VC26" s="15"/>
      <c r="VD26" s="15"/>
      <c r="VE26" s="15"/>
      <c r="VF26" s="15"/>
      <c r="VG26" s="15"/>
      <c r="VH26" s="15"/>
      <c r="VI26" s="15"/>
      <c r="VJ26" s="15"/>
      <c r="VK26" s="15"/>
      <c r="VL26" s="15"/>
      <c r="VM26" s="15"/>
      <c r="VN26" s="15"/>
      <c r="VO26" s="15"/>
      <c r="VP26" s="15"/>
      <c r="VQ26" s="15"/>
      <c r="VR26" s="15"/>
      <c r="VS26" s="15"/>
      <c r="VT26" s="15"/>
      <c r="VU26" s="15"/>
      <c r="VV26" s="15"/>
      <c r="VW26" s="15"/>
      <c r="VX26" s="15"/>
      <c r="VY26" s="15"/>
      <c r="VZ26" s="15"/>
      <c r="WA26" s="15"/>
      <c r="WB26" s="15"/>
      <c r="WC26" s="15"/>
      <c r="WD26" s="15"/>
      <c r="WE26" s="15"/>
    </row>
    <row r="27" spans="1:603" s="18" customFormat="1" x14ac:dyDescent="0.4">
      <c r="A27" s="12"/>
      <c r="B27" s="12"/>
      <c r="C27" s="12"/>
      <c r="D27" s="12"/>
      <c r="E27" s="12"/>
      <c r="F27" s="12"/>
      <c r="G27" s="12"/>
      <c r="H27" s="12"/>
      <c r="I27" s="12"/>
      <c r="J27" s="15"/>
      <c r="K27" s="15"/>
      <c r="L27" s="16"/>
      <c r="M27" s="16"/>
      <c r="N27" s="15"/>
      <c r="O27" s="15"/>
      <c r="P27" s="16"/>
      <c r="Q27" s="16"/>
      <c r="R27" s="15"/>
      <c r="S27" s="15"/>
      <c r="T27" s="16"/>
      <c r="U27" s="16"/>
      <c r="V27" s="15"/>
      <c r="W27" s="15"/>
      <c r="X27" s="16"/>
      <c r="Y27" s="16"/>
      <c r="Z27" s="15"/>
      <c r="AA27" s="15"/>
      <c r="AB27" s="16"/>
      <c r="AC27" s="16"/>
      <c r="AD27" s="15"/>
      <c r="AE27" s="15"/>
      <c r="AF27" s="16"/>
      <c r="AG27" s="16"/>
      <c r="AH27" s="15"/>
      <c r="AI27" s="15"/>
      <c r="AJ27" s="16"/>
      <c r="AK27" s="16"/>
      <c r="AL27" s="15"/>
      <c r="AM27" s="15"/>
      <c r="AN27" s="16"/>
      <c r="AO27" s="16"/>
      <c r="AP27" s="15"/>
      <c r="AQ27" s="15"/>
      <c r="AR27" s="16"/>
      <c r="AS27" s="16"/>
      <c r="AT27" s="15"/>
      <c r="AU27" s="15"/>
      <c r="AV27" s="16"/>
      <c r="AW27" s="16"/>
      <c r="AX27" s="15"/>
      <c r="AY27" s="15"/>
      <c r="AZ27" s="16"/>
      <c r="BA27" s="16"/>
      <c r="BB27" s="15"/>
      <c r="BC27" s="15"/>
      <c r="BD27" s="16"/>
      <c r="BE27" s="16"/>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5"/>
      <c r="DE27" s="15"/>
      <c r="DF27" s="15"/>
      <c r="DG27" s="15"/>
      <c r="DH27" s="15"/>
      <c r="DI27" s="15"/>
      <c r="DJ27" s="15"/>
      <c r="DK27" s="15"/>
      <c r="DL27" s="15"/>
      <c r="DM27" s="15"/>
      <c r="DN27" s="15"/>
      <c r="DO27" s="15"/>
      <c r="DP27" s="15"/>
      <c r="DQ27" s="15"/>
      <c r="DR27" s="15"/>
      <c r="DS27" s="15"/>
      <c r="DT27" s="15"/>
      <c r="DU27" s="15"/>
      <c r="DV27" s="15"/>
      <c r="DW27" s="15"/>
      <c r="DX27" s="15"/>
      <c r="DY27" s="15"/>
      <c r="DZ27" s="15"/>
      <c r="EA27" s="15"/>
      <c r="EB27" s="15"/>
      <c r="EC27" s="15"/>
      <c r="ED27" s="15"/>
      <c r="EE27" s="15"/>
      <c r="EF27" s="15"/>
      <c r="EG27" s="15"/>
      <c r="EH27" s="15"/>
      <c r="EI27" s="15"/>
      <c r="EJ27" s="15"/>
      <c r="EK27" s="15"/>
      <c r="EL27" s="15"/>
      <c r="EM27" s="15"/>
      <c r="EN27" s="15"/>
      <c r="EO27" s="15"/>
      <c r="EP27" s="15"/>
      <c r="EQ27" s="15"/>
      <c r="ER27" s="15"/>
      <c r="ES27" s="15"/>
      <c r="ET27" s="15"/>
      <c r="EU27" s="15"/>
      <c r="EV27" s="15"/>
      <c r="EW27" s="15"/>
      <c r="EX27" s="15"/>
      <c r="EY27" s="15"/>
      <c r="EZ27" s="15"/>
      <c r="FA27" s="15"/>
      <c r="FB27" s="15"/>
      <c r="FC27" s="15"/>
      <c r="FD27" s="15"/>
      <c r="FE27" s="15"/>
      <c r="FF27" s="15"/>
      <c r="FG27" s="15"/>
      <c r="FH27" s="15"/>
      <c r="FI27" s="15"/>
      <c r="FJ27" s="15"/>
      <c r="FK27" s="15"/>
      <c r="FL27" s="15"/>
      <c r="FM27" s="15"/>
      <c r="FN27" s="15"/>
      <c r="FO27" s="15"/>
      <c r="FP27" s="15"/>
      <c r="FQ27" s="15"/>
      <c r="FR27" s="15"/>
      <c r="FS27" s="15"/>
      <c r="FT27" s="15"/>
      <c r="FU27" s="15"/>
      <c r="FV27" s="15"/>
      <c r="FW27" s="15"/>
      <c r="FX27" s="15"/>
      <c r="FY27" s="15"/>
      <c r="FZ27" s="15"/>
      <c r="GA27" s="15"/>
      <c r="GB27" s="15"/>
      <c r="GC27" s="15"/>
      <c r="GD27" s="15"/>
      <c r="GE27" s="15"/>
      <c r="GF27" s="15"/>
      <c r="GG27" s="15"/>
      <c r="GH27" s="15"/>
      <c r="GI27" s="15"/>
      <c r="GJ27" s="15"/>
      <c r="GK27" s="15"/>
      <c r="GL27" s="15"/>
      <c r="GM27" s="15"/>
      <c r="GN27" s="15"/>
      <c r="GO27" s="15"/>
      <c r="GP27" s="15"/>
      <c r="GQ27" s="15"/>
      <c r="GR27" s="15"/>
      <c r="GS27" s="15"/>
      <c r="GT27" s="15"/>
      <c r="GU27" s="15"/>
      <c r="GV27" s="15"/>
      <c r="GW27" s="15"/>
      <c r="GX27" s="15"/>
      <c r="GY27" s="15"/>
      <c r="GZ27" s="15"/>
      <c r="HA27" s="15"/>
      <c r="HB27" s="15"/>
      <c r="HC27" s="15"/>
      <c r="HD27" s="15"/>
      <c r="HE27" s="15"/>
      <c r="HF27" s="15"/>
      <c r="HG27" s="15"/>
      <c r="HH27" s="15"/>
      <c r="HI27" s="15"/>
      <c r="HJ27" s="15"/>
      <c r="HK27" s="15"/>
      <c r="HL27" s="15"/>
      <c r="HM27" s="15"/>
      <c r="HN27" s="15"/>
      <c r="HO27" s="15"/>
      <c r="HP27" s="15"/>
      <c r="HQ27" s="15"/>
      <c r="HR27" s="15"/>
      <c r="HS27" s="15"/>
      <c r="HT27" s="15"/>
      <c r="HU27" s="15"/>
      <c r="HV27" s="15"/>
      <c r="HW27" s="15"/>
      <c r="HX27" s="15"/>
      <c r="HY27" s="15"/>
      <c r="HZ27" s="15"/>
      <c r="IA27" s="15"/>
      <c r="IB27" s="15"/>
      <c r="IC27" s="15"/>
      <c r="ID27" s="15"/>
      <c r="IE27" s="15"/>
      <c r="IF27" s="15"/>
      <c r="IG27" s="15"/>
      <c r="IH27" s="15"/>
      <c r="II27" s="15"/>
      <c r="IJ27" s="15"/>
      <c r="IK27" s="15"/>
      <c r="IL27" s="15"/>
      <c r="IM27" s="15"/>
      <c r="IN27" s="15"/>
      <c r="IO27" s="15"/>
      <c r="IP27" s="15"/>
      <c r="IQ27" s="15"/>
      <c r="IR27" s="15"/>
      <c r="IS27" s="15"/>
      <c r="IT27" s="15"/>
      <c r="IU27" s="15"/>
      <c r="IV27" s="15"/>
      <c r="IW27" s="15"/>
      <c r="IX27" s="15"/>
      <c r="IY27" s="15"/>
      <c r="IZ27" s="15"/>
      <c r="JA27" s="15"/>
      <c r="JB27" s="15"/>
      <c r="JC27" s="15"/>
      <c r="JD27" s="15"/>
      <c r="JE27" s="15"/>
      <c r="JF27" s="15"/>
      <c r="JG27" s="15"/>
      <c r="JH27" s="15"/>
      <c r="JI27" s="15"/>
      <c r="JJ27" s="15"/>
      <c r="JK27" s="15"/>
      <c r="JL27" s="15"/>
      <c r="JM27" s="15"/>
      <c r="JN27" s="15"/>
      <c r="JO27" s="15"/>
      <c r="JP27" s="15"/>
      <c r="JQ27" s="15"/>
      <c r="JR27" s="15"/>
      <c r="JS27" s="15"/>
      <c r="JT27" s="15"/>
      <c r="JU27" s="15"/>
      <c r="JV27" s="15"/>
      <c r="JW27" s="15"/>
      <c r="JX27" s="15"/>
      <c r="JY27" s="15"/>
      <c r="JZ27" s="15"/>
      <c r="KA27" s="15"/>
      <c r="KB27" s="15"/>
      <c r="KC27" s="15"/>
      <c r="KD27" s="15"/>
      <c r="KE27" s="15"/>
      <c r="KF27" s="15"/>
      <c r="KG27" s="15"/>
      <c r="KH27" s="15"/>
      <c r="KI27" s="15"/>
      <c r="KJ27" s="15"/>
      <c r="KK27" s="15"/>
      <c r="KL27" s="15"/>
      <c r="KM27" s="15"/>
      <c r="KN27" s="15"/>
      <c r="KO27" s="15"/>
      <c r="KP27" s="15"/>
      <c r="KQ27" s="15"/>
      <c r="KR27" s="15"/>
      <c r="KS27" s="15"/>
      <c r="KT27" s="15"/>
      <c r="KU27" s="15"/>
      <c r="KV27" s="15"/>
      <c r="KW27" s="15"/>
      <c r="KX27" s="15"/>
      <c r="KY27" s="15"/>
      <c r="KZ27" s="15"/>
      <c r="LA27" s="15"/>
      <c r="LB27" s="15"/>
      <c r="LC27" s="15"/>
      <c r="LD27" s="15"/>
      <c r="LE27" s="15"/>
      <c r="LF27" s="15"/>
      <c r="LG27" s="15"/>
      <c r="LH27" s="15"/>
      <c r="LI27" s="15"/>
      <c r="LJ27" s="15"/>
      <c r="LK27" s="15"/>
      <c r="LL27" s="15"/>
      <c r="LM27" s="15"/>
      <c r="LN27" s="15"/>
      <c r="LO27" s="15"/>
      <c r="LP27" s="15"/>
      <c r="LQ27" s="15"/>
      <c r="LR27" s="15"/>
      <c r="LS27" s="15"/>
      <c r="LT27" s="15"/>
      <c r="LU27" s="15"/>
      <c r="LV27" s="15"/>
      <c r="LW27" s="15"/>
      <c r="LX27" s="15"/>
      <c r="LY27" s="15"/>
      <c r="LZ27" s="15"/>
      <c r="MA27" s="15"/>
      <c r="MB27" s="15"/>
      <c r="MC27" s="15"/>
      <c r="MD27" s="15"/>
      <c r="ME27" s="15"/>
      <c r="MF27" s="15"/>
      <c r="MG27" s="15"/>
      <c r="MH27" s="15"/>
      <c r="MI27" s="15"/>
      <c r="MJ27" s="15"/>
      <c r="MK27" s="15"/>
      <c r="ML27" s="15"/>
      <c r="MM27" s="15"/>
      <c r="MN27" s="15"/>
      <c r="MO27" s="15"/>
      <c r="MP27" s="15"/>
      <c r="MQ27" s="15"/>
      <c r="MR27" s="15"/>
      <c r="MS27" s="15"/>
      <c r="MT27" s="15"/>
      <c r="MU27" s="15"/>
      <c r="MV27" s="15"/>
      <c r="MW27" s="15"/>
      <c r="MX27" s="15"/>
      <c r="MY27" s="15"/>
      <c r="MZ27" s="15"/>
      <c r="NA27" s="15"/>
      <c r="NB27" s="15"/>
      <c r="NC27" s="15"/>
      <c r="ND27" s="15"/>
      <c r="NE27" s="15"/>
      <c r="NF27" s="15"/>
      <c r="NG27" s="15"/>
      <c r="NH27" s="15"/>
      <c r="NI27" s="15"/>
      <c r="NJ27" s="15"/>
      <c r="NK27" s="15"/>
      <c r="NL27" s="15"/>
      <c r="NM27" s="15"/>
      <c r="NN27" s="15"/>
      <c r="NO27" s="15"/>
      <c r="NP27" s="15"/>
      <c r="NQ27" s="15"/>
      <c r="NR27" s="15"/>
      <c r="NS27" s="15"/>
      <c r="NT27" s="15"/>
      <c r="NU27" s="15"/>
      <c r="NV27" s="15"/>
      <c r="NW27" s="15"/>
      <c r="NX27" s="15"/>
      <c r="NY27" s="15"/>
      <c r="NZ27" s="15"/>
      <c r="OA27" s="15"/>
      <c r="OB27" s="15"/>
      <c r="OC27" s="15"/>
      <c r="OD27" s="15"/>
      <c r="OE27" s="15"/>
      <c r="OF27" s="15"/>
      <c r="OG27" s="15"/>
      <c r="OH27" s="15"/>
      <c r="OI27" s="15"/>
      <c r="OJ27" s="15"/>
      <c r="OK27" s="15"/>
      <c r="OL27" s="15"/>
      <c r="OM27" s="15"/>
      <c r="ON27" s="15"/>
      <c r="OO27" s="15"/>
      <c r="OP27" s="15"/>
      <c r="OQ27" s="15"/>
      <c r="OR27" s="15"/>
      <c r="OS27" s="15"/>
      <c r="OT27" s="15"/>
      <c r="OU27" s="15"/>
      <c r="OV27" s="15"/>
      <c r="OW27" s="15"/>
      <c r="OX27" s="15"/>
      <c r="OY27" s="15"/>
      <c r="OZ27" s="15"/>
      <c r="PA27" s="15"/>
      <c r="PB27" s="15"/>
      <c r="PC27" s="15"/>
      <c r="PD27" s="15"/>
      <c r="PE27" s="15"/>
      <c r="PF27" s="15"/>
      <c r="PG27" s="15"/>
      <c r="PH27" s="15"/>
      <c r="PI27" s="15"/>
      <c r="PJ27" s="15"/>
      <c r="PK27" s="15"/>
      <c r="PL27" s="15"/>
      <c r="PM27" s="15"/>
      <c r="PN27" s="15"/>
      <c r="PO27" s="15"/>
      <c r="PP27" s="15"/>
      <c r="PQ27" s="15"/>
      <c r="PR27" s="15"/>
      <c r="PS27" s="15"/>
      <c r="PT27" s="15"/>
      <c r="PU27" s="15"/>
      <c r="PV27" s="15"/>
      <c r="PW27" s="15"/>
      <c r="PX27" s="15"/>
      <c r="PY27" s="15"/>
      <c r="PZ27" s="15"/>
      <c r="QA27" s="15"/>
      <c r="QB27" s="15"/>
      <c r="QC27" s="15"/>
      <c r="QD27" s="15"/>
      <c r="QE27" s="15"/>
      <c r="QF27" s="15"/>
      <c r="QG27" s="15"/>
      <c r="QH27" s="15"/>
      <c r="QI27" s="15"/>
      <c r="QJ27" s="15"/>
      <c r="QK27" s="15"/>
      <c r="QL27" s="15"/>
      <c r="QM27" s="15"/>
      <c r="QN27" s="15"/>
      <c r="QO27" s="15"/>
      <c r="QP27" s="15"/>
      <c r="QQ27" s="15"/>
      <c r="QR27" s="15"/>
      <c r="QS27" s="15"/>
      <c r="QT27" s="15"/>
      <c r="QU27" s="15"/>
      <c r="QV27" s="15"/>
      <c r="QW27" s="15"/>
      <c r="QX27" s="15"/>
      <c r="QY27" s="15"/>
      <c r="QZ27" s="15"/>
      <c r="RA27" s="15"/>
      <c r="RB27" s="15"/>
      <c r="RC27" s="15"/>
      <c r="RD27" s="15"/>
      <c r="RE27" s="15"/>
      <c r="RF27" s="15"/>
      <c r="RG27" s="15"/>
      <c r="RH27" s="15"/>
      <c r="RI27" s="15"/>
      <c r="RJ27" s="15"/>
      <c r="RK27" s="15"/>
      <c r="RL27" s="15"/>
      <c r="RM27" s="15"/>
      <c r="RN27" s="15"/>
      <c r="RO27" s="15"/>
      <c r="RP27" s="15"/>
      <c r="RQ27" s="15"/>
      <c r="RR27" s="15"/>
      <c r="RS27" s="15"/>
      <c r="RT27" s="15"/>
      <c r="RU27" s="15"/>
      <c r="RV27" s="15"/>
      <c r="RW27" s="15"/>
      <c r="RX27" s="15"/>
      <c r="RY27" s="15"/>
      <c r="RZ27" s="15"/>
      <c r="SA27" s="15"/>
      <c r="SB27" s="15"/>
      <c r="SC27" s="15"/>
      <c r="SD27" s="15"/>
      <c r="SE27" s="15"/>
      <c r="SF27" s="15"/>
      <c r="SG27" s="15"/>
      <c r="SH27" s="15"/>
      <c r="SI27" s="15"/>
      <c r="SJ27" s="15"/>
      <c r="SK27" s="15"/>
      <c r="SL27" s="15"/>
      <c r="SM27" s="15"/>
      <c r="SN27" s="15"/>
      <c r="SO27" s="15"/>
      <c r="SP27" s="15"/>
      <c r="SQ27" s="15"/>
      <c r="SR27" s="15"/>
      <c r="SS27" s="15"/>
      <c r="ST27" s="15"/>
      <c r="SU27" s="15"/>
      <c r="SV27" s="15"/>
      <c r="SW27" s="15"/>
      <c r="SX27" s="15"/>
      <c r="SY27" s="15"/>
      <c r="SZ27" s="15"/>
      <c r="TA27" s="15"/>
      <c r="TB27" s="15"/>
      <c r="TC27" s="15"/>
      <c r="TD27" s="15"/>
      <c r="TE27" s="15"/>
      <c r="TF27" s="15"/>
      <c r="TG27" s="15"/>
      <c r="TH27" s="15"/>
      <c r="TI27" s="15"/>
      <c r="TJ27" s="15"/>
      <c r="TK27" s="15"/>
      <c r="TL27" s="15"/>
      <c r="TM27" s="15"/>
      <c r="TN27" s="15"/>
      <c r="TO27" s="15"/>
      <c r="TP27" s="15"/>
      <c r="TQ27" s="15"/>
      <c r="TR27" s="15"/>
      <c r="TS27" s="15"/>
      <c r="TT27" s="15"/>
      <c r="TU27" s="15"/>
      <c r="TV27" s="15"/>
      <c r="TW27" s="15"/>
      <c r="TX27" s="15"/>
      <c r="TY27" s="15"/>
      <c r="TZ27" s="15"/>
      <c r="UA27" s="15"/>
      <c r="UB27" s="15"/>
      <c r="UC27" s="15"/>
      <c r="UD27" s="15"/>
      <c r="UE27" s="15"/>
      <c r="UF27" s="15"/>
      <c r="UG27" s="15"/>
      <c r="UH27" s="15"/>
      <c r="UI27" s="15"/>
      <c r="UJ27" s="15"/>
      <c r="UK27" s="15"/>
      <c r="UL27" s="15"/>
      <c r="UM27" s="15"/>
      <c r="UN27" s="15"/>
      <c r="UO27" s="15"/>
      <c r="UP27" s="15"/>
      <c r="UQ27" s="15"/>
      <c r="UR27" s="15"/>
      <c r="US27" s="15"/>
      <c r="UT27" s="15"/>
      <c r="UU27" s="15"/>
      <c r="UV27" s="15"/>
      <c r="UW27" s="15"/>
      <c r="UX27" s="15"/>
      <c r="UY27" s="15"/>
      <c r="UZ27" s="15"/>
      <c r="VA27" s="15"/>
      <c r="VB27" s="15"/>
      <c r="VC27" s="15"/>
      <c r="VD27" s="15"/>
      <c r="VE27" s="15"/>
      <c r="VF27" s="15"/>
      <c r="VG27" s="15"/>
      <c r="VH27" s="15"/>
      <c r="VI27" s="15"/>
      <c r="VJ27" s="15"/>
      <c r="VK27" s="15"/>
      <c r="VL27" s="15"/>
      <c r="VM27" s="15"/>
      <c r="VN27" s="15"/>
      <c r="VO27" s="15"/>
      <c r="VP27" s="15"/>
      <c r="VQ27" s="15"/>
      <c r="VR27" s="15"/>
      <c r="VS27" s="15"/>
      <c r="VT27" s="15"/>
      <c r="VU27" s="15"/>
      <c r="VV27" s="15"/>
      <c r="VW27" s="15"/>
      <c r="VX27" s="15"/>
      <c r="VY27" s="15"/>
      <c r="VZ27" s="15"/>
      <c r="WA27" s="15"/>
      <c r="WB27" s="15"/>
      <c r="WC27" s="15"/>
      <c r="WD27" s="15"/>
      <c r="WE27" s="15"/>
    </row>
  </sheetData>
  <sheetProtection algorithmName="SHA-512" hashValue="rkEywXnEypmSesh+a77wWUVorcOMR5yhWu62i1lRVl0u4cZ7q8KVZV7eMdwalT90hyBtjncfTC6uVzS3y9cicQ==" saltValue="JVKKKsgmu+pg1Pykk4uHLg==" spinCount="100000" sheet="1" objects="1" scenarios="1" formatRows="0"/>
  <phoneticPr fontId="1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79ED2B215C6A64A8EEA6A4A280DADE5" ma:contentTypeVersion="11" ma:contentTypeDescription="Create a new document." ma:contentTypeScope="" ma:versionID="3888bf875947002d9437d5c56d07b5d3">
  <xsd:schema xmlns:xsd="http://www.w3.org/2001/XMLSchema" xmlns:xs="http://www.w3.org/2001/XMLSchema" xmlns:p="http://schemas.microsoft.com/office/2006/metadata/properties" xmlns:ns2="81251141-7599-4081-9962-8622873f55aa" xmlns:ns3="afd5fb63-b61f-423b-93e7-958e038eacd2" targetNamespace="http://schemas.microsoft.com/office/2006/metadata/properties" ma:root="true" ma:fieldsID="047a8574d06dd2c3496ab08796c0e7b5" ns2:_="" ns3:_="">
    <xsd:import namespace="81251141-7599-4081-9962-8622873f55aa"/>
    <xsd:import namespace="afd5fb63-b61f-423b-93e7-958e038eacd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51141-7599-4081-9962-8622873f55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fd5fb63-b61f-423b-93e7-958e038eacd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52DDF1-DB9E-4C0C-9E16-F265EDFF44E6}">
  <ds:schemaRefs>
    <ds:schemaRef ds:uri="http://purl.org/dc/elements/1.1/"/>
    <ds:schemaRef ds:uri="http://www.w3.org/XML/1998/namespace"/>
    <ds:schemaRef ds:uri="http://schemas.microsoft.com/office/2006/metadata/properties"/>
    <ds:schemaRef ds:uri="http://schemas.microsoft.com/office/2006/documentManagement/types"/>
    <ds:schemaRef ds:uri="81251141-7599-4081-9962-8622873f55aa"/>
    <ds:schemaRef ds:uri="http://schemas.openxmlformats.org/package/2006/metadata/core-properties"/>
    <ds:schemaRef ds:uri="http://purl.org/dc/terms/"/>
    <ds:schemaRef ds:uri="http://schemas.microsoft.com/office/infopath/2007/PartnerControls"/>
    <ds:schemaRef ds:uri="afd5fb63-b61f-423b-93e7-958e038eacd2"/>
    <ds:schemaRef ds:uri="http://purl.org/dc/dcmitype/"/>
  </ds:schemaRefs>
</ds:datastoreItem>
</file>

<file path=customXml/itemProps2.xml><?xml version="1.0" encoding="utf-8"?>
<ds:datastoreItem xmlns:ds="http://schemas.openxmlformats.org/officeDocument/2006/customXml" ds:itemID="{C2814875-A1EC-46C5-A2DA-1FD958EE2B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251141-7599-4081-9962-8622873f55aa"/>
    <ds:schemaRef ds:uri="afd5fb63-b61f-423b-93e7-958e038eac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B702087-7E88-4AF3-B693-D27B95F8995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15</vt:i4>
      </vt:variant>
      <vt:variant>
        <vt:lpstr>Plages nommées</vt:lpstr>
      </vt:variant>
      <vt:variant>
        <vt:i4>35</vt:i4>
      </vt:variant>
    </vt:vector>
  </HeadingPairs>
  <TitlesOfParts>
    <vt:vector size="50" baseType="lpstr">
      <vt:lpstr>Lisez moi</vt:lpstr>
      <vt:lpstr>Descriptif</vt:lpstr>
      <vt:lpstr>SYNTHESE_SCL</vt:lpstr>
      <vt:lpstr>SYNTHESE_STEU</vt:lpstr>
      <vt:lpstr>Qualité</vt:lpstr>
      <vt:lpstr>Analytique</vt:lpstr>
      <vt:lpstr>BD Débitmètres</vt:lpstr>
      <vt:lpstr>PARAM</vt:lpstr>
      <vt:lpstr>SeuilsComparaison-EMT</vt:lpstr>
      <vt:lpstr>Recap_reseau</vt:lpstr>
      <vt:lpstr>Recap_equipements</vt:lpstr>
      <vt:lpstr>Equipements_SCL</vt:lpstr>
      <vt:lpstr>Equipements_STEU</vt:lpstr>
      <vt:lpstr>LimitequantificationSDE</vt:lpstr>
      <vt:lpstr>Critères</vt:lpstr>
      <vt:lpstr>Asservissement</vt:lpstr>
      <vt:lpstr>CODE_SANDRE_3</vt:lpstr>
      <vt:lpstr>CODE_SANDRE_SCL</vt:lpstr>
      <vt:lpstr>CODE_SANDRE_STEU</vt:lpstr>
      <vt:lpstr>conditions_meteo</vt:lpstr>
      <vt:lpstr>Conformité</vt:lpstr>
      <vt:lpstr>diam_debitmetre</vt:lpstr>
      <vt:lpstr>Eq_h_controle</vt:lpstr>
      <vt:lpstr>EQUIPEMENT_PREL</vt:lpstr>
      <vt:lpstr>EQUIPEMENT_Q</vt:lpstr>
      <vt:lpstr>Frequence</vt:lpstr>
      <vt:lpstr>LISTE_1</vt:lpstr>
      <vt:lpstr>LISTE_2</vt:lpstr>
      <vt:lpstr>LISTE_3</vt:lpstr>
      <vt:lpstr>LISTE_4</vt:lpstr>
      <vt:lpstr>LISTE_5</vt:lpstr>
      <vt:lpstr>LISTE_6</vt:lpstr>
      <vt:lpstr>LISTE_7</vt:lpstr>
      <vt:lpstr>Méthode</vt:lpstr>
      <vt:lpstr>Montage_sonde</vt:lpstr>
      <vt:lpstr>PLUVIO_SCL</vt:lpstr>
      <vt:lpstr>LimitequantificationSDE!Print_Area</vt:lpstr>
      <vt:lpstr>'SeuilsComparaison-EMT'!Print_Area</vt:lpstr>
      <vt:lpstr>Q_en_charge</vt:lpstr>
      <vt:lpstr>Q_en_charge_boues</vt:lpstr>
      <vt:lpstr>Q_Gravitaire</vt:lpstr>
      <vt:lpstr>Satisfaction</vt:lpstr>
      <vt:lpstr>STATUT_EQ</vt:lpstr>
      <vt:lpstr>Type_capteur</vt:lpstr>
      <vt:lpstr>Type_equipement</vt:lpstr>
      <vt:lpstr>Type_reseau</vt:lpstr>
      <vt:lpstr>TypeDeMesure</vt:lpstr>
      <vt:lpstr>Analytique!Zone_d_impression</vt:lpstr>
      <vt:lpstr>Descriptif!Zone_d_impression</vt:lpstr>
      <vt:lpstr>Qualité!Zone_d_impression</vt:lpstr>
    </vt:vector>
  </TitlesOfParts>
  <Manager/>
  <Company>Agence de l'eau Loire-Bretagne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 Dhuygelaere</dc:creator>
  <cp:keywords/>
  <dc:description/>
  <cp:lastModifiedBy>Nicolas Dhuygelaere</cp:lastModifiedBy>
  <cp:revision/>
  <cp:lastPrinted>2026-10-05T08:20:00Z</cp:lastPrinted>
  <dcterms:created xsi:type="dcterms:W3CDTF">2022-12-06T13:32:43Z</dcterms:created>
  <dcterms:modified xsi:type="dcterms:W3CDTF">2026-10-09T08:46:54Z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0x010100B79ED2B215C6A64A8EEA6A4A280DADE5</vt:lpwstr>
  </property>
</Properties>
</file>