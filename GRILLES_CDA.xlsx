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10.xml" ContentType="application/vnd.ms-excel.threadedcomments+xml"/>
  <Override PartName="/xl/threadedComments/threadedComment9.xml" ContentType="application/vnd.ms-excel.threadedcomments+xml"/>
  <Override PartName="/xl/threadedComments/threadedComment8.xml" ContentType="application/vnd.ms-excel.threadedcomments+xml"/>
  <Override PartName="/xl/threadedComments/threadedComment1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C:\Users\ndhuy\AppData\Roaming\Microsoft\AddIns\"/>
    </mc:Choice>
  </mc:AlternateContent>
  <xr:revisionPtr revIDLastSave="0" documentId="13_ncr:1_{5EBBAC5C-233E-4362-B8AA-E5627B76BF85}" xr6:coauthVersionLast="47" xr6:coauthVersionMax="47" xr10:uidLastSave="{00000000-0000-0000-0000-000000000000}"/>
  <bookViews>
    <workbookView xWindow="0" yWindow="-16320" windowWidth="29040" windowHeight="15720" tabRatio="887" xr2:uid="{00000000-000D-0000-FFFF-FFFF00000000}"/>
  </bookViews>
  <sheets>
    <sheet name="Descriptif" sheetId="30" r:id="rId1"/>
    <sheet name="SYNTHESE" sheetId="138" r:id="rId2"/>
    <sheet name="Qualité" sheetId="51" r:id="rId3"/>
    <sheet name="Analytique" sheetId="137" r:id="rId4"/>
    <sheet name="PARAM" sheetId="5" r:id="rId5"/>
    <sheet name="SeuilsComparaison-EMT" sheetId="8" r:id="rId6"/>
    <sheet name="Recap_equipements" sheetId="97" state="hidden" r:id="rId7"/>
    <sheet name="Equipements" sheetId="98" state="hidden" r:id="rId8"/>
    <sheet name="LimitequantificationSDE" sheetId="9" state="hidden" r:id="rId9"/>
    <sheet name="Critères" sheetId="47" state="hidden" r:id="rId10"/>
  </sheets>
  <definedNames>
    <definedName name="_xlnm._FilterDatabase" localSheetId="0" hidden="1">Descriptif!$E$33:$Q$33</definedName>
    <definedName name="Asservissement">PARAM!$A$44:$A$46</definedName>
    <definedName name="CODE_SANDRE_3">PARAM!$I$4:$I$19</definedName>
    <definedName name="CODE_SANDRE_SCL">PARAM!$F$4:$F$7</definedName>
    <definedName name="CODE_SANDRE_STEU">PARAM!$E$4:$E$19</definedName>
    <definedName name="conditions_meteo">PARAM!$F$44:$F$46</definedName>
    <definedName name="Conformité">PARAM!$B$44:$B$48</definedName>
    <definedName name="Eq_h_controle">PARAM!$C$30:$C$32</definedName>
    <definedName name="EQUIPEMENT_PREL">PARAM!$B$4:$B$6</definedName>
    <definedName name="EQUIPEMENT_Q">PARAM!$A$4:$A$15</definedName>
    <definedName name="Frequence">PARAM!$E$44:$E$51</definedName>
    <definedName name="LISTE_1">PARAM!$A$21:$A$22</definedName>
    <definedName name="LISTE_1_a">#REF!</definedName>
    <definedName name="LISTE_2">PARAM!$B$21:$B$23</definedName>
    <definedName name="LISTE_3">PARAM!$C$21:$C$24</definedName>
    <definedName name="LISTE_4">PARAM!$D$21:$D$26</definedName>
    <definedName name="LISTE_5">PARAM!$F$21:$F$24</definedName>
    <definedName name="LISTE_6">PARAM!$G$21:$G$23</definedName>
    <definedName name="LISTE_7">PARAM!$H$21:$H$23</definedName>
    <definedName name="listeDebimetres">INDIRECT("Descriptif!"&amp;ADDRESS(Descriptif!$AD$2,COLUMN(Descriptif!$AF$1))):INDEX(INDIRECT("Descriptif!AF"&amp;Descriptif!$AD$2&amp;":AF101"),COUNTIF(INDIRECT("Descriptif!AF"&amp;Descriptif!$AD$2&amp;":AF101"),"?*"))</definedName>
    <definedName name="listePluviometres">INDIRECT("Descriptif!"&amp;ADDRESS(Descriptif!$AD$2,COLUMN(Descriptif!$AJ$1))):INDEX(INDIRECT("Descriptif!AJ"&amp;Descriptif!$AD$2&amp;":AJ101"),COUNTIF(INDIRECT("Descriptif!AJ"&amp;Descriptif!$AD$2&amp;":AJ101"),"?*"))</definedName>
    <definedName name="listePreleveurs">INDIRECT("Descriptif!"&amp;ADDRESS(Descriptif!$AD$2,COLUMN(Descriptif!$AD$1))):INDEX(INDIRECT("Descriptif!AD"&amp;Descriptif!$AD$2&amp;":AD101"),COUNTIF(INDIRECT("Descriptif!AD"&amp;Descriptif!$AD$2&amp;":AD101"),"?*"))</definedName>
    <definedName name="listeSondeTemp">INDIRECT("Descriptif!"&amp;ADDRESS(Descriptif!$AD$2,COLUMN(Descriptif!$AH$1))):INDEX(INDIRECT("Descriptif!AH"&amp;Descriptif!$AD$2&amp;":AH101"),COUNTIF(INDIRECT("Descriptif!AH"&amp;Descriptif!$AD$2&amp;":AH101"),"?*"))</definedName>
    <definedName name="Méthode">PARAM!$A$55:$A$57</definedName>
    <definedName name="Montage_sonde">PARAM!$G$44:$G$47</definedName>
    <definedName name="PLUVIO_SCL">Descriptif!$E$24:$E$24</definedName>
    <definedName name="Print_Area" localSheetId="8">LimitequantificationSDE!$A$1:$F$21</definedName>
    <definedName name="Print_Area" localSheetId="5">'SeuilsComparaison-EMT'!$A$1:$K$29</definedName>
    <definedName name="Q_en_charge">PARAM!$A$30:$A$36</definedName>
    <definedName name="Q_Gravitaire">PARAM!$B$30:$B$39</definedName>
    <definedName name="Satisfaction">PARAM!$D$44:$D$46</definedName>
    <definedName name="Type_capteur">PARAM!$C$44:$C$48</definedName>
    <definedName name="Type_equipement">PARAM!$C$4:$C$7</definedName>
    <definedName name="Type_reseau">PARAM!$D$30:$D$32</definedName>
    <definedName name="TypeDeMesure">PARAM!$B$55:$B$56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I15" i="30" l="1"/>
  <c r="AI16" i="30"/>
  <c r="AI17" i="30"/>
  <c r="AI18" i="30"/>
  <c r="AI19" i="30"/>
  <c r="AI20" i="30"/>
  <c r="AI21" i="30"/>
  <c r="AI22" i="30"/>
  <c r="AI23" i="30"/>
  <c r="AI24" i="30"/>
  <c r="AI25" i="30"/>
  <c r="AI26" i="30"/>
  <c r="AI27" i="30"/>
  <c r="AI28" i="30"/>
  <c r="AI29" i="30"/>
  <c r="AI30" i="30"/>
  <c r="AI31" i="30"/>
  <c r="AI32" i="30"/>
  <c r="AI33" i="30"/>
  <c r="AI34" i="30"/>
  <c r="AI35" i="30"/>
  <c r="AI36" i="30"/>
  <c r="AI37" i="30"/>
  <c r="AI38" i="30"/>
  <c r="AI39" i="30"/>
  <c r="AI40" i="30"/>
  <c r="AI41" i="30"/>
  <c r="AI42" i="30"/>
  <c r="AI43" i="30"/>
  <c r="AG15" i="30"/>
  <c r="AG16" i="30"/>
  <c r="AG17" i="30"/>
  <c r="AG18" i="30"/>
  <c r="AG19" i="30"/>
  <c r="AG20" i="30"/>
  <c r="AG21" i="30"/>
  <c r="AG22" i="30"/>
  <c r="AG23" i="30"/>
  <c r="AG24" i="30"/>
  <c r="AG25" i="30"/>
  <c r="AG26" i="30"/>
  <c r="AG27" i="30"/>
  <c r="AG28" i="30"/>
  <c r="AG29" i="30"/>
  <c r="AG30" i="30"/>
  <c r="AG31" i="30"/>
  <c r="AG32" i="30"/>
  <c r="AG33" i="30"/>
  <c r="AG34" i="30"/>
  <c r="AG35" i="30"/>
  <c r="AG36" i="30"/>
  <c r="AG37" i="30"/>
  <c r="AG38" i="30"/>
  <c r="AG39" i="30"/>
  <c r="AG40" i="30"/>
  <c r="AG41" i="30"/>
  <c r="AG42" i="30"/>
  <c r="AG43" i="30"/>
  <c r="AE15" i="30"/>
  <c r="AE16" i="30"/>
  <c r="AE17" i="30"/>
  <c r="AE18" i="30"/>
  <c r="AE19" i="30"/>
  <c r="AE20" i="30"/>
  <c r="AE21" i="30"/>
  <c r="AE22" i="30"/>
  <c r="AE23" i="30"/>
  <c r="AE24" i="30"/>
  <c r="AE25" i="30"/>
  <c r="AE26" i="30"/>
  <c r="AE27" i="30"/>
  <c r="AE28" i="30"/>
  <c r="AE29" i="30"/>
  <c r="AE30" i="30"/>
  <c r="AE31" i="30"/>
  <c r="AE32" i="30"/>
  <c r="AE33" i="30"/>
  <c r="AE34" i="30"/>
  <c r="AE35" i="30"/>
  <c r="AE36" i="30"/>
  <c r="AE37" i="30"/>
  <c r="AE38" i="30"/>
  <c r="AE39" i="30"/>
  <c r="AE40" i="30"/>
  <c r="AE41" i="30"/>
  <c r="AE42" i="30"/>
  <c r="AE43" i="30"/>
  <c r="AC15" i="30"/>
  <c r="AC16" i="30"/>
  <c r="AC17" i="30"/>
  <c r="AC18" i="30"/>
  <c r="AC19" i="30"/>
  <c r="AC20" i="30"/>
  <c r="AC21" i="30"/>
  <c r="AC22" i="30"/>
  <c r="AC23" i="30"/>
  <c r="AC24" i="30"/>
  <c r="AC25" i="30"/>
  <c r="AC26" i="30"/>
  <c r="AC27" i="30"/>
  <c r="AC28" i="30"/>
  <c r="AC29" i="30"/>
  <c r="AC30" i="30"/>
  <c r="AC31" i="30"/>
  <c r="AC32" i="30"/>
  <c r="AC33" i="30"/>
  <c r="AC34" i="30"/>
  <c r="AC35" i="30"/>
  <c r="AC36" i="30"/>
  <c r="AC37" i="30"/>
  <c r="AC38" i="30"/>
  <c r="AC39" i="30"/>
  <c r="AC40" i="30"/>
  <c r="AC41" i="30"/>
  <c r="AC42" i="30"/>
  <c r="AC43" i="30"/>
  <c r="AB15" i="30"/>
  <c r="AB16" i="30"/>
  <c r="AB17" i="30"/>
  <c r="AB18" i="30"/>
  <c r="AB19" i="30"/>
  <c r="AB20" i="30"/>
  <c r="AB21" i="30"/>
  <c r="AB22" i="30"/>
  <c r="AB23" i="30"/>
  <c r="AB24" i="30"/>
  <c r="AB25" i="30"/>
  <c r="AB26" i="30"/>
  <c r="AB27" i="30"/>
  <c r="AB28" i="30"/>
  <c r="AB29" i="30"/>
  <c r="AB30" i="30"/>
  <c r="AB31" i="30"/>
  <c r="AB32" i="30"/>
  <c r="AB33" i="30"/>
  <c r="AB34" i="30"/>
  <c r="AB35" i="30"/>
  <c r="AB36" i="30"/>
  <c r="AB37" i="30"/>
  <c r="AB38" i="30"/>
  <c r="AB39" i="30"/>
  <c r="AB40" i="30"/>
  <c r="AB41" i="30"/>
  <c r="AB42" i="30"/>
  <c r="AB43" i="30"/>
  <c r="AJ31" i="30" a="1"/>
  <c r="AJ43" i="30" a="1"/>
  <c r="AJ34" i="30" a="1"/>
  <c r="AJ16" i="30" a="1"/>
  <c r="AJ38" i="30" a="1"/>
  <c r="AJ28" i="30" a="1"/>
  <c r="AJ41" i="30" a="1"/>
  <c r="AJ32" i="30" a="1"/>
  <c r="AJ25" i="30" a="1"/>
  <c r="AJ30" i="30" a="1"/>
  <c r="AJ18" i="30" a="1"/>
  <c r="AJ29" i="30" a="1"/>
  <c r="AJ40" i="30" a="1"/>
  <c r="AH35" i="30" a="1"/>
  <c r="AJ15" i="30" a="1"/>
  <c r="AJ26" i="30" a="1"/>
  <c r="AJ37" i="30" a="1"/>
  <c r="AJ39" i="30" a="1"/>
  <c r="AJ20" i="30" a="1"/>
  <c r="AJ23" i="30" a="1"/>
  <c r="AH17" i="30" a="1"/>
  <c r="AF27" i="30" a="1"/>
  <c r="AD17" i="30" a="1"/>
  <c r="AD19" i="30" a="1"/>
  <c r="AJ35" i="30" a="1"/>
  <c r="AH41" i="30" a="1"/>
  <c r="AF17" i="30" a="1"/>
  <c r="AD28" i="30" a="1"/>
  <c r="AD22" i="30" a="1"/>
  <c r="AH18" i="30" a="1"/>
  <c r="AH37" i="30" a="1"/>
  <c r="AF19" i="30" a="1"/>
  <c r="AH38" i="30" a="1"/>
  <c r="AF30" i="30" a="1"/>
  <c r="AH28" i="30" a="1"/>
  <c r="AF41" i="30" a="1"/>
  <c r="AH29" i="30" a="1"/>
  <c r="AF20" i="30" a="1"/>
  <c r="AH30" i="30" a="1"/>
  <c r="AF31" i="30" a="1"/>
  <c r="AH31" i="30" a="1"/>
  <c r="AF42" i="30" a="1"/>
  <c r="AH43" i="30" a="1"/>
  <c r="AF21" i="30" a="1"/>
  <c r="AH33" i="30" a="1"/>
  <c r="AF22" i="30" a="1"/>
  <c r="AH24" i="30" a="1"/>
  <c r="AF33" i="30" a="1"/>
  <c r="AH27" i="30" a="1"/>
  <c r="AF23" i="30" a="1"/>
  <c r="AH40" i="30" a="1"/>
  <c r="AF24" i="30" a="1"/>
  <c r="AH21" i="30" a="1"/>
  <c r="AF25" i="30" a="1"/>
  <c r="AF16" i="30" a="1"/>
  <c r="AD24" i="30" a="1"/>
  <c r="AH16" i="30" a="1"/>
  <c r="AD26" i="30" a="1"/>
  <c r="AJ42" i="30" a="1"/>
  <c r="AF28" i="30" a="1"/>
  <c r="AD43" i="30" a="1"/>
  <c r="AH42" i="30" a="1"/>
  <c r="AD27" i="30" a="1"/>
  <c r="AJ22" i="30" a="1"/>
  <c r="AF35" i="30" a="1"/>
  <c r="AD36" i="30" a="1"/>
  <c r="AJ33" i="30" a="1"/>
  <c r="AJ24" i="30" a="1"/>
  <c r="AJ36" i="30" a="1"/>
  <c r="AH22" i="30" a="1"/>
  <c r="AF18" i="30" a="1"/>
  <c r="AD39" i="30" a="1"/>
  <c r="AH15" i="30" a="1"/>
  <c r="AH34" i="30" a="1"/>
  <c r="AF29" i="30" a="1"/>
  <c r="AD40" i="30" a="1"/>
  <c r="AH26" i="30" a="1"/>
  <c r="AF40" i="30" a="1"/>
  <c r="AD30" i="30" a="1"/>
  <c r="AH19" i="30" a="1"/>
  <c r="AD41" i="30" a="1"/>
  <c r="AH20" i="30" a="1"/>
  <c r="AD31" i="30" a="1"/>
  <c r="AH32" i="30" a="1"/>
  <c r="AD42" i="30" a="1"/>
  <c r="AH23" i="30" a="1"/>
  <c r="AD21" i="30" a="1"/>
  <c r="AH25" i="30" a="1"/>
  <c r="AD33" i="30" a="1"/>
  <c r="AF15" i="30" a="1"/>
  <c r="AD23" i="30" a="1"/>
  <c r="AF26" i="30" a="1"/>
  <c r="AD35" i="30" a="1"/>
  <c r="AF37" i="30" a="1"/>
  <c r="AD25" i="30" a="1"/>
  <c r="AF39" i="30" a="1"/>
  <c r="AD16" i="30" a="1"/>
  <c r="AF43" i="30" a="1"/>
  <c r="AD18" i="30" a="1"/>
  <c r="AF34" i="30" a="1"/>
  <c r="AD20" i="30" a="1"/>
  <c r="AF36" i="30" a="1"/>
  <c r="AD32" i="30" a="1"/>
  <c r="AD15" i="30" a="1"/>
  <c r="AJ19" i="30" a="1"/>
  <c r="AF38" i="30" a="1"/>
  <c r="AD29" i="30" a="1"/>
  <c r="AH39" i="30" a="1"/>
  <c r="AD37" i="30" a="1"/>
  <c r="AJ21" i="30" a="1"/>
  <c r="AF32" i="30" a="1"/>
  <c r="AD34" i="30" a="1"/>
  <c r="AH36" i="30" a="1"/>
  <c r="AD38" i="30" a="1"/>
  <c r="AJ27" i="30" a="1"/>
  <c r="AJ17" i="30" a="1"/>
  <c r="AJ36" i="30" l="1"/>
  <c r="AJ35" i="30"/>
  <c r="AJ23" i="30"/>
  <c r="AJ22" i="30"/>
  <c r="AJ21" i="30"/>
  <c r="AJ42" i="30"/>
  <c r="AJ19" i="30"/>
  <c r="AJ40" i="30"/>
  <c r="AJ29" i="30"/>
  <c r="AJ18" i="30"/>
  <c r="AJ30" i="30"/>
  <c r="AJ25" i="30"/>
  <c r="AJ32" i="30"/>
  <c r="AJ41" i="30"/>
  <c r="AJ28" i="30"/>
  <c r="AJ38" i="30"/>
  <c r="AJ16" i="30"/>
  <c r="AJ34" i="30"/>
  <c r="AJ43" i="30"/>
  <c r="AJ31" i="30"/>
  <c r="AJ17" i="30"/>
  <c r="AJ27" i="30"/>
  <c r="AJ24" i="30"/>
  <c r="AJ33" i="30"/>
  <c r="AJ20" i="30"/>
  <c r="AJ39" i="30"/>
  <c r="AJ37" i="30"/>
  <c r="AJ26" i="30"/>
  <c r="AJ15" i="30"/>
  <c r="AH25" i="30"/>
  <c r="AH23" i="30"/>
  <c r="AH32" i="30"/>
  <c r="AH20" i="30"/>
  <c r="AH19" i="30"/>
  <c r="AH18" i="30"/>
  <c r="AH34" i="30"/>
  <c r="AH22" i="30"/>
  <c r="AH41" i="30"/>
  <c r="AH17" i="30"/>
  <c r="AH36" i="30"/>
  <c r="AH42" i="30"/>
  <c r="AH39" i="30"/>
  <c r="AH16" i="30"/>
  <c r="AH35" i="30"/>
  <c r="AH21" i="30"/>
  <c r="AH40" i="30"/>
  <c r="AH27" i="30"/>
  <c r="AH24" i="30"/>
  <c r="AH33" i="30"/>
  <c r="AH43" i="30"/>
  <c r="AH31" i="30"/>
  <c r="AH30" i="30"/>
  <c r="AH29" i="30"/>
  <c r="AH28" i="30"/>
  <c r="AH38" i="30"/>
  <c r="AH37" i="30"/>
  <c r="AH26" i="30"/>
  <c r="AH15" i="30"/>
  <c r="AF25" i="30"/>
  <c r="AF24" i="30"/>
  <c r="AF23" i="30"/>
  <c r="AF33" i="30"/>
  <c r="AF22" i="30"/>
  <c r="AF21" i="30"/>
  <c r="AF42" i="30"/>
  <c r="AF31" i="30"/>
  <c r="AF20" i="30"/>
  <c r="AF41" i="30"/>
  <c r="AF30" i="30"/>
  <c r="AF19" i="30"/>
  <c r="AF40" i="30"/>
  <c r="AF29" i="30"/>
  <c r="AF18" i="30"/>
  <c r="AF17" i="30"/>
  <c r="AF27" i="30"/>
  <c r="AF35" i="30"/>
  <c r="AF32" i="30"/>
  <c r="AF28" i="30"/>
  <c r="AF38" i="30"/>
  <c r="AF16" i="30"/>
  <c r="AF36" i="30"/>
  <c r="AF34" i="30"/>
  <c r="AF43" i="30"/>
  <c r="AF39" i="30"/>
  <c r="AF37" i="30"/>
  <c r="AF26" i="30"/>
  <c r="AF15" i="30"/>
  <c r="AD22" i="30"/>
  <c r="AD19" i="30"/>
  <c r="AD36" i="30"/>
  <c r="AD34" i="30"/>
  <c r="AD43" i="30"/>
  <c r="AD29" i="30"/>
  <c r="AD24" i="30"/>
  <c r="AD32" i="30"/>
  <c r="AD20" i="30"/>
  <c r="AD18" i="30"/>
  <c r="AD16" i="30"/>
  <c r="AD25" i="30"/>
  <c r="AD35" i="30"/>
  <c r="AD23" i="30"/>
  <c r="AD33" i="30"/>
  <c r="AD21" i="30"/>
  <c r="AD42" i="30"/>
  <c r="AD31" i="30"/>
  <c r="AD41" i="30"/>
  <c r="AD30" i="30"/>
  <c r="AD40" i="30"/>
  <c r="AD39" i="30"/>
  <c r="AD28" i="30"/>
  <c r="AD17" i="30"/>
  <c r="AD38" i="30"/>
  <c r="AD27" i="30"/>
  <c r="AD37" i="30"/>
  <c r="AD26" i="30"/>
  <c r="AD15" i="30"/>
  <c r="O60" i="137" l="1"/>
  <c r="M60" i="137"/>
  <c r="F60" i="137"/>
  <c r="O59" i="137"/>
  <c r="M59" i="137"/>
  <c r="F59" i="137"/>
  <c r="O58" i="137"/>
  <c r="M58" i="137"/>
  <c r="F58" i="137"/>
  <c r="O57" i="137"/>
  <c r="M57" i="137"/>
  <c r="F57" i="137"/>
  <c r="O56" i="137"/>
  <c r="M56" i="137"/>
  <c r="F56" i="137"/>
  <c r="O55" i="137"/>
  <c r="M55" i="137"/>
  <c r="F55" i="137"/>
  <c r="O54" i="137"/>
  <c r="M54" i="137"/>
  <c r="F54" i="137"/>
  <c r="O53" i="137"/>
  <c r="M53" i="137"/>
  <c r="F53" i="137"/>
  <c r="O52" i="137"/>
  <c r="M52" i="137"/>
  <c r="F52" i="137"/>
  <c r="O51" i="137"/>
  <c r="M51" i="137"/>
  <c r="F51" i="137"/>
  <c r="O50" i="137"/>
  <c r="M50" i="137"/>
  <c r="F50" i="137"/>
  <c r="O49" i="137"/>
  <c r="M49" i="137"/>
  <c r="F49" i="137"/>
  <c r="O48" i="137"/>
  <c r="M48" i="137"/>
  <c r="F48" i="137"/>
  <c r="W46" i="137"/>
  <c r="T46" i="137"/>
  <c r="U46" i="137" s="1"/>
  <c r="O46" i="137"/>
  <c r="M46" i="137"/>
  <c r="V46" i="137" l="1"/>
  <c r="Y3" i="138" l="1"/>
  <c r="AI14" i="30" l="1"/>
  <c r="AG14" i="30"/>
  <c r="AE14" i="30"/>
  <c r="AC14" i="30"/>
  <c r="L29" i="51" l="1"/>
  <c r="B5" i="97" s="1"/>
  <c r="O5" i="51"/>
  <c r="O4" i="51"/>
  <c r="O3" i="51"/>
  <c r="O6" i="51"/>
  <c r="G6" i="51"/>
  <c r="O34" i="138" l="1"/>
  <c r="O30" i="138"/>
  <c r="N12" i="137"/>
  <c r="N13" i="137"/>
  <c r="N14" i="137"/>
  <c r="N11" i="137"/>
  <c r="O24" i="138"/>
  <c r="O25" i="138"/>
  <c r="L25" i="138"/>
  <c r="O5" i="137" l="1"/>
  <c r="G6" i="137"/>
  <c r="Y6" i="138"/>
  <c r="Y5" i="138"/>
  <c r="Q5" i="138"/>
  <c r="Q6" i="138"/>
  <c r="AI44" i="30" l="1"/>
  <c r="AI45" i="30"/>
  <c r="AI46" i="30"/>
  <c r="AI47" i="30"/>
  <c r="AI48" i="30"/>
  <c r="AI49" i="30"/>
  <c r="AI50" i="30"/>
  <c r="AI51" i="30"/>
  <c r="AI52" i="30"/>
  <c r="AI53" i="30"/>
  <c r="AI54" i="30"/>
  <c r="AI55" i="30"/>
  <c r="AI56" i="30"/>
  <c r="AI57" i="30"/>
  <c r="AI58" i="30"/>
  <c r="AI59" i="30"/>
  <c r="AI60" i="30"/>
  <c r="AI61" i="30"/>
  <c r="AI62" i="30"/>
  <c r="AI63" i="30"/>
  <c r="AI64" i="30"/>
  <c r="AI65" i="30"/>
  <c r="AI66" i="30"/>
  <c r="AI67" i="30"/>
  <c r="AI68" i="30"/>
  <c r="AI69" i="30"/>
  <c r="AI70" i="30"/>
  <c r="AI71" i="30"/>
  <c r="AI72" i="30"/>
  <c r="AI73" i="30"/>
  <c r="AI74" i="30"/>
  <c r="AI75" i="30"/>
  <c r="AI76" i="30"/>
  <c r="AI77" i="30"/>
  <c r="AI78" i="30"/>
  <c r="AI79" i="30"/>
  <c r="AI80" i="30"/>
  <c r="AI81" i="30"/>
  <c r="AI82" i="30"/>
  <c r="AI83" i="30"/>
  <c r="AI84" i="30"/>
  <c r="AI85" i="30"/>
  <c r="AI86" i="30"/>
  <c r="AI87" i="30"/>
  <c r="AI88" i="30"/>
  <c r="AI89" i="30"/>
  <c r="AI90" i="30"/>
  <c r="AI91" i="30"/>
  <c r="AI92" i="30" l="1"/>
  <c r="AC44" i="30"/>
  <c r="AE44" i="30"/>
  <c r="AG44" i="30"/>
  <c r="AC45" i="30"/>
  <c r="AE45" i="30"/>
  <c r="AG45" i="30"/>
  <c r="AC46" i="30"/>
  <c r="AE46" i="30"/>
  <c r="AG46" i="30"/>
  <c r="AC47" i="30"/>
  <c r="AE47" i="30"/>
  <c r="AG47" i="30"/>
  <c r="AC48" i="30"/>
  <c r="AE48" i="30"/>
  <c r="AG48" i="30"/>
  <c r="AC49" i="30"/>
  <c r="AE49" i="30"/>
  <c r="AG49" i="30"/>
  <c r="AC50" i="30"/>
  <c r="AE50" i="30"/>
  <c r="AG50" i="30"/>
  <c r="AC51" i="30"/>
  <c r="AE51" i="30"/>
  <c r="AG51" i="30"/>
  <c r="AC52" i="30"/>
  <c r="AE52" i="30"/>
  <c r="AG52" i="30"/>
  <c r="AC53" i="30"/>
  <c r="AE53" i="30"/>
  <c r="AG53" i="30"/>
  <c r="AC54" i="30"/>
  <c r="AE54" i="30"/>
  <c r="AG54" i="30"/>
  <c r="AC55" i="30"/>
  <c r="AE55" i="30"/>
  <c r="AG55" i="30"/>
  <c r="AC56" i="30"/>
  <c r="AE56" i="30"/>
  <c r="AG56" i="30"/>
  <c r="AC57" i="30"/>
  <c r="AE57" i="30"/>
  <c r="AG57" i="30"/>
  <c r="AC58" i="30"/>
  <c r="AE58" i="30"/>
  <c r="AG58" i="30"/>
  <c r="AC59" i="30"/>
  <c r="AE59" i="30"/>
  <c r="AG59" i="30"/>
  <c r="AC60" i="30"/>
  <c r="AE60" i="30"/>
  <c r="AG60" i="30"/>
  <c r="AC61" i="30"/>
  <c r="AE61" i="30"/>
  <c r="AG61" i="30"/>
  <c r="AC62" i="30"/>
  <c r="AE62" i="30"/>
  <c r="AG62" i="30"/>
  <c r="AC63" i="30"/>
  <c r="AE63" i="30"/>
  <c r="AG63" i="30"/>
  <c r="AC64" i="30"/>
  <c r="AE64" i="30"/>
  <c r="AG64" i="30"/>
  <c r="AC65" i="30"/>
  <c r="AE65" i="30"/>
  <c r="AG65" i="30"/>
  <c r="AC66" i="30"/>
  <c r="AE66" i="30"/>
  <c r="AG66" i="30"/>
  <c r="AC67" i="30"/>
  <c r="AE67" i="30"/>
  <c r="AG67" i="30"/>
  <c r="AC68" i="30"/>
  <c r="AE68" i="30"/>
  <c r="AG68" i="30"/>
  <c r="AC69" i="30"/>
  <c r="AE69" i="30"/>
  <c r="AG69" i="30"/>
  <c r="AC70" i="30"/>
  <c r="AE70" i="30"/>
  <c r="AG70" i="30"/>
  <c r="AC71" i="30"/>
  <c r="AE71" i="30"/>
  <c r="AG71" i="30"/>
  <c r="AC72" i="30"/>
  <c r="AE72" i="30"/>
  <c r="AG72" i="30"/>
  <c r="AC73" i="30"/>
  <c r="AE73" i="30"/>
  <c r="AG73" i="30"/>
  <c r="AC74" i="30"/>
  <c r="AE74" i="30"/>
  <c r="AG74" i="30"/>
  <c r="AC75" i="30"/>
  <c r="AE75" i="30"/>
  <c r="AG75" i="30"/>
  <c r="AC76" i="30"/>
  <c r="AE76" i="30"/>
  <c r="AG76" i="30"/>
  <c r="AC77" i="30"/>
  <c r="AE77" i="30"/>
  <c r="AG77" i="30"/>
  <c r="AC78" i="30"/>
  <c r="AE78" i="30"/>
  <c r="AG78" i="30"/>
  <c r="AC79" i="30"/>
  <c r="AE79" i="30"/>
  <c r="AG79" i="30"/>
  <c r="AC80" i="30"/>
  <c r="AE80" i="30"/>
  <c r="AG80" i="30"/>
  <c r="AC81" i="30"/>
  <c r="AE81" i="30"/>
  <c r="AG81" i="30"/>
  <c r="AC82" i="30"/>
  <c r="AE82" i="30"/>
  <c r="AG82" i="30"/>
  <c r="AC83" i="30"/>
  <c r="AE83" i="30"/>
  <c r="AG83" i="30"/>
  <c r="AC84" i="30"/>
  <c r="AE84" i="30"/>
  <c r="AG84" i="30"/>
  <c r="AC85" i="30"/>
  <c r="AE85" i="30"/>
  <c r="AG85" i="30"/>
  <c r="AC86" i="30"/>
  <c r="AE86" i="30"/>
  <c r="AG86" i="30"/>
  <c r="AC87" i="30"/>
  <c r="AE87" i="30"/>
  <c r="AG87" i="30"/>
  <c r="AC88" i="30"/>
  <c r="AE88" i="30"/>
  <c r="AG88" i="30"/>
  <c r="AC89" i="30"/>
  <c r="AE89" i="30"/>
  <c r="AG89" i="30"/>
  <c r="AC90" i="30"/>
  <c r="AE90" i="30"/>
  <c r="AG90" i="30"/>
  <c r="AC91" i="30"/>
  <c r="AE91" i="30"/>
  <c r="AG91" i="30"/>
  <c r="AJ92" i="30" a="1"/>
  <c r="AJ92" i="30" l="1"/>
  <c r="G5" i="137" l="1"/>
  <c r="G4" i="137"/>
  <c r="G3" i="137"/>
  <c r="O6" i="137"/>
  <c r="G5" i="51" l="1"/>
  <c r="G4" i="51"/>
  <c r="G3" i="51"/>
  <c r="Y4" i="138" l="1"/>
  <c r="Q4" i="138"/>
  <c r="Q3" i="138"/>
  <c r="K4" i="138"/>
  <c r="K5" i="138"/>
  <c r="K6" i="138"/>
  <c r="K3" i="138"/>
  <c r="F6" i="138"/>
  <c r="F5" i="138"/>
  <c r="F4" i="138"/>
  <c r="F3" i="138"/>
  <c r="Y15" i="138"/>
  <c r="F90" i="97"/>
  <c r="K24" i="138" l="1"/>
  <c r="K25" i="138"/>
  <c r="X9" i="137" l="1" a="1"/>
  <c r="X9" i="137" s="1"/>
  <c r="Z14" i="137" a="1"/>
  <c r="Z14" i="137" s="1"/>
  <c r="X23" i="137" a="1"/>
  <c r="X23" i="137" s="1"/>
  <c r="Z28" i="137" a="1"/>
  <c r="Z28" i="137" s="1"/>
  <c r="X34" i="137" a="1"/>
  <c r="X34" i="137" s="1"/>
  <c r="Y34" i="137" a="1"/>
  <c r="Y34" i="137" s="1"/>
  <c r="X29" i="137" a="1"/>
  <c r="X29" i="137" s="1"/>
  <c r="X35" i="137" a="1"/>
  <c r="X35" i="137" s="1"/>
  <c r="Z35" i="137" a="1"/>
  <c r="Z35" i="137" s="1"/>
  <c r="Z30" i="137" a="1"/>
  <c r="Z30" i="137" s="1"/>
  <c r="Y7" i="137" a="1"/>
  <c r="Y7" i="137" s="1"/>
  <c r="Z32" i="137" a="1"/>
  <c r="Z32" i="137" s="1"/>
  <c r="X8" i="137" a="1"/>
  <c r="X8" i="137" s="1"/>
  <c r="AA13" i="137" a="1"/>
  <c r="AA13" i="137" s="1"/>
  <c r="AA8" i="137" a="1"/>
  <c r="AA8" i="137" s="1"/>
  <c r="Y9" i="137" a="1"/>
  <c r="Y9" i="137" s="1"/>
  <c r="AA14" i="137" a="1"/>
  <c r="AA14" i="137" s="1"/>
  <c r="Y23" i="137" a="1"/>
  <c r="Y23" i="137" s="1"/>
  <c r="AA28" i="137" a="1"/>
  <c r="AA28" i="137" s="1"/>
  <c r="Z34" i="137" a="1"/>
  <c r="Z34" i="137" s="1"/>
  <c r="X30" i="137" a="1"/>
  <c r="X30" i="137" s="1"/>
  <c r="Z26" i="137" a="1"/>
  <c r="Z26" i="137" s="1"/>
  <c r="AA21" i="137" a="1"/>
  <c r="AA21" i="137" s="1"/>
  <c r="X33" i="137" a="1"/>
  <c r="X33" i="137" s="1"/>
  <c r="AA22" i="137" a="1"/>
  <c r="AA22" i="137" s="1"/>
  <c r="X4" i="137" a="1"/>
  <c r="X4" i="137" s="1"/>
  <c r="Z9" i="137" a="1"/>
  <c r="Z9" i="137" s="1"/>
  <c r="X15" i="137" a="1"/>
  <c r="X15" i="137" s="1"/>
  <c r="Z23" i="137" a="1"/>
  <c r="Z23" i="137" s="1"/>
  <c r="AA34" i="137" a="1"/>
  <c r="AA34" i="137" s="1"/>
  <c r="Y30" i="137" a="1"/>
  <c r="Y30" i="137" s="1"/>
  <c r="X31" i="137" a="1"/>
  <c r="X31" i="137" s="1"/>
  <c r="AA12" i="137" a="1"/>
  <c r="AA12" i="137" s="1"/>
  <c r="Y27" i="137" a="1"/>
  <c r="Y27" i="137" s="1"/>
  <c r="AA27" i="137" a="1"/>
  <c r="AA27" i="137" s="1"/>
  <c r="AA33" i="137" a="1"/>
  <c r="AA33" i="137" s="1"/>
  <c r="Y4" i="137" a="1"/>
  <c r="Y4" i="137" s="1"/>
  <c r="AA9" i="137" a="1"/>
  <c r="AA9" i="137" s="1"/>
  <c r="Y15" i="137" a="1"/>
  <c r="Y15" i="137" s="1"/>
  <c r="AA23" i="137" a="1"/>
  <c r="AA23" i="137" s="1"/>
  <c r="Y29" i="137" a="1"/>
  <c r="Y29" i="137" s="1"/>
  <c r="Y35" i="137" a="1"/>
  <c r="Y35" i="137" s="1"/>
  <c r="X21" i="137" a="1"/>
  <c r="X21" i="137" s="1"/>
  <c r="AA7" i="137" a="1"/>
  <c r="AA7" i="137" s="1"/>
  <c r="Z27" i="137" a="1"/>
  <c r="Z27" i="137" s="1"/>
  <c r="Y14" i="137" a="1"/>
  <c r="Y14" i="137" s="1"/>
  <c r="Z4" i="137" a="1"/>
  <c r="Z4" i="137" s="1"/>
  <c r="X10" i="137" a="1"/>
  <c r="X10" i="137" s="1"/>
  <c r="Z15" i="137" a="1"/>
  <c r="Z15" i="137" s="1"/>
  <c r="X24" i="137" a="1"/>
  <c r="X24" i="137" s="1"/>
  <c r="Z29" i="137" a="1"/>
  <c r="Z29" i="137" s="1"/>
  <c r="AA29" i="137" a="1"/>
  <c r="AA29" i="137" s="1"/>
  <c r="AA35" i="137" a="1"/>
  <c r="AA35" i="137" s="1"/>
  <c r="Z12" i="137" a="1"/>
  <c r="Z12" i="137" s="1"/>
  <c r="Y32" i="137" a="1"/>
  <c r="Y32" i="137" s="1"/>
  <c r="Z13" i="137" a="1"/>
  <c r="Z13" i="137" s="1"/>
  <c r="X28" i="137" a="1"/>
  <c r="X28" i="137" s="1"/>
  <c r="AA4" i="137" a="1"/>
  <c r="AA4" i="137" s="1"/>
  <c r="Y10" i="137" a="1"/>
  <c r="Y10" i="137" s="1"/>
  <c r="AA15" i="137" a="1"/>
  <c r="AA15" i="137" s="1"/>
  <c r="Y24" i="137" a="1"/>
  <c r="Y24" i="137" s="1"/>
  <c r="X6" i="137" a="1"/>
  <c r="X6" i="137" s="1"/>
  <c r="Z7" i="137" a="1"/>
  <c r="Z7" i="137" s="1"/>
  <c r="Y33" i="137" a="1"/>
  <c r="Y33" i="137" s="1"/>
  <c r="X5" i="137" a="1"/>
  <c r="X5" i="137" s="1"/>
  <c r="Z10" i="137" a="1"/>
  <c r="Z10" i="137" s="1"/>
  <c r="X19" i="137" a="1"/>
  <c r="X19" i="137" s="1"/>
  <c r="Z24" i="137" a="1"/>
  <c r="Z24" i="137" s="1"/>
  <c r="AA30" i="137" a="1"/>
  <c r="AA30" i="137" s="1"/>
  <c r="AA26" i="137" a="1"/>
  <c r="AA26" i="137" s="1"/>
  <c r="Y8" i="137" a="1"/>
  <c r="Y8" i="137" s="1"/>
  <c r="Y5" i="137" a="1"/>
  <c r="Y5" i="137" s="1"/>
  <c r="AA10" i="137" a="1"/>
  <c r="AA10" i="137" s="1"/>
  <c r="Y19" i="137" a="1"/>
  <c r="Y19" i="137" s="1"/>
  <c r="AA24" i="137" a="1"/>
  <c r="AA24" i="137" s="1"/>
  <c r="Z11" i="137" a="1"/>
  <c r="Z11" i="137" s="1"/>
  <c r="X13" i="137" a="1"/>
  <c r="X13" i="137" s="1"/>
  <c r="Z8" i="137" a="1"/>
  <c r="Z8" i="137" s="1"/>
  <c r="Z5" i="137" a="1"/>
  <c r="Z5" i="137" s="1"/>
  <c r="X11" i="137" a="1"/>
  <c r="X11" i="137" s="1"/>
  <c r="Z19" i="137" a="1"/>
  <c r="Z19" i="137" s="1"/>
  <c r="X25" i="137" a="1"/>
  <c r="X25" i="137" s="1"/>
  <c r="X20" i="137" a="1"/>
  <c r="X20" i="137" s="1"/>
  <c r="Z21" i="137" a="1"/>
  <c r="Z21" i="137" s="1"/>
  <c r="X14" i="137" a="1"/>
  <c r="X14" i="137" s="1"/>
  <c r="AA5" i="137" a="1"/>
  <c r="AA5" i="137" s="1"/>
  <c r="Y11" i="137" a="1"/>
  <c r="Y11" i="137" s="1"/>
  <c r="AA19" i="137" a="1"/>
  <c r="AA19" i="137" s="1"/>
  <c r="Y25" i="137" a="1"/>
  <c r="Y25" i="137" s="1"/>
  <c r="Z25" i="137" a="1"/>
  <c r="Z25" i="137" s="1"/>
  <c r="X27" i="137" a="1"/>
  <c r="X27" i="137" s="1"/>
  <c r="Z22" i="137" a="1"/>
  <c r="Z22" i="137" s="1"/>
  <c r="Y6" i="137" a="1"/>
  <c r="Y6" i="137" s="1"/>
  <c r="AA11" i="137" a="1"/>
  <c r="AA11" i="137" s="1"/>
  <c r="Y20" i="137" a="1"/>
  <c r="Y20" i="137" s="1"/>
  <c r="AA25" i="137" a="1"/>
  <c r="AA25" i="137" s="1"/>
  <c r="Y31" i="137" a="1"/>
  <c r="Y31" i="137" s="1"/>
  <c r="Z6" i="137" a="1"/>
  <c r="Z6" i="137" s="1"/>
  <c r="X12" i="137" a="1"/>
  <c r="X12" i="137" s="1"/>
  <c r="Z20" i="137" a="1"/>
  <c r="Z20" i="137" s="1"/>
  <c r="X26" i="137" a="1"/>
  <c r="X26" i="137" s="1"/>
  <c r="Z31" i="137" a="1"/>
  <c r="Z31" i="137" s="1"/>
  <c r="AA6" i="137" a="1"/>
  <c r="AA6" i="137" s="1"/>
  <c r="Y12" i="137" a="1"/>
  <c r="Y12" i="137" s="1"/>
  <c r="AA20" i="137" a="1"/>
  <c r="AA20" i="137" s="1"/>
  <c r="Y26" i="137" a="1"/>
  <c r="Y26" i="137" s="1"/>
  <c r="AA31" i="137" a="1"/>
  <c r="AA31" i="137" s="1"/>
  <c r="X7" i="137" a="1"/>
  <c r="X7" i="137" s="1"/>
  <c r="X32" i="137" a="1"/>
  <c r="X32" i="137" s="1"/>
  <c r="Y21" i="137" a="1"/>
  <c r="Y21" i="137" s="1"/>
  <c r="Y13" i="137" a="1"/>
  <c r="Y13" i="137" s="1"/>
  <c r="AA32" i="137" a="1"/>
  <c r="AA32" i="137" s="1"/>
  <c r="X22" i="137" a="1"/>
  <c r="X22" i="137" s="1"/>
  <c r="Y22" i="137" a="1"/>
  <c r="Y22" i="137" s="1"/>
  <c r="Z33" i="137" a="1"/>
  <c r="Z33" i="137" s="1"/>
  <c r="Y28" i="137" a="1"/>
  <c r="Y28" i="137" s="1"/>
  <c r="X3" i="137" a="1"/>
  <c r="X3" i="137" s="1"/>
  <c r="AB30" i="137" l="1"/>
  <c r="AD30" i="137"/>
  <c r="AC30" i="137"/>
  <c r="AB20" i="137"/>
  <c r="AC20" i="137"/>
  <c r="AD20" i="137"/>
  <c r="AB28" i="137"/>
  <c r="AD28" i="137"/>
  <c r="AC28" i="137"/>
  <c r="AB12" i="137"/>
  <c r="AC12" i="137"/>
  <c r="AD12" i="137"/>
  <c r="AB13" i="137"/>
  <c r="AC13" i="137"/>
  <c r="AD13" i="137"/>
  <c r="AB8" i="137"/>
  <c r="AC8" i="137"/>
  <c r="AD8" i="137"/>
  <c r="AB31" i="137"/>
  <c r="AD31" i="137"/>
  <c r="AC31" i="137"/>
  <c r="AB24" i="137"/>
  <c r="AD24" i="137"/>
  <c r="AC24" i="137"/>
  <c r="AB6" i="137"/>
  <c r="AD6" i="137"/>
  <c r="AC6" i="137"/>
  <c r="AB15" i="137"/>
  <c r="AD15" i="137"/>
  <c r="AC15" i="137"/>
  <c r="AC35" i="137"/>
  <c r="AB35" i="137"/>
  <c r="AD35" i="137"/>
  <c r="AB26" i="137"/>
  <c r="AC26" i="137"/>
  <c r="AD26" i="137"/>
  <c r="AB10" i="137"/>
  <c r="AC10" i="137"/>
  <c r="AD10" i="137"/>
  <c r="AB29" i="137"/>
  <c r="AD29" i="137"/>
  <c r="AC29" i="137"/>
  <c r="AB4" i="137"/>
  <c r="AB34" i="137"/>
  <c r="AC34" i="137"/>
  <c r="AD34" i="137"/>
  <c r="AB14" i="137"/>
  <c r="AC14" i="137"/>
  <c r="AD14" i="137"/>
  <c r="AB11" i="137"/>
  <c r="AD11" i="137"/>
  <c r="AC11" i="137"/>
  <c r="AB22" i="137"/>
  <c r="AD22" i="137"/>
  <c r="AC22" i="137"/>
  <c r="AD19" i="137"/>
  <c r="AB19" i="137"/>
  <c r="AC19" i="137"/>
  <c r="AB33" i="137"/>
  <c r="AC33" i="137"/>
  <c r="AD33" i="137"/>
  <c r="AC25" i="137"/>
  <c r="AB25" i="137"/>
  <c r="AD25" i="137"/>
  <c r="AC27" i="137"/>
  <c r="AD27" i="137"/>
  <c r="AB27" i="137"/>
  <c r="AB23" i="137"/>
  <c r="AD23" i="137"/>
  <c r="AC23" i="137"/>
  <c r="AB32" i="137"/>
  <c r="AC32" i="137"/>
  <c r="AD32" i="137"/>
  <c r="AB5" i="137"/>
  <c r="AD5" i="137"/>
  <c r="AC5" i="137"/>
  <c r="AB21" i="137"/>
  <c r="AD21" i="137"/>
  <c r="AC21" i="137"/>
  <c r="AB7" i="137"/>
  <c r="AD7" i="137"/>
  <c r="AC7" i="137"/>
  <c r="AB9" i="137"/>
  <c r="AC9" i="137"/>
  <c r="AD9" i="137"/>
  <c r="AI2" i="30" l="1"/>
  <c r="C2" i="98" s="1"/>
  <c r="AI3" i="30"/>
  <c r="F2" i="98" s="1"/>
  <c r="AH3" i="30"/>
  <c r="E2" i="98" s="1"/>
  <c r="AH2" i="30"/>
  <c r="B2" i="98" s="1"/>
  <c r="B12" i="98" s="1"/>
  <c r="Y3" i="137" l="1" a="1"/>
  <c r="Y3" i="137" s="1"/>
  <c r="K33" i="138" l="1"/>
  <c r="K32" i="138"/>
  <c r="K31" i="138"/>
  <c r="K30" i="138"/>
  <c r="AA3" i="137" l="1" a="1"/>
  <c r="AA3" i="137" s="1"/>
  <c r="AB3" i="137" s="1"/>
  <c r="O28" i="137"/>
  <c r="P15" i="137"/>
  <c r="AC4" i="137" l="1"/>
  <c r="AD4" i="137" s="1"/>
  <c r="AC3" i="137"/>
  <c r="AD3" i="137" s="1"/>
  <c r="O29" i="137"/>
  <c r="Q28" i="137" s="1"/>
  <c r="Z3" i="137" a="1"/>
  <c r="Z3" i="137" s="1"/>
  <c r="K34" i="138" l="1"/>
  <c r="J31" i="137"/>
  <c r="K35" i="138" s="1"/>
  <c r="A7" i="98"/>
  <c r="A8" i="98"/>
  <c r="A9" i="98"/>
  <c r="A6" i="98"/>
  <c r="D10" i="97" l="1"/>
  <c r="D47" i="97" s="1"/>
  <c r="D9" i="97"/>
  <c r="D21" i="97" s="1"/>
  <c r="D8" i="97"/>
  <c r="D20" i="97" s="1"/>
  <c r="D7" i="97"/>
  <c r="D19" i="97" s="1"/>
  <c r="D162" i="97" l="1"/>
  <c r="D160" i="97"/>
  <c r="D128" i="97"/>
  <c r="D130" i="97"/>
  <c r="D132" i="97"/>
  <c r="D136" i="97"/>
  <c r="D127" i="97"/>
  <c r="D134" i="97"/>
  <c r="D138" i="97"/>
  <c r="D133" i="97"/>
  <c r="D139" i="97"/>
  <c r="D142" i="97"/>
  <c r="D144" i="97"/>
  <c r="D151" i="97"/>
  <c r="D140" i="97"/>
  <c r="D146" i="97"/>
  <c r="D115" i="97"/>
  <c r="D148" i="97"/>
  <c r="D116" i="97"/>
  <c r="D150" i="97"/>
  <c r="D118" i="97"/>
  <c r="D120" i="97"/>
  <c r="D152" i="97"/>
  <c r="D145" i="97"/>
  <c r="D121" i="97"/>
  <c r="D154" i="97"/>
  <c r="D122" i="97"/>
  <c r="D156" i="97"/>
  <c r="D124" i="97"/>
  <c r="D157" i="97"/>
  <c r="D126" i="97"/>
  <c r="D158" i="97"/>
  <c r="D42" i="97"/>
  <c r="D37" i="97"/>
  <c r="D38" i="97"/>
  <c r="D39" i="97"/>
  <c r="D40" i="97"/>
  <c r="D77" i="97"/>
  <c r="D79" i="97"/>
  <c r="D80" i="97"/>
  <c r="D83" i="97"/>
  <c r="D45" i="97"/>
  <c r="D85" i="97"/>
  <c r="D52" i="97"/>
  <c r="D86" i="97"/>
  <c r="D93" i="97"/>
  <c r="D87" i="97"/>
  <c r="D55" i="97"/>
  <c r="D97" i="97"/>
  <c r="D98" i="97"/>
  <c r="D53" i="97"/>
  <c r="D89" i="97"/>
  <c r="D101" i="97"/>
  <c r="D54" i="97"/>
  <c r="D91" i="97"/>
  <c r="D57" i="97"/>
  <c r="D23" i="97"/>
  <c r="D62" i="97"/>
  <c r="D63" i="97"/>
  <c r="D65" i="97"/>
  <c r="D67" i="97"/>
  <c r="D30" i="97"/>
  <c r="D69" i="97"/>
  <c r="D34" i="97"/>
  <c r="D73" i="97"/>
  <c r="D105" i="97"/>
  <c r="D81" i="97"/>
  <c r="D92" i="97"/>
  <c r="D25" i="97"/>
  <c r="D95" i="97"/>
  <c r="D26" i="97"/>
  <c r="D28" i="97"/>
  <c r="D29" i="97"/>
  <c r="D99" i="97"/>
  <c r="D68" i="97"/>
  <c r="D31" i="97"/>
  <c r="D103" i="97"/>
  <c r="D33" i="97"/>
  <c r="D71" i="97"/>
  <c r="D104" i="97"/>
  <c r="D35" i="97"/>
  <c r="D74" i="97"/>
  <c r="D107" i="97"/>
  <c r="D36" i="97"/>
  <c r="D75" i="97"/>
  <c r="D109" i="97"/>
  <c r="D43" i="97"/>
  <c r="D44" i="97"/>
  <c r="D48" i="97"/>
  <c r="D49" i="97"/>
  <c r="D24" i="97"/>
  <c r="D50" i="97"/>
  <c r="AF3" i="30" l="1"/>
  <c r="F1" i="98" s="1"/>
  <c r="AF2" i="30"/>
  <c r="C1" i="98" s="1"/>
  <c r="AD2" i="30"/>
  <c r="AB14" i="30" l="1"/>
  <c r="AB89" i="30"/>
  <c r="AB91" i="30"/>
  <c r="AB87" i="30"/>
  <c r="AB88" i="30"/>
  <c r="AB90" i="30"/>
  <c r="AB50" i="30"/>
  <c r="AB72" i="30"/>
  <c r="AB51" i="30"/>
  <c r="AB73" i="30"/>
  <c r="AB52" i="30"/>
  <c r="AB74" i="30"/>
  <c r="AB53" i="30"/>
  <c r="AB75" i="30"/>
  <c r="AB44" i="30"/>
  <c r="AB56" i="30"/>
  <c r="AB81" i="30"/>
  <c r="AB67" i="30"/>
  <c r="AB54" i="30"/>
  <c r="AB76" i="30"/>
  <c r="AB78" i="30"/>
  <c r="AB59" i="30"/>
  <c r="AB69" i="30"/>
  <c r="AB55" i="30"/>
  <c r="AB77" i="30"/>
  <c r="AB58" i="30"/>
  <c r="AB80" i="30"/>
  <c r="AB47" i="30"/>
  <c r="AB45" i="30"/>
  <c r="AB57" i="30"/>
  <c r="AB79" i="30"/>
  <c r="AB46" i="30"/>
  <c r="AB60" i="30"/>
  <c r="AB82" i="30"/>
  <c r="AB61" i="30"/>
  <c r="AB83" i="30"/>
  <c r="AB62" i="30"/>
  <c r="AB84" i="30"/>
  <c r="AB63" i="30"/>
  <c r="AB85" i="30"/>
  <c r="AB64" i="30"/>
  <c r="AB86" i="30"/>
  <c r="AB65" i="30"/>
  <c r="AB66" i="30"/>
  <c r="AB68" i="30"/>
  <c r="AB48" i="30"/>
  <c r="AB70" i="30"/>
  <c r="AB49" i="30"/>
  <c r="AB71" i="30"/>
  <c r="B1" i="98"/>
  <c r="E14" i="97"/>
  <c r="AD3" i="30"/>
  <c r="AF82" i="30" a="1"/>
  <c r="AD79" i="30" a="1"/>
  <c r="AJ77" i="30" a="1"/>
  <c r="AD54" i="30" a="1"/>
  <c r="AH46" i="30" a="1"/>
  <c r="AH49" i="30" a="1"/>
  <c r="AJ74" i="30" a="1"/>
  <c r="AF56" i="30" a="1"/>
  <c r="AD84" i="30" a="1"/>
  <c r="AJ85" i="30" a="1"/>
  <c r="AF48" i="30" a="1"/>
  <c r="AJ57" i="30" a="1"/>
  <c r="AF47" i="30" a="1"/>
  <c r="AF86" i="30" a="1"/>
  <c r="AF45" i="30" a="1"/>
  <c r="AH76" i="30" a="1"/>
  <c r="AF77" i="30" a="1"/>
  <c r="AD48" i="30" a="1"/>
  <c r="AJ87" i="30" a="1"/>
  <c r="AH48" i="30" a="1"/>
  <c r="AJ82" i="30" a="1"/>
  <c r="AF78" i="30" a="1"/>
  <c r="AH74" i="30" a="1"/>
  <c r="AJ44" i="30" a="1"/>
  <c r="AD56" i="30" a="1"/>
  <c r="AH80" i="30" a="1"/>
  <c r="AF84" i="30" a="1"/>
  <c r="AH45" i="30" a="1"/>
  <c r="AF67" i="30" a="1"/>
  <c r="AF80" i="30" a="1"/>
  <c r="AJ51" i="30" a="1"/>
  <c r="AJ66" i="30" a="1"/>
  <c r="AJ73" i="30" a="1"/>
  <c r="AJ56" i="30" a="1"/>
  <c r="AD86" i="30" a="1"/>
  <c r="AJ53" i="30" a="1"/>
  <c r="AD55" i="30" a="1"/>
  <c r="AH88" i="30" a="1"/>
  <c r="AD60" i="30" a="1"/>
  <c r="AH44" i="30" a="1"/>
  <c r="AJ59" i="30" a="1"/>
  <c r="AD78" i="30" a="1"/>
  <c r="AF74" i="30" a="1"/>
  <c r="AD46" i="30" a="1"/>
  <c r="AJ71" i="30" a="1"/>
  <c r="AH50" i="30" a="1"/>
  <c r="AF83" i="30" a="1"/>
  <c r="AJ14" i="30" a="1"/>
  <c r="AH61" i="30" a="1"/>
  <c r="AH66" i="30" a="1"/>
  <c r="AH68" i="30" a="1"/>
  <c r="AD45" i="30" a="1"/>
  <c r="AD51" i="30" a="1"/>
  <c r="AD77" i="30" a="1"/>
  <c r="AD87" i="30" a="1"/>
  <c r="AF60" i="30" a="1"/>
  <c r="AH75" i="30" a="1"/>
  <c r="AF73" i="30" a="1"/>
  <c r="AD85" i="30" a="1"/>
  <c r="AJ63" i="30" a="1"/>
  <c r="AF87" i="30" a="1"/>
  <c r="AF81" i="30" a="1"/>
  <c r="AH82" i="30" a="1"/>
  <c r="AF68" i="30" a="1"/>
  <c r="AJ61" i="30" a="1"/>
  <c r="AD81" i="30" a="1"/>
  <c r="AF70" i="30" a="1"/>
  <c r="AF58" i="30" a="1"/>
  <c r="AD61" i="30" a="1"/>
  <c r="AJ68" i="30" a="1"/>
  <c r="AH77" i="30" a="1"/>
  <c r="AJ89" i="30" a="1"/>
  <c r="AF49" i="30" a="1"/>
  <c r="AF63" i="30" a="1"/>
  <c r="AD57" i="30" a="1"/>
  <c r="AD67" i="30" a="1"/>
  <c r="AF71" i="30" a="1"/>
  <c r="AJ84" i="30" a="1"/>
  <c r="AJ67" i="30" a="1"/>
  <c r="AH67" i="30" a="1"/>
  <c r="AJ81" i="30" a="1"/>
  <c r="AH53" i="30" a="1"/>
  <c r="AD68" i="30" a="1"/>
  <c r="AJ52" i="30" a="1"/>
  <c r="AF69" i="30" a="1"/>
  <c r="AJ70" i="30" a="1"/>
  <c r="AJ60" i="30" a="1"/>
  <c r="AF61" i="30" a="1"/>
  <c r="AD90" i="30" a="1"/>
  <c r="AH56" i="30" a="1"/>
  <c r="AJ64" i="30" a="1"/>
  <c r="AH58" i="30" a="1"/>
  <c r="AF44" i="30" a="1"/>
  <c r="AD71" i="30" a="1"/>
  <c r="AJ75" i="30" a="1"/>
  <c r="AD66" i="30" a="1"/>
  <c r="AH89" i="30" a="1"/>
  <c r="AD73" i="30" a="1"/>
  <c r="AJ72" i="30" a="1"/>
  <c r="AF91" i="30" a="1"/>
  <c r="AD80" i="30" a="1"/>
  <c r="AF14" i="30" a="1"/>
  <c r="AJ91" i="30" a="1"/>
  <c r="AD47" i="30" a="1"/>
  <c r="AF52" i="30" a="1"/>
  <c r="AF90" i="30" a="1"/>
  <c r="AH79" i="30" a="1"/>
  <c r="AH84" i="30" a="1"/>
  <c r="AH70" i="30" a="1"/>
  <c r="AD65" i="30" a="1"/>
  <c r="AF51" i="30" a="1"/>
  <c r="AH86" i="30" a="1"/>
  <c r="AH81" i="30" a="1"/>
  <c r="AD53" i="30" a="1"/>
  <c r="AH62" i="30" a="1"/>
  <c r="AH73" i="30" a="1"/>
  <c r="AJ86" i="30" a="1"/>
  <c r="AD74" i="30" a="1"/>
  <c r="AJ76" i="30" a="1"/>
  <c r="AH47" i="30" a="1"/>
  <c r="AJ79" i="30" a="1"/>
  <c r="AH90" i="30" a="1"/>
  <c r="AD14" i="30" a="1"/>
  <c r="AF89" i="30" a="1"/>
  <c r="AD69" i="30" a="1"/>
  <c r="AD89" i="30" a="1"/>
  <c r="AJ45" i="30" a="1"/>
  <c r="AJ90" i="30" a="1"/>
  <c r="AD62" i="30" a="1"/>
  <c r="AD52" i="30" a="1"/>
  <c r="AH63" i="30" a="1"/>
  <c r="AD88" i="30" a="1"/>
  <c r="AF62" i="30" a="1"/>
  <c r="AJ62" i="30" a="1"/>
  <c r="AJ78" i="30" a="1"/>
  <c r="AH60" i="30" a="1"/>
  <c r="AJ80" i="30" a="1"/>
  <c r="AD70" i="30" a="1"/>
  <c r="AJ65" i="30" a="1"/>
  <c r="AD58" i="30" a="1"/>
  <c r="AD50" i="30" a="1"/>
  <c r="AJ58" i="30" a="1"/>
  <c r="AD82" i="30" a="1"/>
  <c r="AD91" i="30" a="1"/>
  <c r="AH57" i="30" a="1"/>
  <c r="AD75" i="30" a="1"/>
  <c r="AJ88" i="30" a="1"/>
  <c r="AH71" i="30" a="1"/>
  <c r="AJ47" i="30" a="1"/>
  <c r="AH55" i="30" a="1"/>
  <c r="AH59" i="30" a="1"/>
  <c r="AJ55" i="30" a="1"/>
  <c r="AF59" i="30" a="1"/>
  <c r="AH85" i="30" a="1"/>
  <c r="AF65" i="30" a="1"/>
  <c r="AF53" i="30" a="1"/>
  <c r="AH64" i="30" a="1"/>
  <c r="AJ46" i="30" a="1"/>
  <c r="AH83" i="30" a="1"/>
  <c r="AH78" i="30" a="1"/>
  <c r="AF46" i="30" a="1"/>
  <c r="AF85" i="30" a="1"/>
  <c r="AD59" i="30" a="1"/>
  <c r="AH51" i="30" a="1"/>
  <c r="AD83" i="30" a="1"/>
  <c r="AH69" i="30" a="1"/>
  <c r="AF50" i="30" a="1"/>
  <c r="AH14" i="30" a="1"/>
  <c r="AF76" i="30" a="1"/>
  <c r="AH87" i="30" a="1"/>
  <c r="AF64" i="30" a="1"/>
  <c r="AD72" i="30" a="1"/>
  <c r="AD63" i="30" a="1"/>
  <c r="AH54" i="30" a="1"/>
  <c r="AF88" i="30" a="1"/>
  <c r="AD76" i="30" a="1"/>
  <c r="AF54" i="30" a="1"/>
  <c r="AD64" i="30" a="1"/>
  <c r="AF57" i="30" a="1"/>
  <c r="AH52" i="30" a="1"/>
  <c r="AF72" i="30" a="1"/>
  <c r="AF79" i="30" a="1"/>
  <c r="AH65" i="30" a="1"/>
  <c r="AF66" i="30" a="1"/>
  <c r="AJ83" i="30" a="1"/>
  <c r="AF75" i="30" a="1"/>
  <c r="AH72" i="30" a="1"/>
  <c r="AD44" i="30" a="1"/>
  <c r="AH91" i="30" a="1"/>
  <c r="AJ54" i="30" a="1"/>
  <c r="AD49" i="30" a="1"/>
  <c r="AJ48" i="30" a="1"/>
  <c r="AJ50" i="30" a="1"/>
  <c r="AF55" i="30" a="1"/>
  <c r="AJ69" i="30" a="1"/>
  <c r="AJ49" i="30" a="1"/>
  <c r="AJ14" i="30" l="1"/>
  <c r="AH14" i="30"/>
  <c r="AF14" i="30"/>
  <c r="AD14" i="30"/>
  <c r="AD52" i="30"/>
  <c r="AD73" i="30"/>
  <c r="AD79" i="30"/>
  <c r="AD51" i="30"/>
  <c r="AD47" i="30"/>
  <c r="AD88" i="30"/>
  <c r="AD58" i="30"/>
  <c r="AD68" i="30"/>
  <c r="AD65" i="30"/>
  <c r="AD76" i="30"/>
  <c r="AD64" i="30"/>
  <c r="AD63" i="30"/>
  <c r="AD62" i="30"/>
  <c r="AD50" i="30"/>
  <c r="AD87" i="30"/>
  <c r="AD77" i="30"/>
  <c r="AD89" i="30"/>
  <c r="AD86" i="30"/>
  <c r="AD85" i="30"/>
  <c r="AD81" i="30"/>
  <c r="AD84" i="30"/>
  <c r="AD56" i="30"/>
  <c r="AD44" i="30"/>
  <c r="AD83" i="30"/>
  <c r="AD75" i="30"/>
  <c r="AD60" i="30"/>
  <c r="AD46" i="30"/>
  <c r="AD72" i="30"/>
  <c r="AD45" i="30"/>
  <c r="AD90" i="30"/>
  <c r="AD80" i="30"/>
  <c r="AD49" i="30"/>
  <c r="AD70" i="30"/>
  <c r="AD48" i="30"/>
  <c r="AD69" i="30"/>
  <c r="AD66" i="30"/>
  <c r="AD54" i="30"/>
  <c r="AD67" i="30"/>
  <c r="AD61" i="30"/>
  <c r="AD53" i="30"/>
  <c r="AD57" i="30"/>
  <c r="AD71" i="30"/>
  <c r="AD55" i="30"/>
  <c r="AD59" i="30"/>
  <c r="AD78" i="30"/>
  <c r="AD82" i="30"/>
  <c r="AD74" i="30"/>
  <c r="AJ63" i="30"/>
  <c r="AF63" i="30"/>
  <c r="AH63" i="30"/>
  <c r="AJ59" i="30"/>
  <c r="AH59" i="30"/>
  <c r="AF59" i="30"/>
  <c r="AJ87" i="30"/>
  <c r="AH87" i="30"/>
  <c r="AF87" i="30"/>
  <c r="AJ78" i="30"/>
  <c r="AH78" i="30"/>
  <c r="AF78" i="30"/>
  <c r="AJ61" i="30"/>
  <c r="AF61" i="30"/>
  <c r="AH61" i="30"/>
  <c r="AJ71" i="30"/>
  <c r="AH71" i="30"/>
  <c r="AF71" i="30"/>
  <c r="AJ82" i="30"/>
  <c r="AH82" i="30"/>
  <c r="AF82" i="30"/>
  <c r="AJ70" i="30"/>
  <c r="AH70" i="30"/>
  <c r="AF70" i="30"/>
  <c r="AJ69" i="30"/>
  <c r="AF69" i="30"/>
  <c r="AH69" i="30"/>
  <c r="AJ85" i="30"/>
  <c r="AF85" i="30"/>
  <c r="AH85" i="30"/>
  <c r="AJ88" i="30"/>
  <c r="AF88" i="30"/>
  <c r="AH88" i="30"/>
  <c r="AJ89" i="30"/>
  <c r="AF89" i="30"/>
  <c r="AH89" i="30"/>
  <c r="AJ54" i="30"/>
  <c r="AF54" i="30"/>
  <c r="AH54" i="30"/>
  <c r="AJ49" i="30"/>
  <c r="AH49" i="30"/>
  <c r="AF49" i="30"/>
  <c r="AJ56" i="30"/>
  <c r="AF56" i="30"/>
  <c r="AH56" i="30"/>
  <c r="AJ48" i="30"/>
  <c r="AH48" i="30"/>
  <c r="AF48" i="30"/>
  <c r="AJ44" i="30"/>
  <c r="AH44" i="30"/>
  <c r="AF44" i="30"/>
  <c r="AJ68" i="30"/>
  <c r="AF68" i="30"/>
  <c r="AH68" i="30"/>
  <c r="AJ75" i="30"/>
  <c r="AF75" i="30"/>
  <c r="AH75" i="30"/>
  <c r="AJ53" i="30"/>
  <c r="AF53" i="30"/>
  <c r="AH53" i="30"/>
  <c r="AJ66" i="30"/>
  <c r="AF66" i="30"/>
  <c r="AH66" i="30"/>
  <c r="AJ74" i="30"/>
  <c r="AH74" i="30"/>
  <c r="AF74" i="30"/>
  <c r="AJ47" i="30"/>
  <c r="AF47" i="30"/>
  <c r="AH47" i="30"/>
  <c r="AJ80" i="30"/>
  <c r="AF80" i="30"/>
  <c r="AH80" i="30"/>
  <c r="AJ77" i="30"/>
  <c r="AF77" i="30"/>
  <c r="AH77" i="30"/>
  <c r="AJ90" i="30"/>
  <c r="AH90" i="30"/>
  <c r="AF90" i="30"/>
  <c r="AJ84" i="30"/>
  <c r="AH84" i="30"/>
  <c r="AF84" i="30"/>
  <c r="AJ62" i="30"/>
  <c r="AF62" i="30"/>
  <c r="AH62" i="30"/>
  <c r="AJ91" i="30"/>
  <c r="AF91" i="30"/>
  <c r="AH91" i="30"/>
  <c r="AD91" i="30"/>
  <c r="AJ76" i="30"/>
  <c r="AF76" i="30"/>
  <c r="AH76" i="30"/>
  <c r="AJ83" i="30"/>
  <c r="AF83" i="30"/>
  <c r="AH83" i="30"/>
  <c r="AJ67" i="30"/>
  <c r="AH67" i="30"/>
  <c r="AF67" i="30"/>
  <c r="AJ81" i="30"/>
  <c r="AH81" i="30"/>
  <c r="AF81" i="30"/>
  <c r="AJ60" i="30"/>
  <c r="AH60" i="30"/>
  <c r="AF60" i="30"/>
  <c r="AJ46" i="30"/>
  <c r="AF46" i="30"/>
  <c r="AH46" i="30"/>
  <c r="AJ79" i="30"/>
  <c r="AH79" i="30"/>
  <c r="AF79" i="30"/>
  <c r="AJ57" i="30"/>
  <c r="AF57" i="30"/>
  <c r="AH57" i="30"/>
  <c r="AJ45" i="30"/>
  <c r="AH45" i="30"/>
  <c r="AF45" i="30"/>
  <c r="AJ52" i="30"/>
  <c r="AF52" i="30"/>
  <c r="AH52" i="30"/>
  <c r="AJ65" i="30"/>
  <c r="AF65" i="30"/>
  <c r="AH65" i="30"/>
  <c r="AJ73" i="30"/>
  <c r="AF73" i="30"/>
  <c r="AH73" i="30"/>
  <c r="AJ51" i="30"/>
  <c r="AF51" i="30"/>
  <c r="AH51" i="30"/>
  <c r="AJ86" i="30"/>
  <c r="AF86" i="30"/>
  <c r="AH86" i="30"/>
  <c r="AJ58" i="30"/>
  <c r="AF58" i="30"/>
  <c r="AH58" i="30"/>
  <c r="AJ64" i="30"/>
  <c r="AF64" i="30"/>
  <c r="AH64" i="30"/>
  <c r="AJ72" i="30"/>
  <c r="AF72" i="30"/>
  <c r="AH72" i="30"/>
  <c r="AJ55" i="30"/>
  <c r="AF55" i="30"/>
  <c r="AH55" i="30"/>
  <c r="AJ50" i="30"/>
  <c r="AF50" i="30"/>
  <c r="AH50" i="30"/>
  <c r="E13" i="97"/>
  <c r="E1" i="98"/>
  <c r="B17" i="98" s="1"/>
  <c r="F14" i="97"/>
  <c r="G17" i="98"/>
  <c r="B33" i="98" l="1"/>
  <c r="B31" i="98"/>
  <c r="B54" i="98"/>
  <c r="B36" i="98"/>
  <c r="B57" i="98"/>
  <c r="B35" i="98"/>
  <c r="B45" i="98"/>
  <c r="B52" i="98"/>
  <c r="B16" i="98"/>
  <c r="B51" i="98"/>
  <c r="B72" i="98"/>
  <c r="B68" i="98"/>
  <c r="B24" i="98"/>
  <c r="B23" i="98"/>
  <c r="B22" i="98"/>
  <c r="B66" i="98"/>
  <c r="B65" i="98"/>
  <c r="B30" i="98"/>
  <c r="B29" i="98"/>
  <c r="B46" i="98"/>
  <c r="B44" i="98"/>
  <c r="B43" i="98"/>
  <c r="B34" i="98"/>
  <c r="B67" i="98"/>
  <c r="B32" i="98"/>
  <c r="B50" i="98"/>
  <c r="B21" i="98"/>
  <c r="B59" i="98"/>
  <c r="B71" i="98"/>
  <c r="B42" i="98"/>
  <c r="B20" i="98"/>
  <c r="B63" i="98"/>
  <c r="B41" i="98"/>
  <c r="B53" i="98"/>
  <c r="B48" i="98"/>
  <c r="B62" i="98"/>
  <c r="B19" i="98"/>
  <c r="B49" i="98"/>
  <c r="B70" i="98"/>
  <c r="B18" i="98"/>
  <c r="B26" i="98"/>
  <c r="B40" i="98"/>
  <c r="B64" i="98"/>
  <c r="B58" i="98"/>
  <c r="B55" i="98"/>
  <c r="B60" i="98"/>
  <c r="B69" i="98"/>
  <c r="B61" i="98"/>
  <c r="B56" i="98"/>
  <c r="B38" i="98"/>
  <c r="B47" i="98"/>
  <c r="B39" i="98"/>
  <c r="B28" i="98"/>
  <c r="B27" i="98"/>
  <c r="B37" i="98"/>
  <c r="B25" i="98"/>
  <c r="F13" i="97"/>
  <c r="G13" i="97" s="1"/>
  <c r="G14" i="97"/>
  <c r="G62" i="98"/>
  <c r="G68" i="98"/>
  <c r="G66" i="98"/>
  <c r="G29" i="98"/>
  <c r="G54" i="98"/>
  <c r="G69" i="98"/>
  <c r="G65" i="98"/>
  <c r="G57" i="98"/>
  <c r="G64" i="98"/>
  <c r="G61" i="98"/>
  <c r="G22" i="98"/>
  <c r="G23" i="98"/>
  <c r="G33" i="98"/>
  <c r="G37" i="98"/>
  <c r="G47" i="98"/>
  <c r="G46" i="98"/>
  <c r="G42" i="98"/>
  <c r="G49" i="98"/>
  <c r="G26" i="98"/>
  <c r="G30" i="98"/>
  <c r="G20" i="98"/>
  <c r="G63" i="98"/>
  <c r="G19" i="98"/>
  <c r="G38" i="98"/>
  <c r="G56" i="98"/>
  <c r="G31" i="98"/>
  <c r="G39" i="98"/>
  <c r="G71" i="98"/>
  <c r="G28" i="98"/>
  <c r="G59" i="98"/>
  <c r="G44" i="98"/>
  <c r="G60" i="98"/>
  <c r="G58" i="98"/>
  <c r="G21" i="98"/>
  <c r="G16" i="98"/>
  <c r="G45" i="98"/>
  <c r="G51" i="98"/>
  <c r="G32" i="98"/>
  <c r="G53" i="98"/>
  <c r="G48" i="98"/>
  <c r="G25" i="98"/>
  <c r="G50" i="98"/>
  <c r="G34" i="98"/>
  <c r="G72" i="98"/>
  <c r="G43" i="98"/>
  <c r="G70" i="98"/>
  <c r="G41" i="98"/>
  <c r="G52" i="98"/>
  <c r="G35" i="98"/>
  <c r="G27" i="98"/>
  <c r="G40" i="98"/>
  <c r="G36" i="98"/>
  <c r="G55" i="98"/>
  <c r="G18" i="98"/>
  <c r="G67" i="98"/>
  <c r="G24" i="98"/>
  <c r="M17" i="98" l="1" a="1"/>
  <c r="M17" i="98" s="1"/>
  <c r="G62" i="138" s="1"/>
  <c r="M28" i="98" a="1"/>
  <c r="M28" i="98" s="1"/>
  <c r="M39" i="98" a="1"/>
  <c r="M39" i="98" s="1"/>
  <c r="M50" i="98" a="1"/>
  <c r="M50" i="98" s="1"/>
  <c r="M61" i="98" a="1"/>
  <c r="M61" i="98" s="1"/>
  <c r="M72" i="98" a="1"/>
  <c r="M72" i="98" s="1"/>
  <c r="M18" i="98" a="1"/>
  <c r="M18" i="98" s="1"/>
  <c r="G63" i="138" s="1"/>
  <c r="M29" i="98" a="1"/>
  <c r="M29" i="98" s="1"/>
  <c r="G74" i="138" s="1"/>
  <c r="M40" i="98" a="1"/>
  <c r="M40" i="98" s="1"/>
  <c r="M51" i="98" a="1"/>
  <c r="M51" i="98" s="1"/>
  <c r="M62" i="98" a="1"/>
  <c r="M62" i="98" s="1"/>
  <c r="M19" i="98" a="1"/>
  <c r="M19" i="98" s="1"/>
  <c r="G64" i="138" s="1"/>
  <c r="M30" i="98" a="1"/>
  <c r="M30" i="98" s="1"/>
  <c r="G75" i="138" s="1"/>
  <c r="M41" i="98" a="1"/>
  <c r="M41" i="98" s="1"/>
  <c r="M52" i="98" a="1"/>
  <c r="M52" i="98" s="1"/>
  <c r="M63" i="98" a="1"/>
  <c r="M63" i="98" s="1"/>
  <c r="M20" i="98" a="1"/>
  <c r="M20" i="98" s="1"/>
  <c r="G65" i="138" s="1"/>
  <c r="M31" i="98" a="1"/>
  <c r="M31" i="98" s="1"/>
  <c r="M42" i="98" a="1"/>
  <c r="M42" i="98" s="1"/>
  <c r="M53" i="98" a="1"/>
  <c r="M53" i="98" s="1"/>
  <c r="M64" i="98" a="1"/>
  <c r="M64" i="98" s="1"/>
  <c r="M21" i="98" a="1"/>
  <c r="M21" i="98" s="1"/>
  <c r="G66" i="138" s="1"/>
  <c r="M32" i="98" a="1"/>
  <c r="M32" i="98" s="1"/>
  <c r="M43" i="98" a="1"/>
  <c r="M43" i="98" s="1"/>
  <c r="M54" i="98" a="1"/>
  <c r="M54" i="98" s="1"/>
  <c r="M65" i="98" a="1"/>
  <c r="M65" i="98" s="1"/>
  <c r="M22" i="98" a="1"/>
  <c r="M22" i="98" s="1"/>
  <c r="G67" i="138" s="1"/>
  <c r="M33" i="98" a="1"/>
  <c r="M33" i="98" s="1"/>
  <c r="M44" i="98" a="1"/>
  <c r="M44" i="98" s="1"/>
  <c r="M55" i="98" a="1"/>
  <c r="M55" i="98" s="1"/>
  <c r="M66" i="98" a="1"/>
  <c r="M66" i="98" s="1"/>
  <c r="M23" i="98" a="1"/>
  <c r="M23" i="98" s="1"/>
  <c r="G68" i="138" s="1"/>
  <c r="M34" i="98" a="1"/>
  <c r="M34" i="98" s="1"/>
  <c r="M45" i="98" a="1"/>
  <c r="M45" i="98" s="1"/>
  <c r="M56" i="98" a="1"/>
  <c r="M56" i="98" s="1"/>
  <c r="M67" i="98" a="1"/>
  <c r="M67" i="98" s="1"/>
  <c r="M24" i="98" a="1"/>
  <c r="M24" i="98" s="1"/>
  <c r="G69" i="138" s="1"/>
  <c r="M35" i="98" a="1"/>
  <c r="M35" i="98" s="1"/>
  <c r="M46" i="98" a="1"/>
  <c r="M46" i="98" s="1"/>
  <c r="M57" i="98" a="1"/>
  <c r="M57" i="98" s="1"/>
  <c r="M68" i="98" a="1"/>
  <c r="M68" i="98" s="1"/>
  <c r="M25" i="98" a="1"/>
  <c r="M25" i="98" s="1"/>
  <c r="G70" i="138" s="1"/>
  <c r="M36" i="98" a="1"/>
  <c r="M36" i="98" s="1"/>
  <c r="M47" i="98" a="1"/>
  <c r="M47" i="98" s="1"/>
  <c r="M26" i="98" a="1"/>
  <c r="M26" i="98" s="1"/>
  <c r="G71" i="138" s="1"/>
  <c r="M70" i="98" a="1"/>
  <c r="M70" i="98" s="1"/>
  <c r="M27" i="98" a="1"/>
  <c r="M27" i="98" s="1"/>
  <c r="M71" i="98" a="1"/>
  <c r="M71" i="98" s="1"/>
  <c r="M37" i="98" a="1"/>
  <c r="M37" i="98" s="1"/>
  <c r="M38" i="98" a="1"/>
  <c r="M38" i="98" s="1"/>
  <c r="M48" i="98" a="1"/>
  <c r="M48" i="98" s="1"/>
  <c r="M49" i="98" a="1"/>
  <c r="M49" i="98" s="1"/>
  <c r="M58" i="98" a="1"/>
  <c r="M58" i="98" s="1"/>
  <c r="M59" i="98" a="1"/>
  <c r="M59" i="98" s="1"/>
  <c r="M60" i="98" a="1"/>
  <c r="M60" i="98" s="1"/>
  <c r="M69" i="98" a="1"/>
  <c r="M69" i="98" s="1"/>
  <c r="M16" i="98" a="1"/>
  <c r="M16" i="98" s="1"/>
  <c r="G61" i="138" s="1"/>
  <c r="H13" i="97"/>
  <c r="H14" i="97"/>
  <c r="G77" i="138" l="1"/>
  <c r="G73" i="138"/>
  <c r="G76" i="138"/>
  <c r="G72" i="138"/>
  <c r="I14" i="97"/>
  <c r="I13" i="97"/>
  <c r="J13" i="97" l="1"/>
  <c r="J14" i="97"/>
  <c r="K14" i="97" l="1"/>
  <c r="K13" i="97"/>
  <c r="C63" i="98"/>
  <c r="C20" i="98"/>
  <c r="D51" i="98"/>
  <c r="E31" i="98"/>
  <c r="E70" i="98"/>
  <c r="D47" i="98"/>
  <c r="C39" i="98"/>
  <c r="F54" i="98"/>
  <c r="D71" i="98"/>
  <c r="E32" i="98"/>
  <c r="E21" i="98"/>
  <c r="E72" i="98"/>
  <c r="D56" i="98"/>
  <c r="F21" i="98"/>
  <c r="C23" i="98"/>
  <c r="D65" i="98"/>
  <c r="E17" i="98"/>
  <c r="F52" i="98"/>
  <c r="D19" i="98"/>
  <c r="F41" i="98"/>
  <c r="C46" i="98"/>
  <c r="F30" i="98"/>
  <c r="F68" i="98"/>
  <c r="C26" i="98"/>
  <c r="C54" i="98"/>
  <c r="D45" i="98"/>
  <c r="E35" i="98"/>
  <c r="F53" i="98"/>
  <c r="E65" i="98"/>
  <c r="D62" i="98"/>
  <c r="E51" i="98"/>
  <c r="E44" i="98"/>
  <c r="C25" i="98"/>
  <c r="E57" i="98"/>
  <c r="E26" i="98"/>
  <c r="F29" i="98"/>
  <c r="C57" i="98"/>
  <c r="D35" i="98"/>
  <c r="F31" i="98"/>
  <c r="C36" i="98"/>
  <c r="C67" i="98"/>
  <c r="E16" i="98"/>
  <c r="E63" i="98"/>
  <c r="D68" i="98"/>
  <c r="E30" i="98"/>
  <c r="F26" i="98"/>
  <c r="F61" i="98"/>
  <c r="E64" i="98"/>
  <c r="D30" i="98"/>
  <c r="F46" i="98"/>
  <c r="C62" i="98"/>
  <c r="E71" i="98"/>
  <c r="F57" i="98"/>
  <c r="C59" i="98"/>
  <c r="E60" i="98"/>
  <c r="C37" i="98"/>
  <c r="D32" i="98"/>
  <c r="E54" i="98"/>
  <c r="D64" i="98"/>
  <c r="C42" i="98"/>
  <c r="F42" i="98"/>
  <c r="C49" i="98"/>
  <c r="D37" i="98"/>
  <c r="D55" i="98"/>
  <c r="C24" i="98"/>
  <c r="F22" i="98"/>
  <c r="F37" i="98"/>
  <c r="D23" i="98"/>
  <c r="E55" i="98"/>
  <c r="F24" i="98"/>
  <c r="C69" i="98"/>
  <c r="C18" i="98"/>
  <c r="C68" i="98"/>
  <c r="C17" i="98"/>
  <c r="E24" i="98"/>
  <c r="F20" i="98"/>
  <c r="F50" i="98"/>
  <c r="D58" i="98"/>
  <c r="C16" i="98"/>
  <c r="C66" i="98"/>
  <c r="D63" i="98"/>
  <c r="D33" i="98"/>
  <c r="C28" i="98"/>
  <c r="D57" i="98"/>
  <c r="E59" i="98"/>
  <c r="E52" i="98"/>
  <c r="C33" i="98"/>
  <c r="E18" i="98"/>
  <c r="C41" i="98"/>
  <c r="E37" i="98"/>
  <c r="F51" i="98"/>
  <c r="D67" i="98"/>
  <c r="C21" i="98"/>
  <c r="F34" i="98"/>
  <c r="E38" i="98"/>
  <c r="F44" i="98"/>
  <c r="E22" i="98"/>
  <c r="E42" i="98"/>
  <c r="D50" i="98"/>
  <c r="D20" i="98"/>
  <c r="D31" i="98"/>
  <c r="C71" i="98"/>
  <c r="D22" i="98"/>
  <c r="F27" i="98"/>
  <c r="F47" i="98"/>
  <c r="D53" i="98"/>
  <c r="F65" i="98"/>
  <c r="E53" i="98"/>
  <c r="E23" i="98"/>
  <c r="C19" i="98"/>
  <c r="F35" i="98"/>
  <c r="E25" i="98"/>
  <c r="E19" i="98"/>
  <c r="E41" i="98"/>
  <c r="C45" i="98"/>
  <c r="C35" i="98"/>
  <c r="C30" i="98"/>
  <c r="C43" i="98"/>
  <c r="C34" i="98"/>
  <c r="F17" i="98"/>
  <c r="D69" i="98"/>
  <c r="D60" i="98"/>
  <c r="E34" i="98"/>
  <c r="C65" i="98"/>
  <c r="D28" i="98"/>
  <c r="D66" i="98"/>
  <c r="D16" i="98"/>
  <c r="F58" i="98"/>
  <c r="D49" i="98"/>
  <c r="C38" i="98"/>
  <c r="C51" i="98"/>
  <c r="C44" i="98"/>
  <c r="F71" i="98"/>
  <c r="D17" i="98"/>
  <c r="E58" i="98"/>
  <c r="E56" i="98"/>
  <c r="C60" i="98"/>
  <c r="F55" i="98"/>
  <c r="F36" i="98"/>
  <c r="D21" i="98"/>
  <c r="F48" i="98"/>
  <c r="C32" i="98"/>
  <c r="D61" i="98"/>
  <c r="F33" i="98"/>
  <c r="F67" i="98"/>
  <c r="C50" i="98"/>
  <c r="E68" i="98"/>
  <c r="E40" i="98"/>
  <c r="E62" i="98"/>
  <c r="E50" i="98"/>
  <c r="E29" i="98"/>
  <c r="C70" i="98"/>
  <c r="F64" i="98"/>
  <c r="E39" i="98"/>
  <c r="F60" i="98"/>
  <c r="D38" i="98"/>
  <c r="F59" i="98"/>
  <c r="D42" i="98"/>
  <c r="E69" i="98"/>
  <c r="C53" i="98"/>
  <c r="F16" i="98"/>
  <c r="E48" i="98"/>
  <c r="E61" i="98"/>
  <c r="C48" i="98"/>
  <c r="F63" i="98"/>
  <c r="F49" i="98"/>
  <c r="E66" i="98"/>
  <c r="F62" i="98"/>
  <c r="E43" i="98"/>
  <c r="E45" i="98"/>
  <c r="F72" i="98"/>
  <c r="D46" i="98"/>
  <c r="F19" i="98"/>
  <c r="D25" i="98"/>
  <c r="D70" i="98"/>
  <c r="C31" i="98"/>
  <c r="E27" i="98"/>
  <c r="C29" i="98"/>
  <c r="C40" i="98"/>
  <c r="D59" i="98"/>
  <c r="D26" i="98"/>
  <c r="F70" i="98"/>
  <c r="D72" i="98"/>
  <c r="F40" i="98"/>
  <c r="E36" i="98"/>
  <c r="F38" i="98"/>
  <c r="F32" i="98"/>
  <c r="C72" i="98"/>
  <c r="D40" i="98"/>
  <c r="C61" i="98"/>
  <c r="D27" i="98"/>
  <c r="F25" i="98"/>
  <c r="E67" i="98"/>
  <c r="E49" i="98"/>
  <c r="E46" i="98"/>
  <c r="F28" i="98"/>
  <c r="F69" i="98"/>
  <c r="F39" i="98"/>
  <c r="F45" i="98"/>
  <c r="C56" i="98"/>
  <c r="D18" i="98"/>
  <c r="F18" i="98"/>
  <c r="C27" i="98"/>
  <c r="F43" i="98"/>
  <c r="E33" i="98"/>
  <c r="D44" i="98"/>
  <c r="D39" i="98"/>
  <c r="C52" i="98"/>
  <c r="D29" i="98"/>
  <c r="C64" i="98"/>
  <c r="D34" i="98"/>
  <c r="C55" i="98"/>
  <c r="D41" i="98"/>
  <c r="D54" i="98"/>
  <c r="F56" i="98"/>
  <c r="D36" i="98"/>
  <c r="D24" i="98"/>
  <c r="E28" i="98"/>
  <c r="D43" i="98"/>
  <c r="E20" i="98"/>
  <c r="C22" i="98"/>
  <c r="C58" i="98"/>
  <c r="E47" i="98"/>
  <c r="D52" i="98"/>
  <c r="D48" i="98"/>
  <c r="F23" i="98"/>
  <c r="C47" i="98"/>
  <c r="F66" i="98"/>
  <c r="J59" i="98" l="1" a="1"/>
  <c r="J59" i="98" s="1"/>
  <c r="R59" i="98" s="1"/>
  <c r="J53" i="98" a="1"/>
  <c r="J53" i="98" s="1"/>
  <c r="R53" i="98" s="1"/>
  <c r="J50" i="98" a="1"/>
  <c r="J50" i="98" s="1"/>
  <c r="S50" i="98" s="1"/>
  <c r="J57" i="98" a="1"/>
  <c r="J57" i="98" s="1"/>
  <c r="O57" i="98" s="1"/>
  <c r="AI57" i="98" s="1"/>
  <c r="J71" i="98" a="1"/>
  <c r="J71" i="98" s="1"/>
  <c r="R71" i="98" s="1"/>
  <c r="J67" i="98" a="1"/>
  <c r="J67" i="98" s="1"/>
  <c r="P67" i="98" s="1"/>
  <c r="J56" i="98" a="1"/>
  <c r="J56" i="98" s="1"/>
  <c r="R56" i="98" s="1"/>
  <c r="J69" i="98" a="1"/>
  <c r="J69" i="98" s="1"/>
  <c r="Q69" i="98" s="1"/>
  <c r="W69" i="98" s="1"/>
  <c r="J60" i="98" a="1"/>
  <c r="J60" i="98" s="1"/>
  <c r="J72" i="98" a="1"/>
  <c r="J72" i="98" s="1"/>
  <c r="N72" i="98" s="1"/>
  <c r="J52" i="98" a="1"/>
  <c r="J52" i="98" s="1"/>
  <c r="S52" i="98" s="1"/>
  <c r="J47" i="98" a="1"/>
  <c r="J47" i="98" s="1"/>
  <c r="J68" i="98" a="1"/>
  <c r="J68" i="98" s="1"/>
  <c r="O68" i="98" s="1"/>
  <c r="AI68" i="98" s="1"/>
  <c r="J48" i="98" a="1"/>
  <c r="J48" i="98" s="1"/>
  <c r="O48" i="98" s="1"/>
  <c r="AI48" i="98" s="1"/>
  <c r="J49" i="98" a="1"/>
  <c r="J49" i="98" s="1"/>
  <c r="N49" i="98" s="1"/>
  <c r="X49" i="98" s="1"/>
  <c r="J70" i="98" a="1"/>
  <c r="J70" i="98" s="1"/>
  <c r="J58" i="98" a="1"/>
  <c r="J58" i="98" s="1"/>
  <c r="V58" i="98" s="1"/>
  <c r="J54" i="98" a="1"/>
  <c r="J54" i="98" s="1"/>
  <c r="J66" i="98" a="1"/>
  <c r="J66" i="98" s="1"/>
  <c r="J61" i="98" a="1"/>
  <c r="J61" i="98" s="1"/>
  <c r="J62" i="98" a="1"/>
  <c r="J62" i="98" s="1"/>
  <c r="O62" i="98" s="1"/>
  <c r="AI62" i="98" s="1"/>
  <c r="J55" i="98" a="1"/>
  <c r="J55" i="98" s="1"/>
  <c r="J65" i="98" a="1"/>
  <c r="J65" i="98" s="1"/>
  <c r="P65" i="98" s="1"/>
  <c r="J64" i="98" a="1"/>
  <c r="J64" i="98" s="1"/>
  <c r="T64" i="98" s="1"/>
  <c r="J51" i="98" a="1"/>
  <c r="J51" i="98" s="1"/>
  <c r="O51" i="98" s="1"/>
  <c r="AI51" i="98" s="1"/>
  <c r="J63" i="98" a="1"/>
  <c r="J63" i="98" s="1"/>
  <c r="Q63" i="98" s="1"/>
  <c r="W63" i="98" s="1"/>
  <c r="I70" i="98" a="1"/>
  <c r="I70" i="98" s="1"/>
  <c r="I66" i="98" a="1"/>
  <c r="I66" i="98" s="1"/>
  <c r="I56" i="98" a="1"/>
  <c r="I56" i="98" s="1"/>
  <c r="I69" i="98" a="1"/>
  <c r="I69" i="98" s="1"/>
  <c r="I52" i="98" a="1"/>
  <c r="I52" i="98" s="1"/>
  <c r="I51" i="98" a="1"/>
  <c r="I51" i="98" s="1"/>
  <c r="I59" i="98" a="1"/>
  <c r="I59" i="98" s="1"/>
  <c r="I65" i="98" a="1"/>
  <c r="I65" i="98" s="1"/>
  <c r="I62" i="98" a="1"/>
  <c r="I62" i="98" s="1"/>
  <c r="I64" i="98" a="1"/>
  <c r="I64" i="98" s="1"/>
  <c r="I61" i="98" a="1"/>
  <c r="I61" i="98" s="1"/>
  <c r="I55" i="98" a="1"/>
  <c r="I55" i="98" s="1"/>
  <c r="I60" i="98" a="1"/>
  <c r="I60" i="98" s="1"/>
  <c r="I63" i="98" a="1"/>
  <c r="I63" i="98" s="1"/>
  <c r="I57" i="98" a="1"/>
  <c r="I57" i="98" s="1"/>
  <c r="I53" i="98" a="1"/>
  <c r="I53" i="98" s="1"/>
  <c r="I50" i="98" a="1"/>
  <c r="I50" i="98" s="1"/>
  <c r="I47" i="98" a="1"/>
  <c r="I47" i="98" s="1"/>
  <c r="I71" i="98" a="1"/>
  <c r="I71" i="98" s="1"/>
  <c r="I49" i="98" a="1"/>
  <c r="I49" i="98" s="1"/>
  <c r="I72" i="98" a="1"/>
  <c r="I72" i="98" s="1"/>
  <c r="I58" i="98" a="1"/>
  <c r="I58" i="98" s="1"/>
  <c r="I67" i="98" a="1"/>
  <c r="I67" i="98" s="1"/>
  <c r="I68" i="98" a="1"/>
  <c r="I68" i="98" s="1"/>
  <c r="I48" i="98" a="1"/>
  <c r="I48" i="98" s="1"/>
  <c r="I54" i="98" a="1"/>
  <c r="I54" i="98" s="1"/>
  <c r="K67" i="98" a="1"/>
  <c r="K67" i="98" s="1"/>
  <c r="K52" i="98" a="1"/>
  <c r="K52" i="98" s="1"/>
  <c r="K69" i="98" a="1"/>
  <c r="K69" i="98" s="1"/>
  <c r="K58" i="98" a="1"/>
  <c r="K58" i="98" s="1"/>
  <c r="K62" i="98" a="1"/>
  <c r="K62" i="98" s="1"/>
  <c r="K59" i="98" a="1"/>
  <c r="K59" i="98" s="1"/>
  <c r="K48" i="98" a="1"/>
  <c r="K48" i="98" s="1"/>
  <c r="K68" i="98" a="1"/>
  <c r="K68" i="98" s="1"/>
  <c r="K51" i="98" a="1"/>
  <c r="K51" i="98" s="1"/>
  <c r="K50" i="98" a="1"/>
  <c r="K50" i="98" s="1"/>
  <c r="K63" i="98" a="1"/>
  <c r="K63" i="98" s="1"/>
  <c r="K64" i="98" a="1"/>
  <c r="K64" i="98" s="1"/>
  <c r="K72" i="98" a="1"/>
  <c r="K72" i="98" s="1"/>
  <c r="K49" i="98" a="1"/>
  <c r="K49" i="98" s="1"/>
  <c r="K66" i="98" a="1"/>
  <c r="K66" i="98" s="1"/>
  <c r="K47" i="98" a="1"/>
  <c r="K47" i="98" s="1"/>
  <c r="K71" i="98" a="1"/>
  <c r="K71" i="98" s="1"/>
  <c r="K56" i="98" a="1"/>
  <c r="K56" i="98" s="1"/>
  <c r="K65" i="98" a="1"/>
  <c r="K65" i="98" s="1"/>
  <c r="K55" i="98" a="1"/>
  <c r="K55" i="98" s="1"/>
  <c r="K57" i="98" a="1"/>
  <c r="K57" i="98" s="1"/>
  <c r="K54" i="98" a="1"/>
  <c r="K54" i="98" s="1"/>
  <c r="K60" i="98" a="1"/>
  <c r="K60" i="98" s="1"/>
  <c r="K70" i="98" a="1"/>
  <c r="K70" i="98" s="1"/>
  <c r="K53" i="98" a="1"/>
  <c r="K53" i="98" s="1"/>
  <c r="K61" i="98" a="1"/>
  <c r="K61" i="98" s="1"/>
  <c r="H59" i="98" a="1"/>
  <c r="H59" i="98" s="1"/>
  <c r="H61" i="98" a="1"/>
  <c r="H61" i="98" s="1"/>
  <c r="Z61" i="98" s="1"/>
  <c r="H49" i="98" a="1"/>
  <c r="H49" i="98" s="1"/>
  <c r="L49" i="98" s="1"/>
  <c r="H57" i="98" a="1"/>
  <c r="H57" i="98" s="1"/>
  <c r="Y57" i="98" s="1"/>
  <c r="H64" i="98" a="1"/>
  <c r="H64" i="98" s="1"/>
  <c r="H53" i="98" a="1"/>
  <c r="H53" i="98" s="1"/>
  <c r="AK53" i="98" s="1"/>
  <c r="H69" i="98" a="1"/>
  <c r="H69" i="98" s="1"/>
  <c r="H72" i="98" a="1"/>
  <c r="H72" i="98" s="1"/>
  <c r="Y72" i="98" s="1"/>
  <c r="H58" i="98" a="1"/>
  <c r="H58" i="98" s="1"/>
  <c r="Z58" i="98" s="1"/>
  <c r="H63" i="98" a="1"/>
  <c r="H63" i="98" s="1"/>
  <c r="Z63" i="98" s="1"/>
  <c r="H65" i="98" a="1"/>
  <c r="H65" i="98" s="1"/>
  <c r="H55" i="98" a="1"/>
  <c r="H55" i="98" s="1"/>
  <c r="AA55" i="98" s="1"/>
  <c r="H60" i="98" a="1"/>
  <c r="H60" i="98" s="1"/>
  <c r="AL60" i="98" s="1"/>
  <c r="H67" i="98" a="1"/>
  <c r="H67" i="98" s="1"/>
  <c r="AL67" i="98" s="1"/>
  <c r="H66" i="98" a="1"/>
  <c r="H66" i="98" s="1"/>
  <c r="AK66" i="98" s="1"/>
  <c r="H68" i="98" a="1"/>
  <c r="H68" i="98" s="1"/>
  <c r="AL68" i="98" s="1"/>
  <c r="H50" i="98" a="1"/>
  <c r="H50" i="98" s="1"/>
  <c r="Z50" i="98" s="1"/>
  <c r="H51" i="98" a="1"/>
  <c r="H51" i="98" s="1"/>
  <c r="H56" i="98" a="1"/>
  <c r="H56" i="98" s="1"/>
  <c r="H47" i="98" a="1"/>
  <c r="H47" i="98" s="1"/>
  <c r="AB47" i="98" s="1"/>
  <c r="H48" i="98" a="1"/>
  <c r="H48" i="98" s="1"/>
  <c r="Z48" i="98" s="1"/>
  <c r="H54" i="98" a="1"/>
  <c r="H54" i="98" s="1"/>
  <c r="L54" i="98" s="1"/>
  <c r="H62" i="98" a="1"/>
  <c r="H62" i="98" s="1"/>
  <c r="L62" i="98" s="1"/>
  <c r="H70" i="98" a="1"/>
  <c r="H70" i="98" s="1"/>
  <c r="AN70" i="98" s="1"/>
  <c r="H71" i="98" a="1"/>
  <c r="H71" i="98" s="1"/>
  <c r="Y71" i="98" s="1"/>
  <c r="H52" i="98" a="1"/>
  <c r="H52" i="98" s="1"/>
  <c r="AB52" i="98" s="1"/>
  <c r="L13" i="97"/>
  <c r="L14" i="97"/>
  <c r="AM67" i="98" l="1"/>
  <c r="AK67" i="98"/>
  <c r="T57" i="98"/>
  <c r="AN67" i="98"/>
  <c r="T71" i="98"/>
  <c r="AP56" i="98"/>
  <c r="AH65" i="98"/>
  <c r="AT51" i="98"/>
  <c r="Q51" i="98"/>
  <c r="W51" i="98" s="1"/>
  <c r="AD67" i="98"/>
  <c r="S51" i="98"/>
  <c r="Q71" i="98"/>
  <c r="W71" i="98" s="1"/>
  <c r="U51" i="98"/>
  <c r="R51" i="98"/>
  <c r="V51" i="98"/>
  <c r="O71" i="98"/>
  <c r="AI71" i="98" s="1"/>
  <c r="Z60" i="98"/>
  <c r="R57" i="98"/>
  <c r="T56" i="98"/>
  <c r="P57" i="98"/>
  <c r="N50" i="98"/>
  <c r="AJ50" i="98" s="1"/>
  <c r="N57" i="98"/>
  <c r="X57" i="98" s="1"/>
  <c r="Q50" i="98"/>
  <c r="W50" i="98" s="1"/>
  <c r="P69" i="98"/>
  <c r="AT69" i="98"/>
  <c r="Y67" i="98"/>
  <c r="U50" i="98"/>
  <c r="P50" i="98"/>
  <c r="V53" i="98"/>
  <c r="V56" i="98"/>
  <c r="O69" i="98"/>
  <c r="AI69" i="98" s="1"/>
  <c r="N51" i="98"/>
  <c r="X51" i="98" s="1"/>
  <c r="V50" i="98"/>
  <c r="P51" i="98"/>
  <c r="L67" i="98"/>
  <c r="AA67" i="98"/>
  <c r="T51" i="98"/>
  <c r="T50" i="98"/>
  <c r="U71" i="98"/>
  <c r="O50" i="98"/>
  <c r="AI50" i="98" s="1"/>
  <c r="R50" i="98"/>
  <c r="V57" i="98"/>
  <c r="T69" i="98"/>
  <c r="S71" i="98"/>
  <c r="Q67" i="98"/>
  <c r="W67" i="98" s="1"/>
  <c r="AF67" i="98"/>
  <c r="AB67" i="98"/>
  <c r="T72" i="98"/>
  <c r="V67" i="98"/>
  <c r="R67" i="98"/>
  <c r="T67" i="98"/>
  <c r="AB60" i="98"/>
  <c r="L60" i="98"/>
  <c r="AH67" i="98"/>
  <c r="AE67" i="98"/>
  <c r="AC67" i="98"/>
  <c r="AG47" i="98"/>
  <c r="AB66" i="98"/>
  <c r="AA60" i="98"/>
  <c r="AA66" i="98"/>
  <c r="AS67" i="98"/>
  <c r="AH68" i="98"/>
  <c r="AE68" i="98"/>
  <c r="AG67" i="98"/>
  <c r="R63" i="98"/>
  <c r="AM50" i="98"/>
  <c r="AR61" i="98"/>
  <c r="Y51" i="98"/>
  <c r="AN50" i="98"/>
  <c r="AL50" i="98"/>
  <c r="AB68" i="98"/>
  <c r="AE71" i="98"/>
  <c r="AT50" i="98"/>
  <c r="AC66" i="98"/>
  <c r="S63" i="98"/>
  <c r="AC54" i="98"/>
  <c r="AA50" i="98"/>
  <c r="Z66" i="98"/>
  <c r="AG68" i="98"/>
  <c r="Z67" i="98"/>
  <c r="AF68" i="98"/>
  <c r="AP70" i="98"/>
  <c r="O63" i="98"/>
  <c r="AI63" i="98" s="1"/>
  <c r="Y50" i="98"/>
  <c r="P63" i="98"/>
  <c r="T63" i="98"/>
  <c r="AD60" i="98"/>
  <c r="N63" i="98"/>
  <c r="AJ63" i="98" s="1"/>
  <c r="AN51" i="98"/>
  <c r="Z68" i="98"/>
  <c r="AK51" i="98"/>
  <c r="AM51" i="98"/>
  <c r="AL51" i="98"/>
  <c r="AA51" i="98"/>
  <c r="AN60" i="98"/>
  <c r="AD65" i="98"/>
  <c r="AB65" i="98"/>
  <c r="AR65" i="98"/>
  <c r="Q59" i="98"/>
  <c r="W59" i="98" s="1"/>
  <c r="AQ65" i="98"/>
  <c r="P53" i="98"/>
  <c r="AT65" i="98"/>
  <c r="R64" i="98"/>
  <c r="U65" i="98"/>
  <c r="T59" i="98"/>
  <c r="AM65" i="98"/>
  <c r="Q64" i="98"/>
  <c r="W64" i="98" s="1"/>
  <c r="O64" i="98"/>
  <c r="AI64" i="98" s="1"/>
  <c r="N64" i="98"/>
  <c r="X64" i="98" s="1"/>
  <c r="U59" i="98"/>
  <c r="AK65" i="98"/>
  <c r="U64" i="98"/>
  <c r="Q65" i="98"/>
  <c r="W65" i="98" s="1"/>
  <c r="V59" i="98"/>
  <c r="O53" i="98"/>
  <c r="AI53" i="98" s="1"/>
  <c r="AN55" i="98"/>
  <c r="Y55" i="98"/>
  <c r="S64" i="98"/>
  <c r="N59" i="98"/>
  <c r="X59" i="98" s="1"/>
  <c r="AL55" i="98"/>
  <c r="Z65" i="98"/>
  <c r="P64" i="98"/>
  <c r="Q53" i="98"/>
  <c r="W53" i="98" s="1"/>
  <c r="AF65" i="98"/>
  <c r="AG65" i="98"/>
  <c r="AK71" i="98"/>
  <c r="U49" i="98"/>
  <c r="V66" i="98"/>
  <c r="N53" i="98"/>
  <c r="AJ53" i="98" s="1"/>
  <c r="S65" i="98"/>
  <c r="U68" i="98"/>
  <c r="T53" i="98"/>
  <c r="AO50" i="98"/>
  <c r="R65" i="98"/>
  <c r="L50" i="98"/>
  <c r="Y65" i="98"/>
  <c r="O65" i="98"/>
  <c r="AI65" i="98" s="1"/>
  <c r="AO65" i="98"/>
  <c r="AO55" i="98"/>
  <c r="S59" i="98"/>
  <c r="O59" i="98"/>
  <c r="AI59" i="98" s="1"/>
  <c r="S53" i="98"/>
  <c r="AN65" i="98"/>
  <c r="AS65" i="98"/>
  <c r="AP65" i="98"/>
  <c r="Z55" i="98"/>
  <c r="AL65" i="98"/>
  <c r="U53" i="98"/>
  <c r="AT64" i="98"/>
  <c r="T65" i="98"/>
  <c r="V65" i="98"/>
  <c r="L55" i="98"/>
  <c r="AM55" i="98"/>
  <c r="AB55" i="98"/>
  <c r="P59" i="98"/>
  <c r="AK55" i="98"/>
  <c r="AR59" i="98"/>
  <c r="N65" i="98"/>
  <c r="AJ65" i="98" s="1"/>
  <c r="AE65" i="98"/>
  <c r="AL71" i="98"/>
  <c r="AA62" i="98"/>
  <c r="V64" i="98"/>
  <c r="Q68" i="98"/>
  <c r="W68" i="98" s="1"/>
  <c r="AA65" i="98"/>
  <c r="AN68" i="98"/>
  <c r="AQ59" i="98"/>
  <c r="N69" i="98"/>
  <c r="AJ69" i="98" s="1"/>
  <c r="N67" i="98"/>
  <c r="AJ67" i="98" s="1"/>
  <c r="P71" i="98"/>
  <c r="AM68" i="98"/>
  <c r="AR60" i="98"/>
  <c r="AT57" i="98"/>
  <c r="R49" i="98"/>
  <c r="AQ57" i="98"/>
  <c r="AC47" i="98"/>
  <c r="AE54" i="98"/>
  <c r="AS50" i="98"/>
  <c r="AA59" i="98"/>
  <c r="AC65" i="98"/>
  <c r="AE50" i="98"/>
  <c r="AK60" i="98"/>
  <c r="AR67" i="98"/>
  <c r="AN61" i="98"/>
  <c r="AS57" i="98"/>
  <c r="AE51" i="98"/>
  <c r="T62" i="98"/>
  <c r="O72" i="98"/>
  <c r="AI72" i="98" s="1"/>
  <c r="AC50" i="98"/>
  <c r="AF50" i="98"/>
  <c r="AQ50" i="98"/>
  <c r="S60" i="98"/>
  <c r="AB56" i="98"/>
  <c r="AF71" i="98"/>
  <c r="AN71" i="98"/>
  <c r="AQ67" i="98"/>
  <c r="AQ52" i="98"/>
  <c r="AB61" i="98"/>
  <c r="AR57" i="98"/>
  <c r="AC56" i="98"/>
  <c r="AB50" i="98"/>
  <c r="AH50" i="98"/>
  <c r="AR50" i="98"/>
  <c r="Z51" i="98"/>
  <c r="U56" i="98"/>
  <c r="AD59" i="98"/>
  <c r="AG50" i="98"/>
  <c r="AK70" i="98"/>
  <c r="AT67" i="98"/>
  <c r="P48" i="98"/>
  <c r="V71" i="98"/>
  <c r="AH71" i="98"/>
  <c r="AM71" i="98"/>
  <c r="AF64" i="98"/>
  <c r="Z64" i="98"/>
  <c r="AD64" i="98"/>
  <c r="AL59" i="98"/>
  <c r="AF56" i="98"/>
  <c r="AK59" i="98"/>
  <c r="AO47" i="98"/>
  <c r="V60" i="98"/>
  <c r="V69" i="98"/>
  <c r="AA56" i="98"/>
  <c r="AG49" i="98"/>
  <c r="AL48" i="98"/>
  <c r="AN57" i="98"/>
  <c r="AP68" i="98"/>
  <c r="AS61" i="98"/>
  <c r="Y66" i="98"/>
  <c r="L68" i="98"/>
  <c r="Y60" i="98"/>
  <c r="Y56" i="98"/>
  <c r="V68" i="98"/>
  <c r="AD72" i="98"/>
  <c r="AK57" i="98"/>
  <c r="AO67" i="98"/>
  <c r="AQ51" i="98"/>
  <c r="AC58" i="98"/>
  <c r="AE64" i="98"/>
  <c r="AB70" i="98"/>
  <c r="L64" i="98"/>
  <c r="AB59" i="98"/>
  <c r="Y54" i="98"/>
  <c r="AA71" i="98"/>
  <c r="L59" i="98"/>
  <c r="AC53" i="98"/>
  <c r="AN59" i="98"/>
  <c r="AP47" i="98"/>
  <c r="AF49" i="98"/>
  <c r="AN49" i="98"/>
  <c r="AP71" i="98"/>
  <c r="AT61" i="98"/>
  <c r="T49" i="98"/>
  <c r="Z56" i="98"/>
  <c r="N60" i="98"/>
  <c r="X60" i="98" s="1"/>
  <c r="Y68" i="98"/>
  <c r="AE49" i="98"/>
  <c r="AM57" i="98"/>
  <c r="AP50" i="98"/>
  <c r="Q72" i="98"/>
  <c r="W72" i="98" s="1"/>
  <c r="AD53" i="98"/>
  <c r="AD49" i="98"/>
  <c r="AL57" i="98"/>
  <c r="AP67" i="98"/>
  <c r="AR51" i="98"/>
  <c r="P72" i="98"/>
  <c r="O67" i="98"/>
  <c r="AI67" i="98" s="1"/>
  <c r="N70" i="98"/>
  <c r="X70" i="98" s="1"/>
  <c r="AG59" i="98"/>
  <c r="AT59" i="98"/>
  <c r="Z62" i="98"/>
  <c r="AA68" i="98"/>
  <c r="AB48" i="98"/>
  <c r="L65" i="98"/>
  <c r="AF59" i="98"/>
  <c r="AL62" i="98"/>
  <c r="AM60" i="98"/>
  <c r="AS59" i="98"/>
  <c r="AT48" i="98"/>
  <c r="S58" i="98"/>
  <c r="N48" i="98"/>
  <c r="X48" i="98" s="1"/>
  <c r="Y61" i="98"/>
  <c r="AM59" i="98"/>
  <c r="AC69" i="98"/>
  <c r="R47" i="98"/>
  <c r="V52" i="98"/>
  <c r="S67" i="98"/>
  <c r="N71" i="98"/>
  <c r="X71" i="98" s="1"/>
  <c r="Z54" i="98"/>
  <c r="AE59" i="98"/>
  <c r="AK62" i="98"/>
  <c r="T55" i="98"/>
  <c r="AQ55" i="98"/>
  <c r="O55" i="98"/>
  <c r="AI55" i="98" s="1"/>
  <c r="AP55" i="98"/>
  <c r="U55" i="98"/>
  <c r="S55" i="98"/>
  <c r="AT62" i="98"/>
  <c r="AG62" i="98"/>
  <c r="AQ62" i="98"/>
  <c r="AE62" i="98"/>
  <c r="AR62" i="98"/>
  <c r="AF62" i="98"/>
  <c r="S62" i="98"/>
  <c r="AD62" i="98"/>
  <c r="AH62" i="98"/>
  <c r="V55" i="98"/>
  <c r="AE63" i="98"/>
  <c r="AC61" i="98"/>
  <c r="V61" i="98"/>
  <c r="P61" i="98"/>
  <c r="U61" i="98"/>
  <c r="R61" i="98"/>
  <c r="O61" i="98"/>
  <c r="AI61" i="98" s="1"/>
  <c r="AA72" i="98"/>
  <c r="N61" i="98"/>
  <c r="AJ61" i="98" s="1"/>
  <c r="AD63" i="98"/>
  <c r="R66" i="98"/>
  <c r="O66" i="98"/>
  <c r="AI66" i="98" s="1"/>
  <c r="AC72" i="98"/>
  <c r="AT58" i="98"/>
  <c r="P55" i="98"/>
  <c r="AC64" i="98"/>
  <c r="AE72" i="98"/>
  <c r="AR58" i="98"/>
  <c r="N66" i="98"/>
  <c r="AJ66" i="98" s="1"/>
  <c r="AG72" i="98"/>
  <c r="AP69" i="98"/>
  <c r="AS58" i="98"/>
  <c r="AT70" i="98"/>
  <c r="Q70" i="98"/>
  <c r="W70" i="98" s="1"/>
  <c r="Z72" i="98"/>
  <c r="AS70" i="98"/>
  <c r="V49" i="98"/>
  <c r="AP49" i="98"/>
  <c r="Q49" i="98"/>
  <c r="W49" i="98" s="1"/>
  <c r="AR49" i="98"/>
  <c r="AT49" i="98"/>
  <c r="AO49" i="98"/>
  <c r="AQ49" i="98"/>
  <c r="AS49" i="98"/>
  <c r="P49" i="98"/>
  <c r="S49" i="98"/>
  <c r="O49" i="98"/>
  <c r="AI49" i="98" s="1"/>
  <c r="V54" i="98"/>
  <c r="AE53" i="98"/>
  <c r="AN52" i="98"/>
  <c r="AT63" i="98"/>
  <c r="AR70" i="98"/>
  <c r="AQ70" i="98"/>
  <c r="U62" i="98"/>
  <c r="AC62" i="98"/>
  <c r="Z71" i="98"/>
  <c r="AK48" i="98"/>
  <c r="P62" i="98"/>
  <c r="O70" i="98"/>
  <c r="AI70" i="98" s="1"/>
  <c r="AF52" i="98"/>
  <c r="AF61" i="98"/>
  <c r="AK64" i="98"/>
  <c r="AS47" i="98"/>
  <c r="Q62" i="98"/>
  <c r="W62" i="98" s="1"/>
  <c r="AR47" i="98"/>
  <c r="N54" i="98"/>
  <c r="X54" i="98" s="1"/>
  <c r="AB53" i="98"/>
  <c r="AC70" i="98"/>
  <c r="AC60" i="98"/>
  <c r="AD61" i="98"/>
  <c r="AA49" i="98"/>
  <c r="AF55" i="98"/>
  <c r="AE60" i="98"/>
  <c r="AF69" i="98"/>
  <c r="AM53" i="98"/>
  <c r="AL69" i="98"/>
  <c r="AP64" i="98"/>
  <c r="AR69" i="98"/>
  <c r="R55" i="98"/>
  <c r="Q61" i="98"/>
  <c r="W61" i="98" s="1"/>
  <c r="AA58" i="98"/>
  <c r="U60" i="98"/>
  <c r="Y53" i="98"/>
  <c r="U48" i="98"/>
  <c r="AE55" i="98"/>
  <c r="AE69" i="98"/>
  <c r="AL53" i="98"/>
  <c r="AK69" i="98"/>
  <c r="AO64" i="98"/>
  <c r="AQ69" i="98"/>
  <c r="AT55" i="98"/>
  <c r="AG63" i="98"/>
  <c r="AO57" i="98"/>
  <c r="AQ61" i="98"/>
  <c r="AT66" i="98"/>
  <c r="AP66" i="98"/>
  <c r="S66" i="98"/>
  <c r="AD66" i="98"/>
  <c r="AE66" i="98"/>
  <c r="U70" i="98"/>
  <c r="T66" i="98"/>
  <c r="AH72" i="98"/>
  <c r="Y64" i="98"/>
  <c r="AB64" i="98"/>
  <c r="AD58" i="98"/>
  <c r="P58" i="98"/>
  <c r="N58" i="98"/>
  <c r="X58" i="98" s="1"/>
  <c r="T58" i="98"/>
  <c r="AH53" i="98"/>
  <c r="AB57" i="98"/>
  <c r="AA57" i="98"/>
  <c r="AE57" i="98"/>
  <c r="Z57" i="98"/>
  <c r="AH57" i="98"/>
  <c r="AF57" i="98"/>
  <c r="AB71" i="98"/>
  <c r="AR71" i="98"/>
  <c r="AT71" i="98"/>
  <c r="AS71" i="98"/>
  <c r="AC71" i="98"/>
  <c r="AM49" i="98"/>
  <c r="L61" i="98"/>
  <c r="AA61" i="98"/>
  <c r="R68" i="98"/>
  <c r="T68" i="98"/>
  <c r="AC68" i="98"/>
  <c r="AQ68" i="98"/>
  <c r="S68" i="98"/>
  <c r="AS68" i="98"/>
  <c r="AD68" i="98"/>
  <c r="AR68" i="98"/>
  <c r="N68" i="98"/>
  <c r="AJ68" i="98" s="1"/>
  <c r="AL61" i="98"/>
  <c r="AO72" i="98"/>
  <c r="AP61" i="98"/>
  <c r="AR48" i="98"/>
  <c r="AF47" i="98"/>
  <c r="V47" i="98"/>
  <c r="T47" i="98"/>
  <c r="U47" i="98"/>
  <c r="Y69" i="98"/>
  <c r="AA64" i="98"/>
  <c r="AG52" i="98"/>
  <c r="AK61" i="98"/>
  <c r="AM64" i="98"/>
  <c r="AO52" i="98"/>
  <c r="AQ66" i="98"/>
  <c r="AQ48" i="98"/>
  <c r="Z52" i="98"/>
  <c r="N55" i="98"/>
  <c r="X55" i="98" s="1"/>
  <c r="AE52" i="98"/>
  <c r="AL64" i="98"/>
  <c r="L56" i="98"/>
  <c r="AL56" i="98"/>
  <c r="AM56" i="98"/>
  <c r="AK56" i="98"/>
  <c r="AN56" i="98"/>
  <c r="P60" i="98"/>
  <c r="Q60" i="98"/>
  <c r="W60" i="98" s="1"/>
  <c r="O60" i="98"/>
  <c r="AI60" i="98" s="1"/>
  <c r="AQ60" i="98"/>
  <c r="R60" i="98"/>
  <c r="AO60" i="98"/>
  <c r="T60" i="98"/>
  <c r="S47" i="98"/>
  <c r="U52" i="98"/>
  <c r="AG56" i="98"/>
  <c r="AH60" i="98"/>
  <c r="AL63" i="98"/>
  <c r="AO62" i="98"/>
  <c r="AP62" i="98"/>
  <c r="AT68" i="98"/>
  <c r="L51" i="98"/>
  <c r="AP51" i="98"/>
  <c r="AS51" i="98"/>
  <c r="AF60" i="98"/>
  <c r="AO58" i="98"/>
  <c r="AR56" i="98"/>
  <c r="AH56" i="98"/>
  <c r="R70" i="98"/>
  <c r="N47" i="98"/>
  <c r="X47" i="98" s="1"/>
  <c r="L72" i="98"/>
  <c r="T70" i="98"/>
  <c r="AA48" i="98"/>
  <c r="AO53" i="98"/>
  <c r="S61" i="98"/>
  <c r="Q55" i="98"/>
  <c r="W55" i="98" s="1"/>
  <c r="AD52" i="98"/>
  <c r="AH47" i="98"/>
  <c r="AG55" i="98"/>
  <c r="AH51" i="98"/>
  <c r="AD69" i="98"/>
  <c r="AO71" i="98"/>
  <c r="AP58" i="98"/>
  <c r="AS64" i="98"/>
  <c r="AS55" i="98"/>
  <c r="Y63" i="98"/>
  <c r="AB63" i="98"/>
  <c r="AQ63" i="98"/>
  <c r="AS63" i="98"/>
  <c r="AO63" i="98"/>
  <c r="AR63" i="98"/>
  <c r="AP63" i="98"/>
  <c r="AL58" i="98"/>
  <c r="AK58" i="98"/>
  <c r="AM58" i="98"/>
  <c r="AN58" i="98"/>
  <c r="Y58" i="98"/>
  <c r="AK72" i="98"/>
  <c r="AN72" i="98"/>
  <c r="AL72" i="98"/>
  <c r="AM72" i="98"/>
  <c r="AB69" i="98"/>
  <c r="L69" i="98"/>
  <c r="Z69" i="98"/>
  <c r="AA53" i="98"/>
  <c r="AR53" i="98"/>
  <c r="AS53" i="98"/>
  <c r="AQ53" i="98"/>
  <c r="AT53" i="98"/>
  <c r="AS54" i="98"/>
  <c r="AD54" i="98"/>
  <c r="P54" i="98"/>
  <c r="AG54" i="98"/>
  <c r="AH54" i="98"/>
  <c r="R54" i="98"/>
  <c r="U54" i="98"/>
  <c r="AT54" i="98"/>
  <c r="AR54" i="98"/>
  <c r="O54" i="98"/>
  <c r="AI54" i="98" s="1"/>
  <c r="AF54" i="98"/>
  <c r="AQ54" i="98"/>
  <c r="AL52" i="98"/>
  <c r="AM52" i="98"/>
  <c r="L52" i="98"/>
  <c r="U58" i="98"/>
  <c r="AO69" i="98"/>
  <c r="Z49" i="98"/>
  <c r="Y49" i="98"/>
  <c r="AK49" i="98"/>
  <c r="Z70" i="98"/>
  <c r="L70" i="98"/>
  <c r="Y70" i="98"/>
  <c r="V48" i="98"/>
  <c r="T48" i="98"/>
  <c r="AD48" i="98"/>
  <c r="Q48" i="98"/>
  <c r="W48" i="98" s="1"/>
  <c r="AE48" i="98"/>
  <c r="AF48" i="98"/>
  <c r="AG48" i="98"/>
  <c r="AH48" i="98"/>
  <c r="S48" i="98"/>
  <c r="L58" i="98"/>
  <c r="T54" i="98"/>
  <c r="N62" i="98"/>
  <c r="X62" i="98" s="1"/>
  <c r="AL49" i="98"/>
  <c r="AK52" i="98"/>
  <c r="AH59" i="98"/>
  <c r="AP59" i="98"/>
  <c r="AO59" i="98"/>
  <c r="Z59" i="98"/>
  <c r="AA54" i="98"/>
  <c r="AL54" i="98"/>
  <c r="AK54" i="98"/>
  <c r="AB54" i="98"/>
  <c r="AM54" i="98"/>
  <c r="AM48" i="98"/>
  <c r="AN48" i="98"/>
  <c r="L48" i="98"/>
  <c r="Y48" i="98"/>
  <c r="P68" i="98"/>
  <c r="AA47" i="98"/>
  <c r="L47" i="98"/>
  <c r="AN47" i="98"/>
  <c r="Y47" i="98"/>
  <c r="AL47" i="98"/>
  <c r="AK47" i="98"/>
  <c r="AM47" i="98"/>
  <c r="Z47" i="98"/>
  <c r="U72" i="98"/>
  <c r="AQ72" i="98"/>
  <c r="AS72" i="98"/>
  <c r="AP72" i="98"/>
  <c r="AR72" i="98"/>
  <c r="V72" i="98"/>
  <c r="AT72" i="98"/>
  <c r="R72" i="98"/>
  <c r="Q47" i="98"/>
  <c r="W47" i="98" s="1"/>
  <c r="AA63" i="98"/>
  <c r="AC55" i="98"/>
  <c r="AE56" i="98"/>
  <c r="AE58" i="98"/>
  <c r="AM63" i="98"/>
  <c r="AO68" i="98"/>
  <c r="AS56" i="98"/>
  <c r="AA52" i="98"/>
  <c r="Z53" i="98"/>
  <c r="AH66" i="98"/>
  <c r="AN54" i="98"/>
  <c r="AG69" i="98"/>
  <c r="AD56" i="98"/>
  <c r="AK63" i="98"/>
  <c r="AB58" i="98"/>
  <c r="AB51" i="98"/>
  <c r="S72" i="98"/>
  <c r="AH55" i="98"/>
  <c r="AM69" i="98"/>
  <c r="AS69" i="98"/>
  <c r="AB72" i="98"/>
  <c r="S54" i="98"/>
  <c r="L63" i="98"/>
  <c r="AC51" i="98"/>
  <c r="U66" i="98"/>
  <c r="P66" i="98"/>
  <c r="L53" i="98"/>
  <c r="AD71" i="98"/>
  <c r="AG51" i="98"/>
  <c r="AH64" i="98"/>
  <c r="AM70" i="98"/>
  <c r="AO48" i="98"/>
  <c r="AP54" i="98"/>
  <c r="AT60" i="98"/>
  <c r="AR64" i="98"/>
  <c r="AR55" i="98"/>
  <c r="AH70" i="98"/>
  <c r="V70" i="98"/>
  <c r="AE70" i="98"/>
  <c r="AO70" i="98"/>
  <c r="AF70" i="98"/>
  <c r="AD70" i="98"/>
  <c r="Q58" i="98"/>
  <c r="W58" i="98" s="1"/>
  <c r="AG53" i="98"/>
  <c r="AF72" i="98"/>
  <c r="AQ58" i="98"/>
  <c r="AS62" i="98"/>
  <c r="AP53" i="98"/>
  <c r="AF53" i="98"/>
  <c r="AG70" i="98"/>
  <c r="AM61" i="98"/>
  <c r="AS66" i="98"/>
  <c r="AS48" i="98"/>
  <c r="R48" i="98"/>
  <c r="Q66" i="98"/>
  <c r="W66" i="98" s="1"/>
  <c r="AH52" i="98"/>
  <c r="AH58" i="98"/>
  <c r="AN64" i="98"/>
  <c r="AR66" i="98"/>
  <c r="O58" i="98"/>
  <c r="AI58" i="98" s="1"/>
  <c r="S70" i="98"/>
  <c r="O47" i="98"/>
  <c r="AI47" i="98" s="1"/>
  <c r="AC48" i="98"/>
  <c r="AG58" i="98"/>
  <c r="AO61" i="98"/>
  <c r="AR52" i="98"/>
  <c r="AS52" i="98"/>
  <c r="AP52" i="98"/>
  <c r="AC52" i="98"/>
  <c r="T52" i="98"/>
  <c r="AT52" i="98"/>
  <c r="R52" i="98"/>
  <c r="O52" i="98"/>
  <c r="AI52" i="98" s="1"/>
  <c r="P52" i="98"/>
  <c r="Q52" i="98"/>
  <c r="W52" i="98" s="1"/>
  <c r="L71" i="98"/>
  <c r="AF58" i="98"/>
  <c r="AH61" i="98"/>
  <c r="AN63" i="98"/>
  <c r="AO66" i="98"/>
  <c r="AT47" i="98"/>
  <c r="AP48" i="98"/>
  <c r="AA69" i="98"/>
  <c r="T61" i="98"/>
  <c r="AC49" i="98"/>
  <c r="AE61" i="98"/>
  <c r="AT56" i="98"/>
  <c r="Q54" i="98"/>
  <c r="W54" i="98" s="1"/>
  <c r="AF66" i="98"/>
  <c r="AG61" i="98"/>
  <c r="AN69" i="98"/>
  <c r="AQ47" i="98"/>
  <c r="R58" i="98"/>
  <c r="N52" i="98"/>
  <c r="X52" i="98" s="1"/>
  <c r="L57" i="98"/>
  <c r="AG66" i="98"/>
  <c r="AG60" i="98"/>
  <c r="AN53" i="98"/>
  <c r="AO51" i="98"/>
  <c r="AP60" i="98"/>
  <c r="AQ56" i="98"/>
  <c r="AE47" i="98"/>
  <c r="R62" i="98"/>
  <c r="V62" i="98"/>
  <c r="P70" i="98"/>
  <c r="AB62" i="98"/>
  <c r="AD47" i="98"/>
  <c r="AD55" i="98"/>
  <c r="AN62" i="98"/>
  <c r="AB49" i="98"/>
  <c r="Y52" i="98"/>
  <c r="AA70" i="98"/>
  <c r="Y62" i="98"/>
  <c r="P47" i="98"/>
  <c r="Y59" i="98"/>
  <c r="AC59" i="98"/>
  <c r="AD51" i="98"/>
  <c r="AG71" i="98"/>
  <c r="AH49" i="98"/>
  <c r="AF51" i="98"/>
  <c r="AG64" i="98"/>
  <c r="AM62" i="98"/>
  <c r="AL70" i="98"/>
  <c r="AO56" i="98"/>
  <c r="AO54" i="98"/>
  <c r="AS60" i="98"/>
  <c r="AQ64" i="98"/>
  <c r="AD50" i="98"/>
  <c r="AK50" i="98"/>
  <c r="S69" i="98"/>
  <c r="AK68" i="98"/>
  <c r="R69" i="98"/>
  <c r="AN66" i="98"/>
  <c r="L66" i="98"/>
  <c r="S57" i="98"/>
  <c r="O56" i="98"/>
  <c r="AI56" i="98" s="1"/>
  <c r="AC63" i="98"/>
  <c r="AG57" i="98"/>
  <c r="AF63" i="98"/>
  <c r="AM66" i="98"/>
  <c r="U69" i="98"/>
  <c r="N56" i="98"/>
  <c r="X56" i="98" s="1"/>
  <c r="AQ71" i="98"/>
  <c r="V63" i="98"/>
  <c r="Q57" i="98"/>
  <c r="W57" i="98" s="1"/>
  <c r="U67" i="98"/>
  <c r="AC57" i="98"/>
  <c r="AD57" i="98"/>
  <c r="AH63" i="98"/>
  <c r="AH69" i="98"/>
  <c r="AL66" i="98"/>
  <c r="AP57" i="98"/>
  <c r="P56" i="98"/>
  <c r="Q56" i="98"/>
  <c r="W56" i="98" s="1"/>
  <c r="U63" i="98"/>
  <c r="U57" i="98"/>
  <c r="S56" i="98"/>
  <c r="AJ49" i="98"/>
  <c r="X72" i="98"/>
  <c r="AJ72" i="98"/>
  <c r="M13" i="97"/>
  <c r="M14" i="97"/>
  <c r="X50" i="98" l="1"/>
  <c r="AJ57" i="98"/>
  <c r="AJ51" i="98"/>
  <c r="X63" i="98"/>
  <c r="X69" i="98"/>
  <c r="X65" i="98"/>
  <c r="AJ47" i="98"/>
  <c r="X67" i="98"/>
  <c r="X53" i="98"/>
  <c r="AJ64" i="98"/>
  <c r="AJ59" i="98"/>
  <c r="AJ71" i="98"/>
  <c r="AJ60" i="98"/>
  <c r="X66" i="98"/>
  <c r="AJ48" i="98"/>
  <c r="X61" i="98"/>
  <c r="X68" i="98"/>
  <c r="AJ55" i="98"/>
  <c r="AJ70" i="98"/>
  <c r="AJ62" i="98"/>
  <c r="AJ56" i="98"/>
  <c r="AJ52" i="98"/>
  <c r="AJ54" i="98"/>
  <c r="AJ58" i="98"/>
  <c r="N14" i="97"/>
  <c r="N13" i="97"/>
  <c r="O13" i="97" l="1"/>
  <c r="O14" i="97"/>
  <c r="P14" i="97" l="1"/>
  <c r="P13" i="97"/>
  <c r="Q13" i="97" l="1"/>
  <c r="Q14" i="97"/>
  <c r="R14" i="97" l="1"/>
  <c r="R13" i="97"/>
  <c r="S13" i="97" l="1"/>
  <c r="S14" i="97"/>
  <c r="I30" i="98" l="1" a="1"/>
  <c r="I30" i="98" s="1"/>
  <c r="F75" i="138" s="1"/>
  <c r="I44" i="98" a="1"/>
  <c r="I44" i="98" s="1"/>
  <c r="I42" i="98" a="1"/>
  <c r="I42" i="98" s="1"/>
  <c r="I21" i="98" a="1"/>
  <c r="I21" i="98" s="1"/>
  <c r="F66" i="138" s="1"/>
  <c r="I24" i="98" a="1"/>
  <c r="I24" i="98" s="1"/>
  <c r="F69" i="138" s="1"/>
  <c r="I41" i="98" a="1"/>
  <c r="I41" i="98" s="1"/>
  <c r="I40" i="98" a="1"/>
  <c r="I40" i="98" s="1"/>
  <c r="I26" i="98" a="1"/>
  <c r="I26" i="98" s="1"/>
  <c r="F71" i="138" s="1"/>
  <c r="I35" i="98" a="1"/>
  <c r="I35" i="98" s="1"/>
  <c r="I17" i="98" a="1"/>
  <c r="I17" i="98" s="1"/>
  <c r="F62" i="138" s="1"/>
  <c r="I18" i="98" a="1"/>
  <c r="I18" i="98" s="1"/>
  <c r="F63" i="138" s="1"/>
  <c r="I46" i="98" a="1"/>
  <c r="I46" i="98" s="1"/>
  <c r="I22" i="98" a="1"/>
  <c r="I22" i="98" s="1"/>
  <c r="F67" i="138" s="1"/>
  <c r="I28" i="98" a="1"/>
  <c r="I28" i="98" s="1"/>
  <c r="I23" i="98" a="1"/>
  <c r="I23" i="98" s="1"/>
  <c r="F68" i="138" s="1"/>
  <c r="I43" i="98" a="1"/>
  <c r="I43" i="98" s="1"/>
  <c r="I45" i="98" a="1"/>
  <c r="I45" i="98" s="1"/>
  <c r="I29" i="98" a="1"/>
  <c r="I29" i="98" s="1"/>
  <c r="F74" i="138" s="1"/>
  <c r="I34" i="98" a="1"/>
  <c r="I34" i="98" s="1"/>
  <c r="I37" i="98" a="1"/>
  <c r="I37" i="98" s="1"/>
  <c r="I38" i="98" a="1"/>
  <c r="I38" i="98" s="1"/>
  <c r="I20" i="98" a="1"/>
  <c r="I20" i="98" s="1"/>
  <c r="F65" i="138" s="1"/>
  <c r="I36" i="98" a="1"/>
  <c r="I36" i="98" s="1"/>
  <c r="I19" i="98" a="1"/>
  <c r="I19" i="98" s="1"/>
  <c r="F64" i="138" s="1"/>
  <c r="I31" i="98" a="1"/>
  <c r="I31" i="98" s="1"/>
  <c r="I25" i="98" a="1"/>
  <c r="I25" i="98" s="1"/>
  <c r="F70" i="138" s="1"/>
  <c r="I39" i="98" a="1"/>
  <c r="I39" i="98" s="1"/>
  <c r="I33" i="98" a="1"/>
  <c r="I33" i="98" s="1"/>
  <c r="I27" i="98" a="1"/>
  <c r="I27" i="98" s="1"/>
  <c r="I32" i="98" a="1"/>
  <c r="I32" i="98" s="1"/>
  <c r="I16" i="98" a="1"/>
  <c r="I16" i="98" s="1"/>
  <c r="J18" i="98" a="1"/>
  <c r="J18" i="98" s="1"/>
  <c r="H63" i="138" s="1"/>
  <c r="J37" i="98" a="1"/>
  <c r="J37" i="98" s="1"/>
  <c r="J30" i="98" a="1"/>
  <c r="J30" i="98" s="1"/>
  <c r="H75" i="138" s="1"/>
  <c r="J35" i="98" a="1"/>
  <c r="J35" i="98" s="1"/>
  <c r="J29" i="98" a="1"/>
  <c r="J29" i="98" s="1"/>
  <c r="H74" i="138" s="1"/>
  <c r="J33" i="98" a="1"/>
  <c r="J33" i="98" s="1"/>
  <c r="J23" i="98" a="1"/>
  <c r="J23" i="98" s="1"/>
  <c r="H68" i="138" s="1"/>
  <c r="J24" i="98" a="1"/>
  <c r="J24" i="98" s="1"/>
  <c r="H69" i="138" s="1"/>
  <c r="J31" i="98" a="1"/>
  <c r="J31" i="98" s="1"/>
  <c r="J46" i="98" a="1"/>
  <c r="J46" i="98" s="1"/>
  <c r="J16" i="98" a="1"/>
  <c r="J16" i="98" s="1"/>
  <c r="H61" i="138" s="1"/>
  <c r="J44" i="98" a="1"/>
  <c r="J44" i="98" s="1"/>
  <c r="J26" i="98" a="1"/>
  <c r="J26" i="98" s="1"/>
  <c r="H71" i="138" s="1"/>
  <c r="J28" i="98" a="1"/>
  <c r="J28" i="98" s="1"/>
  <c r="J20" i="98" a="1"/>
  <c r="J20" i="98" s="1"/>
  <c r="H65" i="138" s="1"/>
  <c r="J27" i="98" a="1"/>
  <c r="J27" i="98" s="1"/>
  <c r="J38" i="98" a="1"/>
  <c r="J38" i="98" s="1"/>
  <c r="J19" i="98" a="1"/>
  <c r="J19" i="98" s="1"/>
  <c r="H64" i="138" s="1"/>
  <c r="J36" i="98" a="1"/>
  <c r="J36" i="98" s="1"/>
  <c r="J42" i="98" a="1"/>
  <c r="J42" i="98" s="1"/>
  <c r="J21" i="98" a="1"/>
  <c r="J21" i="98" s="1"/>
  <c r="H66" i="138" s="1"/>
  <c r="J25" i="98" a="1"/>
  <c r="J25" i="98" s="1"/>
  <c r="H70" i="138" s="1"/>
  <c r="J39" i="98" a="1"/>
  <c r="J39" i="98" s="1"/>
  <c r="J40" i="98" a="1"/>
  <c r="J40" i="98" s="1"/>
  <c r="J41" i="98" a="1"/>
  <c r="J41" i="98" s="1"/>
  <c r="J32" i="98" a="1"/>
  <c r="J32" i="98" s="1"/>
  <c r="J22" i="98" a="1"/>
  <c r="J22" i="98" s="1"/>
  <c r="H67" i="138" s="1"/>
  <c r="J17" i="98" a="1"/>
  <c r="J17" i="98" s="1"/>
  <c r="H62" i="138" s="1"/>
  <c r="J45" i="98" a="1"/>
  <c r="J45" i="98" s="1"/>
  <c r="J34" i="98" a="1"/>
  <c r="J34" i="98" s="1"/>
  <c r="J43" i="98" a="1"/>
  <c r="J43" i="98" s="1"/>
  <c r="H29" i="98" a="1"/>
  <c r="H29" i="98" s="1"/>
  <c r="D74" i="138" s="1"/>
  <c r="H37" i="98" a="1"/>
  <c r="H37" i="98" s="1"/>
  <c r="H19" i="98" a="1"/>
  <c r="H19" i="98" s="1"/>
  <c r="H28" i="98" a="1"/>
  <c r="H28" i="98" s="1"/>
  <c r="D73" i="138" s="1"/>
  <c r="H42" i="98" a="1"/>
  <c r="H42" i="98" s="1"/>
  <c r="H41" i="98" a="1"/>
  <c r="H41" i="98" s="1"/>
  <c r="H45" i="98" a="1"/>
  <c r="H45" i="98" s="1"/>
  <c r="H39" i="98" a="1"/>
  <c r="H39" i="98" s="1"/>
  <c r="H38" i="98" a="1"/>
  <c r="H38" i="98" s="1"/>
  <c r="H46" i="98" a="1"/>
  <c r="H46" i="98" s="1"/>
  <c r="H36" i="98" a="1"/>
  <c r="H36" i="98" s="1"/>
  <c r="H23" i="98" a="1"/>
  <c r="H23" i="98" s="1"/>
  <c r="H20" i="98" a="1"/>
  <c r="H20" i="98" s="1"/>
  <c r="H26" i="98" a="1"/>
  <c r="H26" i="98" s="1"/>
  <c r="H33" i="98" a="1"/>
  <c r="H33" i="98" s="1"/>
  <c r="H31" i="98" a="1"/>
  <c r="H31" i="98" s="1"/>
  <c r="H24" i="98" a="1"/>
  <c r="H24" i="98" s="1"/>
  <c r="H18" i="98" a="1"/>
  <c r="H18" i="98" s="1"/>
  <c r="H30" i="98" a="1"/>
  <c r="H30" i="98" s="1"/>
  <c r="D75" i="138" s="1"/>
  <c r="H34" i="98" a="1"/>
  <c r="H34" i="98" s="1"/>
  <c r="H43" i="98" a="1"/>
  <c r="H43" i="98" s="1"/>
  <c r="H44" i="98" a="1"/>
  <c r="H44" i="98" s="1"/>
  <c r="H35" i="98" a="1"/>
  <c r="H35" i="98" s="1"/>
  <c r="H25" i="98" a="1"/>
  <c r="H25" i="98" s="1"/>
  <c r="H40" i="98" a="1"/>
  <c r="H40" i="98" s="1"/>
  <c r="H32" i="98" a="1"/>
  <c r="H32" i="98" s="1"/>
  <c r="H16" i="98" a="1"/>
  <c r="H16" i="98" s="1"/>
  <c r="H21" i="98" a="1"/>
  <c r="H21" i="98" s="1"/>
  <c r="H17" i="98" a="1"/>
  <c r="H17" i="98" s="1"/>
  <c r="H22" i="98" a="1"/>
  <c r="H22" i="98" s="1"/>
  <c r="H27" i="98" a="1"/>
  <c r="H27" i="98" s="1"/>
  <c r="D72" i="138" s="1"/>
  <c r="K27" i="98" a="1"/>
  <c r="K27" i="98" s="1"/>
  <c r="J72" i="138" s="1"/>
  <c r="K40" i="98" a="1"/>
  <c r="K40" i="98" s="1"/>
  <c r="K18" i="98" a="1"/>
  <c r="K18" i="98" s="1"/>
  <c r="K29" i="98" a="1"/>
  <c r="K29" i="98" s="1"/>
  <c r="J74" i="138" s="1"/>
  <c r="K44" i="98" a="1"/>
  <c r="K44" i="98" s="1"/>
  <c r="K42" i="98" a="1"/>
  <c r="K42" i="98" s="1"/>
  <c r="K36" i="98" a="1"/>
  <c r="K36" i="98" s="1"/>
  <c r="K30" i="98" a="1"/>
  <c r="K30" i="98" s="1"/>
  <c r="J75" i="138" s="1"/>
  <c r="K33" i="98" a="1"/>
  <c r="K33" i="98" s="1"/>
  <c r="K22" i="98" a="1"/>
  <c r="K22" i="98" s="1"/>
  <c r="K37" i="98" a="1"/>
  <c r="K37" i="98" s="1"/>
  <c r="K19" i="98" a="1"/>
  <c r="K19" i="98" s="1"/>
  <c r="K16" i="98" a="1"/>
  <c r="K16" i="98" s="1"/>
  <c r="K24" i="98" a="1"/>
  <c r="K24" i="98" s="1"/>
  <c r="K45" i="98" a="1"/>
  <c r="K45" i="98" s="1"/>
  <c r="K31" i="98" a="1"/>
  <c r="K31" i="98" s="1"/>
  <c r="K35" i="98" a="1"/>
  <c r="K35" i="98" s="1"/>
  <c r="K20" i="98" a="1"/>
  <c r="K20" i="98" s="1"/>
  <c r="K26" i="98" a="1"/>
  <c r="K26" i="98" s="1"/>
  <c r="K41" i="98" a="1"/>
  <c r="K41" i="98" s="1"/>
  <c r="K21" i="98" a="1"/>
  <c r="K21" i="98" s="1"/>
  <c r="K43" i="98" a="1"/>
  <c r="K43" i="98" s="1"/>
  <c r="K38" i="98" a="1"/>
  <c r="K38" i="98" s="1"/>
  <c r="K23" i="98" a="1"/>
  <c r="K23" i="98" s="1"/>
  <c r="K34" i="98" a="1"/>
  <c r="K34" i="98" s="1"/>
  <c r="K25" i="98" a="1"/>
  <c r="K25" i="98" s="1"/>
  <c r="K32" i="98" a="1"/>
  <c r="K32" i="98" s="1"/>
  <c r="K28" i="98" a="1"/>
  <c r="K28" i="98" s="1"/>
  <c r="J73" i="138" s="1"/>
  <c r="K46" i="98" a="1"/>
  <c r="K46" i="98" s="1"/>
  <c r="K17" i="98" a="1"/>
  <c r="K17" i="98" s="1"/>
  <c r="K39" i="98" a="1"/>
  <c r="K39" i="98" s="1"/>
  <c r="F77" i="138" l="1"/>
  <c r="F73" i="138"/>
  <c r="H77" i="138"/>
  <c r="H73" i="138"/>
  <c r="H76" i="138"/>
  <c r="H72" i="138"/>
  <c r="F76" i="138"/>
  <c r="F72" i="138"/>
  <c r="F61" i="138"/>
  <c r="J77" i="138"/>
  <c r="J70" i="138"/>
  <c r="J76" i="138"/>
  <c r="J69" i="138"/>
  <c r="J63" i="138"/>
  <c r="J68" i="138"/>
  <c r="J66" i="138"/>
  <c r="J64" i="138"/>
  <c r="J67" i="138"/>
  <c r="J62" i="138"/>
  <c r="J71" i="138"/>
  <c r="J65" i="138"/>
  <c r="J61" i="138"/>
  <c r="M42" i="138" a="1"/>
  <c r="M42" i="138" s="1"/>
  <c r="M43" i="138" a="1"/>
  <c r="M43" i="138" s="1"/>
  <c r="M41" i="138" a="1"/>
  <c r="M41" i="138" s="1"/>
  <c r="M47" i="138" a="1"/>
  <c r="M47" i="138" s="1"/>
  <c r="M48" i="138" a="1"/>
  <c r="M48" i="138" s="1"/>
  <c r="I47" i="138" a="1"/>
  <c r="I47" i="138" s="1"/>
  <c r="I48" i="138" a="1"/>
  <c r="I48" i="138" s="1"/>
  <c r="K48" i="138" a="1"/>
  <c r="K48" i="138" s="1"/>
  <c r="K47" i="138" a="1"/>
  <c r="K47" i="138" s="1"/>
  <c r="AS29" i="98"/>
  <c r="AT29" i="98"/>
  <c r="AQ29" i="98"/>
  <c r="AR29" i="98"/>
  <c r="AS32" i="98"/>
  <c r="AT32" i="98"/>
  <c r="AQ32" i="98"/>
  <c r="AR32" i="98"/>
  <c r="AQ35" i="98"/>
  <c r="AR35" i="98"/>
  <c r="AS35" i="98"/>
  <c r="AT35" i="98"/>
  <c r="AQ41" i="98"/>
  <c r="AR41" i="98"/>
  <c r="AS41" i="98"/>
  <c r="AT41" i="98"/>
  <c r="AQ30" i="98"/>
  <c r="AR30" i="98"/>
  <c r="AS30" i="98"/>
  <c r="AT30" i="98"/>
  <c r="AS40" i="98"/>
  <c r="AT40" i="98"/>
  <c r="AQ40" i="98"/>
  <c r="AR40" i="98"/>
  <c r="AQ37" i="98"/>
  <c r="AR37" i="98"/>
  <c r="AS37" i="98"/>
  <c r="AT37" i="98"/>
  <c r="AQ25" i="98"/>
  <c r="AR25" i="98"/>
  <c r="AS25" i="98"/>
  <c r="AT25" i="98"/>
  <c r="AQ42" i="98"/>
  <c r="AS42" i="98"/>
  <c r="AR42" i="98"/>
  <c r="AT42" i="98"/>
  <c r="AT31" i="98"/>
  <c r="AQ31" i="98"/>
  <c r="AR31" i="98"/>
  <c r="AS31" i="98"/>
  <c r="AQ36" i="98"/>
  <c r="AR36" i="98"/>
  <c r="AS36" i="98"/>
  <c r="AT36" i="98"/>
  <c r="AQ34" i="98"/>
  <c r="AR34" i="98"/>
  <c r="AS34" i="98"/>
  <c r="AT34" i="98"/>
  <c r="AQ46" i="98"/>
  <c r="AR46" i="98"/>
  <c r="AS46" i="98"/>
  <c r="AT46" i="98"/>
  <c r="AP24" i="98"/>
  <c r="AQ24" i="98"/>
  <c r="AR24" i="98"/>
  <c r="AS24" i="98"/>
  <c r="AT24" i="98"/>
  <c r="AQ38" i="98"/>
  <c r="AR38" i="98"/>
  <c r="AS38" i="98"/>
  <c r="AT38" i="98"/>
  <c r="AS43" i="98"/>
  <c r="AT43" i="98"/>
  <c r="AQ43" i="98"/>
  <c r="AR43" i="98"/>
  <c r="AQ39" i="98"/>
  <c r="AR39" i="98"/>
  <c r="AS39" i="98"/>
  <c r="AT39" i="98"/>
  <c r="AQ27" i="98"/>
  <c r="AR27" i="98"/>
  <c r="AS27" i="98"/>
  <c r="AT27" i="98"/>
  <c r="AQ26" i="98"/>
  <c r="AR26" i="98"/>
  <c r="AS26" i="98"/>
  <c r="AT26" i="98"/>
  <c r="AQ45" i="98"/>
  <c r="AR45" i="98"/>
  <c r="AT45" i="98"/>
  <c r="AS45" i="98"/>
  <c r="AQ44" i="98"/>
  <c r="AR44" i="98"/>
  <c r="AS44" i="98"/>
  <c r="AT44" i="98"/>
  <c r="AQ33" i="98"/>
  <c r="AR33" i="98"/>
  <c r="AS33" i="98"/>
  <c r="AT33" i="98"/>
  <c r="AQ28" i="98"/>
  <c r="AR28" i="98"/>
  <c r="AS28" i="98"/>
  <c r="AT28" i="98"/>
  <c r="AO26" i="98"/>
  <c r="AP26" i="98"/>
  <c r="AO46" i="98"/>
  <c r="AP46" i="98"/>
  <c r="AO43" i="98"/>
  <c r="AP43" i="98"/>
  <c r="AO33" i="98"/>
  <c r="AP33" i="98"/>
  <c r="AP30" i="98"/>
  <c r="AO39" i="98"/>
  <c r="AP39" i="98"/>
  <c r="AP36" i="98"/>
  <c r="AP38" i="98"/>
  <c r="AO45" i="98"/>
  <c r="AP45" i="98"/>
  <c r="AP29" i="98"/>
  <c r="AP32" i="98"/>
  <c r="AP37" i="98"/>
  <c r="AP27" i="98"/>
  <c r="AO44" i="98"/>
  <c r="AP44" i="98"/>
  <c r="AO31" i="98"/>
  <c r="AP31" i="98"/>
  <c r="AO34" i="98"/>
  <c r="AP34" i="98"/>
  <c r="AP35" i="98"/>
  <c r="AO41" i="98"/>
  <c r="AP41" i="98"/>
  <c r="AP40" i="98"/>
  <c r="AP25" i="98"/>
  <c r="AO42" i="98"/>
  <c r="AP42" i="98"/>
  <c r="AP28" i="98"/>
  <c r="AO29" i="98"/>
  <c r="AO32" i="98"/>
  <c r="AO30" i="98"/>
  <c r="AO40" i="98"/>
  <c r="AO25" i="98"/>
  <c r="AO36" i="98"/>
  <c r="AO38" i="98"/>
  <c r="AO35" i="98"/>
  <c r="AO37" i="98"/>
  <c r="AO27" i="98"/>
  <c r="AO28" i="98"/>
  <c r="AK40" i="98"/>
  <c r="AL40" i="98"/>
  <c r="AM40" i="98"/>
  <c r="AN40" i="98"/>
  <c r="AK37" i="98"/>
  <c r="AL37" i="98"/>
  <c r="AM37" i="98"/>
  <c r="AN37" i="98"/>
  <c r="AK44" i="98"/>
  <c r="AL44" i="98"/>
  <c r="AM44" i="98"/>
  <c r="AN44" i="98"/>
  <c r="AK30" i="98"/>
  <c r="AN30" i="98"/>
  <c r="AL30" i="98"/>
  <c r="AM30" i="98"/>
  <c r="AK27" i="98"/>
  <c r="AL27" i="98"/>
  <c r="AM27" i="98"/>
  <c r="AN27" i="98"/>
  <c r="AK45" i="98"/>
  <c r="AM45" i="98"/>
  <c r="AN45" i="98"/>
  <c r="AL45" i="98"/>
  <c r="AK32" i="98"/>
  <c r="AL32" i="98"/>
  <c r="AM32" i="98"/>
  <c r="AN32" i="98"/>
  <c r="AK28" i="98"/>
  <c r="AL28" i="98"/>
  <c r="AM28" i="98"/>
  <c r="AN28" i="98"/>
  <c r="AK25" i="98"/>
  <c r="AL25" i="98"/>
  <c r="AM25" i="98"/>
  <c r="AN25" i="98"/>
  <c r="AK35" i="98"/>
  <c r="AL35" i="98"/>
  <c r="AM35" i="98"/>
  <c r="AN35" i="98"/>
  <c r="AK29" i="98"/>
  <c r="AL29" i="98"/>
  <c r="AM29" i="98"/>
  <c r="AN29" i="98"/>
  <c r="AK43" i="98"/>
  <c r="AL43" i="98"/>
  <c r="AM43" i="98"/>
  <c r="AN43" i="98"/>
  <c r="AK34" i="98"/>
  <c r="AL34" i="98"/>
  <c r="AM34" i="98"/>
  <c r="AN34" i="98"/>
  <c r="AK31" i="98"/>
  <c r="AL31" i="98"/>
  <c r="AM31" i="98"/>
  <c r="AN31" i="98"/>
  <c r="AK33" i="98"/>
  <c r="AL33" i="98"/>
  <c r="AM33" i="98"/>
  <c r="AN33" i="98"/>
  <c r="AK26" i="98"/>
  <c r="AL26" i="98"/>
  <c r="AM26" i="98"/>
  <c r="AN26" i="98"/>
  <c r="AK36" i="98"/>
  <c r="AL36" i="98"/>
  <c r="AM36" i="98"/>
  <c r="AN36" i="98"/>
  <c r="AK46" i="98"/>
  <c r="AL46" i="98"/>
  <c r="AM46" i="98"/>
  <c r="AN46" i="98"/>
  <c r="AK38" i="98"/>
  <c r="AL38" i="98"/>
  <c r="AM38" i="98"/>
  <c r="AN38" i="98"/>
  <c r="AK39" i="98"/>
  <c r="AL39" i="98"/>
  <c r="AM39" i="98"/>
  <c r="AN39" i="98"/>
  <c r="AK41" i="98"/>
  <c r="AL41" i="98"/>
  <c r="AM41" i="98"/>
  <c r="AN41" i="98"/>
  <c r="AK42" i="98"/>
  <c r="AL42" i="98"/>
  <c r="AM42" i="98"/>
  <c r="AN42" i="98"/>
  <c r="AD26" i="98"/>
  <c r="Q71" i="138" s="1"/>
  <c r="AG26" i="98"/>
  <c r="T71" i="138" s="1"/>
  <c r="AE26" i="98"/>
  <c r="R71" i="138" s="1"/>
  <c r="AF26" i="98"/>
  <c r="S71" i="138" s="1"/>
  <c r="AH26" i="98"/>
  <c r="U71" i="138" s="1"/>
  <c r="AD43" i="98"/>
  <c r="AG43" i="98"/>
  <c r="AH43" i="98"/>
  <c r="AF43" i="98"/>
  <c r="AE43" i="98"/>
  <c r="AD45" i="98"/>
  <c r="AG45" i="98"/>
  <c r="AE45" i="98"/>
  <c r="AF45" i="98"/>
  <c r="AH45" i="98"/>
  <c r="AD33" i="98"/>
  <c r="AE33" i="98"/>
  <c r="AF33" i="98"/>
  <c r="AG33" i="98"/>
  <c r="AH33" i="98"/>
  <c r="AE29" i="98"/>
  <c r="R74" i="138" s="1"/>
  <c r="AF29" i="98"/>
  <c r="S74" i="138" s="1"/>
  <c r="AG29" i="98"/>
  <c r="T74" i="138" s="1"/>
  <c r="AH29" i="98"/>
  <c r="U74" i="138" s="1"/>
  <c r="AG35" i="98"/>
  <c r="AE35" i="98"/>
  <c r="AF35" i="98"/>
  <c r="AH35" i="98"/>
  <c r="AF37" i="98"/>
  <c r="AG37" i="98"/>
  <c r="AE37" i="98"/>
  <c r="AH37" i="98"/>
  <c r="AE36" i="98"/>
  <c r="AF36" i="98"/>
  <c r="AG36" i="98"/>
  <c r="AH36" i="98"/>
  <c r="AE27" i="98"/>
  <c r="AH27" i="98"/>
  <c r="AF27" i="98"/>
  <c r="AG27" i="98"/>
  <c r="AD44" i="98"/>
  <c r="AG44" i="98"/>
  <c r="AE44" i="98"/>
  <c r="AF44" i="98"/>
  <c r="AH44" i="98"/>
  <c r="AD46" i="98"/>
  <c r="AG46" i="98"/>
  <c r="AE46" i="98"/>
  <c r="AF46" i="98"/>
  <c r="AH46" i="98"/>
  <c r="AD31" i="98"/>
  <c r="AE31" i="98"/>
  <c r="AG31" i="98"/>
  <c r="AF31" i="98"/>
  <c r="AH31" i="98"/>
  <c r="AD34" i="98"/>
  <c r="AG34" i="98"/>
  <c r="AE34" i="98"/>
  <c r="AF34" i="98"/>
  <c r="AH34" i="98"/>
  <c r="AD24" i="98"/>
  <c r="Q69" i="138" s="1"/>
  <c r="AE24" i="98"/>
  <c r="R69" i="138" s="1"/>
  <c r="AF24" i="98"/>
  <c r="S69" i="138" s="1"/>
  <c r="AG24" i="98"/>
  <c r="T69" i="138" s="1"/>
  <c r="AH24" i="98"/>
  <c r="U69" i="138" s="1"/>
  <c r="AG32" i="98"/>
  <c r="AH32" i="98"/>
  <c r="AE32" i="98"/>
  <c r="AF32" i="98"/>
  <c r="AD41" i="98"/>
  <c r="AE41" i="98"/>
  <c r="AF41" i="98"/>
  <c r="AG41" i="98"/>
  <c r="AH41" i="98"/>
  <c r="AE30" i="98"/>
  <c r="R75" i="138" s="1"/>
  <c r="AF30" i="98"/>
  <c r="S75" i="138" s="1"/>
  <c r="AG30" i="98"/>
  <c r="T75" i="138" s="1"/>
  <c r="AH30" i="98"/>
  <c r="U75" i="138" s="1"/>
  <c r="AE40" i="98"/>
  <c r="AF40" i="98"/>
  <c r="AG40" i="98"/>
  <c r="AH40" i="98"/>
  <c r="AD39" i="98"/>
  <c r="AF39" i="98"/>
  <c r="AG39" i="98"/>
  <c r="AE39" i="98"/>
  <c r="AH39" i="98"/>
  <c r="AF25" i="98"/>
  <c r="S70" i="138" s="1"/>
  <c r="AH25" i="98"/>
  <c r="U70" i="138" s="1"/>
  <c r="AE25" i="98"/>
  <c r="R70" i="138" s="1"/>
  <c r="AG25" i="98"/>
  <c r="T70" i="138" s="1"/>
  <c r="AD42" i="98"/>
  <c r="AF42" i="98"/>
  <c r="AE42" i="98"/>
  <c r="AG42" i="98"/>
  <c r="AH42" i="98"/>
  <c r="AE38" i="98"/>
  <c r="AF38" i="98"/>
  <c r="AG38" i="98"/>
  <c r="AH38" i="98"/>
  <c r="AG28" i="98"/>
  <c r="AE28" i="98"/>
  <c r="AF28" i="98"/>
  <c r="AH28" i="98"/>
  <c r="AD40" i="98"/>
  <c r="AD25" i="98"/>
  <c r="Q70" i="138" s="1"/>
  <c r="AD27" i="98"/>
  <c r="AD29" i="98"/>
  <c r="Q74" i="138" s="1"/>
  <c r="AD32" i="98"/>
  <c r="AD35" i="98"/>
  <c r="AD30" i="98"/>
  <c r="Q75" i="138" s="1"/>
  <c r="AD37" i="98"/>
  <c r="AD36" i="98"/>
  <c r="AD38" i="98"/>
  <c r="AD28" i="98"/>
  <c r="AC26" i="98"/>
  <c r="P71" i="138" s="1"/>
  <c r="AC44" i="98"/>
  <c r="AC34" i="98"/>
  <c r="AC32" i="98"/>
  <c r="AC35" i="98"/>
  <c r="AC41" i="98"/>
  <c r="AC30" i="98"/>
  <c r="P75" i="138" s="1"/>
  <c r="AC40" i="98"/>
  <c r="AC37" i="98"/>
  <c r="AC46" i="98"/>
  <c r="AC25" i="98"/>
  <c r="P70" i="138" s="1"/>
  <c r="AC29" i="98"/>
  <c r="P74" i="138" s="1"/>
  <c r="AC33" i="98"/>
  <c r="AC39" i="98"/>
  <c r="AC42" i="98"/>
  <c r="AC36" i="98"/>
  <c r="AC43" i="98"/>
  <c r="AC45" i="98"/>
  <c r="AC38" i="98"/>
  <c r="AC27" i="98"/>
  <c r="AC31" i="98"/>
  <c r="AC28" i="98"/>
  <c r="P44" i="98"/>
  <c r="V35" i="98"/>
  <c r="Q30" i="98"/>
  <c r="W30" i="98" s="1"/>
  <c r="S36" i="98"/>
  <c r="T34" i="98"/>
  <c r="Q32" i="98"/>
  <c r="W32" i="98" s="1"/>
  <c r="Q38" i="98"/>
  <c r="P43" i="98"/>
  <c r="P41" i="98"/>
  <c r="S39" i="98"/>
  <c r="P31" i="98"/>
  <c r="Q19" i="98"/>
  <c r="L28" i="98"/>
  <c r="L19" i="98"/>
  <c r="L43" i="98"/>
  <c r="L18" i="98"/>
  <c r="L23" i="98"/>
  <c r="L22" i="98"/>
  <c r="L17" i="98"/>
  <c r="L32" i="98"/>
  <c r="L40" i="98"/>
  <c r="L25" i="98"/>
  <c r="L37" i="98"/>
  <c r="L29" i="98"/>
  <c r="L34" i="98"/>
  <c r="L30" i="98"/>
  <c r="L24" i="98"/>
  <c r="L26" i="98"/>
  <c r="L20" i="98"/>
  <c r="L21" i="98"/>
  <c r="L16" i="98"/>
  <c r="L42" i="98"/>
  <c r="K42" i="138" a="1"/>
  <c r="K42" i="138" s="1"/>
  <c r="K43" i="138" a="1"/>
  <c r="K43" i="138" s="1"/>
  <c r="I42" i="138" a="1"/>
  <c r="I42" i="138" s="1"/>
  <c r="I43" i="138" a="1"/>
  <c r="I43" i="138" s="1"/>
  <c r="R46" i="98"/>
  <c r="R45" i="98"/>
  <c r="T44" i="98"/>
  <c r="L31" i="98"/>
  <c r="Z33" i="98"/>
  <c r="L33" i="98"/>
  <c r="Y35" i="98"/>
  <c r="L35" i="98"/>
  <c r="L46" i="98"/>
  <c r="AB36" i="98"/>
  <c r="L36" i="98"/>
  <c r="D76" i="138"/>
  <c r="L27" i="98"/>
  <c r="Z38" i="98"/>
  <c r="L38" i="98"/>
  <c r="AA39" i="98"/>
  <c r="L39" i="98"/>
  <c r="AA45" i="98"/>
  <c r="L45" i="98"/>
  <c r="AA44" i="98"/>
  <c r="L44" i="98"/>
  <c r="L41" i="98"/>
  <c r="S44" i="98"/>
  <c r="U44" i="98"/>
  <c r="V46" i="98"/>
  <c r="T46" i="98"/>
  <c r="S46" i="98"/>
  <c r="V44" i="98"/>
  <c r="U46" i="98"/>
  <c r="Y39" i="98"/>
  <c r="Z41" i="98"/>
  <c r="D68" i="138"/>
  <c r="O44" i="98"/>
  <c r="AI44" i="98" s="1"/>
  <c r="R44" i="98"/>
  <c r="R34" i="98"/>
  <c r="P46" i="98"/>
  <c r="S34" i="98"/>
  <c r="N46" i="98"/>
  <c r="Q34" i="98"/>
  <c r="W34" i="98" s="1"/>
  <c r="AA41" i="98"/>
  <c r="N34" i="98"/>
  <c r="Y41" i="98"/>
  <c r="O34" i="98"/>
  <c r="AI34" i="98" s="1"/>
  <c r="O46" i="98"/>
  <c r="AI46" i="98" s="1"/>
  <c r="R43" i="98"/>
  <c r="Q43" i="98"/>
  <c r="W43" i="98" s="1"/>
  <c r="N43" i="98"/>
  <c r="U43" i="98"/>
  <c r="T43" i="98"/>
  <c r="O43" i="98"/>
  <c r="AI43" i="98" s="1"/>
  <c r="V43" i="98"/>
  <c r="S43" i="98"/>
  <c r="D66" i="138"/>
  <c r="Q46" i="98"/>
  <c r="W46" i="98" s="1"/>
  <c r="P34" i="98"/>
  <c r="D67" i="138"/>
  <c r="U34" i="98"/>
  <c r="V34" i="98"/>
  <c r="S28" i="98"/>
  <c r="N28" i="98"/>
  <c r="U26" i="98"/>
  <c r="Q26" i="98"/>
  <c r="W26" i="98" s="1"/>
  <c r="N16" i="98"/>
  <c r="X16" i="98" s="1"/>
  <c r="S16" i="98"/>
  <c r="Q16" i="98"/>
  <c r="W16" i="98" s="1"/>
  <c r="Y38" i="98"/>
  <c r="V36" i="98"/>
  <c r="O20" i="98"/>
  <c r="O26" i="98"/>
  <c r="AI26" i="98" s="1"/>
  <c r="AA38" i="98"/>
  <c r="N20" i="98"/>
  <c r="AB31" i="98"/>
  <c r="O36" i="98"/>
  <c r="AI36" i="98" s="1"/>
  <c r="AB38" i="98"/>
  <c r="S20" i="98"/>
  <c r="N26" i="98"/>
  <c r="Z46" i="98"/>
  <c r="U20" i="98"/>
  <c r="S26" i="98"/>
  <c r="Q20" i="98"/>
  <c r="W20" i="98" s="1"/>
  <c r="Z35" i="98"/>
  <c r="AB45" i="98"/>
  <c r="U28" i="98"/>
  <c r="AA35" i="98"/>
  <c r="Y44" i="98"/>
  <c r="Y36" i="98"/>
  <c r="O28" i="98"/>
  <c r="AI28" i="98" s="1"/>
  <c r="Q28" i="98"/>
  <c r="W28" i="98" s="1"/>
  <c r="AB32" i="98"/>
  <c r="Z32" i="98"/>
  <c r="AB42" i="98"/>
  <c r="Y42" i="98"/>
  <c r="Y40" i="98"/>
  <c r="AB40" i="98"/>
  <c r="D70" i="138"/>
  <c r="D64" i="138"/>
  <c r="O33" i="98"/>
  <c r="AI33" i="98" s="1"/>
  <c r="P33" i="98"/>
  <c r="AB35" i="98"/>
  <c r="Z37" i="98"/>
  <c r="Y37" i="98"/>
  <c r="N29" i="98"/>
  <c r="O29" i="98"/>
  <c r="AI29" i="98" s="1"/>
  <c r="V40" i="98"/>
  <c r="P40" i="98"/>
  <c r="N40" i="98"/>
  <c r="Q40" i="98"/>
  <c r="W40" i="98" s="1"/>
  <c r="R40" i="98"/>
  <c r="S40" i="98"/>
  <c r="Z43" i="98"/>
  <c r="R39" i="98"/>
  <c r="N39" i="98"/>
  <c r="AB44" i="98"/>
  <c r="Y34" i="98"/>
  <c r="AB34" i="98"/>
  <c r="T37" i="98"/>
  <c r="S37" i="98"/>
  <c r="N37" i="98"/>
  <c r="Q37" i="98"/>
  <c r="W37" i="98" s="1"/>
  <c r="U21" i="98"/>
  <c r="Q21" i="98"/>
  <c r="W21" i="98" s="1"/>
  <c r="U18" i="98"/>
  <c r="S18" i="98"/>
  <c r="V42" i="98"/>
  <c r="N42" i="98"/>
  <c r="O42" i="98"/>
  <c r="AI42" i="98" s="1"/>
  <c r="Q42" i="98"/>
  <c r="W42" i="98" s="1"/>
  <c r="R42" i="98"/>
  <c r="S42" i="98"/>
  <c r="P42" i="98"/>
  <c r="U42" i="98"/>
  <c r="T42" i="98"/>
  <c r="Z34" i="98"/>
  <c r="AA42" i="98"/>
  <c r="AA37" i="98"/>
  <c r="AB37" i="98"/>
  <c r="D61" i="138"/>
  <c r="Q33" i="98"/>
  <c r="W33" i="98" s="1"/>
  <c r="AB43" i="98"/>
  <c r="Y43" i="98"/>
  <c r="AA34" i="98"/>
  <c r="D77" i="138"/>
  <c r="AA40" i="98"/>
  <c r="Q29" i="98"/>
  <c r="W29" i="98" s="1"/>
  <c r="Z40" i="98"/>
  <c r="AA43" i="98"/>
  <c r="Z44" i="98"/>
  <c r="Z31" i="98"/>
  <c r="P36" i="98"/>
  <c r="N27" i="98"/>
  <c r="P38" i="98"/>
  <c r="T38" i="98"/>
  <c r="S19" i="98"/>
  <c r="S38" i="98"/>
  <c r="O19" i="98"/>
  <c r="O38" i="98"/>
  <c r="AI38" i="98" s="1"/>
  <c r="O27" i="98"/>
  <c r="AI27" i="98" s="1"/>
  <c r="Y31" i="98"/>
  <c r="U38" i="98"/>
  <c r="U27" i="98"/>
  <c r="S27" i="98"/>
  <c r="N44" i="98"/>
  <c r="Q44" i="98"/>
  <c r="W44" i="98" s="1"/>
  <c r="U16" i="98"/>
  <c r="Z45" i="98"/>
  <c r="T31" i="98"/>
  <c r="O31" i="98"/>
  <c r="AI31" i="98" s="1"/>
  <c r="S31" i="98"/>
  <c r="Q23" i="98"/>
  <c r="W23" i="98" s="1"/>
  <c r="V33" i="98"/>
  <c r="S35" i="98"/>
  <c r="N24" i="98"/>
  <c r="U17" i="98"/>
  <c r="O45" i="98"/>
  <c r="AI45" i="98" s="1"/>
  <c r="Q24" i="98"/>
  <c r="W24" i="98" s="1"/>
  <c r="N41" i="98"/>
  <c r="T33" i="98"/>
  <c r="O23" i="98"/>
  <c r="AI23" i="98" s="1"/>
  <c r="N25" i="98"/>
  <c r="P32" i="98"/>
  <c r="P45" i="98"/>
  <c r="T41" i="98"/>
  <c r="T39" i="98"/>
  <c r="Y33" i="98"/>
  <c r="O21" i="98"/>
  <c r="P37" i="98"/>
  <c r="N18" i="98"/>
  <c r="S25" i="98"/>
  <c r="S45" i="98"/>
  <c r="N45" i="98"/>
  <c r="V41" i="98"/>
  <c r="AB33" i="98"/>
  <c r="O30" i="98"/>
  <c r="AI30" i="98" s="1"/>
  <c r="S33" i="98"/>
  <c r="N35" i="98"/>
  <c r="N33" i="98"/>
  <c r="U23" i="98"/>
  <c r="Q35" i="98"/>
  <c r="W35" i="98" s="1"/>
  <c r="V31" i="98"/>
  <c r="Q41" i="98"/>
  <c r="W41" i="98" s="1"/>
  <c r="U41" i="98"/>
  <c r="T32" i="98"/>
  <c r="P35" i="98"/>
  <c r="O37" i="98"/>
  <c r="AI37" i="98" s="1"/>
  <c r="N21" i="98"/>
  <c r="N32" i="98"/>
  <c r="Z39" i="98"/>
  <c r="D63" i="138"/>
  <c r="U36" i="98"/>
  <c r="D62" i="138"/>
  <c r="N22" i="98"/>
  <c r="U29" i="98"/>
  <c r="Q25" i="98"/>
  <c r="W25" i="98" s="1"/>
  <c r="Y46" i="98"/>
  <c r="Q17" i="98"/>
  <c r="W17" i="98" s="1"/>
  <c r="N23" i="98"/>
  <c r="R32" i="98"/>
  <c r="AB39" i="98"/>
  <c r="N17" i="98"/>
  <c r="D71" i="138"/>
  <c r="N36" i="98"/>
  <c r="V38" i="98"/>
  <c r="Z42" i="98"/>
  <c r="AA36" i="98"/>
  <c r="O24" i="98"/>
  <c r="S24" i="98"/>
  <c r="U25" i="98"/>
  <c r="O39" i="98"/>
  <c r="AI39" i="98" s="1"/>
  <c r="T40" i="98"/>
  <c r="R38" i="98"/>
  <c r="U19" i="98"/>
  <c r="O16" i="98"/>
  <c r="AI16" i="98" s="1"/>
  <c r="AA46" i="98"/>
  <c r="D69" i="138"/>
  <c r="U45" i="98"/>
  <c r="R33" i="98"/>
  <c r="U22" i="98"/>
  <c r="V45" i="98"/>
  <c r="U30" i="98"/>
  <c r="AA31" i="98"/>
  <c r="AB41" i="98"/>
  <c r="Y45" i="98"/>
  <c r="N31" i="98"/>
  <c r="Q45" i="98"/>
  <c r="W45" i="98" s="1"/>
  <c r="U24" i="98"/>
  <c r="R35" i="98"/>
  <c r="V37" i="98"/>
  <c r="R31" i="98"/>
  <c r="T35" i="98"/>
  <c r="N30" i="98"/>
  <c r="R41" i="98"/>
  <c r="AA33" i="98"/>
  <c r="U31" i="98"/>
  <c r="U39" i="98"/>
  <c r="Z36" i="98"/>
  <c r="Q18" i="98"/>
  <c r="W18" i="98" s="1"/>
  <c r="O18" i="98"/>
  <c r="AI18" i="98" s="1"/>
  <c r="O35" i="98"/>
  <c r="AI35" i="98" s="1"/>
  <c r="S29" i="98"/>
  <c r="S21" i="98"/>
  <c r="S41" i="98"/>
  <c r="O41" i="98"/>
  <c r="AI41" i="98" s="1"/>
  <c r="S32" i="98"/>
  <c r="T45" i="98"/>
  <c r="Q31" i="98"/>
  <c r="W31" i="98" s="1"/>
  <c r="R36" i="98"/>
  <c r="P39" i="98"/>
  <c r="V32" i="98"/>
  <c r="U35" i="98"/>
  <c r="D65" i="138"/>
  <c r="S23" i="98"/>
  <c r="U32" i="98"/>
  <c r="Q22" i="98"/>
  <c r="W22" i="98" s="1"/>
  <c r="O32" i="98"/>
  <c r="AI32" i="98" s="1"/>
  <c r="AB46" i="98"/>
  <c r="O17" i="98"/>
  <c r="S22" i="98"/>
  <c r="O25" i="98"/>
  <c r="AI25" i="98" s="1"/>
  <c r="U37" i="98"/>
  <c r="U33" i="98"/>
  <c r="Y32" i="98"/>
  <c r="Q39" i="98"/>
  <c r="W39" i="98" s="1"/>
  <c r="O40" i="98"/>
  <c r="AI40" i="98" s="1"/>
  <c r="N38" i="98"/>
  <c r="Q36" i="98"/>
  <c r="W36" i="98" s="1"/>
  <c r="N19" i="98"/>
  <c r="S17" i="98"/>
  <c r="S30" i="98"/>
  <c r="T36" i="98"/>
  <c r="V39" i="98"/>
  <c r="U40" i="98"/>
  <c r="O22" i="98"/>
  <c r="AI22" i="98" s="1"/>
  <c r="Q27" i="98"/>
  <c r="W27" i="98" s="1"/>
  <c r="AA32" i="98"/>
  <c r="R37" i="98"/>
  <c r="AB29" i="98"/>
  <c r="O74" i="138" s="1"/>
  <c r="Z29" i="98"/>
  <c r="M74" i="138" s="1"/>
  <c r="AA27" i="98"/>
  <c r="P28" i="98"/>
  <c r="Z27" i="98"/>
  <c r="AB28" i="98"/>
  <c r="AB27" i="98"/>
  <c r="AA29" i="98"/>
  <c r="N74" i="138" s="1"/>
  <c r="R30" i="98"/>
  <c r="Z28" i="98"/>
  <c r="R28" i="98"/>
  <c r="T30" i="98"/>
  <c r="V29" i="98"/>
  <c r="T29" i="98"/>
  <c r="P29" i="98"/>
  <c r="K74" i="138" s="1"/>
  <c r="T28" i="98"/>
  <c r="Z30" i="98"/>
  <c r="M75" i="138" s="1"/>
  <c r="P30" i="98"/>
  <c r="K75" i="138" s="1"/>
  <c r="T27" i="98"/>
  <c r="V28" i="98"/>
  <c r="P27" i="98"/>
  <c r="V30" i="98"/>
  <c r="V27" i="98"/>
  <c r="P26" i="98"/>
  <c r="K71" i="138" s="1"/>
  <c r="V26" i="98"/>
  <c r="AB26" i="98"/>
  <c r="O71" i="138" s="1"/>
  <c r="T26" i="98"/>
  <c r="T25" i="98"/>
  <c r="P25" i="98"/>
  <c r="K70" i="138" s="1"/>
  <c r="V25" i="98"/>
  <c r="Y25" i="98"/>
  <c r="L70" i="138" s="1"/>
  <c r="V24" i="98"/>
  <c r="T23" i="98"/>
  <c r="V22" i="98"/>
  <c r="T22" i="98"/>
  <c r="T20" i="98"/>
  <c r="V20" i="98"/>
  <c r="V23" i="98"/>
  <c r="T21" i="98"/>
  <c r="V21" i="98"/>
  <c r="T24" i="98"/>
  <c r="V19" i="98"/>
  <c r="T19" i="98"/>
  <c r="R19" i="98"/>
  <c r="T18" i="98"/>
  <c r="V18" i="98"/>
  <c r="V17" i="98"/>
  <c r="T17" i="98"/>
  <c r="T16" i="98"/>
  <c r="V16" i="98"/>
  <c r="U77" i="138" l="1"/>
  <c r="U73" i="138"/>
  <c r="S77" i="138"/>
  <c r="S73" i="138"/>
  <c r="R77" i="138"/>
  <c r="R73" i="138"/>
  <c r="T77" i="138"/>
  <c r="T73" i="138"/>
  <c r="Q77" i="138"/>
  <c r="Q73" i="138"/>
  <c r="O77" i="138"/>
  <c r="O73" i="138"/>
  <c r="M77" i="138"/>
  <c r="M73" i="138"/>
  <c r="K77" i="138"/>
  <c r="K73" i="138"/>
  <c r="P77" i="138"/>
  <c r="P73" i="138"/>
  <c r="T76" i="138"/>
  <c r="T72" i="138"/>
  <c r="S76" i="138"/>
  <c r="S72" i="138"/>
  <c r="N76" i="138"/>
  <c r="N72" i="138"/>
  <c r="U76" i="138"/>
  <c r="U72" i="138"/>
  <c r="M76" i="138"/>
  <c r="M72" i="138"/>
  <c r="P76" i="138"/>
  <c r="P72" i="138"/>
  <c r="R76" i="138"/>
  <c r="R72" i="138"/>
  <c r="Q76" i="138"/>
  <c r="Q72" i="138"/>
  <c r="K76" i="138"/>
  <c r="K72" i="138"/>
  <c r="O76" i="138"/>
  <c r="O72" i="138"/>
  <c r="I46" i="138" a="1"/>
  <c r="I46" i="138" s="1"/>
  <c r="I41" i="138" a="1"/>
  <c r="I41" i="138" s="1"/>
  <c r="M46" i="138" a="1"/>
  <c r="M46" i="138" s="1"/>
  <c r="AI21" i="98"/>
  <c r="AI24" i="98"/>
  <c r="AI19" i="98"/>
  <c r="AI20" i="98"/>
  <c r="AI17" i="98"/>
  <c r="W19" i="98"/>
  <c r="W38" i="98"/>
  <c r="X38" i="98"/>
  <c r="AJ38" i="98"/>
  <c r="AJ16" i="98"/>
  <c r="X37" i="98"/>
  <c r="AJ37" i="98"/>
  <c r="X29" i="98"/>
  <c r="AJ29" i="98"/>
  <c r="X31" i="98"/>
  <c r="AJ31" i="98"/>
  <c r="X35" i="98"/>
  <c r="AJ35" i="98"/>
  <c r="X25" i="98"/>
  <c r="AJ25" i="98"/>
  <c r="X20" i="98"/>
  <c r="AJ20" i="98"/>
  <c r="X42" i="98"/>
  <c r="AJ42" i="98"/>
  <c r="X36" i="98"/>
  <c r="AJ36" i="98"/>
  <c r="X27" i="98"/>
  <c r="AJ27" i="98"/>
  <c r="X30" i="98"/>
  <c r="AJ30" i="98"/>
  <c r="X17" i="98"/>
  <c r="AJ17" i="98"/>
  <c r="X40" i="98"/>
  <c r="AJ40" i="98"/>
  <c r="X23" i="98"/>
  <c r="AJ23" i="98"/>
  <c r="X44" i="98"/>
  <c r="AJ44" i="98"/>
  <c r="X34" i="98"/>
  <c r="AJ34" i="98"/>
  <c r="X33" i="98"/>
  <c r="AJ33" i="98"/>
  <c r="X26" i="98"/>
  <c r="AJ26" i="98"/>
  <c r="X28" i="98"/>
  <c r="AJ28" i="98"/>
  <c r="X22" i="98"/>
  <c r="AJ22" i="98"/>
  <c r="X46" i="98"/>
  <c r="AJ46" i="98"/>
  <c r="X41" i="98"/>
  <c r="AJ41" i="98"/>
  <c r="X32" i="98"/>
  <c r="AJ32" i="98"/>
  <c r="X39" i="98"/>
  <c r="AJ39" i="98"/>
  <c r="X45" i="98"/>
  <c r="AJ45" i="98"/>
  <c r="X24" i="98"/>
  <c r="AJ24" i="98"/>
  <c r="X21" i="98"/>
  <c r="AJ21" i="98"/>
  <c r="X43" i="98"/>
  <c r="AJ43" i="98"/>
  <c r="X19" i="98"/>
  <c r="AJ19" i="98"/>
  <c r="X18" i="98"/>
  <c r="AJ18" i="98"/>
  <c r="R29" i="98"/>
  <c r="AA30" i="98"/>
  <c r="N75" i="138" s="1"/>
  <c r="AA28" i="98"/>
  <c r="Y28" i="98"/>
  <c r="Y27" i="98"/>
  <c r="Y29" i="98"/>
  <c r="L74" i="138" s="1"/>
  <c r="Y30" i="98"/>
  <c r="L75" i="138" s="1"/>
  <c r="AB30" i="98"/>
  <c r="O75" i="138" s="1"/>
  <c r="R27" i="98"/>
  <c r="AA26" i="98"/>
  <c r="N71" i="138" s="1"/>
  <c r="Z26" i="98"/>
  <c r="M71" i="138" s="1"/>
  <c r="R26" i="98"/>
  <c r="Y26" i="98"/>
  <c r="L71" i="138" s="1"/>
  <c r="AA25" i="98"/>
  <c r="N70" i="138" s="1"/>
  <c r="AB25" i="98"/>
  <c r="O70" i="138" s="1"/>
  <c r="R25" i="98"/>
  <c r="Z25" i="98"/>
  <c r="M70" i="138" s="1"/>
  <c r="AH20" i="98"/>
  <c r="U65" i="138" s="1"/>
  <c r="AD20" i="98"/>
  <c r="Q65" i="138" s="1"/>
  <c r="AG20" i="98"/>
  <c r="T65" i="138" s="1"/>
  <c r="R20" i="98"/>
  <c r="R24" i="98"/>
  <c r="R22" i="98"/>
  <c r="P21" i="98"/>
  <c r="K66" i="138" s="1"/>
  <c r="AA24" i="98"/>
  <c r="N69" i="138" s="1"/>
  <c r="P22" i="98"/>
  <c r="K67" i="138" s="1"/>
  <c r="R23" i="98"/>
  <c r="Z21" i="98"/>
  <c r="M66" i="138" s="1"/>
  <c r="AA23" i="98"/>
  <c r="N68" i="138" s="1"/>
  <c r="AA21" i="98"/>
  <c r="N66" i="138" s="1"/>
  <c r="P23" i="98"/>
  <c r="K68" i="138" s="1"/>
  <c r="P24" i="98"/>
  <c r="K69" i="138" s="1"/>
  <c r="AF21" i="98"/>
  <c r="S66" i="138" s="1"/>
  <c r="AB20" i="98"/>
  <c r="O65" i="138" s="1"/>
  <c r="AD21" i="98"/>
  <c r="Q66" i="138" s="1"/>
  <c r="AO23" i="98"/>
  <c r="AE22" i="98"/>
  <c r="R67" i="138" s="1"/>
  <c r="AB23" i="98"/>
  <c r="O68" i="138" s="1"/>
  <c r="AK20" i="98"/>
  <c r="AO21" i="98"/>
  <c r="R21" i="98"/>
  <c r="AB24" i="98"/>
  <c r="O69" i="138" s="1"/>
  <c r="AG21" i="98"/>
  <c r="T66" i="138" s="1"/>
  <c r="Y23" i="98"/>
  <c r="L68" i="138" s="1"/>
  <c r="AE21" i="98"/>
  <c r="R66" i="138" s="1"/>
  <c r="P20" i="98"/>
  <c r="K65" i="138" s="1"/>
  <c r="AH21" i="98"/>
  <c r="U66" i="138" s="1"/>
  <c r="AK23" i="98"/>
  <c r="AC24" i="98"/>
  <c r="P69" i="138" s="1"/>
  <c r="AP23" i="98"/>
  <c r="Z23" i="98"/>
  <c r="M68" i="138" s="1"/>
  <c r="AK24" i="98"/>
  <c r="Y20" i="98"/>
  <c r="L65" i="138" s="1"/>
  <c r="Y22" i="98"/>
  <c r="L67" i="138" s="1"/>
  <c r="AK22" i="98"/>
  <c r="AK21" i="98"/>
  <c r="AB21" i="98"/>
  <c r="O66" i="138" s="1"/>
  <c r="AD23" i="98"/>
  <c r="Q68" i="138" s="1"/>
  <c r="AO19" i="98"/>
  <c r="Z19" i="98"/>
  <c r="M64" i="138" s="1"/>
  <c r="AA19" i="98"/>
  <c r="N64" i="138" s="1"/>
  <c r="P19" i="98"/>
  <c r="K64" i="138" s="1"/>
  <c r="AP19" i="98"/>
  <c r="AE19" i="98"/>
  <c r="R64" i="138" s="1"/>
  <c r="Y18" i="98"/>
  <c r="AB18" i="98"/>
  <c r="P18" i="98"/>
  <c r="R18" i="98"/>
  <c r="AC18" i="98"/>
  <c r="Z18" i="98"/>
  <c r="AK18" i="98"/>
  <c r="AA18" i="98"/>
  <c r="AA17" i="98"/>
  <c r="Z17" i="98"/>
  <c r="R17" i="98"/>
  <c r="AK17" i="98"/>
  <c r="P17" i="98"/>
  <c r="AG16" i="98"/>
  <c r="AA16" i="98"/>
  <c r="P16" i="98"/>
  <c r="Z16" i="98"/>
  <c r="AB16" i="98"/>
  <c r="AE16" i="98"/>
  <c r="AD16" i="98"/>
  <c r="AC16" i="98"/>
  <c r="R16" i="98"/>
  <c r="Y16" i="98"/>
  <c r="AF16" i="98"/>
  <c r="AH16" i="98"/>
  <c r="AO16" i="98"/>
  <c r="L77" i="138" l="1"/>
  <c r="L73" i="138"/>
  <c r="N77" i="138"/>
  <c r="N73" i="138"/>
  <c r="L76" i="138"/>
  <c r="L72" i="138"/>
  <c r="N63" i="138"/>
  <c r="M63" i="138"/>
  <c r="K63" i="138"/>
  <c r="L63" i="138"/>
  <c r="P61" i="138"/>
  <c r="K46" i="138" a="1"/>
  <c r="K46" i="138" s="1"/>
  <c r="K62" i="138"/>
  <c r="K41" i="138" a="1"/>
  <c r="K41" i="138" s="1"/>
  <c r="K61" i="138"/>
  <c r="AR20" i="98"/>
  <c r="AQ20" i="98"/>
  <c r="AT20" i="98"/>
  <c r="AC20" i="98"/>
  <c r="P65" i="138" s="1"/>
  <c r="AE20" i="98"/>
  <c r="R65" i="138" s="1"/>
  <c r="AS20" i="98"/>
  <c r="AO20" i="98"/>
  <c r="AF20" i="98"/>
  <c r="S65" i="138" s="1"/>
  <c r="AP20" i="98"/>
  <c r="AD22" i="98"/>
  <c r="Q67" i="138" s="1"/>
  <c r="AL23" i="98"/>
  <c r="AC22" i="98"/>
  <c r="P67" i="138" s="1"/>
  <c r="AO24" i="98"/>
  <c r="AO22" i="98"/>
  <c r="AL24" i="98"/>
  <c r="AE23" i="98"/>
  <c r="R68" i="138" s="1"/>
  <c r="AM22" i="98"/>
  <c r="AQ21" i="98"/>
  <c r="AL21" i="98"/>
  <c r="AL22" i="98"/>
  <c r="Z24" i="98"/>
  <c r="M69" i="138" s="1"/>
  <c r="AL20" i="98"/>
  <c r="AT23" i="98"/>
  <c r="AC23" i="98"/>
  <c r="P68" i="138" s="1"/>
  <c r="AM24" i="98"/>
  <c r="AT21" i="98"/>
  <c r="AM21" i="98"/>
  <c r="AM20" i="98"/>
  <c r="AN21" i="98"/>
  <c r="AS23" i="98"/>
  <c r="AQ23" i="98"/>
  <c r="AR23" i="98"/>
  <c r="AF23" i="98"/>
  <c r="S68" i="138" s="1"/>
  <c r="AQ22" i="98"/>
  <c r="AN22" i="98"/>
  <c r="AS21" i="98"/>
  <c r="AP21" i="98"/>
  <c r="AG23" i="98"/>
  <c r="T68" i="138" s="1"/>
  <c r="AF22" i="98"/>
  <c r="S67" i="138" s="1"/>
  <c r="AN24" i="98"/>
  <c r="AR22" i="98"/>
  <c r="AC21" i="98"/>
  <c r="P66" i="138" s="1"/>
  <c r="AM23" i="98"/>
  <c r="AH23" i="98"/>
  <c r="U68" i="138" s="1"/>
  <c r="AN20" i="98"/>
  <c r="AS22" i="98"/>
  <c r="AT22" i="98"/>
  <c r="AN23" i="98"/>
  <c r="AR21" i="98"/>
  <c r="Y24" i="98"/>
  <c r="L69" i="138" s="1"/>
  <c r="AH22" i="98"/>
  <c r="U67" i="138" s="1"/>
  <c r="AA22" i="98"/>
  <c r="N67" i="138" s="1"/>
  <c r="AB22" i="98"/>
  <c r="O67" i="138" s="1"/>
  <c r="AP22" i="98"/>
  <c r="Z22" i="98"/>
  <c r="M67" i="138" s="1"/>
  <c r="AG22" i="98"/>
  <c r="T67" i="138" s="1"/>
  <c r="Y21" i="98"/>
  <c r="L66" i="138" s="1"/>
  <c r="Z20" i="98"/>
  <c r="M65" i="138" s="1"/>
  <c r="AA20" i="98"/>
  <c r="N65" i="138" s="1"/>
  <c r="AD19" i="98"/>
  <c r="Q64" i="138" s="1"/>
  <c r="Y19" i="98"/>
  <c r="L64" i="138" s="1"/>
  <c r="AK19" i="98"/>
  <c r="AS19" i="98"/>
  <c r="AT19" i="98"/>
  <c r="AC19" i="98"/>
  <c r="P64" i="138" s="1"/>
  <c r="AM19" i="98"/>
  <c r="AF19" i="98"/>
  <c r="S64" i="138" s="1"/>
  <c r="AG19" i="98"/>
  <c r="T64" i="138" s="1"/>
  <c r="AH19" i="98"/>
  <c r="U64" i="138" s="1"/>
  <c r="AN19" i="98"/>
  <c r="AB19" i="98"/>
  <c r="O64" i="138" s="1"/>
  <c r="AL19" i="98"/>
  <c r="AQ19" i="98"/>
  <c r="AR19" i="98"/>
  <c r="AL18" i="98"/>
  <c r="AE18" i="98"/>
  <c r="AP18" i="98"/>
  <c r="AF18" i="98"/>
  <c r="AS18" i="98"/>
  <c r="AR18" i="98"/>
  <c r="AD18" i="98"/>
  <c r="AM18" i="98"/>
  <c r="AT18" i="98"/>
  <c r="AN18" i="98"/>
  <c r="AG18" i="98"/>
  <c r="AO18" i="98"/>
  <c r="AH18" i="98"/>
  <c r="AQ18" i="98"/>
  <c r="AS17" i="98"/>
  <c r="AR17" i="98"/>
  <c r="Y17" i="98"/>
  <c r="AQ17" i="98"/>
  <c r="AE17" i="98"/>
  <c r="AM17" i="98"/>
  <c r="AH17" i="98"/>
  <c r="AC17" i="98"/>
  <c r="AF17" i="98"/>
  <c r="AP17" i="98"/>
  <c r="AL17" i="98"/>
  <c r="AN17" i="98"/>
  <c r="AG17" i="98"/>
  <c r="AB17" i="98"/>
  <c r="AD17" i="98"/>
  <c r="AT17" i="98"/>
  <c r="AO17" i="98"/>
  <c r="AS16" i="98"/>
  <c r="AR16" i="98"/>
  <c r="AN16" i="98"/>
  <c r="AK16" i="98"/>
  <c r="AL16" i="98"/>
  <c r="AM16" i="98"/>
  <c r="AP16" i="98"/>
  <c r="AT16" i="98"/>
  <c r="AQ16" i="98"/>
  <c r="P35" i="97"/>
  <c r="I57" i="97"/>
  <c r="O43" i="97"/>
  <c r="P50" i="97"/>
  <c r="R50" i="97"/>
  <c r="L52" i="97"/>
  <c r="N53" i="97"/>
  <c r="H53" i="97"/>
  <c r="S37" i="97"/>
  <c r="G19" i="97"/>
  <c r="J34" i="97"/>
  <c r="Q39" i="97"/>
  <c r="G33" i="97"/>
  <c r="J42" i="97"/>
  <c r="P43" i="97"/>
  <c r="J33" i="97"/>
  <c r="R20" i="97"/>
  <c r="G45" i="97"/>
  <c r="S30" i="97"/>
  <c r="O52" i="97"/>
  <c r="T30" i="97"/>
  <c r="I30" i="97"/>
  <c r="L28" i="97"/>
  <c r="T39" i="97"/>
  <c r="T36" i="97"/>
  <c r="P57" i="97"/>
  <c r="N57" i="97"/>
  <c r="S55" i="97"/>
  <c r="R34" i="97"/>
  <c r="I21" i="97"/>
  <c r="H54" i="97"/>
  <c r="P20" i="97"/>
  <c r="F48" i="97"/>
  <c r="K53" i="97"/>
  <c r="S19" i="97"/>
  <c r="G40" i="97"/>
  <c r="F21" i="97"/>
  <c r="S48" i="97"/>
  <c r="S52" i="97"/>
  <c r="P53" i="97"/>
  <c r="L23" i="97"/>
  <c r="P54" i="97"/>
  <c r="H29" i="97"/>
  <c r="P34" i="97"/>
  <c r="K23" i="97"/>
  <c r="Q38" i="97"/>
  <c r="N25" i="97"/>
  <c r="M19" i="97"/>
  <c r="S21" i="97"/>
  <c r="I37" i="97"/>
  <c r="L20" i="97"/>
  <c r="G44" i="97"/>
  <c r="S35" i="97"/>
  <c r="O26" i="97"/>
  <c r="P44" i="97"/>
  <c r="K42" i="97"/>
  <c r="S38" i="97"/>
  <c r="J43" i="97"/>
  <c r="M35" i="97"/>
  <c r="O53" i="97"/>
  <c r="R44" i="97"/>
  <c r="M33" i="97"/>
  <c r="Q26" i="97"/>
  <c r="R55" i="97"/>
  <c r="I44" i="97"/>
  <c r="I19" i="97"/>
  <c r="P23" i="97"/>
  <c r="N47" i="97"/>
  <c r="I50" i="97"/>
  <c r="K40" i="97"/>
  <c r="J24" i="97"/>
  <c r="K19" i="97"/>
  <c r="J55" i="97"/>
  <c r="J35" i="97"/>
  <c r="M26" i="97"/>
  <c r="L54" i="97"/>
  <c r="R39" i="97"/>
  <c r="Q57" i="97"/>
  <c r="F42" i="97"/>
  <c r="F55" i="97"/>
  <c r="K26" i="97"/>
  <c r="Q25" i="97"/>
  <c r="R36" i="97"/>
  <c r="F34" i="97"/>
  <c r="M57" i="97"/>
  <c r="M53" i="97"/>
  <c r="N21" i="97"/>
  <c r="O57" i="97"/>
  <c r="O38" i="97"/>
  <c r="H55" i="97"/>
  <c r="P24" i="97"/>
  <c r="N52" i="97"/>
  <c r="R24" i="97"/>
  <c r="H26" i="97"/>
  <c r="I29" i="97"/>
  <c r="J28" i="97"/>
  <c r="K20" i="97"/>
  <c r="O28" i="97"/>
  <c r="O33" i="97"/>
  <c r="P26" i="97"/>
  <c r="F33" i="97"/>
  <c r="M37" i="97"/>
  <c r="T29" i="97"/>
  <c r="R49" i="97"/>
  <c r="N42" i="97"/>
  <c r="Q34" i="97"/>
  <c r="F28" i="97"/>
  <c r="T38" i="97"/>
  <c r="F23" i="97"/>
  <c r="I20" i="97"/>
  <c r="L39" i="97"/>
  <c r="S33" i="97"/>
  <c r="R40" i="97"/>
  <c r="N31" i="97"/>
  <c r="I53" i="97"/>
  <c r="K36" i="97"/>
  <c r="I49" i="97"/>
  <c r="J50" i="97"/>
  <c r="K49" i="97"/>
  <c r="S24" i="97"/>
  <c r="P25" i="97"/>
  <c r="T23" i="97"/>
  <c r="G21" i="97"/>
  <c r="H21" i="97"/>
  <c r="P21" i="97"/>
  <c r="H47" i="97"/>
  <c r="O37" i="97"/>
  <c r="Q36" i="97"/>
  <c r="Q20" i="97"/>
  <c r="L38" i="97"/>
  <c r="P55" i="97"/>
  <c r="O50" i="97"/>
  <c r="I28" i="97"/>
  <c r="G50" i="97"/>
  <c r="G20" i="97"/>
  <c r="P33" i="97"/>
  <c r="G25" i="97"/>
  <c r="K34" i="97"/>
  <c r="R57" i="97"/>
  <c r="H39" i="97"/>
  <c r="H48" i="97"/>
  <c r="P29" i="97"/>
  <c r="M28" i="97"/>
  <c r="M50" i="97"/>
  <c r="P28" i="97"/>
  <c r="H45" i="97"/>
  <c r="M43" i="97"/>
  <c r="O48" i="97"/>
  <c r="Q54" i="97"/>
  <c r="O24" i="97"/>
  <c r="J47" i="97"/>
  <c r="O35" i="97"/>
  <c r="N19" i="97"/>
  <c r="J39" i="97"/>
  <c r="T52" i="97"/>
  <c r="I24" i="97"/>
  <c r="R37" i="97"/>
  <c r="F39" i="97"/>
  <c r="L29" i="97"/>
  <c r="G42" i="97"/>
  <c r="P38" i="97"/>
  <c r="P31" i="97"/>
  <c r="N24" i="97"/>
  <c r="J54" i="97"/>
  <c r="T24" i="97"/>
  <c r="N26" i="97"/>
  <c r="Q44" i="97"/>
  <c r="M31" i="97"/>
  <c r="H43" i="97"/>
  <c r="T49" i="97"/>
  <c r="M42" i="97"/>
  <c r="Q40" i="97"/>
  <c r="S57" i="97"/>
  <c r="R21" i="97"/>
  <c r="Q42" i="97"/>
  <c r="T53" i="97"/>
  <c r="R23" i="97"/>
  <c r="G37" i="97"/>
  <c r="T48" i="97"/>
  <c r="R26" i="97"/>
  <c r="F38" i="97"/>
  <c r="S42" i="97"/>
  <c r="M48" i="97"/>
  <c r="L47" i="97"/>
  <c r="O49" i="97"/>
  <c r="O31" i="97"/>
  <c r="Q43" i="97"/>
  <c r="G54" i="97"/>
  <c r="J44" i="97"/>
  <c r="K21" i="97"/>
  <c r="T33" i="97"/>
  <c r="J40" i="97"/>
  <c r="I48" i="97"/>
  <c r="F35" i="97"/>
  <c r="F31" i="97"/>
  <c r="F50" i="97"/>
  <c r="L21" i="97"/>
  <c r="N34" i="97"/>
  <c r="K35" i="97"/>
  <c r="G23" i="97"/>
  <c r="L55" i="97"/>
  <c r="F20" i="97"/>
  <c r="I35" i="97"/>
  <c r="G31" i="97"/>
  <c r="G48" i="97"/>
  <c r="F43" i="97"/>
  <c r="G49" i="97"/>
  <c r="F29" i="97"/>
  <c r="N23" i="97"/>
  <c r="T34" i="97"/>
  <c r="M23" i="97"/>
  <c r="L49" i="97"/>
  <c r="T21" i="97"/>
  <c r="K57" i="97"/>
  <c r="N40" i="97"/>
  <c r="P47" i="97"/>
  <c r="I36" i="97"/>
  <c r="S40" i="97"/>
  <c r="R47" i="97"/>
  <c r="N48" i="97"/>
  <c r="G57" i="97"/>
  <c r="H20" i="97"/>
  <c r="J52" i="97"/>
  <c r="J19" i="97"/>
  <c r="M40" i="97"/>
  <c r="Q28" i="97"/>
  <c r="H30" i="97"/>
  <c r="S36" i="97"/>
  <c r="O25" i="97"/>
  <c r="N30" i="97"/>
  <c r="I54" i="97"/>
  <c r="M39" i="97"/>
  <c r="Q31" i="97"/>
  <c r="G36" i="97"/>
  <c r="H36" i="97"/>
  <c r="N20" i="97"/>
  <c r="L24" i="97"/>
  <c r="K48" i="97"/>
  <c r="M47" i="97"/>
  <c r="J38" i="97"/>
  <c r="T19" i="97"/>
  <c r="F57" i="97"/>
  <c r="N28" i="97"/>
  <c r="S31" i="97"/>
  <c r="R45" i="97"/>
  <c r="G53" i="97"/>
  <c r="K44" i="97"/>
  <c r="J23" i="97"/>
  <c r="Q49" i="97"/>
  <c r="H19" i="97"/>
  <c r="J48" i="97"/>
  <c r="F26" i="97"/>
  <c r="L33" i="97"/>
  <c r="H35" i="97"/>
  <c r="R29" i="97"/>
  <c r="I34" i="97"/>
  <c r="K45" i="97"/>
  <c r="H25" i="97"/>
  <c r="L26" i="97"/>
  <c r="O55" i="97"/>
  <c r="G38" i="97"/>
  <c r="O19" i="97"/>
  <c r="O20" i="97"/>
  <c r="T28" i="97"/>
  <c r="R28" i="97"/>
  <c r="N50" i="97"/>
  <c r="I55" i="97"/>
  <c r="L37" i="97"/>
  <c r="S28" i="97"/>
  <c r="L48" i="97"/>
  <c r="N43" i="97"/>
  <c r="I33" i="97"/>
  <c r="P45" i="97"/>
  <c r="P37" i="97"/>
  <c r="T43" i="97"/>
  <c r="R35" i="97"/>
  <c r="H33" i="97"/>
  <c r="S34" i="97"/>
  <c r="Q45" i="97"/>
  <c r="M52" i="97"/>
  <c r="R38" i="97"/>
  <c r="H40" i="97"/>
  <c r="P48" i="97"/>
  <c r="M20" i="97"/>
  <c r="F25" i="97"/>
  <c r="N45" i="97"/>
  <c r="S44" i="97"/>
  <c r="S50" i="97"/>
  <c r="G35" i="97"/>
  <c r="L35" i="97"/>
  <c r="G55" i="97"/>
  <c r="S49" i="97"/>
  <c r="J36" i="97"/>
  <c r="Q21" i="97"/>
  <c r="O40" i="97"/>
  <c r="N33" i="97"/>
  <c r="K24" i="97"/>
  <c r="L19" i="97"/>
  <c r="M34" i="97"/>
  <c r="O42" i="97"/>
  <c r="K28" i="97"/>
  <c r="O39" i="97"/>
  <c r="H49" i="97"/>
  <c r="T45" i="97"/>
  <c r="L25" i="97"/>
  <c r="S29" i="97"/>
  <c r="Q29" i="97"/>
  <c r="O44" i="97"/>
  <c r="K55" i="97"/>
  <c r="P36" i="97"/>
  <c r="M29" i="97"/>
  <c r="H37" i="97"/>
  <c r="M45" i="97"/>
  <c r="H24" i="97"/>
  <c r="F54" i="97"/>
  <c r="K43" i="97"/>
  <c r="L43" i="97"/>
  <c r="Q48" i="97"/>
  <c r="S53" i="97"/>
  <c r="H31" i="97"/>
  <c r="Q52" i="97"/>
  <c r="N29" i="97"/>
  <c r="N44" i="97"/>
  <c r="R43" i="97"/>
  <c r="S23" i="97"/>
  <c r="L57" i="97"/>
  <c r="L44" i="97"/>
  <c r="L40" i="97"/>
  <c r="L45" i="97"/>
  <c r="H38" i="97"/>
  <c r="T20" i="97"/>
  <c r="P52" i="97"/>
  <c r="T42" i="97"/>
  <c r="R33" i="97"/>
  <c r="K52" i="97"/>
  <c r="Q24" i="97"/>
  <c r="Q55" i="97"/>
  <c r="P30" i="97"/>
  <c r="T50" i="97"/>
  <c r="R42" i="97"/>
  <c r="M21" i="97"/>
  <c r="N55" i="97"/>
  <c r="J30" i="97"/>
  <c r="K33" i="97"/>
  <c r="K29" i="97"/>
  <c r="Q33" i="97"/>
  <c r="T25" i="97"/>
  <c r="L34" i="97"/>
  <c r="M49" i="97"/>
  <c r="R25" i="97"/>
  <c r="Q23" i="97"/>
  <c r="H52" i="97"/>
  <c r="H23" i="97"/>
  <c r="I42" i="97"/>
  <c r="O23" i="97"/>
  <c r="R31" i="97"/>
  <c r="H34" i="97"/>
  <c r="G30" i="97"/>
  <c r="O54" i="97"/>
  <c r="K30" i="97"/>
  <c r="O45" i="97"/>
  <c r="K47" i="97"/>
  <c r="F47" i="97"/>
  <c r="M24" i="97"/>
  <c r="F44" i="97"/>
  <c r="J20" i="97"/>
  <c r="G43" i="97"/>
  <c r="T40" i="97"/>
  <c r="O21" i="97"/>
  <c r="J37" i="97"/>
  <c r="H28" i="97"/>
  <c r="F45" i="97"/>
  <c r="O29" i="97"/>
  <c r="L42" i="97"/>
  <c r="J25" i="97"/>
  <c r="N35" i="97"/>
  <c r="P49" i="97"/>
  <c r="T55" i="97"/>
  <c r="O34" i="97"/>
  <c r="S26" i="97"/>
  <c r="I52" i="97"/>
  <c r="L31" i="97"/>
  <c r="M38" i="97"/>
  <c r="G39" i="97"/>
  <c r="J31" i="97"/>
  <c r="L30" i="97"/>
  <c r="F49" i="97"/>
  <c r="Q53" i="97"/>
  <c r="Q47" i="97"/>
  <c r="F30" i="97"/>
  <c r="G26" i="97"/>
  <c r="Q30" i="97"/>
  <c r="Q19" i="97"/>
  <c r="M44" i="97"/>
  <c r="T31" i="97"/>
  <c r="F24" i="97"/>
  <c r="F37" i="97"/>
  <c r="S47" i="97"/>
  <c r="I38" i="97"/>
  <c r="I25" i="97"/>
  <c r="R19" i="97"/>
  <c r="I26" i="97"/>
  <c r="K38" i="97"/>
  <c r="S20" i="97"/>
  <c r="O30" i="97"/>
  <c r="T26" i="97"/>
  <c r="P40" i="97"/>
  <c r="R53" i="97"/>
  <c r="K37" i="97"/>
  <c r="S25" i="97"/>
  <c r="J57" i="97"/>
  <c r="K50" i="97"/>
  <c r="N36" i="97"/>
  <c r="N39" i="97"/>
  <c r="J45" i="97"/>
  <c r="T57" i="97"/>
  <c r="I31" i="97"/>
  <c r="J49" i="97"/>
  <c r="Q37" i="97"/>
  <c r="K39" i="97"/>
  <c r="M54" i="97"/>
  <c r="N38" i="97"/>
  <c r="Q35" i="97"/>
  <c r="J26" i="97"/>
  <c r="F19" i="97"/>
  <c r="S45" i="97"/>
  <c r="N37" i="97"/>
  <c r="O47" i="97"/>
  <c r="Q50" i="97"/>
  <c r="S43" i="97"/>
  <c r="H50" i="97"/>
  <c r="T54" i="97"/>
  <c r="R52" i="97"/>
  <c r="P19" i="97"/>
  <c r="I23" i="97"/>
  <c r="F40" i="97"/>
  <c r="N49" i="97"/>
  <c r="H44" i="97"/>
  <c r="I39" i="97"/>
  <c r="J29" i="97"/>
  <c r="L53" i="97"/>
  <c r="K31" i="97"/>
  <c r="P42" i="97"/>
  <c r="K54" i="97"/>
  <c r="F52" i="97"/>
  <c r="J53" i="97"/>
  <c r="G52" i="97"/>
  <c r="I45" i="97"/>
  <c r="R30" i="97"/>
  <c r="I43" i="97"/>
  <c r="G28" i="97"/>
  <c r="K25" i="97"/>
  <c r="I40" i="97"/>
  <c r="M25" i="97"/>
  <c r="O36" i="97"/>
  <c r="L50" i="97"/>
  <c r="J21" i="97"/>
  <c r="T37" i="97"/>
  <c r="G34" i="97"/>
  <c r="H57" i="97"/>
  <c r="M55" i="97"/>
  <c r="I47" i="97"/>
  <c r="T35" i="97"/>
  <c r="S54" i="97"/>
  <c r="R48" i="97"/>
  <c r="R54" i="97"/>
  <c r="N54" i="97"/>
  <c r="H42" i="97"/>
  <c r="T47" i="97"/>
  <c r="G47" i="97"/>
  <c r="M30" i="97"/>
  <c r="L36" i="97"/>
  <c r="G29" i="97"/>
  <c r="M36" i="97"/>
  <c r="P39" i="97"/>
  <c r="G24" i="97"/>
  <c r="T44" i="97"/>
  <c r="S39" i="97"/>
  <c r="F36" i="97"/>
  <c r="F53" i="97"/>
  <c r="U63" i="138" l="1"/>
  <c r="P63" i="138"/>
  <c r="T63" i="138"/>
  <c r="O63" i="138"/>
  <c r="Q63" i="138"/>
  <c r="S63" i="138"/>
  <c r="R63" i="138"/>
  <c r="Q61" i="138"/>
  <c r="N156" i="97"/>
  <c r="N103" i="97"/>
  <c r="O63" i="97"/>
  <c r="P108" i="97" s="1"/>
  <c r="O116" i="97"/>
  <c r="P158" i="97"/>
  <c r="P105" i="97"/>
  <c r="S126" i="97"/>
  <c r="S73" i="97"/>
  <c r="I51" i="97"/>
  <c r="J149" i="97" s="1"/>
  <c r="J154" i="97"/>
  <c r="J101" i="97"/>
  <c r="P146" i="97"/>
  <c r="P93" i="97"/>
  <c r="S65" i="97"/>
  <c r="S119" i="97"/>
  <c r="R22" i="97"/>
  <c r="S66" i="97"/>
  <c r="S118" i="97"/>
  <c r="S95" i="97"/>
  <c r="R46" i="97"/>
  <c r="S148" i="97"/>
  <c r="S143" i="97"/>
  <c r="Q139" i="97"/>
  <c r="Q86" i="97"/>
  <c r="H89" i="97"/>
  <c r="H142" i="97"/>
  <c r="G41" i="97"/>
  <c r="P89" i="97"/>
  <c r="P142" i="97"/>
  <c r="O41" i="97"/>
  <c r="N155" i="97"/>
  <c r="N102" i="97"/>
  <c r="N162" i="97"/>
  <c r="N109" i="97"/>
  <c r="H157" i="97"/>
  <c r="H104" i="97"/>
  <c r="T151" i="97"/>
  <c r="T98" i="97"/>
  <c r="Q120" i="97"/>
  <c r="Q67" i="97"/>
  <c r="N158" i="97"/>
  <c r="N105" i="97"/>
  <c r="T81" i="97"/>
  <c r="T134" i="97"/>
  <c r="Q148" i="97"/>
  <c r="Q95" i="97"/>
  <c r="P46" i="97"/>
  <c r="Q143" i="97"/>
  <c r="Q156" i="97"/>
  <c r="Q103" i="97"/>
  <c r="K46" i="97"/>
  <c r="L143" i="97"/>
  <c r="L148" i="97"/>
  <c r="L95" i="97"/>
  <c r="Q93" i="97"/>
  <c r="Q146" i="97"/>
  <c r="O80" i="97"/>
  <c r="O133" i="97"/>
  <c r="K81" i="97"/>
  <c r="K134" i="97"/>
  <c r="G91" i="97"/>
  <c r="G144" i="97"/>
  <c r="I120" i="97"/>
  <c r="I67" i="97"/>
  <c r="P67" i="97"/>
  <c r="P120" i="97"/>
  <c r="K103" i="97"/>
  <c r="K156" i="97"/>
  <c r="I116" i="97"/>
  <c r="I63" i="97"/>
  <c r="J108" i="97" s="1"/>
  <c r="M134" i="97"/>
  <c r="M81" i="97"/>
  <c r="L68" i="97"/>
  <c r="L121" i="97"/>
  <c r="P62" i="97"/>
  <c r="P115" i="97"/>
  <c r="J156" i="97"/>
  <c r="J103" i="97"/>
  <c r="L93" i="97"/>
  <c r="L146" i="97"/>
  <c r="Q142" i="97"/>
  <c r="P41" i="97"/>
  <c r="Q89" i="97"/>
  <c r="M146" i="97"/>
  <c r="M93" i="97"/>
  <c r="S139" i="97"/>
  <c r="S86" i="97"/>
  <c r="K67" i="97"/>
  <c r="K120" i="97"/>
  <c r="N139" i="97"/>
  <c r="N86" i="97"/>
  <c r="R130" i="97"/>
  <c r="Q32" i="97"/>
  <c r="R77" i="97"/>
  <c r="H103" i="97"/>
  <c r="H156" i="97"/>
  <c r="Q145" i="97"/>
  <c r="Q92" i="97"/>
  <c r="Q140" i="97"/>
  <c r="Q84" i="97"/>
  <c r="Q137" i="97"/>
  <c r="Q87" i="97"/>
  <c r="G32" i="97"/>
  <c r="H130" i="97"/>
  <c r="H77" i="97"/>
  <c r="S22" i="97"/>
  <c r="T66" i="97"/>
  <c r="T119" i="97"/>
  <c r="T118" i="97"/>
  <c r="T65" i="97"/>
  <c r="G87" i="97"/>
  <c r="G84" i="97"/>
  <c r="G140" i="97"/>
  <c r="G137" i="97"/>
  <c r="I152" i="97"/>
  <c r="I99" i="97"/>
  <c r="P130" i="97"/>
  <c r="P77" i="97"/>
  <c r="O32" i="97"/>
  <c r="G127" i="97"/>
  <c r="G74" i="97"/>
  <c r="P81" i="97"/>
  <c r="P134" i="97"/>
  <c r="R80" i="97"/>
  <c r="R133" i="97"/>
  <c r="S120" i="97"/>
  <c r="S67" i="97"/>
  <c r="T32" i="97"/>
  <c r="U77" i="97"/>
  <c r="U130" i="97"/>
  <c r="N144" i="97"/>
  <c r="N91" i="97"/>
  <c r="K122" i="97"/>
  <c r="K69" i="97"/>
  <c r="I85" i="97"/>
  <c r="I138" i="97"/>
  <c r="K80" i="97"/>
  <c r="K133" i="97"/>
  <c r="H73" i="97"/>
  <c r="H126" i="97"/>
  <c r="L67" i="97"/>
  <c r="L120" i="97"/>
  <c r="M32" i="97"/>
  <c r="N130" i="97"/>
  <c r="N77" i="97"/>
  <c r="U124" i="97"/>
  <c r="U71" i="97"/>
  <c r="T27" i="97"/>
  <c r="U72" i="97" s="1"/>
  <c r="M91" i="97"/>
  <c r="M144" i="97"/>
  <c r="M157" i="97"/>
  <c r="M104" i="97"/>
  <c r="J67" i="97"/>
  <c r="J120" i="97"/>
  <c r="S85" i="97"/>
  <c r="S138" i="97"/>
  <c r="O86" i="97"/>
  <c r="O139" i="97"/>
  <c r="R126" i="97"/>
  <c r="R73" i="97"/>
  <c r="U104" i="97"/>
  <c r="U157" i="97"/>
  <c r="L79" i="97"/>
  <c r="L132" i="97"/>
  <c r="L78" i="97"/>
  <c r="L131" i="97"/>
  <c r="O74" i="97"/>
  <c r="O127" i="97"/>
  <c r="M87" i="97"/>
  <c r="M140" i="97"/>
  <c r="M84" i="97"/>
  <c r="M137" i="97"/>
  <c r="K127" i="97"/>
  <c r="K74" i="97"/>
  <c r="J143" i="97"/>
  <c r="J95" i="97"/>
  <c r="I46" i="97"/>
  <c r="J148" i="97"/>
  <c r="S154" i="97"/>
  <c r="S101" i="97"/>
  <c r="R51" i="97"/>
  <c r="S149" i="97" s="1"/>
  <c r="N98" i="97"/>
  <c r="N151" i="97"/>
  <c r="U156" i="97"/>
  <c r="U103" i="97"/>
  <c r="P71" i="97"/>
  <c r="P124" i="97"/>
  <c r="O27" i="97"/>
  <c r="P72" i="97" s="1"/>
  <c r="O71" i="97"/>
  <c r="N27" i="97"/>
  <c r="O72" i="97" s="1"/>
  <c r="O124" i="97"/>
  <c r="H143" i="97"/>
  <c r="H148" i="97"/>
  <c r="H95" i="97"/>
  <c r="G46" i="97"/>
  <c r="S63" i="97"/>
  <c r="T108" i="97" s="1"/>
  <c r="S116" i="97"/>
  <c r="P75" i="97"/>
  <c r="P128" i="97"/>
  <c r="U134" i="97"/>
  <c r="U81" i="97"/>
  <c r="U101" i="97"/>
  <c r="U154" i="97"/>
  <c r="T51" i="97"/>
  <c r="U96" i="97" s="1"/>
  <c r="H97" i="97"/>
  <c r="H150" i="97"/>
  <c r="J146" i="97"/>
  <c r="J93" i="97"/>
  <c r="R124" i="97"/>
  <c r="Q27" i="97"/>
  <c r="R125" i="97" s="1"/>
  <c r="R71" i="97"/>
  <c r="O75" i="97"/>
  <c r="O128" i="97"/>
  <c r="L150" i="97"/>
  <c r="L97" i="97"/>
  <c r="N87" i="97"/>
  <c r="N84" i="97"/>
  <c r="N137" i="97"/>
  <c r="N140" i="97"/>
  <c r="U127" i="97"/>
  <c r="U74" i="97"/>
  <c r="I131" i="97"/>
  <c r="I78" i="97"/>
  <c r="I132" i="97"/>
  <c r="I79" i="97"/>
  <c r="M145" i="97"/>
  <c r="M92" i="97"/>
  <c r="U121" i="97"/>
  <c r="U68" i="97"/>
  <c r="I150" i="97"/>
  <c r="I97" i="97"/>
  <c r="L158" i="97"/>
  <c r="L105" i="97"/>
  <c r="M115" i="97"/>
  <c r="M62" i="97"/>
  <c r="S150" i="97"/>
  <c r="S97" i="97"/>
  <c r="Q81" i="97"/>
  <c r="Q134" i="97"/>
  <c r="U139" i="97"/>
  <c r="U86" i="97"/>
  <c r="T46" i="97"/>
  <c r="U95" i="97"/>
  <c r="U148" i="97"/>
  <c r="U143" i="97"/>
  <c r="U132" i="97"/>
  <c r="U78" i="97"/>
  <c r="U79" i="97"/>
  <c r="U131" i="97"/>
  <c r="N107" i="97"/>
  <c r="M56" i="97"/>
  <c r="N160" i="97"/>
  <c r="L83" i="97"/>
  <c r="L136" i="97"/>
  <c r="Q121" i="97"/>
  <c r="Q68" i="97"/>
  <c r="U67" i="97"/>
  <c r="U120" i="97"/>
  <c r="G89" i="97"/>
  <c r="G142" i="97"/>
  <c r="F41" i="97"/>
  <c r="R32" i="97"/>
  <c r="S130" i="97"/>
  <c r="S77" i="97"/>
  <c r="H85" i="97"/>
  <c r="H138" i="97"/>
  <c r="R127" i="97"/>
  <c r="R74" i="97"/>
  <c r="T68" i="97"/>
  <c r="T121" i="97"/>
  <c r="L152" i="97"/>
  <c r="L99" i="97"/>
  <c r="G160" i="97"/>
  <c r="F56" i="97"/>
  <c r="G107" i="97"/>
  <c r="P99" i="97"/>
  <c r="P152" i="97"/>
  <c r="O131" i="97"/>
  <c r="O78" i="97"/>
  <c r="O132" i="97"/>
  <c r="O79" i="97"/>
  <c r="O103" i="97"/>
  <c r="O156" i="97"/>
  <c r="H109" i="97"/>
  <c r="H155" i="97"/>
  <c r="H102" i="97"/>
  <c r="H162" i="97"/>
  <c r="R65" i="97"/>
  <c r="R119" i="97"/>
  <c r="R66" i="97"/>
  <c r="R118" i="97"/>
  <c r="Q22" i="97"/>
  <c r="N69" i="97"/>
  <c r="N122" i="97"/>
  <c r="O121" i="97"/>
  <c r="O68" i="97"/>
  <c r="S155" i="97"/>
  <c r="S102" i="97"/>
  <c r="S162" i="97"/>
  <c r="S109" i="97"/>
  <c r="T74" i="97"/>
  <c r="T127" i="97"/>
  <c r="S92" i="97"/>
  <c r="S145" i="97"/>
  <c r="L75" i="97"/>
  <c r="L128" i="97"/>
  <c r="K158" i="97"/>
  <c r="K105" i="97"/>
  <c r="R158" i="97"/>
  <c r="R105" i="97"/>
  <c r="O85" i="97"/>
  <c r="O138" i="97"/>
  <c r="G99" i="97"/>
  <c r="G152" i="97"/>
  <c r="N93" i="97"/>
  <c r="N146" i="97"/>
  <c r="U73" i="97"/>
  <c r="U126" i="97"/>
  <c r="O98" i="97"/>
  <c r="O151" i="97"/>
  <c r="N101" i="97"/>
  <c r="M51" i="97"/>
  <c r="N96" i="97" s="1"/>
  <c r="N154" i="97"/>
  <c r="P156" i="97"/>
  <c r="P103" i="97"/>
  <c r="J116" i="97"/>
  <c r="J63" i="97"/>
  <c r="K108" i="97" s="1"/>
  <c r="R156" i="97"/>
  <c r="R103" i="97"/>
  <c r="N56" i="97"/>
  <c r="O107" i="97"/>
  <c r="O160" i="97"/>
  <c r="H132" i="97"/>
  <c r="H78" i="97"/>
  <c r="H131" i="97"/>
  <c r="H79" i="97"/>
  <c r="M121" i="97"/>
  <c r="M68" i="97"/>
  <c r="P27" i="97"/>
  <c r="Q72" i="97" s="1"/>
  <c r="Q71" i="97"/>
  <c r="Q124" i="97"/>
  <c r="K79" i="97"/>
  <c r="K132" i="97"/>
  <c r="K78" i="97"/>
  <c r="K131" i="97"/>
  <c r="G51" i="97"/>
  <c r="H96" i="97" s="1"/>
  <c r="H154" i="97"/>
  <c r="H101" i="97"/>
  <c r="I122" i="97"/>
  <c r="I69" i="97"/>
  <c r="S98" i="97"/>
  <c r="S151" i="97"/>
  <c r="U98" i="97"/>
  <c r="U151" i="97"/>
  <c r="S158" i="97"/>
  <c r="S105" i="97"/>
  <c r="P73" i="97"/>
  <c r="P126" i="97"/>
  <c r="T120" i="97"/>
  <c r="T67" i="97"/>
  <c r="P91" i="97"/>
  <c r="P144" i="97"/>
  <c r="K121" i="97"/>
  <c r="K68" i="97"/>
  <c r="R162" i="97"/>
  <c r="R155" i="97"/>
  <c r="R109" i="97"/>
  <c r="R102" i="97"/>
  <c r="K97" i="97"/>
  <c r="K150" i="97"/>
  <c r="L140" i="97"/>
  <c r="L87" i="97"/>
  <c r="L84" i="97"/>
  <c r="L137" i="97"/>
  <c r="I56" i="97"/>
  <c r="J160" i="97"/>
  <c r="J107" i="97"/>
  <c r="K138" i="97"/>
  <c r="K85" i="97"/>
  <c r="R91" i="97"/>
  <c r="R144" i="97"/>
  <c r="O146" i="97"/>
  <c r="O93" i="97"/>
  <c r="L63" i="97"/>
  <c r="M108" i="97" s="1"/>
  <c r="L116" i="97"/>
  <c r="G92" i="97"/>
  <c r="G145" i="97"/>
  <c r="R121" i="97"/>
  <c r="R68" i="97"/>
  <c r="R62" i="97"/>
  <c r="R115" i="97"/>
  <c r="M103" i="97"/>
  <c r="M156" i="97"/>
  <c r="G156" i="97"/>
  <c r="G103" i="97"/>
  <c r="N128" i="97"/>
  <c r="N75" i="97"/>
  <c r="N95" i="97"/>
  <c r="N148" i="97"/>
  <c r="M46" i="97"/>
  <c r="N143" i="97"/>
  <c r="P150" i="97"/>
  <c r="P97" i="97"/>
  <c r="H146" i="97"/>
  <c r="H93" i="97"/>
  <c r="S160" i="97"/>
  <c r="R56" i="97"/>
  <c r="S107" i="97"/>
  <c r="M89" i="97"/>
  <c r="M142" i="97"/>
  <c r="L41" i="97"/>
  <c r="Q66" i="97"/>
  <c r="P22" i="97"/>
  <c r="Q65" i="97"/>
  <c r="Q118" i="97"/>
  <c r="Q119" i="97"/>
  <c r="G133" i="97"/>
  <c r="G80" i="97"/>
  <c r="I86" i="97"/>
  <c r="I139" i="97"/>
  <c r="T103" i="97"/>
  <c r="T156" i="97"/>
  <c r="G85" i="97"/>
  <c r="G138" i="97"/>
  <c r="Q46" i="97"/>
  <c r="R148" i="97"/>
  <c r="R95" i="97"/>
  <c r="R143" i="97"/>
  <c r="M162" i="97"/>
  <c r="M109" i="97"/>
  <c r="M102" i="97"/>
  <c r="M155" i="97"/>
  <c r="I121" i="97"/>
  <c r="I68" i="97"/>
  <c r="M41" i="97"/>
  <c r="N142" i="97"/>
  <c r="N89" i="97"/>
  <c r="G93" i="97"/>
  <c r="G146" i="97"/>
  <c r="H134" i="97"/>
  <c r="H81" i="97"/>
  <c r="T101" i="97"/>
  <c r="S51" i="97"/>
  <c r="T96" i="97" s="1"/>
  <c r="T154" i="97"/>
  <c r="R160" i="97"/>
  <c r="R107" i="97"/>
  <c r="Q56" i="97"/>
  <c r="J79" i="97"/>
  <c r="J131" i="97"/>
  <c r="J132" i="97"/>
  <c r="J78" i="97"/>
  <c r="G139" i="97"/>
  <c r="G86" i="97"/>
  <c r="H160" i="97"/>
  <c r="H107" i="97"/>
  <c r="G56" i="97"/>
  <c r="P139" i="97"/>
  <c r="P86" i="97"/>
  <c r="J56" i="97"/>
  <c r="K107" i="97"/>
  <c r="K160" i="97"/>
  <c r="G134" i="97"/>
  <c r="G81" i="97"/>
  <c r="U160" i="97"/>
  <c r="U107" i="97"/>
  <c r="T56" i="97"/>
  <c r="K89" i="97"/>
  <c r="K142" i="97"/>
  <c r="J41" i="97"/>
  <c r="M116" i="97"/>
  <c r="M63" i="97"/>
  <c r="N108" i="97" s="1"/>
  <c r="M86" i="97"/>
  <c r="M139" i="97"/>
  <c r="P95" i="97"/>
  <c r="P148" i="97"/>
  <c r="O46" i="97"/>
  <c r="P143" i="97"/>
  <c r="Q122" i="97"/>
  <c r="Q69" i="97"/>
  <c r="S41" i="97"/>
  <c r="T89" i="97"/>
  <c r="T142" i="97"/>
  <c r="Q150" i="97"/>
  <c r="Q97" i="97"/>
  <c r="O148" i="97"/>
  <c r="O143" i="97"/>
  <c r="O95" i="97"/>
  <c r="N46" i="97"/>
  <c r="I142" i="97"/>
  <c r="H41" i="97"/>
  <c r="I89" i="97"/>
  <c r="L151" i="97"/>
  <c r="L98" i="97"/>
  <c r="M78" i="97"/>
  <c r="M131" i="97"/>
  <c r="M79" i="97"/>
  <c r="M132" i="97"/>
  <c r="G73" i="97"/>
  <c r="G126" i="97"/>
  <c r="I87" i="97"/>
  <c r="I140" i="97"/>
  <c r="I137" i="97"/>
  <c r="I84" i="97"/>
  <c r="K91" i="97"/>
  <c r="K144" i="97"/>
  <c r="P98" i="97"/>
  <c r="P151" i="97"/>
  <c r="H86" i="97"/>
  <c r="H139" i="97"/>
  <c r="N131" i="97"/>
  <c r="N78" i="97"/>
  <c r="N132" i="97"/>
  <c r="N79" i="97"/>
  <c r="K152" i="97"/>
  <c r="K99" i="97"/>
  <c r="K83" i="97"/>
  <c r="K136" i="97"/>
  <c r="R128" i="97"/>
  <c r="R75" i="97"/>
  <c r="U146" i="97"/>
  <c r="U93" i="97"/>
  <c r="M138" i="97"/>
  <c r="M85" i="97"/>
  <c r="K126" i="97"/>
  <c r="K73" i="97"/>
  <c r="I71" i="97"/>
  <c r="H27" i="97"/>
  <c r="I72" i="97" s="1"/>
  <c r="I124" i="97"/>
  <c r="L124" i="97"/>
  <c r="K27" i="97"/>
  <c r="L125" i="97" s="1"/>
  <c r="L71" i="97"/>
  <c r="P137" i="97"/>
  <c r="P140" i="97"/>
  <c r="P87" i="97"/>
  <c r="P84" i="97"/>
  <c r="P51" i="97"/>
  <c r="Q96" i="97" s="1"/>
  <c r="Q154" i="97"/>
  <c r="Q101" i="97"/>
  <c r="U87" i="97"/>
  <c r="U84" i="97"/>
  <c r="U140" i="97"/>
  <c r="U137" i="97"/>
  <c r="J102" i="97"/>
  <c r="J162" i="97"/>
  <c r="J109" i="97"/>
  <c r="J155" i="97"/>
  <c r="Q115" i="97"/>
  <c r="Q62" i="97"/>
  <c r="J32" i="97"/>
  <c r="K77" i="97"/>
  <c r="K130" i="97"/>
  <c r="U75" i="97"/>
  <c r="U128" i="97"/>
  <c r="Q151" i="97"/>
  <c r="Q98" i="97"/>
  <c r="S81" i="97"/>
  <c r="S134" i="97"/>
  <c r="J99" i="97"/>
  <c r="J152" i="97"/>
  <c r="N68" i="97"/>
  <c r="N121" i="97"/>
  <c r="O154" i="97"/>
  <c r="O101" i="97"/>
  <c r="N51" i="97"/>
  <c r="O96" i="97" s="1"/>
  <c r="P145" i="97"/>
  <c r="P92" i="97"/>
  <c r="H46" i="97"/>
  <c r="I95" i="97"/>
  <c r="I143" i="97"/>
  <c r="I148" i="97"/>
  <c r="Q157" i="97"/>
  <c r="Q104" i="97"/>
  <c r="P85" i="97"/>
  <c r="P138" i="97"/>
  <c r="I156" i="97"/>
  <c r="I103" i="97"/>
  <c r="I146" i="97"/>
  <c r="I93" i="97"/>
  <c r="O126" i="97"/>
  <c r="O73" i="97"/>
  <c r="K139" i="97"/>
  <c r="K86" i="97"/>
  <c r="H92" i="97"/>
  <c r="H145" i="97"/>
  <c r="N71" i="97"/>
  <c r="M27" i="97"/>
  <c r="N72" i="97" s="1"/>
  <c r="N124" i="97"/>
  <c r="R136" i="97"/>
  <c r="R83" i="97"/>
  <c r="M67" i="97"/>
  <c r="M120" i="97"/>
  <c r="R67" i="97"/>
  <c r="R120" i="97"/>
  <c r="T139" i="97"/>
  <c r="T86" i="97"/>
  <c r="J145" i="97"/>
  <c r="J92" i="97"/>
  <c r="O137" i="97"/>
  <c r="O140" i="97"/>
  <c r="O87" i="97"/>
  <c r="O84" i="97"/>
  <c r="N81" i="97"/>
  <c r="N134" i="97"/>
  <c r="K151" i="97"/>
  <c r="K98" i="97"/>
  <c r="I75" i="97"/>
  <c r="I128" i="97"/>
  <c r="O83" i="97"/>
  <c r="O136" i="97"/>
  <c r="J121" i="97"/>
  <c r="J68" i="97"/>
  <c r="K145" i="97"/>
  <c r="K92" i="97"/>
  <c r="J89" i="97"/>
  <c r="J142" i="97"/>
  <c r="I41" i="97"/>
  <c r="L32" i="97"/>
  <c r="M77" i="97"/>
  <c r="M130" i="97"/>
  <c r="T99" i="97"/>
  <c r="T152" i="97"/>
  <c r="P107" i="97"/>
  <c r="P160" i="97"/>
  <c r="O56" i="97"/>
  <c r="J22" i="97"/>
  <c r="K66" i="97"/>
  <c r="K119" i="97"/>
  <c r="K118" i="97"/>
  <c r="K65" i="97"/>
  <c r="U63" i="97"/>
  <c r="U116" i="97"/>
  <c r="K41" i="97"/>
  <c r="L142" i="97"/>
  <c r="L89" i="97"/>
  <c r="U80" i="97"/>
  <c r="U133" i="97"/>
  <c r="K155" i="97"/>
  <c r="K109" i="97"/>
  <c r="K102" i="97"/>
  <c r="K162" i="97"/>
  <c r="P104" i="97"/>
  <c r="P157" i="97"/>
  <c r="H158" i="97"/>
  <c r="H105" i="97"/>
  <c r="R150" i="97"/>
  <c r="R97" i="97"/>
  <c r="N133" i="97"/>
  <c r="N80" i="97"/>
  <c r="G162" i="97"/>
  <c r="G102" i="97"/>
  <c r="G109" i="97"/>
  <c r="G155" i="97"/>
  <c r="T157" i="97"/>
  <c r="T104" i="97"/>
  <c r="S103" i="97"/>
  <c r="S156" i="97"/>
  <c r="R154" i="97"/>
  <c r="R101" i="97"/>
  <c r="Q51" i="97"/>
  <c r="R149" i="97" s="1"/>
  <c r="H75" i="97"/>
  <c r="H128" i="97"/>
  <c r="M136" i="97"/>
  <c r="M83" i="97"/>
  <c r="O150" i="97"/>
  <c r="O97" i="97"/>
  <c r="R85" i="97"/>
  <c r="R138" i="97"/>
  <c r="J122" i="97"/>
  <c r="J69" i="97"/>
  <c r="U91" i="97"/>
  <c r="U144" i="97"/>
  <c r="H66" i="97"/>
  <c r="H119" i="97"/>
  <c r="G22" i="97"/>
  <c r="N116" i="97"/>
  <c r="N63" i="97"/>
  <c r="O161" i="97" s="1"/>
  <c r="U97" i="97"/>
  <c r="U150" i="97"/>
  <c r="S157" i="97"/>
  <c r="S104" i="97"/>
  <c r="U158" i="97"/>
  <c r="U105" i="97"/>
  <c r="Q155" i="97"/>
  <c r="Q102" i="97"/>
  <c r="Q162" i="97"/>
  <c r="Q109" i="97"/>
  <c r="U119" i="97"/>
  <c r="U65" i="97"/>
  <c r="T22" i="97"/>
  <c r="U118" i="97"/>
  <c r="U66" i="97"/>
  <c r="O62" i="97"/>
  <c r="O115" i="97"/>
  <c r="J133" i="97"/>
  <c r="J80" i="97"/>
  <c r="R69" i="97"/>
  <c r="R122" i="97"/>
  <c r="J75" i="97"/>
  <c r="J128" i="97"/>
  <c r="I66" i="97"/>
  <c r="I119" i="97"/>
  <c r="H22" i="97"/>
  <c r="O51" i="97"/>
  <c r="P149" i="97" s="1"/>
  <c r="P154" i="97"/>
  <c r="P101" i="97"/>
  <c r="M158" i="97"/>
  <c r="M105" i="97"/>
  <c r="M75" i="97"/>
  <c r="M128" i="97"/>
  <c r="T145" i="97"/>
  <c r="T92" i="97"/>
  <c r="Q75" i="97"/>
  <c r="Q128" i="97"/>
  <c r="G158" i="97"/>
  <c r="G105" i="97"/>
  <c r="S69" i="97"/>
  <c r="S122" i="97"/>
  <c r="G27" i="97"/>
  <c r="H72" i="97" s="1"/>
  <c r="H71" i="97"/>
  <c r="H124" i="97"/>
  <c r="J51" i="97"/>
  <c r="K96" i="97" s="1"/>
  <c r="K101" i="97"/>
  <c r="K154" i="97"/>
  <c r="Q132" i="97"/>
  <c r="Q78" i="97"/>
  <c r="Q79" i="97"/>
  <c r="Q131" i="97"/>
  <c r="R84" i="97"/>
  <c r="R87" i="97"/>
  <c r="R137" i="97"/>
  <c r="R140" i="97"/>
  <c r="N74" i="97"/>
  <c r="N127" i="97"/>
  <c r="U115" i="97"/>
  <c r="U62" i="97"/>
  <c r="L62" i="97"/>
  <c r="L115" i="97"/>
  <c r="J46" i="97"/>
  <c r="K95" i="97"/>
  <c r="K148" i="97"/>
  <c r="K143" i="97"/>
  <c r="G77" i="97"/>
  <c r="F32" i="97"/>
  <c r="G130" i="97"/>
  <c r="M143" i="97"/>
  <c r="L46" i="97"/>
  <c r="M148" i="97"/>
  <c r="M95" i="97"/>
  <c r="S89" i="97"/>
  <c r="S142" i="97"/>
  <c r="R41" i="97"/>
  <c r="L80" i="97"/>
  <c r="L133" i="97"/>
  <c r="I62" i="97"/>
  <c r="I115" i="97"/>
  <c r="T77" i="97"/>
  <c r="T130" i="97"/>
  <c r="S32" i="97"/>
  <c r="I126" i="97"/>
  <c r="I73" i="97"/>
  <c r="L85" i="97"/>
  <c r="L138" i="97"/>
  <c r="J130" i="97"/>
  <c r="I32" i="97"/>
  <c r="J77" i="97"/>
  <c r="L145" i="97"/>
  <c r="L92" i="97"/>
  <c r="L74" i="97"/>
  <c r="L127" i="97"/>
  <c r="U136" i="97"/>
  <c r="U83" i="97"/>
  <c r="S71" i="97"/>
  <c r="S124" i="97"/>
  <c r="R27" i="97"/>
  <c r="S72" i="97" s="1"/>
  <c r="J97" i="97"/>
  <c r="J150" i="97"/>
  <c r="M98" i="97"/>
  <c r="M151" i="97"/>
  <c r="O157" i="97"/>
  <c r="O104" i="97"/>
  <c r="Q138" i="97"/>
  <c r="Q85" i="97"/>
  <c r="R63" i="97"/>
  <c r="S161" i="97" s="1"/>
  <c r="R116" i="97"/>
  <c r="P65" i="97"/>
  <c r="P119" i="97"/>
  <c r="P66" i="97"/>
  <c r="O22" i="97"/>
  <c r="P118" i="97"/>
  <c r="P63" i="97"/>
  <c r="Q108" i="97" s="1"/>
  <c r="P116" i="97"/>
  <c r="Q77" i="97"/>
  <c r="P32" i="97"/>
  <c r="Q130" i="97"/>
  <c r="P127" i="97"/>
  <c r="P74" i="97"/>
  <c r="T158" i="97"/>
  <c r="T105" i="97"/>
  <c r="M97" i="97"/>
  <c r="M150" i="97"/>
  <c r="T71" i="97"/>
  <c r="S27" i="97"/>
  <c r="T72" i="97" s="1"/>
  <c r="T124" i="97"/>
  <c r="Q133" i="97"/>
  <c r="Q80" i="97"/>
  <c r="J66" i="97"/>
  <c r="J65" i="97"/>
  <c r="I22" i="97"/>
  <c r="J118" i="97"/>
  <c r="J119" i="97"/>
  <c r="R89" i="97"/>
  <c r="R142" i="97"/>
  <c r="Q41" i="97"/>
  <c r="N104" i="97"/>
  <c r="N157" i="97"/>
  <c r="S133" i="97"/>
  <c r="S80" i="97"/>
  <c r="O89" i="97"/>
  <c r="O142" i="97"/>
  <c r="N41" i="97"/>
  <c r="O67" i="97"/>
  <c r="O120" i="97"/>
  <c r="K146" i="97"/>
  <c r="K93" i="97"/>
  <c r="O65" i="97"/>
  <c r="O66" i="97"/>
  <c r="O118" i="97"/>
  <c r="O119" i="97"/>
  <c r="N22" i="97"/>
  <c r="L86" i="97"/>
  <c r="L139" i="97"/>
  <c r="J127" i="97"/>
  <c r="J74" i="97"/>
  <c r="I154" i="97"/>
  <c r="H51" i="97"/>
  <c r="I96" i="97" s="1"/>
  <c r="I101" i="97"/>
  <c r="J87" i="97"/>
  <c r="J137" i="97"/>
  <c r="J140" i="97"/>
  <c r="J84" i="97"/>
  <c r="P69" i="97"/>
  <c r="P122" i="97"/>
  <c r="I104" i="97"/>
  <c r="I157" i="97"/>
  <c r="M127" i="97"/>
  <c r="M74" i="97"/>
  <c r="T95" i="97"/>
  <c r="S46" i="97"/>
  <c r="T148" i="97"/>
  <c r="T143" i="97"/>
  <c r="Q127" i="97"/>
  <c r="Q74" i="97"/>
  <c r="T137" i="97"/>
  <c r="T140" i="97"/>
  <c r="T84" i="97"/>
  <c r="T87" i="97"/>
  <c r="P68" i="97"/>
  <c r="P121" i="97"/>
  <c r="J27" i="97"/>
  <c r="K72" i="97" s="1"/>
  <c r="K71" i="97"/>
  <c r="K124" i="97"/>
  <c r="N150" i="97"/>
  <c r="N97" i="97"/>
  <c r="I27" i="97"/>
  <c r="J72" i="97" s="1"/>
  <c r="J124" i="97"/>
  <c r="J71" i="97"/>
  <c r="N115" i="97"/>
  <c r="N62" i="97"/>
  <c r="J73" i="97"/>
  <c r="J126" i="97"/>
  <c r="S84" i="97"/>
  <c r="S87" i="97"/>
  <c r="S140" i="97"/>
  <c r="S137" i="97"/>
  <c r="L77" i="97"/>
  <c r="K32" i="97"/>
  <c r="L130" i="97"/>
  <c r="U109" i="97"/>
  <c r="U155" i="97"/>
  <c r="U102" i="97"/>
  <c r="U162" i="97"/>
  <c r="I162" i="97"/>
  <c r="I109" i="97"/>
  <c r="I155" i="97"/>
  <c r="I102" i="97"/>
  <c r="O122" i="97"/>
  <c r="O69" i="97"/>
  <c r="H122" i="97"/>
  <c r="H69" i="97"/>
  <c r="N65" i="97"/>
  <c r="N66" i="97"/>
  <c r="N118" i="97"/>
  <c r="M22" i="97"/>
  <c r="N119" i="97"/>
  <c r="T136" i="97"/>
  <c r="T83" i="97"/>
  <c r="O77" i="97"/>
  <c r="O130" i="97"/>
  <c r="N32" i="97"/>
  <c r="H127" i="97"/>
  <c r="H74" i="97"/>
  <c r="T97" i="97"/>
  <c r="T150" i="97"/>
  <c r="T146" i="97"/>
  <c r="T93" i="97"/>
  <c r="F22" i="97"/>
  <c r="G66" i="97"/>
  <c r="G119" i="97"/>
  <c r="H32" i="97"/>
  <c r="I77" i="97"/>
  <c r="I130" i="97"/>
  <c r="N138" i="97"/>
  <c r="N85" i="97"/>
  <c r="L73" i="97"/>
  <c r="L126" i="97"/>
  <c r="R99" i="97"/>
  <c r="R152" i="97"/>
  <c r="J83" i="97"/>
  <c r="J136" i="97"/>
  <c r="Q73" i="97"/>
  <c r="Q126" i="97"/>
  <c r="L65" i="97"/>
  <c r="L118" i="97"/>
  <c r="L119" i="97"/>
  <c r="K22" i="97"/>
  <c r="L66" i="97"/>
  <c r="H136" i="97"/>
  <c r="H83" i="97"/>
  <c r="M154" i="97"/>
  <c r="M101" i="97"/>
  <c r="L51" i="97"/>
  <c r="M149" i="97" s="1"/>
  <c r="K104" i="97"/>
  <c r="K157" i="97"/>
  <c r="O152" i="97"/>
  <c r="O99" i="97"/>
  <c r="O155" i="97"/>
  <c r="O109" i="97"/>
  <c r="O162" i="97"/>
  <c r="O102" i="97"/>
  <c r="S62" i="97"/>
  <c r="S115" i="97"/>
  <c r="G150" i="97"/>
  <c r="G97" i="97"/>
  <c r="S127" i="97"/>
  <c r="S74" i="97"/>
  <c r="P132" i="97"/>
  <c r="P131" i="97"/>
  <c r="P78" i="97"/>
  <c r="P79" i="97"/>
  <c r="G71" i="97"/>
  <c r="G124" i="97"/>
  <c r="F27" i="97"/>
  <c r="G72" i="97" s="1"/>
  <c r="S99" i="97"/>
  <c r="S152" i="97"/>
  <c r="G122" i="97"/>
  <c r="G69" i="97"/>
  <c r="G157" i="97"/>
  <c r="G104" i="97"/>
  <c r="K56" i="97"/>
  <c r="L160" i="97"/>
  <c r="L107" i="97"/>
  <c r="K115" i="97"/>
  <c r="K62" i="97"/>
  <c r="I127" i="97"/>
  <c r="I74" i="97"/>
  <c r="H80" i="97"/>
  <c r="H133" i="97"/>
  <c r="Q158" i="97"/>
  <c r="Q105" i="97"/>
  <c r="K75" i="97"/>
  <c r="K128" i="97"/>
  <c r="S132" i="97"/>
  <c r="S79" i="97"/>
  <c r="S131" i="97"/>
  <c r="S78" i="97"/>
  <c r="J157" i="97"/>
  <c r="J104" i="97"/>
  <c r="I107" i="97"/>
  <c r="I160" i="97"/>
  <c r="H56" i="97"/>
  <c r="G148" i="97"/>
  <c r="F46" i="97"/>
  <c r="G143" i="97"/>
  <c r="G95" i="97"/>
  <c r="R145" i="97"/>
  <c r="R92" i="97"/>
  <c r="L81" i="97"/>
  <c r="L134" i="97"/>
  <c r="S136" i="97"/>
  <c r="S83" i="97"/>
  <c r="U89" i="97"/>
  <c r="T41" i="97"/>
  <c r="U142" i="97"/>
  <c r="K87" i="97"/>
  <c r="K84" i="97"/>
  <c r="K137" i="97"/>
  <c r="K140" i="97"/>
  <c r="T162" i="97"/>
  <c r="T102" i="97"/>
  <c r="T109" i="97"/>
  <c r="T155" i="97"/>
  <c r="T126" i="97"/>
  <c r="T73" i="97"/>
  <c r="O92" i="97"/>
  <c r="O145" i="97"/>
  <c r="N152" i="97"/>
  <c r="N99" i="97"/>
  <c r="R146" i="97"/>
  <c r="R93" i="97"/>
  <c r="M124" i="97"/>
  <c r="L27" i="97"/>
  <c r="M72" i="97" s="1"/>
  <c r="M71" i="97"/>
  <c r="Q107" i="97"/>
  <c r="P56" i="97"/>
  <c r="Q160" i="97"/>
  <c r="H98" i="97"/>
  <c r="H151" i="97"/>
  <c r="I81" i="97"/>
  <c r="I134" i="97"/>
  <c r="S144" i="97"/>
  <c r="S91" i="97"/>
  <c r="H152" i="97"/>
  <c r="H99" i="97"/>
  <c r="M152" i="97"/>
  <c r="M99" i="97"/>
  <c r="S56" i="97"/>
  <c r="T160" i="97"/>
  <c r="T107" i="97"/>
  <c r="H67" i="97"/>
  <c r="H120" i="97"/>
  <c r="R151" i="97"/>
  <c r="R98" i="97"/>
  <c r="U92" i="97"/>
  <c r="U145" i="97"/>
  <c r="M73" i="97"/>
  <c r="M126" i="97"/>
  <c r="I136" i="97"/>
  <c r="I83" i="97"/>
  <c r="L144" i="97"/>
  <c r="L91" i="97"/>
  <c r="G132" i="97"/>
  <c r="G131" i="97"/>
  <c r="G79" i="97"/>
  <c r="G78" i="97"/>
  <c r="U138" i="97"/>
  <c r="U85" i="97"/>
  <c r="L109" i="97"/>
  <c r="L155" i="97"/>
  <c r="L162" i="97"/>
  <c r="L102" i="97"/>
  <c r="N92" i="97"/>
  <c r="N145" i="97"/>
  <c r="N136" i="97"/>
  <c r="N83" i="97"/>
  <c r="T62" i="97"/>
  <c r="T115" i="97"/>
  <c r="R139" i="97"/>
  <c r="R86" i="97"/>
  <c r="J138" i="97"/>
  <c r="J85" i="97"/>
  <c r="R134" i="97"/>
  <c r="R81" i="97"/>
  <c r="S146" i="97"/>
  <c r="S93" i="97"/>
  <c r="R157" i="97"/>
  <c r="R104" i="97"/>
  <c r="H62" i="97"/>
  <c r="H115" i="97"/>
  <c r="I145" i="97"/>
  <c r="I92" i="97"/>
  <c r="I105" i="97"/>
  <c r="I158" i="97"/>
  <c r="U152" i="97"/>
  <c r="U99" i="97"/>
  <c r="Q136" i="97"/>
  <c r="Q83" i="97"/>
  <c r="T85" i="97"/>
  <c r="T138" i="97"/>
  <c r="K63" i="97"/>
  <c r="L108" i="97" s="1"/>
  <c r="K116" i="97"/>
  <c r="H140" i="97"/>
  <c r="H137" i="97"/>
  <c r="H87" i="97"/>
  <c r="H84" i="97"/>
  <c r="U69" i="97"/>
  <c r="U122" i="97"/>
  <c r="J151" i="97"/>
  <c r="J98" i="97"/>
  <c r="P102" i="97"/>
  <c r="P109" i="97"/>
  <c r="P155" i="97"/>
  <c r="P162" i="97"/>
  <c r="T132" i="97"/>
  <c r="T78" i="97"/>
  <c r="T131" i="97"/>
  <c r="T79" i="97"/>
  <c r="Q99" i="97"/>
  <c r="Q152" i="97"/>
  <c r="M80" i="97"/>
  <c r="M133" i="97"/>
  <c r="L56" i="97"/>
  <c r="M107" i="97"/>
  <c r="M160" i="97"/>
  <c r="Q91" i="97"/>
  <c r="Q144" i="97"/>
  <c r="J139" i="97"/>
  <c r="J86" i="97"/>
  <c r="T75" i="97"/>
  <c r="T128" i="97"/>
  <c r="I98" i="97"/>
  <c r="I151" i="97"/>
  <c r="G83" i="97"/>
  <c r="G136" i="97"/>
  <c r="O91" i="97"/>
  <c r="O144" i="97"/>
  <c r="M69" i="97"/>
  <c r="M122" i="97"/>
  <c r="T144" i="97"/>
  <c r="T91" i="97"/>
  <c r="L103" i="97"/>
  <c r="L156" i="97"/>
  <c r="G121" i="97"/>
  <c r="G68" i="97"/>
  <c r="P136" i="97"/>
  <c r="P83" i="97"/>
  <c r="M119" i="97"/>
  <c r="M65" i="97"/>
  <c r="L22" i="97"/>
  <c r="M66" i="97"/>
  <c r="M118" i="97"/>
  <c r="N126" i="97"/>
  <c r="N73" i="97"/>
  <c r="L154" i="97"/>
  <c r="L101" i="97"/>
  <c r="K51" i="97"/>
  <c r="L96" i="97" s="1"/>
  <c r="S128" i="97"/>
  <c r="S75" i="97"/>
  <c r="L104" i="97"/>
  <c r="L157" i="97"/>
  <c r="P133" i="97"/>
  <c r="P80" i="97"/>
  <c r="I91" i="97"/>
  <c r="I144" i="97"/>
  <c r="Q63" i="97"/>
  <c r="R108" i="97" s="1"/>
  <c r="Q116" i="97"/>
  <c r="T133" i="97"/>
  <c r="T80" i="97"/>
  <c r="T116" i="97"/>
  <c r="T63" i="97"/>
  <c r="U108" i="97" s="1"/>
  <c r="R78" i="97"/>
  <c r="R79" i="97"/>
  <c r="R132" i="97"/>
  <c r="R131" i="97"/>
  <c r="O105" i="97"/>
  <c r="O158" i="97"/>
  <c r="O81" i="97"/>
  <c r="O134" i="97"/>
  <c r="S121" i="97"/>
  <c r="S68" i="97"/>
  <c r="N120" i="97"/>
  <c r="N67" i="97"/>
  <c r="I80" i="97"/>
  <c r="I133" i="97"/>
  <c r="J91" i="97"/>
  <c r="J144" i="97"/>
  <c r="J81" i="97"/>
  <c r="J134" i="97"/>
  <c r="J105" i="97"/>
  <c r="J158" i="97"/>
  <c r="L122" i="97"/>
  <c r="L69" i="97"/>
  <c r="J115" i="97"/>
  <c r="J62" i="97"/>
  <c r="T69" i="97"/>
  <c r="T122" i="97"/>
  <c r="G75" i="97"/>
  <c r="G128" i="97"/>
  <c r="G120" i="97"/>
  <c r="G67" i="97"/>
  <c r="G101" i="97"/>
  <c r="F51" i="97"/>
  <c r="G96" i="97" s="1"/>
  <c r="G154" i="97"/>
  <c r="H68" i="97"/>
  <c r="H121" i="97"/>
  <c r="H91" i="97"/>
  <c r="H144" i="97"/>
  <c r="N62" i="138"/>
  <c r="M62" i="138"/>
  <c r="N61" i="138"/>
  <c r="M61" i="138"/>
  <c r="L61" i="138"/>
  <c r="O62" i="138"/>
  <c r="P62" i="138"/>
  <c r="R62" i="138"/>
  <c r="T62" i="138"/>
  <c r="S62" i="138"/>
  <c r="Q62" i="138"/>
  <c r="U62" i="138"/>
  <c r="L62" i="138"/>
  <c r="O61" i="138"/>
  <c r="U61" i="138"/>
  <c r="R61" i="138"/>
  <c r="T61" i="138"/>
  <c r="S61" i="138"/>
  <c r="I118" i="97"/>
  <c r="I65" i="97"/>
  <c r="H116" i="97"/>
  <c r="H63" i="97"/>
  <c r="G151" i="97"/>
  <c r="G98" i="97"/>
  <c r="G118" i="97"/>
  <c r="G65" i="97"/>
  <c r="G63" i="97"/>
  <c r="G116" i="97"/>
  <c r="H65" i="97"/>
  <c r="H118" i="97"/>
  <c r="G62" i="97"/>
  <c r="G115" i="97"/>
  <c r="P129" i="97" l="1"/>
  <c r="H141" i="97"/>
  <c r="K123" i="97"/>
  <c r="Q88" i="97"/>
  <c r="L147" i="97"/>
  <c r="P153" i="97"/>
  <c r="I64" i="97"/>
  <c r="N76" i="97"/>
  <c r="T147" i="97"/>
  <c r="P88" i="97"/>
  <c r="I141" i="97"/>
  <c r="J141" i="97"/>
  <c r="I159" i="97"/>
  <c r="I88" i="97"/>
  <c r="K135" i="97"/>
  <c r="T100" i="97"/>
  <c r="H88" i="97"/>
  <c r="I106" i="97"/>
  <c r="M100" i="97"/>
  <c r="I117" i="97"/>
  <c r="T94" i="97"/>
  <c r="I129" i="97"/>
  <c r="O135" i="97"/>
  <c r="M153" i="97"/>
  <c r="N129" i="97"/>
  <c r="N141" i="97"/>
  <c r="S88" i="97"/>
  <c r="G106" i="97"/>
  <c r="L141" i="97"/>
  <c r="K70" i="97"/>
  <c r="P100" i="97"/>
  <c r="H147" i="97"/>
  <c r="Q106" i="97"/>
  <c r="M117" i="97"/>
  <c r="P70" i="97"/>
  <c r="K153" i="97"/>
  <c r="L82" i="97"/>
  <c r="N70" i="97"/>
  <c r="Q82" i="97"/>
  <c r="O159" i="97"/>
  <c r="H100" i="97"/>
  <c r="Q117" i="97"/>
  <c r="R123" i="97"/>
  <c r="G147" i="97"/>
  <c r="N117" i="97"/>
  <c r="K159" i="97"/>
  <c r="S100" i="97"/>
  <c r="G159" i="97"/>
  <c r="R64" i="97"/>
  <c r="I108" i="97"/>
  <c r="O82" i="97"/>
  <c r="S108" i="97"/>
  <c r="U76" i="97"/>
  <c r="O117" i="97"/>
  <c r="S106" i="97"/>
  <c r="H153" i="97"/>
  <c r="O153" i="97"/>
  <c r="O106" i="97"/>
  <c r="G153" i="97"/>
  <c r="L64" i="97"/>
  <c r="O123" i="97"/>
  <c r="K117" i="97"/>
  <c r="R100" i="97"/>
  <c r="U135" i="97"/>
  <c r="T106" i="97"/>
  <c r="P94" i="97"/>
  <c r="U141" i="97"/>
  <c r="K76" i="97"/>
  <c r="M106" i="97"/>
  <c r="S141" i="97"/>
  <c r="N106" i="97"/>
  <c r="J88" i="97"/>
  <c r="H70" i="97"/>
  <c r="M129" i="97"/>
  <c r="U64" i="97"/>
  <c r="T159" i="97"/>
  <c r="P141" i="97"/>
  <c r="R117" i="97"/>
  <c r="K129" i="97"/>
  <c r="M159" i="97"/>
  <c r="M94" i="97"/>
  <c r="S135" i="97"/>
  <c r="Q159" i="97"/>
  <c r="L117" i="97"/>
  <c r="J82" i="97"/>
  <c r="J70" i="97"/>
  <c r="U88" i="97"/>
  <c r="S117" i="97"/>
  <c r="H106" i="97"/>
  <c r="S82" i="97"/>
  <c r="S76" i="97"/>
  <c r="L135" i="97"/>
  <c r="K100" i="97"/>
  <c r="H94" i="97"/>
  <c r="N123" i="97"/>
  <c r="R76" i="97"/>
  <c r="M64" i="97"/>
  <c r="K82" i="97"/>
  <c r="T153" i="97"/>
  <c r="H76" i="97"/>
  <c r="P147" i="97"/>
  <c r="S129" i="97"/>
  <c r="M82" i="97"/>
  <c r="N147" i="97"/>
  <c r="J106" i="97"/>
  <c r="J153" i="97"/>
  <c r="G123" i="97"/>
  <c r="J117" i="97"/>
  <c r="J64" i="97"/>
  <c r="F102" i="97"/>
  <c r="T129" i="97"/>
  <c r="H108" i="97"/>
  <c r="T141" i="97"/>
  <c r="G117" i="97"/>
  <c r="G64" i="97"/>
  <c r="L94" i="97"/>
  <c r="O64" i="97"/>
  <c r="I153" i="97"/>
  <c r="S96" i="97"/>
  <c r="J94" i="97"/>
  <c r="M135" i="97"/>
  <c r="S153" i="97"/>
  <c r="K106" i="97"/>
  <c r="K149" i="97"/>
  <c r="H161" i="97"/>
  <c r="H129" i="97"/>
  <c r="T88" i="97"/>
  <c r="L153" i="97"/>
  <c r="K94" i="97"/>
  <c r="P117" i="97"/>
  <c r="P159" i="97"/>
  <c r="U159" i="97"/>
  <c r="T70" i="97"/>
  <c r="F131" i="97" a="1"/>
  <c r="F131" i="97" s="1"/>
  <c r="J159" i="97"/>
  <c r="F77" i="97"/>
  <c r="P14" i="138" s="1"/>
  <c r="N64" i="97"/>
  <c r="M76" i="97"/>
  <c r="Q135" i="97"/>
  <c r="F85" i="97"/>
  <c r="S70" i="97"/>
  <c r="G100" i="97"/>
  <c r="F145" i="97" a="1"/>
  <c r="F145" i="97" s="1"/>
  <c r="F155" i="97" a="1"/>
  <c r="F155" i="97" s="1"/>
  <c r="L88" i="97"/>
  <c r="I70" i="97"/>
  <c r="L129" i="97"/>
  <c r="F109" i="97"/>
  <c r="U129" i="97"/>
  <c r="H135" i="97"/>
  <c r="S159" i="97"/>
  <c r="L70" i="97"/>
  <c r="R88" i="97"/>
  <c r="R141" i="97"/>
  <c r="F116" i="97" a="1"/>
  <c r="F116" i="97" s="1"/>
  <c r="O94" i="97"/>
  <c r="R94" i="97"/>
  <c r="F132" i="97" a="1"/>
  <c r="F132" i="97" s="1"/>
  <c r="J76" i="97"/>
  <c r="Q141" i="97"/>
  <c r="O100" i="97"/>
  <c r="H82" i="97"/>
  <c r="J100" i="97"/>
  <c r="J129" i="97"/>
  <c r="S123" i="97"/>
  <c r="P106" i="97"/>
  <c r="F83" i="97"/>
  <c r="P18" i="138" s="1"/>
  <c r="N94" i="97"/>
  <c r="U153" i="97"/>
  <c r="O141" i="97"/>
  <c r="R106" i="97"/>
  <c r="N82" i="97"/>
  <c r="Q100" i="97"/>
  <c r="H159" i="97"/>
  <c r="G82" i="97"/>
  <c r="H125" i="97"/>
  <c r="L106" i="97"/>
  <c r="G129" i="97"/>
  <c r="L149" i="97"/>
  <c r="I125" i="97"/>
  <c r="F121" i="97" a="1"/>
  <c r="F121" i="97" s="1"/>
  <c r="P135" i="97"/>
  <c r="L159" i="97"/>
  <c r="Q147" i="97"/>
  <c r="L100" i="97"/>
  <c r="G76" i="97"/>
  <c r="M70" i="97"/>
  <c r="U82" i="97"/>
  <c r="I147" i="97"/>
  <c r="P64" i="97"/>
  <c r="I100" i="97"/>
  <c r="O108" i="97"/>
  <c r="R147" i="97"/>
  <c r="Q161" i="97"/>
  <c r="S125" i="97"/>
  <c r="P96" i="97"/>
  <c r="I94" i="97"/>
  <c r="F160" i="97" a="1"/>
  <c r="F160" i="97" s="1"/>
  <c r="Q76" i="97"/>
  <c r="M125" i="97"/>
  <c r="O88" i="97"/>
  <c r="L72" i="97"/>
  <c r="J96" i="97"/>
  <c r="N135" i="97"/>
  <c r="P123" i="97"/>
  <c r="O70" i="97"/>
  <c r="P82" i="97"/>
  <c r="R153" i="97"/>
  <c r="O147" i="97"/>
  <c r="U149" i="97"/>
  <c r="N100" i="97"/>
  <c r="J147" i="97"/>
  <c r="F156" i="97" a="1"/>
  <c r="F156" i="97" s="1"/>
  <c r="F101" i="97"/>
  <c r="F154" i="97" a="1"/>
  <c r="F154" i="97" s="1"/>
  <c r="O149" i="97"/>
  <c r="F150" i="97" a="1"/>
  <c r="F150" i="97" s="1"/>
  <c r="F105" i="97"/>
  <c r="N153" i="97"/>
  <c r="U100" i="97"/>
  <c r="N88" i="97"/>
  <c r="G149" i="97"/>
  <c r="R96" i="97"/>
  <c r="R159" i="97"/>
  <c r="G135" i="97"/>
  <c r="F146" i="97" a="1"/>
  <c r="F146" i="97" s="1"/>
  <c r="F84" i="97"/>
  <c r="P19" i="138" s="1"/>
  <c r="F81" i="97"/>
  <c r="F133" i="97" a="1"/>
  <c r="F133" i="97" s="1"/>
  <c r="F124" i="97" a="1"/>
  <c r="F124" i="97" s="1"/>
  <c r="F137" i="97" a="1"/>
  <c r="F137" i="97" s="1"/>
  <c r="U117" i="97"/>
  <c r="F144" i="97" a="1"/>
  <c r="F144" i="97" s="1"/>
  <c r="F126" i="97" a="1"/>
  <c r="F126" i="97" s="1"/>
  <c r="F107" i="97"/>
  <c r="F89" i="97"/>
  <c r="Y14" i="138" s="1"/>
  <c r="J123" i="97"/>
  <c r="T135" i="97"/>
  <c r="F75" i="97"/>
  <c r="F68" i="97"/>
  <c r="F86" i="97"/>
  <c r="G70" i="97"/>
  <c r="T117" i="97"/>
  <c r="K88" i="97"/>
  <c r="G94" i="97"/>
  <c r="Q70" i="97"/>
  <c r="U94" i="97"/>
  <c r="F78" i="97"/>
  <c r="P15" i="138" s="1"/>
  <c r="Q123" i="97"/>
  <c r="I82" i="97"/>
  <c r="F63" i="97"/>
  <c r="G108" i="97" s="1"/>
  <c r="L76" i="97"/>
  <c r="Q153" i="97"/>
  <c r="F79" i="97"/>
  <c r="T123" i="97"/>
  <c r="U123" i="97"/>
  <c r="L123" i="97"/>
  <c r="N161" i="97"/>
  <c r="F103" i="97"/>
  <c r="M147" i="97"/>
  <c r="Q129" i="97"/>
  <c r="F128" i="97" a="1"/>
  <c r="F128" i="97" s="1"/>
  <c r="R129" i="97"/>
  <c r="P161" i="97"/>
  <c r="H117" i="97"/>
  <c r="F104" i="97"/>
  <c r="F65" i="97"/>
  <c r="J14" i="138" s="1"/>
  <c r="F118" i="97" a="1"/>
  <c r="F118" i="97" s="1"/>
  <c r="F66" i="97"/>
  <c r="J15" i="138" s="1"/>
  <c r="F91" i="97"/>
  <c r="F73" i="97"/>
  <c r="P76" i="97"/>
  <c r="N159" i="97"/>
  <c r="H123" i="97"/>
  <c r="J125" i="97"/>
  <c r="K64" i="97"/>
  <c r="I149" i="97"/>
  <c r="F120" i="97" a="1"/>
  <c r="F120" i="97" s="1"/>
  <c r="F67" i="97"/>
  <c r="F122" i="97" a="1"/>
  <c r="F122" i="97" s="1"/>
  <c r="S147" i="97"/>
  <c r="S94" i="97"/>
  <c r="F142" i="97" a="1"/>
  <c r="F142" i="97" s="1"/>
  <c r="F95" i="97"/>
  <c r="Y18" i="138" s="1"/>
  <c r="T82" i="97"/>
  <c r="F136" i="97" a="1"/>
  <c r="F136" i="97" s="1"/>
  <c r="I123" i="97"/>
  <c r="T76" i="97"/>
  <c r="F130" i="97" a="1"/>
  <c r="F130" i="97" s="1"/>
  <c r="F162" i="97" a="1"/>
  <c r="F162" i="97" s="1"/>
  <c r="R135" i="97"/>
  <c r="F139" i="97" a="1"/>
  <c r="F139" i="97" s="1"/>
  <c r="R82" i="97"/>
  <c r="M141" i="97"/>
  <c r="O76" i="97"/>
  <c r="F97" i="97"/>
  <c r="Q94" i="97"/>
  <c r="M123" i="97"/>
  <c r="U70" i="97"/>
  <c r="F152" i="97" a="1"/>
  <c r="F152" i="97" s="1"/>
  <c r="U106" i="97"/>
  <c r="F148" i="97" a="1"/>
  <c r="F148" i="97" s="1"/>
  <c r="G141" i="97"/>
  <c r="K147" i="97"/>
  <c r="F93" i="97"/>
  <c r="F134" i="97" a="1"/>
  <c r="F134" i="97" s="1"/>
  <c r="F143" i="97" a="1"/>
  <c r="F143" i="97" s="1"/>
  <c r="F71" i="97"/>
  <c r="J18" i="138" s="1"/>
  <c r="F138" i="97" a="1"/>
  <c r="F138" i="97" s="1"/>
  <c r="R70" i="97"/>
  <c r="F115" i="97" a="1"/>
  <c r="F115" i="97" s="1"/>
  <c r="U147" i="97"/>
  <c r="O129" i="97"/>
  <c r="K141" i="97"/>
  <c r="F99" i="97"/>
  <c r="F80" i="97"/>
  <c r="M88" i="97"/>
  <c r="I135" i="97"/>
  <c r="M161" i="97"/>
  <c r="K161" i="97"/>
  <c r="F140" i="97" a="1"/>
  <c r="F140" i="97" s="1"/>
  <c r="N125" i="97"/>
  <c r="F157" i="97" a="1"/>
  <c r="F157" i="97" s="1"/>
  <c r="F158" i="97" a="1"/>
  <c r="F158" i="97" s="1"/>
  <c r="J135" i="97"/>
  <c r="F127" i="97" a="1"/>
  <c r="F127" i="97" s="1"/>
  <c r="T64" i="97"/>
  <c r="F92" i="97"/>
  <c r="T161" i="97"/>
  <c r="F62" i="97"/>
  <c r="Q64" i="97"/>
  <c r="H64" i="97"/>
  <c r="F87" i="97"/>
  <c r="F69" i="97"/>
  <c r="Q149" i="97"/>
  <c r="F74" i="97"/>
  <c r="F119" i="97" s="1" a="1"/>
  <c r="F119" i="97" s="1"/>
  <c r="R161" i="97"/>
  <c r="M96" i="97"/>
  <c r="H149" i="97"/>
  <c r="I161" i="97"/>
  <c r="G125" i="97"/>
  <c r="F98" i="97"/>
  <c r="T149" i="97"/>
  <c r="J161" i="97"/>
  <c r="I76" i="97"/>
  <c r="T125" i="97"/>
  <c r="L161" i="97"/>
  <c r="G88" i="97"/>
  <c r="U161" i="97"/>
  <c r="Q125" i="97"/>
  <c r="F151" i="97" a="1"/>
  <c r="F151" i="97" s="1"/>
  <c r="K125" i="97"/>
  <c r="N149" i="97"/>
  <c r="S64" i="97"/>
  <c r="P125" i="97"/>
  <c r="U125" i="97"/>
  <c r="R72" i="97"/>
  <c r="O125" i="97"/>
  <c r="F72" i="97" l="1"/>
  <c r="J19" i="138" s="1"/>
  <c r="F106" i="97"/>
  <c r="F108" i="97"/>
  <c r="F141" i="97" a="1"/>
  <c r="F141" i="97" s="1"/>
  <c r="E139" i="97" s="1" a="1"/>
  <c r="E139" i="97" s="1"/>
  <c r="F100" i="97"/>
  <c r="E98" i="97" s="1"/>
  <c r="F135" i="97" a="1"/>
  <c r="F135" i="97" s="1"/>
  <c r="E133" i="97" s="1" a="1"/>
  <c r="E133" i="97" s="1"/>
  <c r="F88" i="97"/>
  <c r="E86" i="97" s="1"/>
  <c r="Y12" i="138" s="1"/>
  <c r="G161" i="97"/>
  <c r="F161" i="97" s="1" a="1"/>
  <c r="F161" i="97" s="1"/>
  <c r="F129" i="97" a="1"/>
  <c r="F129" i="97" s="1"/>
  <c r="E127" i="97" s="1" a="1"/>
  <c r="E127" i="97" s="1"/>
  <c r="F147" i="97" a="1"/>
  <c r="F147" i="97" s="1"/>
  <c r="F159" i="97" a="1"/>
  <c r="F159" i="97" s="1"/>
  <c r="F123" i="97" a="1"/>
  <c r="F123" i="97" s="1"/>
  <c r="F117" i="97" a="1"/>
  <c r="F117" i="97" s="1"/>
  <c r="E115" i="97" s="1" a="1"/>
  <c r="E115" i="97" s="1"/>
  <c r="F82" i="97"/>
  <c r="P17" i="138" s="1"/>
  <c r="F94" i="97"/>
  <c r="Y17" i="138" s="1"/>
  <c r="F70" i="97"/>
  <c r="J17" i="138" s="1"/>
  <c r="F153" i="97" a="1"/>
  <c r="F153" i="97" s="1"/>
  <c r="E151" i="97" s="1" a="1"/>
  <c r="E151" i="97" s="1"/>
  <c r="F76" i="97"/>
  <c r="E74" i="97" s="1"/>
  <c r="P12" i="138" s="1"/>
  <c r="F96" i="97"/>
  <c r="Y19" i="138" s="1"/>
  <c r="F125" i="97" a="1"/>
  <c r="F125" i="97" s="1"/>
  <c r="F64" i="97"/>
  <c r="F149" i="97" a="1"/>
  <c r="F149" i="97" s="1"/>
  <c r="E62" i="97" l="1"/>
  <c r="J12" i="138" s="1"/>
  <c r="E104" i="97"/>
  <c r="E145" i="97" a="1"/>
  <c r="E145" i="97" s="1"/>
  <c r="E121" i="97" a="1"/>
  <c r="E121" i="97" s="1"/>
  <c r="E157" i="97" a="1"/>
  <c r="E157" i="97" s="1"/>
  <c r="Y13" i="138"/>
  <c r="E68" i="97"/>
  <c r="J16" i="138" s="1"/>
  <c r="E92" i="97"/>
  <c r="Y16" i="138" s="1"/>
  <c r="E80" i="97"/>
  <c r="P16" i="138" s="1"/>
  <c r="J13" i="138"/>
  <c r="P13" i="13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tc={B4132B75-E79F-4C91-84CF-E3DED874F9F6}</author>
  </authors>
  <commentList>
    <comment ref="J27" authorId="0" shapeId="0" xr:uid="{00000000-0006-0000-1700-000001000000}">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En attente du retour de RMC si % ou mg/l</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<sst xmlns="http://schemas.openxmlformats.org/spreadsheetml/2006/main" count="1245" uniqueCount="571">
  <si>
    <t>Evaluation documentaire</t>
  </si>
  <si>
    <t>ENTREE et SORTIE</t>
  </si>
  <si>
    <t>Point A3</t>
  </si>
  <si>
    <t>Point A4</t>
  </si>
  <si>
    <t>Evaluation des pratiques analytiques</t>
  </si>
  <si>
    <t>DEVERSEMENT STATION</t>
  </si>
  <si>
    <t>SDE</t>
  </si>
  <si>
    <t>Point A2</t>
  </si>
  <si>
    <t>Point A5</t>
  </si>
  <si>
    <t>Point 1</t>
  </si>
  <si>
    <t>Point 2</t>
  </si>
  <si>
    <t>Point 3</t>
  </si>
  <si>
    <t>BOUE et Apports extérieurs</t>
  </si>
  <si>
    <t>Point A6</t>
  </si>
  <si>
    <t>Point A7</t>
  </si>
  <si>
    <t>Autres évaluations</t>
  </si>
  <si>
    <t>Sonde température</t>
  </si>
  <si>
    <t>Pluviomètre</t>
  </si>
  <si>
    <t>Commentaire général</t>
  </si>
  <si>
    <t>Détails des équipements contrôlés</t>
  </si>
  <si>
    <t>Code</t>
  </si>
  <si>
    <t>Libellé</t>
  </si>
  <si>
    <t>Point 4</t>
  </si>
  <si>
    <t>Point 5</t>
  </si>
  <si>
    <t>Point 6</t>
  </si>
  <si>
    <t>Point 7</t>
  </si>
  <si>
    <t>Point 8</t>
  </si>
  <si>
    <t>Point 9</t>
  </si>
  <si>
    <t>Point 10</t>
  </si>
  <si>
    <t>Point 11</t>
  </si>
  <si>
    <t>Point 12</t>
  </si>
  <si>
    <t>Code SANDRE</t>
  </si>
  <si>
    <t>Caisson</t>
  </si>
  <si>
    <t>Clapet</t>
  </si>
  <si>
    <t>Evaluation finale controleur</t>
  </si>
  <si>
    <t>Score</t>
  </si>
  <si>
    <t>COMPARATIF ANALYTIQUE</t>
  </si>
  <si>
    <t>Paramètres</t>
  </si>
  <si>
    <t>Nb conformes</t>
  </si>
  <si>
    <t>LQ
en mg/l</t>
  </si>
  <si>
    <t>COFRAC</t>
  </si>
  <si>
    <t>Ecart (%)</t>
  </si>
  <si>
    <t>Conformité</t>
  </si>
  <si>
    <t>DBO5</t>
  </si>
  <si>
    <t>DCO</t>
  </si>
  <si>
    <t>ST DCO</t>
  </si>
  <si>
    <t>COT</t>
  </si>
  <si>
    <t>MEST</t>
  </si>
  <si>
    <t>NKJ (N)</t>
  </si>
  <si>
    <t>NH4 (NH4)</t>
  </si>
  <si>
    <t>NO2 (NO2)</t>
  </si>
  <si>
    <t>NO3 (NO3)</t>
  </si>
  <si>
    <t>NGL</t>
  </si>
  <si>
    <t>PT</t>
  </si>
  <si>
    <t>AOX</t>
  </si>
  <si>
    <t>As</t>
  </si>
  <si>
    <t>Cd</t>
  </si>
  <si>
    <t>Cr</t>
  </si>
  <si>
    <t>Cu</t>
  </si>
  <si>
    <t>Hg</t>
  </si>
  <si>
    <t>Ni</t>
  </si>
  <si>
    <t>Pb</t>
  </si>
  <si>
    <t>Zn</t>
  </si>
  <si>
    <t>MS</t>
  </si>
  <si>
    <t>Oui</t>
  </si>
  <si>
    <t>A4</t>
  </si>
  <si>
    <t>Non contrôlé</t>
  </si>
  <si>
    <t>Non validé</t>
  </si>
  <si>
    <t>N°</t>
  </si>
  <si>
    <t>Canal Venturi</t>
  </si>
  <si>
    <t>Débitmètre électromagnétique (eau)</t>
  </si>
  <si>
    <t>Débitmètre électromagnétique (boue/MDV)</t>
  </si>
  <si>
    <t>Seuil</t>
  </si>
  <si>
    <t>Loi COACHs</t>
  </si>
  <si>
    <t>Modélisation</t>
  </si>
  <si>
    <t>Débitmètre électromagnétique partiellement plein</t>
  </si>
  <si>
    <t>Hauteur/Vitesse</t>
  </si>
  <si>
    <t>Détecteur de surverse</t>
  </si>
  <si>
    <t>Préleveur Automatique</t>
  </si>
  <si>
    <t>Vanne de prélèvement asservie</t>
  </si>
  <si>
    <t>Prélèvement ponctuel</t>
  </si>
  <si>
    <t>Le dimensionnement du caisson et notamment son échancrure de mesure est-elle adaptée vis-à-vis de l'étendue des débits à mesurer ?</t>
  </si>
  <si>
    <t>Le point de prélèvement est-il correctement implanté et situé dans un milieu homogène et brassé ?</t>
  </si>
  <si>
    <t>Le point de prélèvement est-il correctement implanté ?</t>
  </si>
  <si>
    <t>Le point de prélèvement est-il correctement implanté (notamment pour les robinets) ?</t>
  </si>
  <si>
    <t>Le circuit de prélèvement, y compris la boucle primaire, présente t-il un état de fonctionnement satisfaisant, son diamètre est-il ≥ à 9 mm ?</t>
  </si>
  <si>
    <t>L'étanchéité, la propreté et l'état d'entretien de l'organe de mesure, des capteurs associés, des canaux d'approche et de fuite sont-ils satisfaisants ?</t>
  </si>
  <si>
    <t>L'étanchéité, la propreté et l'état d'entretien du caisson et des capteurs associés sont-ils satisfaisants ?</t>
  </si>
  <si>
    <t>La propreté et l'état d'entretien de la conduite de déversement et des capteurs associés sont-ils satisfaisants ?</t>
  </si>
  <si>
    <t>La propreté et l'état d'entretien de la conduite et des capteurs associés, sont-ils satisfaisants ?</t>
  </si>
  <si>
    <t>Le dispositif de prélèvement présente t-il un état de propreté et d'entretien satisfaisant ?</t>
  </si>
  <si>
    <t xml:space="preserve">Le fonctionnement hydraulique de l'organe de mesure, en amont et en aval, est-il satisfaisant ? </t>
  </si>
  <si>
    <t>La vitesse d'aspiration, y compris celle de la boucle primaire, est-elle de ≥ 0,5 m/s ?</t>
  </si>
  <si>
    <t xml:space="preserve"> Les horaires de prélèvement et de totalisation des débits sont-ils synchronisés ?</t>
  </si>
  <si>
    <t>Existe-t-il un afficheur de proximité (Débit + Volume) ?</t>
  </si>
  <si>
    <t xml:space="preserve"> </t>
  </si>
  <si>
    <t>L'écart entre le volume théorique et le volume prélevé est-il ≤ à 10% ?</t>
  </si>
  <si>
    <t>LISTE_1</t>
  </si>
  <si>
    <t>LISTE_3</t>
  </si>
  <si>
    <t>LISTE_2</t>
  </si>
  <si>
    <t>LISTE_5</t>
  </si>
  <si>
    <t>Equipement Q</t>
  </si>
  <si>
    <t>Equipement Prel</t>
  </si>
  <si>
    <t xml:space="preserve">Liste des statuts </t>
  </si>
  <si>
    <t>A3</t>
  </si>
  <si>
    <t>S1</t>
  </si>
  <si>
    <t>Validé</t>
  </si>
  <si>
    <t>A2</t>
  </si>
  <si>
    <t>A1</t>
  </si>
  <si>
    <t>Agréé</t>
  </si>
  <si>
    <t>R1</t>
  </si>
  <si>
    <t>Non</t>
  </si>
  <si>
    <t>Non agréé</t>
  </si>
  <si>
    <t>R2</t>
  </si>
  <si>
    <t>S2</t>
  </si>
  <si>
    <t>Validé avec réserve</t>
  </si>
  <si>
    <t>A5</t>
  </si>
  <si>
    <t>R3</t>
  </si>
  <si>
    <t>Non validé (absence d'équipement)</t>
  </si>
  <si>
    <t>A6</t>
  </si>
  <si>
    <t>Non validé (équipement insuffisant)</t>
  </si>
  <si>
    <t>A7</t>
  </si>
  <si>
    <t>S16</t>
  </si>
  <si>
    <t>A8</t>
  </si>
  <si>
    <t>S3</t>
  </si>
  <si>
    <t>S5</t>
  </si>
  <si>
    <t>S12</t>
  </si>
  <si>
    <t>S4</t>
  </si>
  <si>
    <t>Point non existant</t>
  </si>
  <si>
    <t>S13</t>
  </si>
  <si>
    <t>S19</t>
  </si>
  <si>
    <t>LISTE_4</t>
  </si>
  <si>
    <t>Entre 5 et 10%</t>
  </si>
  <si>
    <t>Non validé (&gt;10%)</t>
  </si>
  <si>
    <t xml:space="preserve"> COMPARATIF ANALYTIQUE : DEFINITION DES ECARTS MAXIMUM TOLERES (EMT)</t>
  </si>
  <si>
    <t>Unités</t>
  </si>
  <si>
    <t>Limites de quantification</t>
  </si>
  <si>
    <t>Seuil de comparaison</t>
  </si>
  <si>
    <t>Concentration supérieure au seuil de comparaison et   inférieure ou égale à</t>
  </si>
  <si>
    <t>Ecart Maximum Toléré</t>
  </si>
  <si>
    <t>Concentration supérieure à</t>
  </si>
  <si>
    <r>
      <t>en mg/l de O</t>
    </r>
    <r>
      <rPr>
        <vertAlign val="subscript"/>
        <sz val="10"/>
        <rFont val="Arial"/>
        <family val="2"/>
      </rPr>
      <t>2</t>
    </r>
  </si>
  <si>
    <t>en mg/l</t>
  </si>
  <si>
    <t>en mg/l de N</t>
  </si>
  <si>
    <r>
      <t>en mg/l de NH</t>
    </r>
    <r>
      <rPr>
        <vertAlign val="subscript"/>
        <sz val="10"/>
        <rFont val="Arial"/>
        <family val="2"/>
      </rPr>
      <t>4</t>
    </r>
    <r>
      <rPr>
        <vertAlign val="superscript"/>
        <sz val="10"/>
        <rFont val="Arial"/>
        <family val="2"/>
      </rPr>
      <t>+</t>
    </r>
  </si>
  <si>
    <r>
      <t>en mg/l de NO</t>
    </r>
    <r>
      <rPr>
        <vertAlign val="subscript"/>
        <sz val="10"/>
        <rFont val="Arial"/>
        <family val="2"/>
      </rPr>
      <t>2</t>
    </r>
  </si>
  <si>
    <r>
      <t>en mg/l de NO</t>
    </r>
    <r>
      <rPr>
        <vertAlign val="subscript"/>
        <sz val="10"/>
        <rFont val="Arial"/>
        <family val="2"/>
      </rPr>
      <t>3</t>
    </r>
  </si>
  <si>
    <t>en mg/l de P</t>
  </si>
  <si>
    <r>
      <t xml:space="preserve">Le cacul des écarts analytiques est effectué si l'un des deux ou les deux résultats sont au dessus du seuil de comparaison. </t>
    </r>
    <r>
      <rPr>
        <b/>
        <sz val="10"/>
        <rFont val="Arial"/>
        <family val="2"/>
      </rPr>
      <t>L'écart est calculé par rapport à la moyenne des 2 valeurs.</t>
    </r>
  </si>
  <si>
    <t xml:space="preserve"> LIMITES DE QUANTIFICATION POUR LES SDE</t>
  </si>
  <si>
    <t>Coefficient multiplicateur de la masse rejetée</t>
  </si>
  <si>
    <t>Anthracène</t>
  </si>
  <si>
    <t>0,010 µg/l</t>
  </si>
  <si>
    <t>Benzène</t>
  </si>
  <si>
    <t>1,0 µg/l</t>
  </si>
  <si>
    <t>Benzo(a)pyrène</t>
  </si>
  <si>
    <t>Benzo(b)fluoranthène</t>
  </si>
  <si>
    <t>0,005 µg/l</t>
  </si>
  <si>
    <t>Benzo(k)fluoranthène</t>
  </si>
  <si>
    <t>Benzo(ghi)pérylène</t>
  </si>
  <si>
    <t>Di(2-éthylhexyl)phtalate DEHP</t>
  </si>
  <si>
    <t>Ethylbenzène</t>
  </si>
  <si>
    <t>Fluoranthène</t>
  </si>
  <si>
    <t>Indeno(1,2,3-cd)pyrène</t>
  </si>
  <si>
    <t>Naphtalène</t>
  </si>
  <si>
    <t>0,050 µg/l</t>
  </si>
  <si>
    <t>Nonylphénols mélange</t>
  </si>
  <si>
    <t>0,5 µg/l</t>
  </si>
  <si>
    <t>p-Octylphénol mélange</t>
  </si>
  <si>
    <t>Toluène</t>
  </si>
  <si>
    <t>1 µg/l</t>
  </si>
  <si>
    <t>Tributylétain cation</t>
  </si>
  <si>
    <t>0,02 µg/l</t>
  </si>
  <si>
    <t>Xylènes</t>
  </si>
  <si>
    <t>2 µg/l</t>
  </si>
  <si>
    <t>Evaluation</t>
  </si>
  <si>
    <t>Au débit</t>
  </si>
  <si>
    <t>Conforme</t>
  </si>
  <si>
    <t>Type</t>
  </si>
  <si>
    <t>Annuelle</t>
  </si>
  <si>
    <t>En V</t>
  </si>
  <si>
    <t>Réglet</t>
  </si>
  <si>
    <t>Satisfaisant</t>
  </si>
  <si>
    <t>Mensuelle</t>
  </si>
  <si>
    <t>Les échantillons sont-ils constitués, conservés et mis en analyse, selon les règles de l'art en vigueur ?</t>
  </si>
  <si>
    <t>Actif</t>
  </si>
  <si>
    <t>Ajouter un équipement réseau</t>
  </si>
  <si>
    <t>Ajouter un équipement station</t>
  </si>
  <si>
    <t>Organe deprimogène (pito...)</t>
  </si>
  <si>
    <t>Q en charge</t>
  </si>
  <si>
    <t>Débitmètre Ultrason</t>
  </si>
  <si>
    <t>compteur mécanique</t>
  </si>
  <si>
    <t>Conditions météo</t>
  </si>
  <si>
    <t>Q Gravitaire</t>
  </si>
  <si>
    <t>Type équipement : débimètre</t>
  </si>
  <si>
    <t>Listes fiches terrain</t>
  </si>
  <si>
    <t>Au temps</t>
  </si>
  <si>
    <t>Asservissement</t>
  </si>
  <si>
    <t>Non conforme</t>
  </si>
  <si>
    <t>Non vérifié</t>
  </si>
  <si>
    <t>Non vérifiable</t>
  </si>
  <si>
    <t>Ultrason</t>
  </si>
  <si>
    <t>Type_capteur</t>
  </si>
  <si>
    <t>Radar</t>
  </si>
  <si>
    <t>Piezo</t>
  </si>
  <si>
    <t>Bulle à bulle</t>
  </si>
  <si>
    <t>Autre</t>
  </si>
  <si>
    <t>Non satisfaisant</t>
  </si>
  <si>
    <t>Fréquence</t>
  </si>
  <si>
    <t>Satisfaction</t>
  </si>
  <si>
    <t>Journalière</t>
  </si>
  <si>
    <t>Bimensuelle</t>
  </si>
  <si>
    <t>Trimestrielle</t>
  </si>
  <si>
    <t>Semestrielle</t>
  </si>
  <si>
    <t>Hebdomadaire</t>
  </si>
  <si>
    <t>Inconnu</t>
  </si>
  <si>
    <t>Débitmètre électromagnétique (Eau)</t>
  </si>
  <si>
    <t>Débitmètre électromagnétique (Boue/MDV)</t>
  </si>
  <si>
    <t>Description</t>
  </si>
  <si>
    <t>Pondération</t>
  </si>
  <si>
    <t>Liste</t>
  </si>
  <si>
    <t>L'accès à l'ouvrage et aux équipements de mesure se fait-il en toute sécurité pour les agents en charge des opérations de contrôles et d'entretien ?</t>
  </si>
  <si>
    <t>Le dimensionnement du débitmètre est-il adapté vis à vis de l'étendue des débits à mesurer ?</t>
  </si>
  <si>
    <t>Le dimensionnement de l'organe de mesure, y compris des canaux d'approche et de fuite, est-il adapté vis-à-vis de l'étendue des débits à mesurer ?</t>
  </si>
  <si>
    <t>Le dimensionnement du clapet est-il adapté vis à vis de l'étendue des débits à mesurer ?</t>
  </si>
  <si>
    <t>Le capteur de mesure de hauteur d'eau est-il adapté au type d'effluent et à l'environnement rencontrés (mousses, températures, déchets, etc...) et présente t-il un état de fonctionnement satisfaisant ?
L'implantation du capteur respecte t-elle les normes en vigueur et/ou les prescriptions du constructeur, ou celles définies dans l'étude spécifique ?</t>
  </si>
  <si>
    <t>Le capteur est-il installé conformément aux règles de l'art et/ou aux prescriptions des constructeurs ?</t>
  </si>
  <si>
    <t>Le débitmètre est-il installé conformément aux normes en vigueur et/ou aux prescriptions du constructeur ?</t>
  </si>
  <si>
    <t>L'organe de mesure, y compris les canaux d'approche et de fuite, sont-ils installés conformément aux normes en vigueur et/ou aux prescriptions du constructeur ?
L'organe de mesure, y compris les canaux d'approche et de fuite, sont-ils déformés ? Dans l'affirmative, est ce que la déformation a un impact significatif sur la mesure de débit ?</t>
  </si>
  <si>
    <t>Le contenu de ce critère sera plus exhaustif (prise de côtes) lorsqu'il s'agit d'un contrôle initial de réception ou lorsqu'il y a une suspicion que le dispositif à "bougé".
Préciser en commentaire la nature de la déformation et fournir si possible des photos.</t>
  </si>
  <si>
    <t xml:space="preserve">Le caisson et les capteurs associés, sont-ils installés conformément aux normes en vigueur et/ou aux prescriptions des constructeurs ? </t>
  </si>
  <si>
    <t xml:space="preserve">Les conditions limites d'application de la loi, sont-elles conformes aux conditions définies dans l'étude loi COACHs (pente, orifice, exutoire, clapet…) ?
</t>
  </si>
  <si>
    <t xml:space="preserve">Les conditions initiales de mise en œuvre de la loi, telles que définies dans l'étude spécifique, sont-elles respectées (Pas de modification du génie civil ou du régime hydraulique,…) ?
</t>
  </si>
  <si>
    <t>Le débitmètre est-il installé conformément aux prescriptions du constructeur ?</t>
  </si>
  <si>
    <t xml:space="preserve">Le clapet et les capteurs associés, sont-ils installés conformément aux prescriptions du constructeur ou à l'étude spécifique ?
</t>
  </si>
  <si>
    <r>
      <t xml:space="preserve">Le capteur de mesure de </t>
    </r>
    <r>
      <rPr>
        <u/>
        <sz val="10"/>
        <color theme="1"/>
        <rFont val="Arial"/>
        <family val="2"/>
      </rPr>
      <t>vitesse</t>
    </r>
    <r>
      <rPr>
        <sz val="10"/>
        <color theme="1"/>
        <rFont val="Arial"/>
        <family val="2"/>
      </rPr>
      <t xml:space="preserve"> est-il installé conformément aux prescriptions du constructeur, ou celles définies dans l'étude spécifique ?</t>
    </r>
  </si>
  <si>
    <t>La propreté et l'état d'entretien du point de déversement et des capteurs associés sont-ils satisfaisants ?</t>
  </si>
  <si>
    <t>La propreté et l'état d'entretien du dispositif de prélèvement sont-ils satisfaisants ?</t>
  </si>
  <si>
    <t>Un défaut de propreté et/ou d'entretien ayant un impact immédiat sur la fiabilité du prélèvement doit entrainer un jugement à "Non Validé".
Un défaut de propreté et/ou d'entretien mais n'ayant à priori pas d'impact immédiat sur la fiabilité du prélèvement doit avoir un jugement "Validé avec réserve".</t>
  </si>
  <si>
    <t>Le modalités d'échantillonnage permettent-elles de prélever un échantillon représentatif du rejet (fréquence de prélèvement, en plusieurs points représentatifs, ...) ?</t>
  </si>
  <si>
    <r>
      <t xml:space="preserve">Si une mesure comparative est possible, les écarts entre d'une part les résultats de mesure des </t>
    </r>
    <r>
      <rPr>
        <u/>
        <sz val="10"/>
        <color theme="1"/>
        <rFont val="Arial"/>
        <family val="2"/>
      </rPr>
      <t>volumes</t>
    </r>
    <r>
      <rPr>
        <sz val="10"/>
        <color theme="1"/>
        <rFont val="Arial"/>
        <family val="2"/>
      </rPr>
      <t xml:space="preserve"> obtenus à partir du dispositif en place (y compris le report en supervision), et ceux mesurés par l'organisme de contrôle d'autre part, sont-ils cohérents (EMT ± 5%) ?
</t>
    </r>
  </si>
  <si>
    <t>Calcul de l'écart par rapport à la moyenne des 2 valeurs.
Pour les volumes &lt; 10 m3, le fonctionnement sera apprécié par l'intervenant.</t>
  </si>
  <si>
    <r>
      <t xml:space="preserve">Si une mesure comparative est possible, les écarts entre d'une part les résultats de mesure des </t>
    </r>
    <r>
      <rPr>
        <u/>
        <sz val="10"/>
        <color theme="1"/>
        <rFont val="Arial"/>
        <family val="2"/>
      </rPr>
      <t>volumes</t>
    </r>
    <r>
      <rPr>
        <sz val="10"/>
        <color theme="1"/>
        <rFont val="Arial"/>
        <family val="2"/>
      </rPr>
      <t xml:space="preserve"> obtenus à partir du dispositif en place (y compris le report en supervision), et ceux mesurés par l'organisme de contrôle d'autre part, sont-ils cohérents (EMT ± 10%) ?
</t>
    </r>
  </si>
  <si>
    <t>Un défaut de propreté et/ou d'entretien ayant un impact immédiat sur la fiabilité de la mesure doit entrainer un jugement à "Non Validé".
Un défaut de propreté et/ou d'entretien mais n'ayant à priori pas d'impact immédiat sur la fiabilité de la mesure doit avoir un jugement "Validé avec réserve".</t>
  </si>
  <si>
    <t>L'étanchéité, la propreté et l'état d'entretien du clapet sont-ils satisfaisants ?</t>
  </si>
  <si>
    <t>Le capteur est-il adapté au type d'effluent et à l'environnement rencontrés (mousses, température, condensation, déchet etc..) et présente t-il un état de fonctionnement satisfaisant ?</t>
  </si>
  <si>
    <t>Le dispositif de prélèvement présente t-il un état de fonctionnement satisfaisant, son diamètre est-il ≥ à 9 mm ?</t>
  </si>
  <si>
    <r>
      <t xml:space="preserve">Si une mesure comparative est impossible ou que l'écart se situe entre 5 et 10%, est ce qu'un </t>
    </r>
    <r>
      <rPr>
        <u/>
        <sz val="10"/>
        <color rgb="FF7030A0"/>
        <rFont val="Arial"/>
        <family val="2"/>
      </rPr>
      <t>bilan eau</t>
    </r>
    <r>
      <rPr>
        <sz val="10"/>
        <color rgb="FF7030A0"/>
        <rFont val="Arial"/>
        <family val="2"/>
      </rPr>
      <t xml:space="preserve"> (entrée / sortie ou autre) peut-être établi et est-il cohérent (EMT ± 10 %) ?</t>
    </r>
  </si>
  <si>
    <t>Calcul de l'écart selon la formule (Volume Entrée - Volume Sortie) / Volume Moyen</t>
  </si>
  <si>
    <r>
      <t xml:space="preserve">Si une mesure comparative est impossible ou que l'écart se situe entre 10 et 20%, est ce qu'un </t>
    </r>
    <r>
      <rPr>
        <u/>
        <sz val="10"/>
        <color rgb="FF7030A0"/>
        <rFont val="Arial"/>
        <family val="2"/>
      </rPr>
      <t>bilan matière</t>
    </r>
    <r>
      <rPr>
        <sz val="10"/>
        <color rgb="FF7030A0"/>
        <rFont val="Arial"/>
        <family val="2"/>
      </rPr>
      <t xml:space="preserve"> (volume pompé / mesuré ou autre) peut-être établi et est-il cohérent (EMT ± 20 %) ?</t>
    </r>
  </si>
  <si>
    <t>Une attention particulière devra être apportée  en cas de modification significative des débits, de l'ajout d'un stabilisateur d'écoulement, d'un clapet ou d'un filet à l'exutoire, etc...).
Les traces de mises en charges peuvent être un indice pour évaluer ce critère.
En l'absence d'écoulement saisir "Non contrôlé"</t>
  </si>
  <si>
    <t>Une attention particulière devra être apportée  en cas de modification significative des débits, de l'ajout d'un clapet ou d'un filet à l'exutoire, etc...).
Les traces de mises en charges peuvent être un indice pour évaluer ce critère.
En l'absence d'écoulement saisir "Non contrôlé"</t>
  </si>
  <si>
    <t xml:space="preserve">Le fonctionnement hydraulique, en amont et en aval de la sonde de mesure de la hauteur d'eau, est-il satisfaisant ? </t>
  </si>
  <si>
    <t>En l'absence d'écoulement saisir "Non contrôlé"</t>
  </si>
  <si>
    <t>Le fonctionnement hydraulique, en amont et en aval du clapet, est-il satisfaisant ?</t>
  </si>
  <si>
    <t>Les traces de mises en charges peuvent être un indice pour évaluer ce critère.
En l'absence d'écoulement saisir "Non contrôlé"
Si impossibilité de se prononcer ou de doute saisir "Validé avec réserve"</t>
  </si>
  <si>
    <t>Le fonctionnement hydraulique, en amont et en aval des capteurs, est-il satisfaisant ?</t>
  </si>
  <si>
    <r>
      <t xml:space="preserve">L'écart entre d'une part les résultats de mesure des temps de déversement obtenus à partir des dispositifs en place et ceux mesurés par l'organisme de contrôle d'autre part sont-ils cohérents ?
     EMT </t>
    </r>
    <r>
      <rPr>
        <sz val="10"/>
        <color theme="1"/>
        <rFont val="Aptos Narrow"/>
        <family val="2"/>
      </rPr>
      <t>±</t>
    </r>
    <r>
      <rPr>
        <sz val="10"/>
        <color theme="1"/>
        <rFont val="Arial"/>
        <family val="2"/>
      </rPr>
      <t xml:space="preserve"> 10% pour la durée totalisée (à minima 20min ou 4 pas d'enregistrement)
     EMT </t>
    </r>
    <r>
      <rPr>
        <sz val="10"/>
        <color theme="1"/>
        <rFont val="Aptos Narrow"/>
        <family val="2"/>
      </rPr>
      <t>±</t>
    </r>
    <r>
      <rPr>
        <sz val="10"/>
        <color theme="1"/>
        <rFont val="Arial"/>
        <family val="2"/>
      </rPr>
      <t xml:space="preserve"> 1 évènement pour le nombre d'évènements simulés (à minima 5) </t>
    </r>
  </si>
  <si>
    <t>Le volume de prélèvement par cycle est-il ≥ à 50 ml et est-il répétable à ± 5 % ?</t>
  </si>
  <si>
    <t>Contrôle à réaliser sur 3 prélèvements</t>
  </si>
  <si>
    <t>Pour les prélèvements réalisés sur des eaux usées réutilisées (A8), la stérilisation du robinet a-t-elle été effectuée?</t>
  </si>
  <si>
    <r>
      <t xml:space="preserve">Si une mesure comparative est impossible ou que l'écart se situe entre 10 et 20%, est-ce qu'un </t>
    </r>
    <r>
      <rPr>
        <u/>
        <sz val="10"/>
        <color rgb="FF7030A0"/>
        <rFont val="Arial"/>
        <family val="2"/>
      </rPr>
      <t>contrôle électronique</t>
    </r>
    <r>
      <rPr>
        <sz val="10"/>
        <color rgb="FF7030A0"/>
        <rFont val="Arial"/>
        <family val="2"/>
      </rPr>
      <t xml:space="preserve"> du débitmètre est régulièrement réalisé et le rapport atteste-t-il d'un bon fonctionnement ?</t>
    </r>
  </si>
  <si>
    <t>Le capteur de mesure de hauteur d'eau est-il adapté au type d'effluent et à l'environnement rencontrés (mousses, températures, déchets, etc...) et présente t-il un état de fonctionnement satisfaisant ?
L'implantation du capteur respecte t-elle les normes en vigueur et/ou les prescriptions du constructeur ?</t>
  </si>
  <si>
    <t xml:space="preserve">Le capteur de mesure de hauteur d'eau est-il adapté au type d'effluent et à l'environnement rencontrés (mousses, températures, déchets, etc...) et présente t-il un état de fonctionnement satisfaisant ?
L'implantation du capteur respecte t-elle les normes en vigueur et/ou les prescriptions du constructeur ? </t>
  </si>
  <si>
    <t>L'inclinomètre est-il adapté à l'environnement rencontré et présente t-il un état de fonctionnement satisfaisant ?
L'implantation de l'inclinomètre respecte t-elle les prescriptions du constructeur ?</t>
  </si>
  <si>
    <r>
      <t xml:space="preserve">Si une mesure comparative est possible, les écarts entre d'une part les résultats de mesure des </t>
    </r>
    <r>
      <rPr>
        <u/>
        <sz val="10"/>
        <color theme="1"/>
        <rFont val="Arial"/>
        <family val="2"/>
      </rPr>
      <t>hauteurs d'eau</t>
    </r>
    <r>
      <rPr>
        <sz val="10"/>
        <color theme="1"/>
        <rFont val="Arial"/>
        <family val="2"/>
      </rPr>
      <t xml:space="preserve"> obtenus à partir des dispositifs en place (si possible sur 3 points représentatifs du fonctionnement habituel, plus le 0 hydraulique) et ceux mesurés par l'organisme de contrôle d'autre part, sont-ils cohérents (EMT ± 10 mm) ?</t>
    </r>
  </si>
  <si>
    <t>En période de déversement, le pas de temps est-il inférieur ou égal à 5 minutes ?</t>
  </si>
  <si>
    <t>Le préleveur est-il asservi au débit, ou au volume écoulé, et assure-t-il un nombre de prélèvements égal, en moyenne, à au moins à 6 par heure de rejet effectif ? soit 144 prélèvements unitaires par 24h de rejet.</t>
  </si>
  <si>
    <t>Tolérance de validation à 4 prélèvement par heure de rejet (soit 96 prélèvements/jour), sur justification d'un évènement exceptionnel.</t>
  </si>
  <si>
    <r>
      <t>Si une mesure comparative est impossible ou que l'écart se situe entre 10 et 20%, est-ce qu'un</t>
    </r>
    <r>
      <rPr>
        <u/>
        <sz val="10"/>
        <color rgb="FF7030A0"/>
        <rFont val="Arial"/>
        <family val="2"/>
      </rPr>
      <t xml:space="preserve"> étalonnage</t>
    </r>
    <r>
      <rPr>
        <sz val="10"/>
        <color rgb="FF7030A0"/>
        <rFont val="Arial"/>
        <family val="2"/>
      </rPr>
      <t xml:space="preserve"> du débitmètre par un laboratoire accrédité est régulièrement réalisé (&lt;7ans) et le rapport atteste-t-il d'un bon fonctionnement ?</t>
    </r>
  </si>
  <si>
    <r>
      <t xml:space="preserve">Les écarts entre d'une part les résultats de mesure des </t>
    </r>
    <r>
      <rPr>
        <u/>
        <sz val="10"/>
        <color theme="1"/>
        <rFont val="Arial"/>
        <family val="2"/>
      </rPr>
      <t>hauteurs d'eau</t>
    </r>
    <r>
      <rPr>
        <sz val="10"/>
        <color theme="1"/>
        <rFont val="Arial"/>
        <family val="2"/>
      </rPr>
      <t xml:space="preserve"> obtenus à partir des dispositifs en place (si possible sur 3 points représentatifs du fonctionnement habituel, plus le 0 hydraulique) et ceux mesurés par l'organisme de contrôle d'autre part, sont-ils cohérents (</t>
    </r>
    <r>
      <rPr>
        <sz val="9"/>
        <color theme="1"/>
        <rFont val="Aptos Narrow"/>
        <family val="2"/>
      </rPr>
      <t xml:space="preserve">EMT ± </t>
    </r>
    <r>
      <rPr>
        <sz val="10"/>
        <color theme="1"/>
        <rFont val="Arial"/>
        <family val="2"/>
      </rPr>
      <t>10 mm) ?</t>
    </r>
  </si>
  <si>
    <r>
      <t xml:space="preserve">Les écarts entre d'une part les résultats de mesure des </t>
    </r>
    <r>
      <rPr>
        <u/>
        <sz val="10"/>
        <color theme="1"/>
        <rFont val="Arial"/>
        <family val="2"/>
      </rPr>
      <t>hauteurs d'eau</t>
    </r>
    <r>
      <rPr>
        <sz val="10"/>
        <color theme="1"/>
        <rFont val="Arial"/>
        <family val="2"/>
      </rPr>
      <t xml:space="preserve"> obtenus à partir des dispositifs en place (si possible sur 3 points représentatifs du fonctionnement habituel, plus le 0 hydraulique) et ceux mesurés par l'organisme de contrôle d'autre part (à l'aide cales), sont-ils cohérents (</t>
    </r>
    <r>
      <rPr>
        <sz val="9"/>
        <color theme="1"/>
        <rFont val="Aptos Narrow"/>
        <family val="2"/>
      </rPr>
      <t xml:space="preserve">EMT ± </t>
    </r>
    <r>
      <rPr>
        <sz val="10"/>
        <color theme="1"/>
        <rFont val="Arial"/>
        <family val="2"/>
      </rPr>
      <t>10 mm) ?</t>
    </r>
  </si>
  <si>
    <r>
      <t xml:space="preserve">Les écarts entre d’une part les résultats de mesure </t>
    </r>
    <r>
      <rPr>
        <u/>
        <sz val="10"/>
        <color theme="1"/>
        <rFont val="Arial"/>
        <family val="2"/>
      </rPr>
      <t>d’angle</t>
    </r>
    <r>
      <rPr>
        <sz val="10"/>
        <color theme="1"/>
        <rFont val="Arial"/>
        <family val="2"/>
      </rPr>
      <t xml:space="preserve"> obtenus à partir des dispositifs en place (si possible sur 3 angles représentatifs du fonctionnement habituel, plus le 0 hydraulique) et ceux mesurés par l’organisme de contrôle d’autre part, sont-ils cohérents (EMT </t>
    </r>
    <r>
      <rPr>
        <sz val="10"/>
        <color theme="1"/>
        <rFont val="Aptos Narrow"/>
        <family val="2"/>
      </rPr>
      <t>±</t>
    </r>
    <r>
      <rPr>
        <sz val="10"/>
        <color theme="1"/>
        <rFont val="Arial"/>
        <family val="2"/>
      </rPr>
      <t>1°) ?</t>
    </r>
  </si>
  <si>
    <r>
      <t xml:space="preserve">Si une mesure comparative est possible, les écarts entre d'une part les résultats de mesure des </t>
    </r>
    <r>
      <rPr>
        <u/>
        <sz val="10"/>
        <color theme="1"/>
        <rFont val="Arial"/>
        <family val="2"/>
      </rPr>
      <t>débits</t>
    </r>
    <r>
      <rPr>
        <sz val="10"/>
        <color theme="1"/>
        <rFont val="Arial"/>
        <family val="2"/>
      </rPr>
      <t xml:space="preserve"> obtenus à partir des dispositifs en place (si possible sur 3 points représentatifs du fonctionnement habituel </t>
    </r>
    <r>
      <rPr>
        <sz val="10"/>
        <color theme="1"/>
        <rFont val="Aptos Narrow"/>
        <family val="2"/>
      </rPr>
      <t>≥</t>
    </r>
    <r>
      <rPr>
        <sz val="10"/>
        <color theme="1"/>
        <rFont val="Arial"/>
        <family val="2"/>
      </rPr>
      <t xml:space="preserve"> 50 mm) et ceux mesurés par l'organisme de contrôle d'autre part (sur la base de la loi hydraulique fournie par le constructeur), sont-ils cohérents ?
     EMT </t>
    </r>
    <r>
      <rPr>
        <sz val="10"/>
        <color theme="1"/>
        <rFont val="Aptos Narrow"/>
        <family val="2"/>
      </rPr>
      <t>±</t>
    </r>
    <r>
      <rPr>
        <sz val="9"/>
        <color theme="1"/>
        <rFont val="Arial"/>
        <family val="2"/>
      </rPr>
      <t xml:space="preserve"> 10% </t>
    </r>
    <r>
      <rPr>
        <sz val="10"/>
        <color theme="1"/>
        <rFont val="Arial"/>
        <family val="2"/>
      </rPr>
      <t xml:space="preserve">pour une hauteur d'eau comprise entre 50 et 150 mm
     EMT ± 5% pour une hauteur </t>
    </r>
    <r>
      <rPr>
        <sz val="10"/>
        <color theme="1"/>
        <rFont val="Aptos Narrow"/>
        <family val="2"/>
      </rPr>
      <t>≥</t>
    </r>
    <r>
      <rPr>
        <sz val="10"/>
        <color theme="1"/>
        <rFont val="Arial"/>
        <family val="2"/>
      </rPr>
      <t xml:space="preserve"> 150 mm</t>
    </r>
  </si>
  <si>
    <t>En période hors déversement, le pas de temps est-il inférieur ou égal à 15 minutes?</t>
  </si>
  <si>
    <t>Si le débit est nul, le contrôle du zéro est-il cohérent ?</t>
  </si>
  <si>
    <t>Si impossibilité d'avoir un débit nul =&gt; saisir "validé" et noter un commentaire.</t>
  </si>
  <si>
    <r>
      <t xml:space="preserve">La loi hydraulique utilisée Q=f(h), est-elle correctement paramétrée et cohérente avec les caractéristiques de l'organe de mesure ?
Les écarts entre d'une part les résultats de mesure des </t>
    </r>
    <r>
      <rPr>
        <u/>
        <sz val="10"/>
        <color theme="1"/>
        <rFont val="Arial"/>
        <family val="2"/>
      </rPr>
      <t>débits</t>
    </r>
    <r>
      <rPr>
        <sz val="10"/>
        <color theme="1"/>
        <rFont val="Arial"/>
        <family val="2"/>
      </rPr>
      <t xml:space="preserve"> obtenus à partir des dispositifs en place (si possible sur 3 points représentatifs du fonctionnement habituel </t>
    </r>
    <r>
      <rPr>
        <sz val="10"/>
        <color theme="1"/>
        <rFont val="Aptos Narrow"/>
        <family val="2"/>
      </rPr>
      <t>≥</t>
    </r>
    <r>
      <rPr>
        <sz val="10"/>
        <color theme="1"/>
        <rFont val="Arial"/>
        <family val="2"/>
      </rPr>
      <t xml:space="preserve"> 50 mm) et ceux mesurés par l'organisme de contrôle d'autre part (sur la base de la loi hydraulique fournie par le constructeur), sont-ils cohérents ?
     EMT </t>
    </r>
    <r>
      <rPr>
        <sz val="10"/>
        <color theme="1"/>
        <rFont val="Aptos Narrow"/>
        <family val="2"/>
      </rPr>
      <t>±</t>
    </r>
    <r>
      <rPr>
        <sz val="9"/>
        <color theme="1"/>
        <rFont val="Arial"/>
        <family val="2"/>
      </rPr>
      <t xml:space="preserve"> 10% </t>
    </r>
    <r>
      <rPr>
        <sz val="10"/>
        <color theme="1"/>
        <rFont val="Arial"/>
        <family val="2"/>
      </rPr>
      <t xml:space="preserve">pour une hauteur d'eau comprise entre 50 et 150 mm
     EMT ± 5% pour une hauteur </t>
    </r>
    <r>
      <rPr>
        <sz val="10"/>
        <color theme="1"/>
        <rFont val="Aptos Narrow"/>
        <family val="2"/>
      </rPr>
      <t>≥</t>
    </r>
    <r>
      <rPr>
        <sz val="10"/>
        <color theme="1"/>
        <rFont val="Arial"/>
        <family val="2"/>
      </rPr>
      <t xml:space="preserve"> 150 mm</t>
    </r>
  </si>
  <si>
    <t>Le contrôle consiste à vérifier le paramétrage exacte de la loi telle que décrite dans la norme, ou pour les autres cas, celle indiquée dans le manuel d'autosurveillance.
Le nombre de points paramétrés de la courbe de conversion doit également être cohérent avec la gamme des valeurs mesurées.</t>
  </si>
  <si>
    <r>
      <t xml:space="preserve">La loi hydraulique utilisée Q=f(h), est-elle correctement paramétrée et cohérente avec les caractéristiques de l'organe de mesure ?
Les écarts entre d'une part les résultats de mesure des </t>
    </r>
    <r>
      <rPr>
        <u/>
        <sz val="10"/>
        <color theme="1"/>
        <rFont val="Arial"/>
        <family val="2"/>
      </rPr>
      <t>débits</t>
    </r>
    <r>
      <rPr>
        <sz val="10"/>
        <color theme="1"/>
        <rFont val="Arial"/>
        <family val="2"/>
      </rPr>
      <t xml:space="preserve"> obtenus à partir des dispositifs en place (si possible sur 3 points représentatifs du fonctionnement habituel </t>
    </r>
    <r>
      <rPr>
        <sz val="10"/>
        <color theme="1"/>
        <rFont val="Aptos Narrow"/>
        <family val="2"/>
      </rPr>
      <t>≥</t>
    </r>
    <r>
      <rPr>
        <sz val="10"/>
        <color theme="1"/>
        <rFont val="Arial"/>
        <family val="2"/>
      </rPr>
      <t xml:space="preserve"> 50 mm) et ceux mesurés par l'organisme de contrôle d'autre part (à l'aide de cales et de la loi hydraulique fournie par le constructeur), sont-ils cohérents ?
     EMT </t>
    </r>
    <r>
      <rPr>
        <sz val="10"/>
        <color theme="1"/>
        <rFont val="Aptos Narrow"/>
        <family val="2"/>
      </rPr>
      <t>±</t>
    </r>
    <r>
      <rPr>
        <sz val="9"/>
        <color theme="1"/>
        <rFont val="Arial"/>
        <family val="2"/>
      </rPr>
      <t xml:space="preserve"> 10% </t>
    </r>
    <r>
      <rPr>
        <sz val="10"/>
        <color theme="1"/>
        <rFont val="Arial"/>
        <family val="2"/>
      </rPr>
      <t xml:space="preserve">pour une hauteur d'eau comprise entre 50 et 150 mm
     EMT ± 5% pour une hauteur </t>
    </r>
    <r>
      <rPr>
        <sz val="10"/>
        <color theme="1"/>
        <rFont val="Aptos Narrow"/>
        <family val="2"/>
      </rPr>
      <t>≥</t>
    </r>
    <r>
      <rPr>
        <sz val="10"/>
        <color theme="1"/>
        <rFont val="Arial"/>
        <family val="2"/>
      </rPr>
      <t xml:space="preserve"> 150 mm</t>
    </r>
  </si>
  <si>
    <r>
      <t xml:space="preserve">La loi hydraulique utilisée Q=f(h), est-elle correctement paramétrée ?
Les écarts entre d'une part les résultats de mesure des </t>
    </r>
    <r>
      <rPr>
        <u/>
        <sz val="10"/>
        <color theme="1"/>
        <rFont val="Arial"/>
        <family val="2"/>
      </rPr>
      <t>débits</t>
    </r>
    <r>
      <rPr>
        <sz val="10"/>
        <color theme="1"/>
        <rFont val="Arial"/>
        <family val="2"/>
      </rPr>
      <t xml:space="preserve"> obtenus à partir des dispositifs en place (si possible sur 3 points représentatifs du fonctionnement habituel </t>
    </r>
    <r>
      <rPr>
        <sz val="10"/>
        <color theme="1"/>
        <rFont val="Aptos Narrow"/>
        <family val="2"/>
      </rPr>
      <t>≥</t>
    </r>
    <r>
      <rPr>
        <sz val="10"/>
        <color theme="1"/>
        <rFont val="Arial"/>
        <family val="2"/>
      </rPr>
      <t xml:space="preserve"> 50 mm) et ceux mesurés par l'organisme de contrôle d'autre part (à l'aide de cales et de la loi hydraulique fournie par le constructeur), sont-ils cohérents ?
     EMT </t>
    </r>
    <r>
      <rPr>
        <sz val="10"/>
        <color theme="1"/>
        <rFont val="Aptos Narrow"/>
        <family val="2"/>
      </rPr>
      <t>±</t>
    </r>
    <r>
      <rPr>
        <sz val="9"/>
        <color theme="1"/>
        <rFont val="Arial"/>
        <family val="2"/>
      </rPr>
      <t xml:space="preserve"> 10% </t>
    </r>
    <r>
      <rPr>
        <sz val="10"/>
        <color theme="1"/>
        <rFont val="Arial"/>
        <family val="2"/>
      </rPr>
      <t xml:space="preserve">pour une hauteur d'eau comprise entre 50 et 150 mm
     EMT ± 5% pour une hauteur </t>
    </r>
    <r>
      <rPr>
        <sz val="10"/>
        <color theme="1"/>
        <rFont val="Aptos Narrow"/>
        <family val="2"/>
      </rPr>
      <t>≥</t>
    </r>
    <r>
      <rPr>
        <sz val="10"/>
        <color theme="1"/>
        <rFont val="Arial"/>
        <family val="2"/>
      </rPr>
      <t xml:space="preserve"> 150 mm</t>
    </r>
  </si>
  <si>
    <r>
      <t xml:space="preserve">Les écarts entre d'une part les résultats de mesure des </t>
    </r>
    <r>
      <rPr>
        <u/>
        <sz val="10"/>
        <color theme="1"/>
        <rFont val="Arial"/>
        <family val="2"/>
      </rPr>
      <t>vitesses</t>
    </r>
    <r>
      <rPr>
        <sz val="10"/>
        <color theme="1"/>
        <rFont val="Arial"/>
        <family val="2"/>
      </rPr>
      <t xml:space="preserve"> obtenus à partir des dispositifs en place (si possible sur 3 points représentatifs du fonctionnement habituel </t>
    </r>
    <r>
      <rPr>
        <sz val="10"/>
        <color theme="1"/>
        <rFont val="Aptos Narrow"/>
        <family val="2"/>
      </rPr>
      <t>≥</t>
    </r>
    <r>
      <rPr>
        <sz val="10"/>
        <color theme="1"/>
        <rFont val="Arial"/>
        <family val="2"/>
      </rPr>
      <t xml:space="preserve"> 50 mm) et ceux mesurés par l'organisme de contrôle d'autre part (sur la base de la loi hydraulique fournie par le constructeur), sont-ils cohérents ?
     EMT </t>
    </r>
    <r>
      <rPr>
        <sz val="10"/>
        <color theme="1"/>
        <rFont val="Aptos Narrow"/>
        <family val="2"/>
      </rPr>
      <t>±</t>
    </r>
    <r>
      <rPr>
        <sz val="9"/>
        <color theme="1"/>
        <rFont val="Arial"/>
        <family val="2"/>
      </rPr>
      <t xml:space="preserve"> 10% </t>
    </r>
    <r>
      <rPr>
        <sz val="10"/>
        <color theme="1"/>
        <rFont val="Arial"/>
        <family val="2"/>
      </rPr>
      <t xml:space="preserve">pour une hauteur d'eau comprise entre 50 et 150 mm
     EMT ± 5% pour une hauteur </t>
    </r>
    <r>
      <rPr>
        <sz val="10"/>
        <color theme="1"/>
        <rFont val="Aptos Narrow"/>
        <family val="2"/>
      </rPr>
      <t>≥</t>
    </r>
    <r>
      <rPr>
        <sz val="10"/>
        <color theme="1"/>
        <rFont val="Arial"/>
        <family val="2"/>
      </rPr>
      <t xml:space="preserve"> 150 mm</t>
    </r>
  </si>
  <si>
    <r>
      <t xml:space="preserve">La loi hydraulique Q = f(angle) utilisée est-elle correctement paramétrée et cohérente avec les caractéristiques de l’organe de mesure ?
Les écarts entre d’une part les résultats de mesure </t>
    </r>
    <r>
      <rPr>
        <u/>
        <sz val="10"/>
        <color theme="1"/>
        <rFont val="Arial"/>
        <family val="2"/>
      </rPr>
      <t>débit</t>
    </r>
    <r>
      <rPr>
        <sz val="10"/>
        <color theme="1"/>
        <rFont val="Arial"/>
        <family val="2"/>
      </rPr>
      <t xml:space="preserve"> obtenus à partir des dispositifs en place (si possible sur 3 angles représentatifs du fonctionnement habituel, plus le 0 hydraulique) et ceux mesurés par l’organisme de contrôle d’autre part sont-ils cohérents (EMT </t>
    </r>
    <r>
      <rPr>
        <sz val="10"/>
        <color theme="1"/>
        <rFont val="Aptos Narrow"/>
        <family val="2"/>
      </rPr>
      <t>±10</t>
    </r>
    <r>
      <rPr>
        <sz val="10"/>
        <color theme="1"/>
        <rFont val="Arial"/>
        <family val="2"/>
      </rPr>
      <t>%)°?</t>
    </r>
  </si>
  <si>
    <t>Le contrôle consiste à vérifier le paramétrage exacte de la loi telle que décrite dans le manuel d'autosurveillance.
Le nombre de points paramétrés de la courbe de conversion doit également être cohérent avec la gamme des valeurs mesurées.</t>
  </si>
  <si>
    <r>
      <t xml:space="preserve">Si une mesure comparative est impossible, est ce qu'il existe un contrôle de cohérence des données qui atteste d'un bon fonctionnement (EMT </t>
    </r>
    <r>
      <rPr>
        <sz val="10"/>
        <color rgb="FF7030A0"/>
        <rFont val="Aptos Narrow"/>
        <family val="2"/>
      </rPr>
      <t>±</t>
    </r>
    <r>
      <rPr>
        <sz val="8"/>
        <color rgb="FF7030A0"/>
        <rFont val="Arial"/>
        <family val="2"/>
      </rPr>
      <t xml:space="preserve"> </t>
    </r>
    <r>
      <rPr>
        <sz val="10"/>
        <color rgb="FF7030A0"/>
        <rFont val="Arial"/>
        <family val="2"/>
      </rPr>
      <t>10 %) ?</t>
    </r>
  </si>
  <si>
    <t>Le contrôle de cohérence peut être établi par rapport aux données des années antérieures ou d'un autre point de mesure ou d'un modèle mathématique.</t>
  </si>
  <si>
    <t>La température de l'enceinte de prélèvement est-elle adaptée? Si elle est réfrigérée, sa température est-elle maîtrisée à 5°C ± 3°C ?</t>
  </si>
  <si>
    <r>
      <t xml:space="preserve">Les écarts entre d'une part les résultats de mesure des </t>
    </r>
    <r>
      <rPr>
        <u/>
        <sz val="10"/>
        <color theme="1"/>
        <rFont val="Arial"/>
        <family val="2"/>
      </rPr>
      <t>volumes</t>
    </r>
    <r>
      <rPr>
        <sz val="10"/>
        <color theme="1"/>
        <rFont val="Arial"/>
        <family val="2"/>
      </rPr>
      <t xml:space="preserve"> obtenus à partir des dispositifs en place (y compris le report en supervision) et ceux mesurés par l'organisme de contrôle d'autre part, sont-ils cohérents ?  
     EMT </t>
    </r>
    <r>
      <rPr>
        <sz val="10"/>
        <color theme="1"/>
        <rFont val="Aptos Narrow"/>
        <family val="2"/>
      </rPr>
      <t>±</t>
    </r>
    <r>
      <rPr>
        <sz val="10"/>
        <color theme="1"/>
        <rFont val="Arial"/>
        <family val="2"/>
      </rPr>
      <t xml:space="preserve"> 10% pour un volume &lt; 50 m</t>
    </r>
    <r>
      <rPr>
        <vertAlign val="superscript"/>
        <sz val="10"/>
        <color theme="1"/>
        <rFont val="Arial"/>
        <family val="2"/>
      </rPr>
      <t>3</t>
    </r>
    <r>
      <rPr>
        <sz val="10"/>
        <color theme="1"/>
        <rFont val="Arial"/>
        <family val="2"/>
      </rPr>
      <t xml:space="preserve">
     EMT ± 5% pour un volume </t>
    </r>
    <r>
      <rPr>
        <sz val="10"/>
        <color theme="1"/>
        <rFont val="Aptos Narrow"/>
        <family val="2"/>
      </rPr>
      <t>≥</t>
    </r>
    <r>
      <rPr>
        <sz val="10"/>
        <color theme="1"/>
        <rFont val="Arial"/>
        <family val="2"/>
      </rPr>
      <t xml:space="preserve"> 50 m</t>
    </r>
    <r>
      <rPr>
        <vertAlign val="superscript"/>
        <sz val="10"/>
        <color theme="1"/>
        <rFont val="Arial"/>
        <family val="2"/>
      </rPr>
      <t>3</t>
    </r>
  </si>
  <si>
    <r>
      <t>Calcul de l'écart par rapport à la moyenne des 2 valeurs.
Pour les volumes &lt; 10 m</t>
    </r>
    <r>
      <rPr>
        <vertAlign val="superscript"/>
        <sz val="10"/>
        <color theme="1"/>
        <rFont val="Arial"/>
        <family val="2"/>
      </rPr>
      <t>3</t>
    </r>
    <r>
      <rPr>
        <sz val="10"/>
        <color theme="1"/>
        <rFont val="Arial"/>
        <family val="2"/>
      </rPr>
      <t>, le fonctionnement sera apprécié par l'intervenant.</t>
    </r>
  </si>
  <si>
    <t>Existe t-il un dispositif de contrôle adapté et un afficheur de proximité (Hauteur + Débit + Volume) ?</t>
  </si>
  <si>
    <t>Existe t-il un dispositif de contrôle adapté et un afficheur de proximité (Angle + Débit + Volume) ?</t>
  </si>
  <si>
    <t>Si une mesure comparative est impossible, est ce que l'exploitant fait réaliser un contrôle électronique du débitmètre, ou un recalibrage sur banc d'essai des capteurs ? Le rapport atteste-t-il d'un bon fonctionnement ?</t>
  </si>
  <si>
    <t>Existe t-il un dispositif de contrôle adapté et un afficheur de proximité (Hauteur + Vitesse + Débit + Volume) ?</t>
  </si>
  <si>
    <t>Inconnues</t>
  </si>
  <si>
    <t>Temps sec</t>
  </si>
  <si>
    <t>Temps de pluie</t>
  </si>
  <si>
    <t>Critères d'évaluation</t>
  </si>
  <si>
    <t>Montage sonde</t>
  </si>
  <si>
    <t>En W</t>
  </si>
  <si>
    <t>Ajouter un pluviomètre réseau</t>
  </si>
  <si>
    <t>Les analyses sont-elles correctement effectuées ?</t>
  </si>
  <si>
    <t>Nombre de résultats analytiques conformes :</t>
  </si>
  <si>
    <t>Sonde de température</t>
  </si>
  <si>
    <t>Thermomètre</t>
  </si>
  <si>
    <t>La sonde est-elle installée conformément aux règles de l'art et/ou aux prescriptions des constructeurs ?</t>
  </si>
  <si>
    <t>Dans le canal de rejet, au centre de l'écoulement, à 2/3 de la profondeur et façon à être toujours immergé et à l'ombre.</t>
  </si>
  <si>
    <t>Le pluviomètre présente t-il une section suffisante ?</t>
  </si>
  <si>
    <r>
      <t>Entre 180 et 1 000 cm</t>
    </r>
    <r>
      <rPr>
        <vertAlign val="superscript"/>
        <sz val="10"/>
        <color theme="1"/>
        <rFont val="Arial"/>
        <family val="2"/>
      </rPr>
      <t>2</t>
    </r>
    <r>
      <rPr>
        <sz val="10"/>
        <color theme="1"/>
        <rFont val="Arial"/>
        <family val="2"/>
      </rPr>
      <t>, soit un diamètre variant entre 15 et 35 cm.</t>
    </r>
  </si>
  <si>
    <t>La propreté et l'état d'entretien de la sonde, sont-ils satisfaisants ?</t>
  </si>
  <si>
    <t>Le pluviomètre est-il installé conformément aux règles de l'art et/ou aux prescriptions des constructeurs ?</t>
  </si>
  <si>
    <t>Sur une surface horizontale, entre 0,5 et 2 mètres du sol (1 mètre recommandé), à une distance supérieure à 4 fois la hauteur d'obstacles(mur, arbres, etc…).</t>
  </si>
  <si>
    <t>L'écart entre d'une part la mesure de la température réalisée à partir du dispositif en place et celle réalisée par l'organisme de contrôle d'autre part, est-il cohérent (EMT ± 1°C) ?</t>
  </si>
  <si>
    <t>La propreté et l'état d'entretien du pluviomètre, sont-ils satisfaisants ?</t>
  </si>
  <si>
    <t>Le guide AQUAREF est-il respecté pour le prélèvement des échantillons SDE ?</t>
  </si>
  <si>
    <t>Les échantillons sont-ils fractionnés selon la norme FDT 90-523-2 ?</t>
  </si>
  <si>
    <t>La conservation pendant le transport des échantillons est-elle assurée à 5°C ± 3°C ?</t>
  </si>
  <si>
    <t>Conductivité</t>
  </si>
  <si>
    <t>Cl</t>
  </si>
  <si>
    <t>Ajouter un comparatif analytique</t>
  </si>
  <si>
    <t>Ne rien mettre dans cette colonne</t>
  </si>
  <si>
    <t>Préleveur</t>
  </si>
  <si>
    <t>Equipement de contrôle H</t>
  </si>
  <si>
    <t>Sonde</t>
  </si>
  <si>
    <t>Câble</t>
  </si>
  <si>
    <t>Liste préleveurs</t>
  </si>
  <si>
    <t>Liste débimètres</t>
  </si>
  <si>
    <t>(Dupliquer ce bloc en cas de comparatif multiple)</t>
  </si>
  <si>
    <t>début données sys collect</t>
  </si>
  <si>
    <t>début données station</t>
  </si>
  <si>
    <t>fin données sys collect</t>
  </si>
  <si>
    <t>fin données station</t>
  </si>
  <si>
    <t>Conforme avec réserve</t>
  </si>
  <si>
    <t>cellule score</t>
  </si>
  <si>
    <t>Type Equipement</t>
  </si>
  <si>
    <t>cellule typeE</t>
  </si>
  <si>
    <t>D53</t>
  </si>
  <si>
    <t>cellule commentaire score</t>
  </si>
  <si>
    <t>cellule commentaire</t>
  </si>
  <si>
    <t>D33</t>
  </si>
  <si>
    <t>Point 13</t>
  </si>
  <si>
    <t>Point 14</t>
  </si>
  <si>
    <t>Point 15</t>
  </si>
  <si>
    <t>Paramètres de localisation des données dans les cellules</t>
  </si>
  <si>
    <t>Identification des feuilles de données</t>
  </si>
  <si>
    <t>Préparation des données pour la feuilles synthèse et pour les exports</t>
  </si>
  <si>
    <t>Reg.</t>
  </si>
  <si>
    <t>Log.</t>
  </si>
  <si>
    <t>cellule eval</t>
  </si>
  <si>
    <t>Ligne STEU</t>
  </si>
  <si>
    <t>Ligne SCL</t>
  </si>
  <si>
    <t>Ligne</t>
  </si>
  <si>
    <t>Type ligne</t>
  </si>
  <si>
    <t>Scores</t>
  </si>
  <si>
    <t>Moyennes individuelles</t>
  </si>
  <si>
    <t>Moyennes générales</t>
  </si>
  <si>
    <t>Evaluations individuelles</t>
  </si>
  <si>
    <t>Evaluation globale</t>
  </si>
  <si>
    <t>Liste équipements</t>
  </si>
  <si>
    <t>I</t>
  </si>
  <si>
    <t>Lignes SCL</t>
  </si>
  <si>
    <t>Lignes STEU</t>
  </si>
  <si>
    <t>Feuille</t>
  </si>
  <si>
    <t>loc</t>
  </si>
  <si>
    <t>type</t>
  </si>
  <si>
    <t>typeE</t>
  </si>
  <si>
    <t>n°</t>
  </si>
  <si>
    <t>utilisable</t>
  </si>
  <si>
    <t>Colonnes</t>
  </si>
  <si>
    <t>Données équipement</t>
  </si>
  <si>
    <t>Commentaire eval</t>
  </si>
  <si>
    <t>src</t>
  </si>
  <si>
    <t>val</t>
  </si>
  <si>
    <t>Commentaire equipement</t>
  </si>
  <si>
    <t>cellule score global</t>
  </si>
  <si>
    <t>cellule eval global</t>
  </si>
  <si>
    <t>col</t>
  </si>
  <si>
    <t>ligne</t>
  </si>
  <si>
    <t>TypeE</t>
  </si>
  <si>
    <t>en g/l</t>
  </si>
  <si>
    <t>si S4</t>
  </si>
  <si>
    <t>Ajouter un pluviomètre station</t>
  </si>
  <si>
    <t>Localisation 
(cf. MAS)</t>
  </si>
  <si>
    <t>Point réglementaire</t>
  </si>
  <si>
    <t>Liste pluvio</t>
  </si>
  <si>
    <t>Liste thermo</t>
  </si>
  <si>
    <t>ORGANISME DE CONTRÔLE :</t>
  </si>
  <si>
    <t>CONTRÔLE ANNUEL DES DISPOSITIFS D'AUTOSURVEILLANCE 
DES SYSTÈMES D'ASSAINISSEMENT COLLECTIF</t>
  </si>
  <si>
    <t>NOM DU SYSTÈME D'ASSAINISSEMENT :</t>
  </si>
  <si>
    <t>CODE SANDRE DE L'AGGLOMERATION :</t>
  </si>
  <si>
    <t>NOM DU MAITRE D'OUVRAGE :</t>
  </si>
  <si>
    <t>CODE SANDRE DE LA STATION :</t>
  </si>
  <si>
    <t>CAPACITE DE LA STATION :</t>
  </si>
  <si>
    <t>EXPLOITANT DE LA STATION :</t>
  </si>
  <si>
    <t>NOM SYSTÈME DE COLLECTE :</t>
  </si>
  <si>
    <t>CODE SANDRE DU RESEAU :</t>
  </si>
  <si>
    <t>EXPLOITANT DU RESEAU :</t>
  </si>
  <si>
    <t>NOM SYSTÈME DE TRAITEMENT :</t>
  </si>
  <si>
    <t>NOM DU LABORATOIRE :</t>
  </si>
  <si>
    <t>SYSTÈME DE COLLECTE</t>
  </si>
  <si>
    <t>Localisation (cf. MAS)</t>
  </si>
  <si>
    <t>Lien vers l'onglet de l'équipement</t>
  </si>
  <si>
    <t>Si pas de pluviomètre, veuillez ajouter en commentaire la provenance des données :</t>
  </si>
  <si>
    <t>SYSTÈME DE TRAITEMENT</t>
  </si>
  <si>
    <t>COMMENTAIRES :</t>
  </si>
  <si>
    <t>En /</t>
  </si>
  <si>
    <t>En N</t>
  </si>
  <si>
    <t>Listes méthode contrôle</t>
  </si>
  <si>
    <t>Méthode</t>
  </si>
  <si>
    <t>Mesure en parallèle</t>
  </si>
  <si>
    <t>Simulation d'une hauteur d'eau et mesure en parallèle</t>
  </si>
  <si>
    <t>D24</t>
  </si>
  <si>
    <t>P32</t>
  </si>
  <si>
    <t>N32</t>
  </si>
  <si>
    <t>D32</t>
  </si>
  <si>
    <t>C36</t>
  </si>
  <si>
    <t>D26</t>
  </si>
  <si>
    <t>P33</t>
  </si>
  <si>
    <t>N33</t>
  </si>
  <si>
    <t>C37</t>
  </si>
  <si>
    <t>D37</t>
  </si>
  <si>
    <t>P50</t>
  </si>
  <si>
    <t>N50</t>
  </si>
  <si>
    <t>D50</t>
  </si>
  <si>
    <t>C54</t>
  </si>
  <si>
    <t>P45</t>
  </si>
  <si>
    <t>N45</t>
  </si>
  <si>
    <t>D45</t>
  </si>
  <si>
    <t>C49</t>
  </si>
  <si>
    <t>D40</t>
  </si>
  <si>
    <t>P53</t>
  </si>
  <si>
    <t>N53</t>
  </si>
  <si>
    <t>C57</t>
  </si>
  <si>
    <t>F</t>
  </si>
  <si>
    <t>CONTRÔLE ANNUEL DES DISPOSITIFS D'AUTOSURVEILLANCE DES SYSTÈMES D'ASSAINISSEMENT COLLECTIF</t>
  </si>
  <si>
    <t>NOM·S CONTROLEUR·SE·S :</t>
  </si>
  <si>
    <t>MAITRE D'OUVRAGE :</t>
  </si>
  <si>
    <t>EXPLOITANT :</t>
  </si>
  <si>
    <t>M</t>
  </si>
  <si>
    <t>O</t>
  </si>
  <si>
    <t>Informations sur le comparatif</t>
  </si>
  <si>
    <t>Préleveur :</t>
  </si>
  <si>
    <t>Date du comparatif :</t>
  </si>
  <si>
    <t>Nom de la station :</t>
  </si>
  <si>
    <t>Code de la station :</t>
  </si>
  <si>
    <t>Résultats du comparatif</t>
  </si>
  <si>
    <t>Laboratoire du MO/exploitant</t>
  </si>
  <si>
    <t>Laboratoire de contrôle</t>
  </si>
  <si>
    <t>NB analyses</t>
  </si>
  <si>
    <t>En cas d'accès nécessitant des équipements de protection individuels renforcés (ARI par exemple) ou d'intervenir à 2 personnes, retenir "Validé avec réserve"</t>
  </si>
  <si>
    <t>Débitmètre en charge</t>
  </si>
  <si>
    <t>Débitmètre gravitaire</t>
  </si>
  <si>
    <t>MANUEL D'AUTOSURVEILLANCE</t>
  </si>
  <si>
    <t>Est-ce que le manuel est à jour, validé ou en cours d'expertise?</t>
  </si>
  <si>
    <t>AGREMENT :</t>
  </si>
  <si>
    <t>ECHANTILLONAGE</t>
  </si>
  <si>
    <t>Total pénalité :</t>
  </si>
  <si>
    <t>ANALYSES</t>
  </si>
  <si>
    <t>Score total de la chaine analytique (échantillonnage &amp; analyses) :</t>
  </si>
  <si>
    <t>Le comparatif est-il effectué à partir des prélévements d'une autre station ? 
(si oui, précisez la station)</t>
  </si>
  <si>
    <t>PROCEDURE DE CONTROLES INTERNES DES MATERIELS D'AUTOSURVEILLANCE</t>
  </si>
  <si>
    <t>EVALUATIONS</t>
  </si>
  <si>
    <t>Evaluation des points règlementaires</t>
  </si>
  <si>
    <t>Commentaire évaluation :</t>
  </si>
  <si>
    <t>EAU</t>
  </si>
  <si>
    <t>Fractionnement</t>
  </si>
  <si>
    <t>Température</t>
  </si>
  <si>
    <t>Transport</t>
  </si>
  <si>
    <t>Aquaref</t>
  </si>
  <si>
    <t>SYNTHESE DISPOSITIFS AUTOSURVEILLANCE DE LA STATION D'ÉPURATION</t>
  </si>
  <si>
    <t>Score 
sur 100</t>
  </si>
  <si>
    <t xml:space="preserve">Localisation </t>
  </si>
  <si>
    <t>Type d'équipement</t>
  </si>
  <si>
    <t>La fiche descriptive du débitmètre "sortiestation" devra être actualisée afin de tenir compte du renouvellement du dispositif de mesure en mars 2025</t>
  </si>
  <si>
    <t>BARJAC (30)</t>
  </si>
  <si>
    <t>Commune de Barjac</t>
  </si>
  <si>
    <t>CEREG Ingénierie</t>
  </si>
  <si>
    <t>060930290002</t>
  </si>
  <si>
    <t>5 000 EH</t>
  </si>
  <si>
    <t>Le système Qualité mis en œuvre est performant.</t>
  </si>
  <si>
    <t>Type de mesure</t>
  </si>
  <si>
    <t>Ponctuelle</t>
  </si>
  <si>
    <t>Type de matériel</t>
  </si>
  <si>
    <t>Analytique</t>
  </si>
  <si>
    <t>Nom du(des) laboratoire(s) réalisant les analyses de la matrice eau</t>
  </si>
  <si>
    <t>Nom du(des) laboratoire(s) réalisant l'analyse de la siccité des boues et des matières séches</t>
  </si>
  <si>
    <t>A défaut, est ce que le laboratoire réalise un exercice concluant d’intercalibration avec un laboratoire agréé ?</t>
  </si>
  <si>
    <t>En continu</t>
  </si>
  <si>
    <t>L'écart entre d'une part la mesure de la hauteur de pluie réalisée à partir du dispositif en place et celle réalisée par l'organisme de contrôle d'autre part, est-il cohérent (EMT ± 1 unité) ?</t>
  </si>
  <si>
    <t>pluvio SCL</t>
  </si>
  <si>
    <t>pluvio STEU</t>
  </si>
  <si>
    <t>Pluvio SCL</t>
  </si>
  <si>
    <t>Puvio STEU</t>
  </si>
  <si>
    <t>code</t>
  </si>
  <si>
    <t>Débitmètre</t>
  </si>
  <si>
    <t>Code PREL</t>
  </si>
  <si>
    <t>NB ANALYSE</t>
  </si>
  <si>
    <t>NB CONFORME</t>
  </si>
  <si>
    <t>Coef</t>
  </si>
  <si>
    <t>Coef corrigé</t>
  </si>
  <si>
    <t>Facteur Qualité</t>
  </si>
  <si>
    <t>Les évaluations des sondes de température ne sont pas prises en compte</t>
  </si>
  <si>
    <t>Coef Qualité</t>
  </si>
  <si>
    <t>eee</t>
  </si>
  <si>
    <t>yyy</t>
  </si>
  <si>
    <t>exp r</t>
  </si>
  <si>
    <t>sys</t>
  </si>
  <si>
    <t>control</t>
  </si>
  <si>
    <t>pluie</t>
  </si>
  <si>
    <t>Labo</t>
  </si>
  <si>
    <t>Liste des pluviomètres de référence du réseau</t>
  </si>
  <si>
    <t>Liste des pluviomètres de référence de la station</t>
  </si>
  <si>
    <t>Certaines informations d'un équipement ne sont pas modifiables. Au besoin il est préférable de supprimer et de recréer l'équipement.</t>
  </si>
  <si>
    <t>Pluviométre de référence*</t>
  </si>
  <si>
    <t>Si certains points A1 sont non équipés, veuillez les indiquer en commentaire</t>
  </si>
  <si>
    <t>Les informations de codification sont à reprendre du MAS</t>
  </si>
  <si>
    <t>Libellé de l'équipement</t>
  </si>
  <si>
    <t>Une attention particulière devra être apportée  en cas de modification significative des débits, de l'ajout d'un clapet ou d'un filet à l'exutoire, etc...).
Les traces de mises en charges peuvent être un indice pour évaluer ce critère.
En l'absence d'écoulement saisir "Non contrôlé".  Cette question n'est pas rédhibitoire et il n'est pas demandé de faire une seconde visite, avec écoulement, pour y répondre</t>
  </si>
  <si>
    <t>Scores critères</t>
  </si>
  <si>
    <t>Evaluations critères</t>
  </si>
  <si>
    <t>Pénalité</t>
  </si>
  <si>
    <t>Score/Penalité</t>
  </si>
  <si>
    <t>Score total de la chaine analytique</t>
  </si>
  <si>
    <t>Regie</t>
  </si>
  <si>
    <t>Boues activée faible charge</t>
  </si>
  <si>
    <t>TYPE DE RESEAU</t>
  </si>
  <si>
    <t>NOM(S) CONTROLEUR(S) :</t>
  </si>
  <si>
    <t>DATE(S) D'INTERVENTION :</t>
  </si>
  <si>
    <t>CONDITION(S) METEO :</t>
  </si>
  <si>
    <t>TYPE DE TRAITEMENT :</t>
  </si>
  <si>
    <t>Type réseau</t>
  </si>
  <si>
    <r>
      <t xml:space="preserve">Si une mesure comparative est impossible ou que l'écart se situe entre 5 et 10%, est-ce qu'un </t>
    </r>
    <r>
      <rPr>
        <u/>
        <sz val="10"/>
        <color rgb="FF7030A0"/>
        <rFont val="Arial"/>
        <family val="2"/>
      </rPr>
      <t>contrôle électronique</t>
    </r>
    <r>
      <rPr>
        <sz val="10"/>
        <color rgb="FF7030A0"/>
        <rFont val="Arial"/>
        <family val="2"/>
      </rPr>
      <t xml:space="preserve"> du débitmètre est réalisé et le rapport atteste-t-il d'un bon fonctionnement ?</t>
    </r>
  </si>
  <si>
    <r>
      <t xml:space="preserve">Si une mesure comparative est impossible ou que l'écart se situe entre 5 et 10%, est-ce qu'un </t>
    </r>
    <r>
      <rPr>
        <u/>
        <sz val="10"/>
        <color rgb="FF7030A0"/>
        <rFont val="Arial"/>
        <family val="2"/>
      </rPr>
      <t>étalonnage</t>
    </r>
    <r>
      <rPr>
        <sz val="10"/>
        <color rgb="FF7030A0"/>
        <rFont val="Arial"/>
        <family val="2"/>
      </rPr>
      <t xml:space="preserve"> du débitmètre par un laboratoire accrédité est réalisé et le rapport atteste-t-il d'un bon fonctionnement ?</t>
    </r>
  </si>
  <si>
    <t>Simulation d'une hauteur d'eau (leurre)</t>
  </si>
  <si>
    <r>
      <t xml:space="preserve">Est-ce que le contrôle des </t>
    </r>
    <r>
      <rPr>
        <b/>
        <u/>
        <sz val="12"/>
        <rFont val="Calibri"/>
        <family val="2"/>
        <scheme val="minor"/>
      </rPr>
      <t>débimètres</t>
    </r>
    <r>
      <rPr>
        <sz val="12"/>
        <color theme="4"/>
        <rFont val="Calibri"/>
        <family val="2"/>
        <scheme val="minor"/>
      </rPr>
      <t xml:space="preserve"> </t>
    </r>
    <r>
      <rPr>
        <sz val="12"/>
        <color theme="1"/>
        <rFont val="Calibri"/>
        <family val="2"/>
        <scheme val="minor"/>
      </rPr>
      <t>est réalisé selon les procédures décrites dans le manuel d'autosurveillance ?</t>
    </r>
  </si>
  <si>
    <r>
      <t xml:space="preserve">Est-ce que le contrôle des </t>
    </r>
    <r>
      <rPr>
        <b/>
        <u/>
        <sz val="12"/>
        <rFont val="Calibri"/>
        <family val="2"/>
        <scheme val="minor"/>
      </rPr>
      <t>échantillonneurs</t>
    </r>
    <r>
      <rPr>
        <sz val="12"/>
        <color theme="1"/>
        <rFont val="Calibri"/>
        <family val="2"/>
        <scheme val="minor"/>
      </rPr>
      <t xml:space="preserve"> est réalisé selon les procédures décrites dans le manuel d'autosurveillance ?</t>
    </r>
  </si>
  <si>
    <r>
      <t xml:space="preserve">Est-ce que le contrôle des </t>
    </r>
    <r>
      <rPr>
        <b/>
        <u/>
        <sz val="12"/>
        <rFont val="Calibri"/>
        <family val="2"/>
        <scheme val="minor"/>
      </rPr>
      <t>thermomètres</t>
    </r>
    <r>
      <rPr>
        <sz val="12"/>
        <color theme="1"/>
        <rFont val="Calibri"/>
        <family val="2"/>
        <scheme val="minor"/>
      </rPr>
      <t xml:space="preserve"> est réalisé selon les procédures décrites dans le manuel d'autosurveillance ?</t>
    </r>
  </si>
  <si>
    <r>
      <t xml:space="preserve">Est-ce que le contrôle des </t>
    </r>
    <r>
      <rPr>
        <b/>
        <u/>
        <sz val="12"/>
        <rFont val="Calibri"/>
        <family val="2"/>
        <scheme val="minor"/>
      </rPr>
      <t>pluviomètres</t>
    </r>
    <r>
      <rPr>
        <sz val="12"/>
        <color theme="1"/>
        <rFont val="Calibri"/>
        <family val="2"/>
        <scheme val="minor"/>
      </rPr>
      <t xml:space="preserve"> est réalisé selon les procédures décrites dans le manuel d'autosurveillance ?</t>
    </r>
  </si>
  <si>
    <r>
      <t xml:space="preserve">Est-ce que le contrôle des </t>
    </r>
    <r>
      <rPr>
        <b/>
        <u/>
        <sz val="12"/>
        <rFont val="Calibri"/>
        <family val="2"/>
        <scheme val="minor"/>
      </rPr>
      <t>balances</t>
    </r>
    <r>
      <rPr>
        <sz val="12"/>
        <color theme="1"/>
        <rFont val="Calibri"/>
        <family val="2"/>
        <scheme val="minor"/>
      </rPr>
      <t xml:space="preserve"> est réalisé selon les procédures décrites dans le manuel d'autosurveillance ?</t>
    </r>
  </si>
  <si>
    <r>
      <t xml:space="preserve">Est-ce que le contrôle des </t>
    </r>
    <r>
      <rPr>
        <b/>
        <u/>
        <sz val="12"/>
        <rFont val="Calibri"/>
        <family val="2"/>
        <scheme val="minor"/>
      </rPr>
      <t>chronomètres</t>
    </r>
    <r>
      <rPr>
        <sz val="12"/>
        <color theme="1"/>
        <rFont val="Calibri"/>
        <family val="2"/>
        <scheme val="minor"/>
      </rPr>
      <t xml:space="preserve"> est réalisé selon les procédures décrites dans le manuel d'autosurveillance ?</t>
    </r>
  </si>
  <si>
    <r>
      <t xml:space="preserve">Les </t>
    </r>
    <r>
      <rPr>
        <b/>
        <u/>
        <sz val="12"/>
        <rFont val="Calibri"/>
        <family val="2"/>
        <scheme val="minor"/>
      </rPr>
      <t>contrôles internes</t>
    </r>
    <r>
      <rPr>
        <sz val="12"/>
        <color theme="1"/>
        <rFont val="Calibri"/>
        <family val="2"/>
        <scheme val="minor"/>
      </rPr>
      <t xml:space="preserve"> sont-ils tous tracés, formalisés et suivis (fiches de vie, cartes de contrôle...) ?</t>
    </r>
  </si>
  <si>
    <r>
      <t xml:space="preserve">Des fiches de </t>
    </r>
    <r>
      <rPr>
        <b/>
        <u/>
        <sz val="12"/>
        <rFont val="Calibri"/>
        <family val="2"/>
        <scheme val="minor"/>
      </rPr>
      <t>non-conformité</t>
    </r>
    <r>
      <rPr>
        <sz val="12"/>
        <color theme="1"/>
        <rFont val="Calibri"/>
        <family val="2"/>
        <scheme val="minor"/>
      </rPr>
      <t xml:space="preserve"> et d'</t>
    </r>
    <r>
      <rPr>
        <b/>
        <u/>
        <sz val="12"/>
        <rFont val="Calibri"/>
        <family val="2"/>
        <scheme val="minor"/>
      </rPr>
      <t>action d'amélioration</t>
    </r>
    <r>
      <rPr>
        <sz val="12"/>
        <color theme="1"/>
        <rFont val="Calibri"/>
        <family val="2"/>
        <scheme val="minor"/>
      </rPr>
      <t xml:space="preserve"> ont-elles été produites ?</t>
    </r>
  </si>
  <si>
    <r>
      <t xml:space="preserve">Existe-il un </t>
    </r>
    <r>
      <rPr>
        <b/>
        <u/>
        <sz val="12"/>
        <rFont val="Calibri"/>
        <family val="2"/>
        <scheme val="minor"/>
      </rPr>
      <t>système qualité performant</t>
    </r>
    <r>
      <rPr>
        <b/>
        <sz val="12"/>
        <rFont val="Calibri"/>
        <family val="2"/>
        <scheme val="minor"/>
      </rPr>
      <t xml:space="preserve"> </t>
    </r>
    <r>
      <rPr>
        <sz val="12"/>
        <color theme="1"/>
        <rFont val="Calibri"/>
        <family val="2"/>
        <scheme val="minor"/>
      </rPr>
      <t>?</t>
    </r>
  </si>
  <si>
    <t>LISTE_6</t>
  </si>
  <si>
    <t>Score analytique</t>
  </si>
  <si>
    <t>Mixte</t>
  </si>
  <si>
    <t>Unitaire</t>
  </si>
  <si>
    <t>Séparatif</t>
  </si>
  <si>
    <t>Liste des équipements du système de collecte pour chaque point d’autosurveillance</t>
  </si>
  <si>
    <t>Liste des équipements du système de traitement pour chaque point d’autosurveillance</t>
  </si>
  <si>
    <t>LISTE_7</t>
  </si>
  <si>
    <t>Les conditions de transport permettent-elles 
l'acheminement et la réception des échantillons dans les 24 h ?</t>
  </si>
  <si>
    <t>Coefficient sur les analyses</t>
  </si>
  <si>
    <t xml:space="preserve">Nombre d'analyses ayant fait l'objet 
d'un comparatif analytique : </t>
  </si>
  <si>
    <t>NOM DE L'EXPLOITANT STATION :</t>
  </si>
  <si>
    <t>NOM DE L'EXPLOITANT RESEAU :</t>
  </si>
  <si>
    <t>NOM DU SYSTÈME DE COLLECTE :</t>
  </si>
  <si>
    <t>Manuel d'autosurveillance à jour ou en cours d'expertise ?</t>
  </si>
  <si>
    <t>Existe-t-il un système Qualité performant ?</t>
  </si>
  <si>
    <t>Commentaire :</t>
  </si>
  <si>
    <t>Code du point 
(cf MAS)</t>
  </si>
  <si>
    <t>Code point</t>
  </si>
  <si>
    <t>J</t>
  </si>
  <si>
    <t>point</t>
  </si>
  <si>
    <t>L'implantation du capteur respecte t-elle les normes en vigueur et/ou les prescriptions du constructeur, ainsi que les prescription définies dans l'étude COACHs ?</t>
  </si>
  <si>
    <t>L'implantation du capteur respecte t-elle les normes en vigueur et/ou les prescriptions du constructeur, ainsi que les prescription définies dans l'étude de modélisation ?</t>
  </si>
  <si>
    <t>Le capteur de mesure de hauteur d'eau est-il adapté au type d'effluent et à l'environnement rencontrés (mousses, températures, déchets, etc...) et présente t-il un état de fonctionnement satisfaisant ?</t>
  </si>
  <si>
    <t>Non concerné</t>
  </si>
  <si>
    <t>Le(s) laboratoire(s) est/sont-il(s) agréé(s) au titre du code de l’environnement pour l'ensemble des paramètres de la matrice eau résiduaire?</t>
  </si>
  <si>
    <t>Coefficient fixé à 100 en cas de réalisation de l'ensemble des analyses de la matrice eau résiduaire par un laboratoire agréé au titre du code de l’environnement, ou à défaut procédant annuellement à un exercice concluant d’intercalibration avec un laboratoire agréé :</t>
  </si>
  <si>
    <t>Veuillez saisir les comparatifs analytiques</t>
  </si>
  <si>
    <t>Le manuel d’autosurveillance n’est pas à jour si :
* date du MAS ≤ 2015 ;
* changement du maitre d’ouvrage ou de l’exploitant ;
* construction d’une nouvelle STEU ou la réhabilitation d’une STEU ;
* modification des points du système de collecte et des points de déversement au milieu ;
* modification du référentiel et du schéma SANDRE (ajout ou suppression d’un point d’autosurveillance ou toute autre modification impactant le calcul du rendement) ;
* évolutions techniques ou travaux importants sur le système d'assainissement impactant les points d'autosurveillance ;
* modifications réglementaires telles que l’adoption d’un nouvel arrêté si impact sur le référentiel, le schéma SANDRE et le matériel d’autosurveillance ;
* modifications significatives du suivi métrologique des dispositifs d'autosurveillance ;
*modifications significatives concernant la réalisation des analyses d'autosurveillance.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</si>
</sst>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97" x14ac:knownFonts="1">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color theme="0"/>
      <name val="Arial"/>
      <family val="2"/>
    </font>
    <font>
      <b/>
      <sz val="10"/>
      <color theme="1"/>
      <name val="Arial"/>
      <family val="2"/>
    </font>
    <font>
      <sz val="10"/>
      <color theme="0"/>
      <name val="Arial"/>
      <family val="2"/>
    </font>
    <font>
      <b/>
      <sz val="10"/>
      <name val="Arial"/>
      <family val="2"/>
    </font>
    <font>
      <sz val="8"/>
      <name val="Arial"/>
      <family val="2"/>
    </font>
    <font>
      <b/>
      <sz val="8"/>
      <color theme="0"/>
      <name val="Arial"/>
      <family val="2"/>
    </font>
    <font>
      <sz val="9"/>
      <name val="Arial"/>
      <family val="2"/>
    </font>
    <font>
      <sz val="10"/>
      <name val="Arial"/>
      <family val="2"/>
    </font>
    <font>
      <sz val="8"/>
      <color theme="1"/>
      <name val="Arial"/>
      <family val="2"/>
    </font>
    <font>
      <b/>
      <sz val="18"/>
      <color theme="1"/>
      <name val="Arial"/>
      <family val="2"/>
    </font>
    <font>
      <sz val="10"/>
      <color theme="1"/>
      <name val="Arial"/>
      <family val="2"/>
    </font>
    <font>
      <sz val="9"/>
      <color theme="1"/>
      <name val="Arial"/>
      <family val="2"/>
    </font>
    <font>
      <b/>
      <sz val="12"/>
      <color indexed="9"/>
      <name val="Arial"/>
      <family val="2"/>
    </font>
    <font>
      <b/>
      <sz val="10"/>
      <color rgb="FFFF0000"/>
      <name val="Arial"/>
      <family val="2"/>
    </font>
    <font>
      <b/>
      <sz val="10"/>
      <color indexed="9"/>
      <name val="Arial"/>
      <family val="2"/>
    </font>
    <font>
      <b/>
      <sz val="12"/>
      <color theme="0"/>
      <name val="Arial"/>
      <family val="2"/>
    </font>
    <font>
      <sz val="10"/>
      <color indexed="9"/>
      <name val="Arial"/>
      <family val="2"/>
    </font>
    <font>
      <vertAlign val="subscript"/>
      <sz val="10"/>
      <name val="Arial"/>
      <family val="2"/>
    </font>
    <font>
      <sz val="10"/>
      <color indexed="8"/>
      <name val="Arial"/>
      <family val="2"/>
    </font>
    <font>
      <vertAlign val="superscript"/>
      <sz val="10"/>
      <name val="Arial"/>
      <family val="2"/>
    </font>
    <font>
      <sz val="11"/>
      <name val="Calibri"/>
      <family val="2"/>
      <scheme val="minor"/>
    </font>
    <font>
      <b/>
      <sz val="12"/>
      <name val="Calibri"/>
      <family val="2"/>
      <scheme val="minor"/>
    </font>
    <font>
      <b/>
      <sz val="20"/>
      <color theme="0"/>
      <name val="Calibri"/>
      <family val="2"/>
      <scheme val="minor"/>
    </font>
    <font>
      <sz val="12"/>
      <name val="Calibri"/>
      <family val="2"/>
      <scheme val="minor"/>
    </font>
    <font>
      <b/>
      <sz val="18"/>
      <color theme="0"/>
      <name val="Calibri"/>
      <family val="2"/>
      <scheme val="minor"/>
    </font>
    <font>
      <sz val="10"/>
      <color rgb="FFFF0000"/>
      <name val="Arial"/>
      <family val="2"/>
    </font>
    <font>
      <b/>
      <sz val="17"/>
      <color rgb="FFFFFFFF"/>
      <name val="Arial"/>
      <family val="2"/>
    </font>
    <font>
      <b/>
      <sz val="17"/>
      <color theme="0"/>
      <name val="Arial"/>
      <family val="2"/>
    </font>
    <font>
      <b/>
      <sz val="17"/>
      <color rgb="FFFF0000"/>
      <name val="Arial"/>
      <family val="2"/>
    </font>
    <font>
      <b/>
      <sz val="12"/>
      <color rgb="FFFFFFFF"/>
      <name val="Arial"/>
      <family val="2"/>
    </font>
    <font>
      <u/>
      <sz val="10"/>
      <color theme="1"/>
      <name val="Arial"/>
      <family val="2"/>
    </font>
    <font>
      <sz val="10"/>
      <color rgb="FF7030A0"/>
      <name val="Arial"/>
      <family val="2"/>
    </font>
    <font>
      <u/>
      <sz val="10"/>
      <color rgb="FF7030A0"/>
      <name val="Arial"/>
      <family val="2"/>
    </font>
    <font>
      <sz val="10"/>
      <color theme="1"/>
      <name val="Aptos Narrow"/>
      <family val="2"/>
    </font>
    <font>
      <sz val="9"/>
      <color theme="1"/>
      <name val="Aptos Narrow"/>
      <family val="2"/>
    </font>
    <font>
      <sz val="10"/>
      <color rgb="FF7030A0"/>
      <name val="Aptos Narrow"/>
      <family val="2"/>
    </font>
    <font>
      <sz val="8"/>
      <color rgb="FF7030A0"/>
      <name val="Arial"/>
      <family val="2"/>
    </font>
    <font>
      <vertAlign val="superscript"/>
      <sz val="10"/>
      <color theme="1"/>
      <name val="Arial"/>
      <family val="2"/>
    </font>
    <font>
      <sz val="10"/>
      <color theme="1"/>
      <name val="Calibri"/>
      <family val="2"/>
      <scheme val="minor"/>
    </font>
    <font>
      <b/>
      <sz val="10"/>
      <name val="Calibri"/>
      <family val="2"/>
      <scheme val="minor"/>
    </font>
    <font>
      <sz val="10"/>
      <name val="Calibri"/>
      <family val="2"/>
      <scheme val="minor"/>
    </font>
    <font>
      <sz val="12"/>
      <color theme="1"/>
      <name val="Calibri"/>
      <family val="2"/>
      <scheme val="minor"/>
    </font>
    <font>
      <b/>
      <sz val="11"/>
      <color theme="4"/>
      <name val="Calibri"/>
      <family val="2"/>
      <scheme val="minor"/>
    </font>
    <font>
      <b/>
      <sz val="16"/>
      <color theme="0"/>
      <name val="Calibri"/>
      <family val="2"/>
      <scheme val="minor"/>
    </font>
    <font>
      <sz val="9"/>
      <color theme="1"/>
      <name val="Calibri"/>
      <family val="2"/>
      <scheme val="minor"/>
    </font>
    <font>
      <sz val="12"/>
      <color theme="4"/>
      <name val="Calibri"/>
      <family val="2"/>
      <scheme val="minor"/>
    </font>
    <font>
      <i/>
      <sz val="12"/>
      <color theme="3"/>
      <name val="Calibri"/>
      <family val="2"/>
      <scheme val="minor"/>
    </font>
    <font>
      <i/>
      <sz val="11"/>
      <color theme="3"/>
      <name val="Calibri"/>
      <family val="2"/>
      <scheme val="minor"/>
    </font>
    <font>
      <sz val="11"/>
      <color theme="4"/>
      <name val="Calibri"/>
      <family val="2"/>
      <scheme val="minor"/>
    </font>
    <font>
      <b/>
      <sz val="16"/>
      <color indexed="9"/>
      <name val="Calibri"/>
      <family val="2"/>
      <scheme val="minor"/>
    </font>
    <font>
      <b/>
      <sz val="18"/>
      <color rgb="FFFF0000"/>
      <name val="Calibri"/>
      <family val="2"/>
      <scheme val="minor"/>
    </font>
    <font>
      <b/>
      <sz val="18"/>
      <name val="Calibri"/>
      <family val="2"/>
      <scheme val="minor"/>
    </font>
    <font>
      <b/>
      <sz val="10"/>
      <color theme="1"/>
      <name val="Calibri"/>
      <family val="2"/>
      <scheme val="minor"/>
    </font>
    <font>
      <sz val="10"/>
      <color rgb="FFFF0000"/>
      <name val="Calibri"/>
      <family val="2"/>
      <scheme val="minor"/>
    </font>
    <font>
      <b/>
      <sz val="10"/>
      <color rgb="FFFF0000"/>
      <name val="Calibri"/>
      <family val="2"/>
      <scheme val="minor"/>
    </font>
    <font>
      <b/>
      <sz val="14"/>
      <color rgb="FFFF0000"/>
      <name val="Calibri"/>
      <family val="2"/>
      <scheme val="minor"/>
    </font>
    <font>
      <sz val="10"/>
      <color rgb="FFC00000"/>
      <name val="Calibri"/>
      <family val="2"/>
      <scheme val="minor"/>
    </font>
    <font>
      <b/>
      <sz val="10"/>
      <color rgb="FFC00000"/>
      <name val="Calibri"/>
      <family val="2"/>
      <scheme val="minor"/>
    </font>
    <font>
      <i/>
      <sz val="10"/>
      <name val="Calibri"/>
      <family val="2"/>
      <scheme val="minor"/>
    </font>
    <font>
      <sz val="9"/>
      <color rgb="FFFF0000"/>
      <name val="Calibri"/>
      <family val="2"/>
      <scheme val="minor"/>
    </font>
    <font>
      <b/>
      <sz val="9"/>
      <color rgb="FFFF0000"/>
      <name val="Calibri"/>
      <family val="2"/>
      <scheme val="minor"/>
    </font>
    <font>
      <i/>
      <sz val="9"/>
      <color rgb="FFFF0000"/>
      <name val="Calibri"/>
      <family val="2"/>
      <scheme val="minor"/>
    </font>
    <font>
      <sz val="9"/>
      <name val="Calibri"/>
      <family val="2"/>
      <scheme val="minor"/>
    </font>
    <font>
      <b/>
      <sz val="11"/>
      <color theme="0"/>
      <name val="Calibri"/>
      <family val="2"/>
      <scheme val="minor"/>
    </font>
    <font>
      <sz val="8"/>
      <color theme="1"/>
      <name val="Calibri"/>
      <family val="2"/>
      <scheme val="minor"/>
    </font>
    <font>
      <sz val="8"/>
      <name val="Calibri"/>
      <family val="2"/>
      <scheme val="minor"/>
    </font>
    <font>
      <b/>
      <sz val="11"/>
      <color theme="1"/>
      <name val="Calibri"/>
      <family val="2"/>
      <scheme val="minor"/>
    </font>
    <font>
      <b/>
      <sz val="14"/>
      <color theme="0"/>
      <name val="Calibri"/>
      <family val="2"/>
      <scheme val="minor"/>
    </font>
    <font>
      <sz val="10"/>
      <color theme="2"/>
      <name val="Calibri"/>
      <family val="2"/>
      <scheme val="minor"/>
    </font>
    <font>
      <b/>
      <sz val="12"/>
      <color theme="1"/>
      <name val="Calibri"/>
      <family val="2"/>
      <scheme val="minor"/>
    </font>
    <font>
      <b/>
      <sz val="10"/>
      <color theme="2"/>
      <name val="Calibri"/>
      <family val="2"/>
      <scheme val="minor"/>
    </font>
    <font>
      <b/>
      <i/>
      <sz val="12"/>
      <color theme="0"/>
      <name val="Calibri"/>
      <family val="2"/>
      <scheme val="minor"/>
    </font>
    <font>
      <sz val="10"/>
      <color theme="0"/>
      <name val="Calibri"/>
      <family val="2"/>
      <scheme val="minor"/>
    </font>
    <font>
      <b/>
      <sz val="26"/>
      <color theme="1"/>
      <name val="Arial"/>
      <family val="2"/>
    </font>
    <font>
      <i/>
      <sz val="9"/>
      <color theme="1"/>
      <name val="Calibri"/>
      <family val="2"/>
      <scheme val="minor"/>
    </font>
    <font>
      <i/>
      <sz val="10"/>
      <color theme="1"/>
      <name val="Calibri"/>
      <family val="2"/>
      <scheme val="minor"/>
    </font>
    <font>
      <i/>
      <sz val="10"/>
      <color rgb="FFFF0000"/>
      <name val="Calibri"/>
      <family val="2"/>
      <scheme val="minor"/>
    </font>
    <font>
      <b/>
      <u/>
      <sz val="12"/>
      <name val="Calibri"/>
      <family val="2"/>
      <scheme val="minor"/>
    </font>
    <font>
      <i/>
      <sz val="12"/>
      <name val="Calibri"/>
      <family val="2"/>
      <scheme val="minor"/>
    </font>
    <font>
      <b/>
      <sz val="14"/>
      <name val="Calibri"/>
      <family val="2"/>
      <scheme val="minor"/>
    </font>
    <font>
      <b/>
      <sz val="11"/>
      <name val="Calibri"/>
      <family val="2"/>
      <scheme val="minor"/>
    </font>
    <font>
      <b/>
      <sz val="10"/>
      <color theme="0"/>
      <name val="Calibri"/>
      <family val="2"/>
      <scheme val="minor"/>
    </font>
    <font>
      <i/>
      <sz val="12"/>
      <color theme="1"/>
      <name val="Calibri"/>
      <family val="2"/>
      <scheme val="minor"/>
    </font>
    <font>
      <b/>
      <sz val="16"/>
      <color theme="2"/>
      <name val="Calibri"/>
      <family val="2"/>
      <scheme val="minor"/>
    </font>
    <font>
      <b/>
      <sz val="12"/>
      <color theme="2"/>
      <name val="Calibri"/>
      <family val="2"/>
      <scheme val="minor"/>
    </font>
    <font>
      <b/>
      <sz val="18"/>
      <color theme="2"/>
      <name val="Calibri"/>
      <family val="2"/>
      <scheme val="minor"/>
    </font>
    <font>
      <sz val="12"/>
      <color theme="2"/>
      <name val="Calibri"/>
      <family val="2"/>
      <scheme val="minor"/>
    </font>
    <font>
      <b/>
      <sz val="11"/>
      <color theme="2"/>
      <name val="Calibri"/>
      <family val="2"/>
      <scheme val="minor"/>
    </font>
  </fonts>
  <fills count="34">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indexed="21"/>
        <bgColor indexed="64"/>
      </patternFill>
    </fill>
    <fill>
      <patternFill patternType="solid">
        <fgColor theme="0" tint="-4.9989318521683403E-2"/>
        <bgColor indexed="64"/>
      </patternFill>
    </fill>
    <fill>
      <patternFill patternType="solid">
        <fgColor rgb="FFFF0000"/>
        <bgColor indexed="64"/>
      </patternFill>
    </fill>
    <fill>
      <patternFill patternType="solid">
        <fgColor theme="6" tint="0.79998168889431442"/>
        <bgColor indexed="64"/>
      </patternFill>
    </fill>
    <fill>
      <patternFill patternType="solid">
        <fgColor indexed="55"/>
        <bgColor indexed="64"/>
      </patternFill>
    </fill>
    <fill>
      <patternFill patternType="solid">
        <fgColor indexed="9"/>
        <bgColor indexed="64"/>
      </patternFill>
    </fill>
    <fill>
      <patternFill patternType="solid">
        <fgColor indexed="22"/>
        <bgColor indexed="64"/>
      </patternFill>
    </fill>
    <fill>
      <patternFill patternType="solid">
        <fgColor rgb="FF009FE3"/>
        <bgColor indexed="64"/>
      </patternFill>
    </fill>
    <fill>
      <patternFill patternType="solid">
        <fgColor rgb="FFF2F2F2"/>
        <bgColor indexed="64"/>
      </patternFill>
    </fill>
    <fill>
      <patternFill patternType="solid">
        <fgColor rgb="FF8FC5EC"/>
        <bgColor indexed="64"/>
      </patternFill>
    </fill>
    <fill>
      <patternFill patternType="solid">
        <fgColor theme="3"/>
        <bgColor indexed="64"/>
      </patternFill>
    </fill>
    <fill>
      <patternFill patternType="solid">
        <fgColor theme="1" tint="0.499984740745262"/>
        <bgColor indexed="64"/>
      </patternFill>
    </fill>
    <fill>
      <patternFill patternType="solid">
        <fgColor theme="3" tint="0.79998168889431442"/>
        <bgColor indexed="64"/>
      </patternFill>
    </fill>
    <fill>
      <patternFill patternType="solid">
        <fgColor theme="0" tint="-0.34998626667073579"/>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2"/>
        <bgColor indexed="64"/>
      </patternFill>
    </fill>
    <fill>
      <patternFill patternType="solid">
        <fgColor theme="5"/>
        <bgColor indexed="64"/>
      </patternFill>
    </fill>
    <fill>
      <patternFill patternType="solid">
        <fgColor theme="6"/>
        <bgColor indexed="64"/>
      </patternFill>
    </fill>
    <fill>
      <patternFill patternType="solid">
        <fgColor theme="9" tint="-0.249977111117893"/>
        <bgColor indexed="64"/>
      </patternFill>
    </fill>
    <fill>
      <patternFill patternType="solid">
        <fgColor theme="4" tint="0.79998168889431442"/>
        <bgColor indexed="64"/>
      </patternFill>
    </fill>
    <fill>
      <patternFill patternType="solid">
        <fgColor theme="9"/>
        <bgColor indexed="64"/>
      </patternFill>
    </fill>
    <fill>
      <patternFill patternType="solid">
        <fgColor theme="8"/>
        <bgColor indexed="64"/>
      </patternFill>
    </fill>
    <fill>
      <patternFill patternType="solid">
        <fgColor rgb="FFFFFFFF"/>
        <bgColor indexed="64"/>
      </patternFill>
    </fill>
    <fill>
      <patternFill patternType="solid">
        <fgColor rgb="FFE6DC8F"/>
        <bgColor indexed="64"/>
      </patternFill>
    </fill>
    <fill>
      <patternFill patternType="solid">
        <fgColor indexed="65"/>
        <bgColor indexed="64"/>
      </patternFill>
    </fill>
    <fill>
      <patternFill patternType="solid">
        <fgColor rgb="FFFF9966"/>
        <bgColor indexed="64"/>
      </patternFill>
    </fill>
    <fill>
      <patternFill patternType="solid">
        <fgColor rgb="FF7AB51C"/>
        <bgColor indexed="64"/>
      </patternFill>
    </fill>
    <fill>
      <patternFill patternType="solid">
        <fgColor rgb="FFD57A44"/>
        <bgColor indexed="64"/>
      </patternFill>
    </fill>
  </fills>
  <borders count="24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style="thin">
        <color indexed="64"/>
      </left>
      <right/>
      <top style="medium">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bottom style="thin">
        <color indexed="64"/>
      </bottom>
      <diagonal/>
    </border>
    <border>
      <left/>
      <right/>
      <top/>
      <bottom style="thin">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medium">
        <color indexed="64"/>
      </left>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medium">
        <color indexed="64"/>
      </left>
      <right/>
      <top style="hair">
        <color indexed="64"/>
      </top>
      <bottom style="hair">
        <color indexed="64"/>
      </bottom>
      <diagonal/>
    </border>
    <border>
      <left style="medium">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style="hair">
        <color auto="1"/>
      </right>
      <top style="hair">
        <color auto="1"/>
      </top>
      <bottom style="hair">
        <color auto="1"/>
      </bottom>
      <diagonal/>
    </border>
    <border>
      <left style="medium">
        <color indexed="64"/>
      </left>
      <right/>
      <top style="thin">
        <color indexed="64"/>
      </top>
      <bottom/>
      <diagonal/>
    </border>
    <border>
      <left style="medium">
        <color indexed="64"/>
      </left>
      <right style="medium">
        <color indexed="64"/>
      </right>
      <top style="thin">
        <color indexed="64"/>
      </top>
      <bottom style="medium">
        <color indexed="64"/>
      </bottom>
      <diagonal/>
    </border>
    <border>
      <left style="thin">
        <color indexed="64"/>
      </left>
      <right/>
      <top/>
      <bottom/>
      <diagonal/>
    </border>
    <border>
      <left/>
      <right style="thin">
        <color indexed="64"/>
      </right>
      <top/>
      <bottom/>
      <diagonal/>
    </border>
    <border>
      <left/>
      <right/>
      <top style="hair">
        <color indexed="64"/>
      </top>
      <bottom style="hair">
        <color indexed="64"/>
      </bottom>
      <diagonal/>
    </border>
    <border>
      <left style="thin">
        <color indexed="64"/>
      </left>
      <right style="thin">
        <color indexed="64"/>
      </right>
      <top/>
      <bottom/>
      <diagonal/>
    </border>
    <border>
      <left/>
      <right style="thin">
        <color indexed="64"/>
      </right>
      <top style="hair">
        <color auto="1"/>
      </top>
      <bottom style="hair">
        <color auto="1"/>
      </bottom>
      <diagonal/>
    </border>
    <border>
      <left/>
      <right/>
      <top style="thick">
        <color rgb="FF000000"/>
      </top>
      <bottom/>
      <diagonal/>
    </border>
    <border>
      <left/>
      <right style="thick">
        <color rgb="FF000000"/>
      </right>
      <top style="thick">
        <color rgb="FF000000"/>
      </top>
      <bottom/>
      <diagonal/>
    </border>
    <border>
      <left style="thick">
        <color rgb="FF000000"/>
      </left>
      <right/>
      <top style="thick">
        <color rgb="FF000000"/>
      </top>
      <bottom/>
      <diagonal/>
    </border>
    <border>
      <left style="medium">
        <color indexed="64"/>
      </left>
      <right style="medium">
        <color indexed="64"/>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thick">
        <color rgb="FF000000"/>
      </left>
      <right/>
      <top/>
      <bottom style="thick">
        <color rgb="FF000000"/>
      </bottom>
      <diagonal/>
    </border>
    <border>
      <left style="medium">
        <color indexed="64"/>
      </left>
      <right style="medium">
        <color indexed="64"/>
      </right>
      <top style="thick">
        <color rgb="FF000000"/>
      </top>
      <bottom style="thin">
        <color rgb="FF000000"/>
      </bottom>
      <diagonal/>
    </border>
    <border>
      <left/>
      <right style="thin">
        <color rgb="FF000000"/>
      </right>
      <top style="thick">
        <color rgb="FF000000"/>
      </top>
      <bottom style="thin">
        <color rgb="FF000000"/>
      </bottom>
      <diagonal/>
    </border>
    <border>
      <left style="thin">
        <color rgb="FF000000"/>
      </left>
      <right style="thin">
        <color rgb="FF000000"/>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style="thick">
        <color rgb="FF000000"/>
      </left>
      <right style="thin">
        <color rgb="FF000000"/>
      </right>
      <top style="thick">
        <color rgb="FF000000"/>
      </top>
      <bottom style="thin">
        <color rgb="FF000000"/>
      </bottom>
      <diagonal/>
    </border>
    <border>
      <left style="medium">
        <color indexed="64"/>
      </left>
      <right style="medium">
        <color indexed="64"/>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style="thin">
        <color rgb="FF000000"/>
      </right>
      <top style="thin">
        <color rgb="FF000000"/>
      </top>
      <bottom style="thin">
        <color rgb="FF000000"/>
      </bottom>
      <diagonal/>
    </border>
    <border>
      <left style="medium">
        <color indexed="64"/>
      </left>
      <right style="thin">
        <color indexed="64"/>
      </right>
      <top style="thin">
        <color rgb="FF000000"/>
      </top>
      <bottom style="thin">
        <color rgb="FF000000"/>
      </bottom>
      <diagonal/>
    </border>
    <border>
      <left style="medium">
        <color indexed="64"/>
      </left>
      <right style="medium">
        <color indexed="64"/>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ck">
        <color rgb="FF000000"/>
      </right>
      <top style="thin">
        <color rgb="FF000000"/>
      </top>
      <bottom/>
      <diagonal/>
    </border>
    <border>
      <left style="thick">
        <color rgb="FF000000"/>
      </left>
      <right style="thin">
        <color rgb="FF000000"/>
      </right>
      <top style="thin">
        <color rgb="FF000000"/>
      </top>
      <bottom/>
      <diagonal/>
    </border>
    <border>
      <left/>
      <right style="thin">
        <color rgb="FF000000"/>
      </right>
      <top style="thin">
        <color indexed="64"/>
      </top>
      <bottom style="medium">
        <color indexed="64"/>
      </bottom>
      <diagonal/>
    </border>
    <border>
      <left style="thin">
        <color rgb="FF000000"/>
      </left>
      <right style="thin">
        <color rgb="FF000000"/>
      </right>
      <top style="thin">
        <color indexed="64"/>
      </top>
      <bottom style="medium">
        <color indexed="64"/>
      </bottom>
      <diagonal/>
    </border>
    <border>
      <left style="thin">
        <color rgb="FF000000"/>
      </left>
      <right style="thick">
        <color rgb="FF000000"/>
      </right>
      <top style="thin">
        <color indexed="64"/>
      </top>
      <bottom style="medium">
        <color indexed="64"/>
      </bottom>
      <diagonal/>
    </border>
    <border>
      <left style="thick">
        <color rgb="FF000000"/>
      </left>
      <right style="thin">
        <color rgb="FF000000"/>
      </right>
      <top style="thin">
        <color indexed="64"/>
      </top>
      <bottom style="medium">
        <color indexed="64"/>
      </bottom>
      <diagonal/>
    </border>
    <border>
      <left style="medium">
        <color indexed="64"/>
      </left>
      <right/>
      <top style="hair">
        <color indexed="64"/>
      </top>
      <bottom/>
      <diagonal/>
    </border>
    <border>
      <left style="medium">
        <color indexed="64"/>
      </left>
      <right style="medium">
        <color indexed="64"/>
      </right>
      <top style="hair">
        <color indexed="64"/>
      </top>
      <bottom/>
      <diagonal/>
    </border>
    <border>
      <left style="medium">
        <color indexed="64"/>
      </left>
      <right style="hair">
        <color indexed="64"/>
      </right>
      <top style="hair">
        <color indexed="64"/>
      </top>
      <bottom/>
      <diagonal/>
    </border>
    <border>
      <left style="hair">
        <color indexed="64"/>
      </left>
      <right style="medium">
        <color indexed="64"/>
      </right>
      <top style="hair">
        <color indexed="64"/>
      </top>
      <bottom/>
      <diagonal/>
    </border>
    <border>
      <left style="thick">
        <color rgb="FF009DE0"/>
      </left>
      <right style="thin">
        <color rgb="FF009DE0"/>
      </right>
      <top style="thick">
        <color rgb="FF009DE0"/>
      </top>
      <bottom style="thin">
        <color rgb="FF009DE0"/>
      </bottom>
      <diagonal/>
    </border>
    <border>
      <left style="thin">
        <color rgb="FF009DE0"/>
      </left>
      <right style="thin">
        <color rgb="FF009DE0"/>
      </right>
      <top style="thick">
        <color rgb="FF009DE0"/>
      </top>
      <bottom style="thin">
        <color rgb="FF009DE0"/>
      </bottom>
      <diagonal/>
    </border>
    <border>
      <left style="thin">
        <color rgb="FF009DE0"/>
      </left>
      <right style="thick">
        <color rgb="FF009DE0"/>
      </right>
      <top style="thick">
        <color rgb="FF009DE0"/>
      </top>
      <bottom style="thin">
        <color rgb="FF009DE0"/>
      </bottom>
      <diagonal/>
    </border>
    <border>
      <left style="thick">
        <color rgb="FF009DE0"/>
      </left>
      <right/>
      <top style="thin">
        <color rgb="FF009DE0"/>
      </top>
      <bottom style="thin">
        <color rgb="FF009DE0"/>
      </bottom>
      <diagonal/>
    </border>
    <border>
      <left/>
      <right/>
      <top style="thin">
        <color rgb="FF009DE0"/>
      </top>
      <bottom style="thin">
        <color rgb="FF009DE0"/>
      </bottom>
      <diagonal/>
    </border>
    <border>
      <left/>
      <right style="thin">
        <color rgb="FF009DE0"/>
      </right>
      <top style="thin">
        <color rgb="FF009DE0"/>
      </top>
      <bottom style="thin">
        <color rgb="FF009DE0"/>
      </bottom>
      <diagonal/>
    </border>
    <border>
      <left style="thick">
        <color rgb="FF009DE0"/>
      </left>
      <right/>
      <top style="thin">
        <color rgb="FF009DE0"/>
      </top>
      <bottom style="thick">
        <color rgb="FF009DE0"/>
      </bottom>
      <diagonal/>
    </border>
    <border>
      <left/>
      <right/>
      <top style="thin">
        <color rgb="FF009DE0"/>
      </top>
      <bottom style="thick">
        <color rgb="FF009DE0"/>
      </bottom>
      <diagonal/>
    </border>
    <border>
      <left/>
      <right style="thin">
        <color rgb="FF009DE0"/>
      </right>
      <top style="thin">
        <color rgb="FF009DE0"/>
      </top>
      <bottom style="thick">
        <color rgb="FF009DE0"/>
      </bottom>
      <diagonal/>
    </border>
    <border>
      <left style="thin">
        <color rgb="FF009DE0"/>
      </left>
      <right/>
      <top style="thin">
        <color rgb="FF009DE0"/>
      </top>
      <bottom style="thin">
        <color rgb="FF009DE0"/>
      </bottom>
      <diagonal/>
    </border>
    <border>
      <left style="thin">
        <color rgb="FF009DE0"/>
      </left>
      <right/>
      <top style="thin">
        <color rgb="FF009DE0"/>
      </top>
      <bottom style="thick">
        <color rgb="FF009DE0"/>
      </bottom>
      <diagonal/>
    </border>
    <border>
      <left/>
      <right style="thick">
        <color rgb="FF009DE0"/>
      </right>
      <top style="thin">
        <color rgb="FF009DE0"/>
      </top>
      <bottom style="thin">
        <color rgb="FF009DE0"/>
      </bottom>
      <diagonal/>
    </border>
    <border>
      <left/>
      <right style="thick">
        <color rgb="FF009DE0"/>
      </right>
      <top style="thin">
        <color rgb="FF009DE0"/>
      </top>
      <bottom style="thick">
        <color rgb="FF009DE0"/>
      </bottom>
      <diagonal/>
    </border>
    <border>
      <left style="thick">
        <color theme="9" tint="-0.24994659260841701"/>
      </left>
      <right/>
      <top style="thick">
        <color theme="9" tint="-0.24994659260841701"/>
      </top>
      <bottom style="thick">
        <color theme="9" tint="-0.24994659260841701"/>
      </bottom>
      <diagonal/>
    </border>
    <border>
      <left/>
      <right/>
      <top style="thick">
        <color theme="9" tint="-0.24994659260841701"/>
      </top>
      <bottom style="thick">
        <color theme="9" tint="-0.24994659260841701"/>
      </bottom>
      <diagonal/>
    </border>
    <border>
      <left/>
      <right style="thick">
        <color theme="9" tint="-0.24994659260841701"/>
      </right>
      <top style="thick">
        <color theme="9" tint="-0.24994659260841701"/>
      </top>
      <bottom style="thick">
        <color theme="9" tint="-0.24994659260841701"/>
      </bottom>
      <diagonal/>
    </border>
    <border>
      <left style="thick">
        <color theme="9" tint="-0.24994659260841701"/>
      </left>
      <right/>
      <top/>
      <bottom/>
      <diagonal/>
    </border>
    <border>
      <left/>
      <right style="thick">
        <color theme="9" tint="-0.24994659260841701"/>
      </right>
      <top/>
      <bottom/>
      <diagonal/>
    </border>
    <border>
      <left style="thick">
        <color theme="9" tint="-0.24994659260841701"/>
      </left>
      <right/>
      <top/>
      <bottom style="thick">
        <color theme="9" tint="-0.24994659260841701"/>
      </bottom>
      <diagonal/>
    </border>
    <border>
      <left/>
      <right/>
      <top/>
      <bottom style="thick">
        <color theme="9" tint="-0.24994659260841701"/>
      </bottom>
      <diagonal/>
    </border>
    <border>
      <left/>
      <right style="thick">
        <color theme="9" tint="-0.24994659260841701"/>
      </right>
      <top/>
      <bottom style="thick">
        <color theme="9" tint="-0.24994659260841701"/>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4"/>
      </left>
      <right/>
      <top style="thin">
        <color theme="4"/>
      </top>
      <bottom style="thin">
        <color theme="4"/>
      </bottom>
      <diagonal/>
    </border>
    <border>
      <left/>
      <right/>
      <top style="thin">
        <color theme="4"/>
      </top>
      <bottom style="thin">
        <color theme="4"/>
      </bottom>
      <diagonal/>
    </border>
    <border>
      <left/>
      <right style="thin">
        <color theme="4"/>
      </right>
      <top style="thin">
        <color theme="4"/>
      </top>
      <bottom style="thin">
        <color theme="4"/>
      </bottom>
      <diagonal/>
    </border>
    <border>
      <left style="thick">
        <color theme="6"/>
      </left>
      <right/>
      <top/>
      <bottom/>
      <diagonal/>
    </border>
    <border>
      <left/>
      <right style="thick">
        <color theme="6"/>
      </right>
      <top/>
      <bottom/>
      <diagonal/>
    </border>
    <border>
      <left style="thick">
        <color theme="6"/>
      </left>
      <right/>
      <top/>
      <bottom style="thick">
        <color theme="6"/>
      </bottom>
      <diagonal/>
    </border>
    <border>
      <left/>
      <right/>
      <top/>
      <bottom style="thick">
        <color theme="6"/>
      </bottom>
      <diagonal/>
    </border>
    <border>
      <left/>
      <right style="thick">
        <color theme="6"/>
      </right>
      <top/>
      <bottom style="thick">
        <color theme="6"/>
      </bottom>
      <diagonal/>
    </border>
    <border>
      <left style="thin">
        <color theme="3"/>
      </left>
      <right/>
      <top style="thin">
        <color theme="3"/>
      </top>
      <bottom style="thin">
        <color theme="3"/>
      </bottom>
      <diagonal/>
    </border>
    <border>
      <left/>
      <right/>
      <top style="thin">
        <color theme="3"/>
      </top>
      <bottom style="thin">
        <color theme="3"/>
      </bottom>
      <diagonal/>
    </border>
    <border>
      <left/>
      <right style="thin">
        <color theme="3"/>
      </right>
      <top style="thin">
        <color theme="3"/>
      </top>
      <bottom style="thin">
        <color theme="3"/>
      </bottom>
      <diagonal/>
    </border>
    <border>
      <left/>
      <right style="thin">
        <color theme="0" tint="-0.34998626667073579"/>
      </right>
      <top/>
      <bottom/>
      <diagonal/>
    </border>
    <border>
      <left style="thin">
        <color theme="0" tint="-0.34998626667073579"/>
      </left>
      <right/>
      <top/>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ck">
        <color theme="6"/>
      </left>
      <right/>
      <top style="thick">
        <color theme="6"/>
      </top>
      <bottom style="thick">
        <color theme="6"/>
      </bottom>
      <diagonal/>
    </border>
    <border>
      <left/>
      <right/>
      <top style="thick">
        <color theme="6"/>
      </top>
      <bottom style="thick">
        <color theme="6"/>
      </bottom>
      <diagonal/>
    </border>
    <border>
      <left/>
      <right style="thick">
        <color theme="6"/>
      </right>
      <top style="thick">
        <color theme="6"/>
      </top>
      <bottom style="thick">
        <color theme="6"/>
      </bottom>
      <diagonal/>
    </border>
    <border>
      <left style="thick">
        <color theme="9"/>
      </left>
      <right/>
      <top style="thick">
        <color theme="9"/>
      </top>
      <bottom style="thick">
        <color theme="9"/>
      </bottom>
      <diagonal/>
    </border>
    <border>
      <left/>
      <right/>
      <top style="thick">
        <color theme="9"/>
      </top>
      <bottom style="thick">
        <color theme="9"/>
      </bottom>
      <diagonal/>
    </border>
    <border>
      <left/>
      <right style="thick">
        <color theme="9"/>
      </right>
      <top style="thick">
        <color theme="9"/>
      </top>
      <bottom style="thick">
        <color theme="9"/>
      </bottom>
      <diagonal/>
    </border>
    <border>
      <left style="thick">
        <color theme="9"/>
      </left>
      <right/>
      <top/>
      <bottom/>
      <diagonal/>
    </border>
    <border>
      <left/>
      <right style="thick">
        <color theme="9"/>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top style="hair">
        <color indexed="64"/>
      </top>
      <bottom/>
      <diagonal/>
    </border>
    <border>
      <left style="hair">
        <color indexed="64"/>
      </left>
      <right/>
      <top style="hair">
        <color indexed="64"/>
      </top>
      <bottom/>
      <diagonal/>
    </border>
    <border>
      <left/>
      <right style="thin">
        <color indexed="64"/>
      </right>
      <top style="hair">
        <color indexed="64"/>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top style="hair">
        <color indexed="64"/>
      </top>
      <bottom style="thin">
        <color indexed="64"/>
      </bottom>
      <diagonal/>
    </border>
    <border>
      <left/>
      <right style="hair">
        <color indexed="64"/>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thick">
        <color theme="9"/>
      </left>
      <right/>
      <top/>
      <bottom style="thick">
        <color theme="9"/>
      </bottom>
      <diagonal/>
    </border>
    <border>
      <left/>
      <right/>
      <top/>
      <bottom style="thick">
        <color theme="9"/>
      </bottom>
      <diagonal/>
    </border>
    <border>
      <left/>
      <right style="thick">
        <color theme="9"/>
      </right>
      <top/>
      <bottom style="thick">
        <color theme="9"/>
      </bottom>
      <diagonal/>
    </border>
    <border>
      <left style="hair">
        <color indexed="64"/>
      </left>
      <right style="thin">
        <color indexed="64"/>
      </right>
      <top style="thin">
        <color indexed="64"/>
      </top>
      <bottom style="hair">
        <color indexed="64"/>
      </bottom>
      <diagonal/>
    </border>
    <border>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thin">
        <color indexed="64"/>
      </right>
      <top style="thin">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right style="hair">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bottom style="thin">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thin">
        <color theme="3"/>
      </left>
      <right/>
      <top style="thin">
        <color theme="3"/>
      </top>
      <bottom/>
      <diagonal/>
    </border>
    <border>
      <left/>
      <right/>
      <top style="thin">
        <color theme="3"/>
      </top>
      <bottom/>
      <diagonal/>
    </border>
    <border>
      <left/>
      <right style="thin">
        <color theme="3"/>
      </right>
      <top style="thin">
        <color theme="3"/>
      </top>
      <bottom/>
      <diagonal/>
    </border>
    <border>
      <left style="thin">
        <color theme="3"/>
      </left>
      <right/>
      <top/>
      <bottom/>
      <diagonal/>
    </border>
    <border>
      <left/>
      <right style="thin">
        <color theme="3"/>
      </right>
      <top/>
      <bottom/>
      <diagonal/>
    </border>
    <border>
      <left style="thin">
        <color theme="3"/>
      </left>
      <right/>
      <top/>
      <bottom style="thin">
        <color theme="3"/>
      </bottom>
      <diagonal/>
    </border>
    <border>
      <left/>
      <right/>
      <top/>
      <bottom style="thin">
        <color theme="3"/>
      </bottom>
      <diagonal/>
    </border>
    <border>
      <left/>
      <right style="thin">
        <color theme="3"/>
      </right>
      <top/>
      <bottom style="thin">
        <color theme="3"/>
      </bottom>
      <diagonal/>
    </border>
    <border>
      <left style="medium">
        <color theme="3"/>
      </left>
      <right/>
      <top style="medium">
        <color theme="3"/>
      </top>
      <bottom/>
      <diagonal/>
    </border>
    <border>
      <left/>
      <right style="medium">
        <color theme="3"/>
      </right>
      <top style="medium">
        <color theme="3"/>
      </top>
      <bottom/>
      <diagonal/>
    </border>
    <border>
      <left/>
      <right/>
      <top style="medium">
        <color theme="3"/>
      </top>
      <bottom/>
      <diagonal/>
    </border>
    <border>
      <left style="medium">
        <color theme="3"/>
      </left>
      <right/>
      <top/>
      <bottom/>
      <diagonal/>
    </border>
    <border>
      <left/>
      <right style="medium">
        <color theme="3"/>
      </right>
      <top/>
      <bottom/>
      <diagonal/>
    </border>
    <border>
      <left style="hair">
        <color indexed="64"/>
      </left>
      <right/>
      <top style="thin">
        <color indexed="64"/>
      </top>
      <bottom style="thin">
        <color indexed="64"/>
      </bottom>
      <diagonal/>
    </border>
    <border>
      <left style="medium">
        <color theme="3"/>
      </left>
      <right/>
      <top/>
      <bottom style="medium">
        <color theme="3"/>
      </bottom>
      <diagonal/>
    </border>
    <border>
      <left/>
      <right style="medium">
        <color theme="3"/>
      </right>
      <top/>
      <bottom style="medium">
        <color theme="3"/>
      </bottom>
      <diagonal/>
    </border>
    <border>
      <left/>
      <right/>
      <top/>
      <bottom style="medium">
        <color theme="3"/>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hair">
        <color indexed="64"/>
      </left>
      <right/>
      <top style="hair">
        <color indexed="64"/>
      </top>
      <bottom style="hair">
        <color indexed="64"/>
      </bottom>
      <diagonal/>
    </border>
    <border>
      <left style="hair">
        <color indexed="64"/>
      </left>
      <right/>
      <top style="hair">
        <color indexed="64"/>
      </top>
      <bottom style="thin">
        <color indexed="64"/>
      </bottom>
      <diagonal/>
    </border>
    <border>
      <left/>
      <right style="hair">
        <color indexed="64"/>
      </right>
      <top style="thin">
        <color indexed="64"/>
      </top>
      <bottom/>
      <diagonal/>
    </border>
    <border>
      <left style="thin">
        <color indexed="64"/>
      </left>
      <right/>
      <top style="medium">
        <color indexed="64"/>
      </top>
      <bottom style="medium">
        <color indexed="64"/>
      </bottom>
      <diagonal/>
    </border>
    <border>
      <left/>
      <right style="medium">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right style="thin">
        <color indexed="64"/>
      </right>
      <top style="medium">
        <color indexed="64"/>
      </top>
      <bottom/>
      <diagonal/>
    </border>
    <border>
      <left style="hair">
        <color indexed="64"/>
      </left>
      <right/>
      <top style="medium">
        <color indexed="64"/>
      </top>
      <bottom style="medium">
        <color indexed="64"/>
      </bottom>
      <diagonal/>
    </border>
    <border>
      <left style="hair">
        <color indexed="64"/>
      </left>
      <right/>
      <top/>
      <bottom style="hair">
        <color indexed="64"/>
      </bottom>
      <diagonal/>
    </border>
    <border>
      <left/>
      <right style="hair">
        <color indexed="64"/>
      </right>
      <top style="medium">
        <color indexed="64"/>
      </top>
      <bottom style="medium">
        <color indexed="64"/>
      </bottom>
      <diagonal/>
    </border>
    <border>
      <left/>
      <right style="hair">
        <color indexed="64"/>
      </right>
      <top/>
      <bottom/>
      <diagonal/>
    </border>
    <border>
      <left/>
      <right style="medium">
        <color indexed="64"/>
      </right>
      <top/>
      <bottom style="hair">
        <color auto="1"/>
      </bottom>
      <diagonal/>
    </border>
    <border>
      <left/>
      <right style="medium">
        <color indexed="64"/>
      </right>
      <top style="hair">
        <color auto="1"/>
      </top>
      <bottom style="hair">
        <color auto="1"/>
      </bottom>
      <diagonal/>
    </border>
    <border>
      <left/>
      <right style="medium">
        <color indexed="64"/>
      </right>
      <top style="hair">
        <color indexed="64"/>
      </top>
      <bottom/>
      <diagonal/>
    </border>
    <border>
      <left style="medium">
        <color indexed="64"/>
      </left>
      <right/>
      <top style="hair">
        <color indexed="64"/>
      </top>
      <bottom style="medium">
        <color indexed="64"/>
      </bottom>
      <diagonal/>
    </border>
    <border>
      <left/>
      <right style="hair">
        <color auto="1"/>
      </right>
      <top style="hair">
        <color auto="1"/>
      </top>
      <bottom style="medium">
        <color indexed="64"/>
      </bottom>
      <diagonal/>
    </border>
    <border>
      <left style="hair">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auto="1"/>
      </top>
      <bottom style="medium">
        <color indexed="64"/>
      </bottom>
      <diagonal/>
    </border>
    <border>
      <left style="hair">
        <color indexed="64"/>
      </left>
      <right style="medium">
        <color indexed="64"/>
      </right>
      <top/>
      <bottom/>
      <diagonal/>
    </border>
    <border>
      <left style="hair">
        <color indexed="64"/>
      </left>
      <right style="medium">
        <color indexed="64"/>
      </right>
      <top/>
      <bottom style="medium">
        <color indexed="64"/>
      </bottom>
      <diagonal/>
    </border>
    <border>
      <left style="thin">
        <color rgb="FF009DE0"/>
      </left>
      <right/>
      <top style="thin">
        <color rgb="FF009DE0"/>
      </top>
      <bottom/>
      <diagonal/>
    </border>
    <border>
      <left/>
      <right/>
      <top style="thin">
        <color rgb="FF009DE0"/>
      </top>
      <bottom/>
      <diagonal/>
    </border>
    <border>
      <left style="thin">
        <color theme="0"/>
      </left>
      <right/>
      <top/>
      <bottom/>
      <diagonal/>
    </border>
    <border>
      <left style="thin">
        <color theme="0"/>
      </left>
      <right style="thin">
        <color theme="0"/>
      </right>
      <top style="thin">
        <color theme="0"/>
      </top>
      <bottom/>
      <diagonal/>
    </border>
    <border>
      <left/>
      <right/>
      <top style="medium">
        <color indexed="64"/>
      </top>
      <bottom style="hair">
        <color indexed="64"/>
      </bottom>
      <diagonal/>
    </border>
    <border>
      <left/>
      <right style="hair">
        <color indexed="64"/>
      </right>
      <top style="medium">
        <color indexed="64"/>
      </top>
      <bottom style="hair">
        <color indexed="64"/>
      </bottom>
      <diagonal/>
    </border>
    <border>
      <left style="hair">
        <color indexed="64"/>
      </left>
      <right style="hair">
        <color indexed="64"/>
      </right>
      <top style="medium">
        <color indexed="64"/>
      </top>
      <bottom style="medium">
        <color indexed="64"/>
      </bottom>
      <diagonal/>
    </border>
    <border>
      <left style="hair">
        <color indexed="64"/>
      </left>
      <right/>
      <top style="thin">
        <color indexed="64"/>
      </top>
      <bottom/>
      <diagonal/>
    </border>
    <border>
      <left style="thin">
        <color indexed="64"/>
      </left>
      <right style="hair">
        <color theme="3"/>
      </right>
      <top style="thin">
        <color indexed="64"/>
      </top>
      <bottom style="thin">
        <color indexed="64"/>
      </bottom>
      <diagonal/>
    </border>
    <border>
      <left style="hair">
        <color theme="3"/>
      </left>
      <right style="hair">
        <color theme="3"/>
      </right>
      <top style="thin">
        <color indexed="64"/>
      </top>
      <bottom style="thin">
        <color indexed="64"/>
      </bottom>
      <diagonal/>
    </border>
    <border>
      <left style="hair">
        <color theme="3"/>
      </left>
      <right/>
      <top style="thin">
        <color indexed="64"/>
      </top>
      <bottom style="thin">
        <color indexed="64"/>
      </bottom>
      <diagonal/>
    </border>
    <border>
      <left style="hair">
        <color indexed="64"/>
      </left>
      <right style="thin">
        <color indexed="64"/>
      </right>
      <top style="hair">
        <color indexed="64"/>
      </top>
      <bottom style="thin">
        <color indexed="64"/>
      </bottom>
      <diagonal/>
    </border>
    <border>
      <left/>
      <right style="thin">
        <color indexed="64"/>
      </right>
      <top style="thin">
        <color rgb="FF009DE0"/>
      </top>
      <bottom style="thick">
        <color rgb="FF009DE0"/>
      </bottom>
      <diagonal/>
    </border>
    <border>
      <left/>
      <right style="hair">
        <color indexed="64"/>
      </right>
      <top style="medium">
        <color indexed="64"/>
      </top>
      <bottom style="thin">
        <color indexed="64"/>
      </bottom>
      <diagonal/>
    </border>
    <border>
      <left style="hair">
        <color indexed="64"/>
      </left>
      <right style="hair">
        <color indexed="64"/>
      </right>
      <top style="medium">
        <color indexed="64"/>
      </top>
      <bottom style="thin">
        <color indexed="64"/>
      </bottom>
      <diagonal/>
    </border>
    <border>
      <left/>
      <right style="hair">
        <color indexed="64"/>
      </right>
      <top style="hair">
        <color indexed="64"/>
      </top>
      <bottom/>
      <diagonal/>
    </border>
    <border>
      <left style="thin">
        <color indexed="64"/>
      </left>
      <right style="thin">
        <color indexed="64"/>
      </right>
      <top/>
      <bottom style="hair">
        <color indexed="64"/>
      </bottom>
      <diagonal/>
    </border>
    <border>
      <left style="hair">
        <color indexed="64"/>
      </left>
      <right/>
      <top style="medium">
        <color indexed="64"/>
      </top>
      <bottom style="hair">
        <color auto="1"/>
      </bottom>
      <diagonal/>
    </border>
    <border>
      <left/>
      <right style="medium">
        <color indexed="64"/>
      </right>
      <top style="medium">
        <color indexed="64"/>
      </top>
      <bottom style="hair">
        <color auto="1"/>
      </bottom>
      <diagonal/>
    </border>
    <border>
      <left/>
      <right style="thick">
        <color rgb="FF000000"/>
      </right>
      <top/>
      <bottom/>
      <diagonal/>
    </border>
  </borders>
  <cellStyleXfs count="7">
    <xf numFmtId="0" fontId="0" fillId="0" borderId="0"/>
    <xf numFmtId="0" fontId="16" fillId="0" borderId="0"/>
    <xf numFmtId="9" fontId="16" fillId="0" borderId="0" applyFont="0" applyFill="0" applyBorder="0" applyAlignment="0" applyProtection="0"/>
    <xf numFmtId="0" fontId="8" fillId="0" borderId="0"/>
    <xf numFmtId="0" fontId="7" fillId="0" borderId="0"/>
    <xf numFmtId="0" fontId="6" fillId="0" borderId="0"/>
    <xf numFmtId="0" fontId="5" fillId="0" borderId="0"/>
  </cellStyleXfs>
  <cellXfs count="910">
    <xf numFmtId="0" fontId="0" fillId="0" borderId="0" xfId="0"/>
    <xf numFmtId="0" fontId="0" fillId="2" borderId="0" xfId="0" applyFill="1"/>
    <xf numFmtId="0" fontId="16" fillId="0" borderId="0" xfId="0" applyFont="1" applyAlignment="1">
      <alignment horizontal="center"/>
    </xf>
    <xf numFmtId="0" fontId="16" fillId="0" borderId="0" xfId="0" applyFont="1" applyAlignment="1">
      <alignment horizontal="center" vertical="center"/>
    </xf>
    <xf numFmtId="0" fontId="16" fillId="0" borderId="0" xfId="1" applyAlignment="1" applyProtection="1">
      <alignment vertical="center"/>
      <protection hidden="1"/>
    </xf>
    <xf numFmtId="0" fontId="16" fillId="0" borderId="0" xfId="1" applyAlignment="1" applyProtection="1">
      <alignment vertical="center" wrapText="1"/>
      <protection hidden="1"/>
    </xf>
    <xf numFmtId="0" fontId="16" fillId="8" borderId="56" xfId="1" applyFill="1" applyBorder="1" applyAlignment="1" applyProtection="1">
      <alignment vertical="center"/>
      <protection hidden="1"/>
    </xf>
    <xf numFmtId="0" fontId="16" fillId="8" borderId="57" xfId="1" applyFill="1" applyBorder="1" applyAlignment="1" applyProtection="1">
      <alignment vertical="center"/>
      <protection hidden="1"/>
    </xf>
    <xf numFmtId="0" fontId="16" fillId="0" borderId="0" xfId="1" applyAlignment="1" applyProtection="1">
      <alignment horizontal="center" vertical="center"/>
      <protection hidden="1"/>
    </xf>
    <xf numFmtId="0" fontId="12" fillId="0" borderId="0" xfId="1" applyFont="1" applyAlignment="1" applyProtection="1">
      <alignment vertical="center"/>
      <protection hidden="1"/>
    </xf>
    <xf numFmtId="3" fontId="16" fillId="0" borderId="0" xfId="1" applyNumberFormat="1" applyAlignment="1" applyProtection="1">
      <alignment vertical="center"/>
      <protection hidden="1"/>
    </xf>
    <xf numFmtId="0" fontId="0" fillId="3" borderId="0" xfId="0" applyFill="1" applyAlignment="1">
      <alignment vertical="center"/>
    </xf>
    <xf numFmtId="0" fontId="0" fillId="0" borderId="0" xfId="0" applyAlignment="1">
      <alignment vertical="center"/>
    </xf>
    <xf numFmtId="0" fontId="0" fillId="3" borderId="4" xfId="0" applyFill="1" applyBorder="1" applyAlignment="1">
      <alignment horizontal="center"/>
    </xf>
    <xf numFmtId="0" fontId="10" fillId="9" borderId="77" xfId="0" applyFont="1" applyFill="1" applyBorder="1" applyAlignment="1">
      <alignment horizontal="center" vertical="center" wrapText="1"/>
    </xf>
    <xf numFmtId="0" fontId="0" fillId="9" borderId="78" xfId="0" applyFill="1" applyBorder="1" applyAlignment="1">
      <alignment vertical="top" wrapText="1"/>
    </xf>
    <xf numFmtId="0" fontId="0" fillId="9" borderId="79" xfId="0" applyFill="1" applyBorder="1" applyAlignment="1">
      <alignment vertical="top" wrapText="1"/>
    </xf>
    <xf numFmtId="0" fontId="0" fillId="9" borderId="79" xfId="0" applyFill="1" applyBorder="1" applyAlignment="1">
      <alignment horizontal="center" vertical="top" wrapText="1"/>
    </xf>
    <xf numFmtId="0" fontId="0" fillId="9" borderId="80" xfId="0" applyFill="1" applyBorder="1" applyAlignment="1">
      <alignment horizontal="center" vertical="top" wrapText="1"/>
    </xf>
    <xf numFmtId="0" fontId="0" fillId="9" borderId="81" xfId="0" applyFill="1" applyBorder="1" applyAlignment="1">
      <alignment vertical="top" wrapText="1"/>
    </xf>
    <xf numFmtId="0" fontId="10" fillId="9" borderId="82" xfId="0" applyFont="1" applyFill="1" applyBorder="1" applyAlignment="1">
      <alignment horizontal="center" vertical="center" wrapText="1"/>
    </xf>
    <xf numFmtId="0" fontId="0" fillId="9" borderId="83" xfId="0" applyFill="1" applyBorder="1" applyAlignment="1">
      <alignment vertical="top" wrapText="1"/>
    </xf>
    <xf numFmtId="0" fontId="0" fillId="9" borderId="84" xfId="0" applyFill="1" applyBorder="1" applyAlignment="1">
      <alignment vertical="top" wrapText="1"/>
    </xf>
    <xf numFmtId="0" fontId="0" fillId="9" borderId="84" xfId="0" applyFill="1" applyBorder="1" applyAlignment="1">
      <alignment horizontal="center" vertical="top" wrapText="1"/>
    </xf>
    <xf numFmtId="0" fontId="0" fillId="9" borderId="85" xfId="0" applyFill="1" applyBorder="1" applyAlignment="1">
      <alignment horizontal="center" vertical="top" wrapText="1"/>
    </xf>
    <xf numFmtId="0" fontId="0" fillId="9" borderId="86" xfId="0" applyFill="1" applyBorder="1" applyAlignment="1">
      <alignment vertical="top" wrapText="1"/>
    </xf>
    <xf numFmtId="0" fontId="34" fillId="9" borderId="84" xfId="0" applyFont="1" applyFill="1" applyBorder="1" applyAlignment="1">
      <alignment vertical="top" wrapText="1"/>
    </xf>
    <xf numFmtId="0" fontId="40" fillId="9" borderId="83" xfId="0" applyFont="1" applyFill="1" applyBorder="1" applyAlignment="1">
      <alignment vertical="top" wrapText="1"/>
    </xf>
    <xf numFmtId="0" fontId="40" fillId="9" borderId="84" xfId="0" applyFont="1" applyFill="1" applyBorder="1" applyAlignment="1">
      <alignment vertical="top" wrapText="1"/>
    </xf>
    <xf numFmtId="0" fontId="40" fillId="9" borderId="84" xfId="0" applyFont="1" applyFill="1" applyBorder="1" applyAlignment="1">
      <alignment horizontal="center" vertical="top" wrapText="1"/>
    </xf>
    <xf numFmtId="0" fontId="40" fillId="9" borderId="85" xfId="0" applyFont="1" applyFill="1" applyBorder="1" applyAlignment="1">
      <alignment horizontal="center" vertical="top" wrapText="1"/>
    </xf>
    <xf numFmtId="0" fontId="16" fillId="9" borderId="84" xfId="0" applyFont="1" applyFill="1" applyBorder="1" applyAlignment="1">
      <alignment vertical="top" wrapText="1"/>
    </xf>
    <xf numFmtId="0" fontId="40" fillId="9" borderId="86" xfId="0" applyFont="1" applyFill="1" applyBorder="1" applyAlignment="1">
      <alignment vertical="top" wrapText="1"/>
    </xf>
    <xf numFmtId="0" fontId="0" fillId="0" borderId="86" xfId="0" applyBorder="1" applyAlignment="1">
      <alignment vertical="top" wrapText="1"/>
    </xf>
    <xf numFmtId="0" fontId="0" fillId="9" borderId="85" xfId="0" applyFill="1" applyBorder="1" applyAlignment="1">
      <alignment vertical="top" wrapText="1"/>
    </xf>
    <xf numFmtId="0" fontId="0" fillId="10" borderId="0" xfId="0" applyFill="1" applyAlignment="1">
      <alignment vertical="top" wrapText="1"/>
    </xf>
    <xf numFmtId="0" fontId="10" fillId="9" borderId="88" xfId="0" applyFont="1" applyFill="1" applyBorder="1" applyAlignment="1">
      <alignment horizontal="center" vertical="center" wrapText="1"/>
    </xf>
    <xf numFmtId="0" fontId="0" fillId="0" borderId="89" xfId="0" applyBorder="1" applyAlignment="1">
      <alignment vertical="top" wrapText="1"/>
    </xf>
    <xf numFmtId="0" fontId="0" fillId="0" borderId="90" xfId="0" applyBorder="1" applyAlignment="1">
      <alignment vertical="top" wrapText="1"/>
    </xf>
    <xf numFmtId="0" fontId="0" fillId="0" borderId="90" xfId="0" applyBorder="1" applyAlignment="1">
      <alignment horizontal="center" vertical="top" wrapText="1"/>
    </xf>
    <xf numFmtId="0" fontId="0" fillId="0" borderId="91" xfId="0" applyBorder="1" applyAlignment="1">
      <alignment horizontal="center" vertical="top" wrapText="1"/>
    </xf>
    <xf numFmtId="0" fontId="0" fillId="9" borderId="89" xfId="0" applyFill="1" applyBorder="1" applyAlignment="1">
      <alignment vertical="top" wrapText="1"/>
    </xf>
    <xf numFmtId="0" fontId="0" fillId="9" borderId="90" xfId="0" applyFill="1" applyBorder="1" applyAlignment="1">
      <alignment vertical="top" wrapText="1"/>
    </xf>
    <xf numFmtId="0" fontId="0" fillId="9" borderId="90" xfId="0" applyFill="1" applyBorder="1" applyAlignment="1">
      <alignment horizontal="center" vertical="top" wrapText="1"/>
    </xf>
    <xf numFmtId="0" fontId="0" fillId="9" borderId="91" xfId="0" applyFill="1" applyBorder="1" applyAlignment="1">
      <alignment horizontal="center" vertical="top" wrapText="1"/>
    </xf>
    <xf numFmtId="0" fontId="0" fillId="9" borderId="92" xfId="0" applyFill="1" applyBorder="1" applyAlignment="1">
      <alignment vertical="top" wrapText="1"/>
    </xf>
    <xf numFmtId="0" fontId="40" fillId="9" borderId="89" xfId="0" applyFont="1" applyFill="1" applyBorder="1" applyAlignment="1">
      <alignment vertical="top" wrapText="1"/>
    </xf>
    <xf numFmtId="0" fontId="40" fillId="9" borderId="90" xfId="0" applyFont="1" applyFill="1" applyBorder="1" applyAlignment="1">
      <alignment vertical="top" wrapText="1"/>
    </xf>
    <xf numFmtId="0" fontId="40" fillId="9" borderId="90" xfId="0" applyFont="1" applyFill="1" applyBorder="1" applyAlignment="1">
      <alignment horizontal="center" vertical="top" wrapText="1"/>
    </xf>
    <xf numFmtId="0" fontId="40" fillId="9" borderId="91" xfId="0" applyFont="1" applyFill="1" applyBorder="1" applyAlignment="1">
      <alignment horizontal="center" vertical="top" wrapText="1"/>
    </xf>
    <xf numFmtId="0" fontId="34" fillId="9" borderId="90" xfId="0" applyFont="1" applyFill="1" applyBorder="1" applyAlignment="1">
      <alignment vertical="top" wrapText="1"/>
    </xf>
    <xf numFmtId="0" fontId="0" fillId="0" borderId="0" xfId="0" applyAlignment="1">
      <alignment horizontal="center" vertical="center" wrapText="1"/>
    </xf>
    <xf numFmtId="0" fontId="18" fillId="0" borderId="0" xfId="0" applyFont="1" applyAlignment="1">
      <alignment horizontal="left" vertical="center"/>
    </xf>
    <xf numFmtId="0" fontId="18" fillId="0" borderId="0" xfId="0" applyFont="1" applyAlignment="1">
      <alignment horizontal="center" vertical="center"/>
    </xf>
    <xf numFmtId="0" fontId="0" fillId="0" borderId="0" xfId="0" applyAlignment="1">
      <alignment wrapText="1"/>
    </xf>
    <xf numFmtId="0" fontId="0" fillId="0" borderId="0" xfId="0" applyAlignment="1">
      <alignment horizontal="center" wrapText="1"/>
    </xf>
    <xf numFmtId="0" fontId="0" fillId="9" borderId="0" xfId="0" applyFill="1" applyAlignment="1">
      <alignment vertical="top" wrapText="1"/>
    </xf>
    <xf numFmtId="0" fontId="0" fillId="4" borderId="0" xfId="0" applyFill="1" applyAlignment="1">
      <alignment vertical="top" wrapText="1"/>
    </xf>
    <xf numFmtId="0" fontId="0" fillId="0" borderId="0" xfId="0" applyAlignment="1">
      <alignment vertical="top" wrapText="1"/>
    </xf>
    <xf numFmtId="0" fontId="10" fillId="5" borderId="36" xfId="0" applyFont="1" applyFill="1" applyBorder="1"/>
    <xf numFmtId="0" fontId="0" fillId="0" borderId="83" xfId="0" applyBorder="1" applyAlignment="1">
      <alignment vertical="top" wrapText="1"/>
    </xf>
    <xf numFmtId="0" fontId="0" fillId="0" borderId="84" xfId="0" applyBorder="1" applyAlignment="1">
      <alignment vertical="top" wrapText="1"/>
    </xf>
    <xf numFmtId="0" fontId="16" fillId="12" borderId="0" xfId="1" applyFill="1" applyAlignment="1" applyProtection="1">
      <alignment vertical="center"/>
      <protection hidden="1"/>
    </xf>
    <xf numFmtId="0" fontId="22" fillId="12" borderId="0" xfId="1" applyFont="1" applyFill="1" applyAlignment="1" applyProtection="1">
      <alignment vertical="center"/>
      <protection hidden="1"/>
    </xf>
    <xf numFmtId="0" fontId="35" fillId="11" borderId="22" xfId="0" applyFont="1" applyFill="1" applyBorder="1" applyAlignment="1">
      <alignment horizontal="center" vertical="center"/>
    </xf>
    <xf numFmtId="0" fontId="35" fillId="11" borderId="70" xfId="0" applyFont="1" applyFill="1" applyBorder="1" applyAlignment="1">
      <alignment vertical="center"/>
    </xf>
    <xf numFmtId="0" fontId="35" fillId="11" borderId="70" xfId="0" applyFont="1" applyFill="1" applyBorder="1" applyAlignment="1">
      <alignment horizontal="center" vertical="center"/>
    </xf>
    <xf numFmtId="0" fontId="35" fillId="11" borderId="71" xfId="0" applyFont="1" applyFill="1" applyBorder="1" applyAlignment="1">
      <alignment horizontal="center" vertical="center"/>
    </xf>
    <xf numFmtId="0" fontId="35" fillId="11" borderId="72" xfId="0" applyFont="1" applyFill="1" applyBorder="1" applyAlignment="1">
      <alignment vertical="center"/>
    </xf>
    <xf numFmtId="0" fontId="36" fillId="11" borderId="70" xfId="0" applyFont="1" applyFill="1" applyBorder="1" applyAlignment="1">
      <alignment vertical="center"/>
    </xf>
    <xf numFmtId="0" fontId="37" fillId="11" borderId="70" xfId="0" applyFont="1" applyFill="1" applyBorder="1" applyAlignment="1">
      <alignment vertical="center"/>
    </xf>
    <xf numFmtId="0" fontId="37" fillId="11" borderId="70" xfId="0" applyFont="1" applyFill="1" applyBorder="1" applyAlignment="1">
      <alignment horizontal="center" vertical="center"/>
    </xf>
    <xf numFmtId="0" fontId="37" fillId="11" borderId="71" xfId="0" applyFont="1" applyFill="1" applyBorder="1" applyAlignment="1">
      <alignment horizontal="center" vertical="center"/>
    </xf>
    <xf numFmtId="0" fontId="35" fillId="11" borderId="73" xfId="0" applyFont="1" applyFill="1" applyBorder="1" applyAlignment="1">
      <alignment horizontal="center" vertical="center" wrapText="1"/>
    </xf>
    <xf numFmtId="0" fontId="38" fillId="11" borderId="74" xfId="0" applyFont="1" applyFill="1" applyBorder="1" applyAlignment="1">
      <alignment horizontal="center" vertical="center" wrapText="1"/>
    </xf>
    <xf numFmtId="0" fontId="38" fillId="11" borderId="75" xfId="0" applyFont="1" applyFill="1" applyBorder="1" applyAlignment="1">
      <alignment horizontal="center" vertical="center" wrapText="1"/>
    </xf>
    <xf numFmtId="0" fontId="38" fillId="11" borderId="76" xfId="0" applyFont="1" applyFill="1" applyBorder="1" applyAlignment="1">
      <alignment horizontal="center" vertical="center" wrapText="1"/>
    </xf>
    <xf numFmtId="0" fontId="10" fillId="13" borderId="82" xfId="0" applyFont="1" applyFill="1" applyBorder="1" applyAlignment="1">
      <alignment horizontal="center" vertical="center" wrapText="1"/>
    </xf>
    <xf numFmtId="0" fontId="0" fillId="13" borderId="83" xfId="0" applyFill="1" applyBorder="1" applyAlignment="1">
      <alignment vertical="top" wrapText="1"/>
    </xf>
    <xf numFmtId="0" fontId="0" fillId="13" borderId="84" xfId="0" applyFill="1" applyBorder="1" applyAlignment="1">
      <alignment vertical="top" wrapText="1"/>
    </xf>
    <xf numFmtId="0" fontId="0" fillId="13" borderId="84" xfId="0" applyFill="1" applyBorder="1" applyAlignment="1">
      <alignment horizontal="center" vertical="top" wrapText="1"/>
    </xf>
    <xf numFmtId="0" fontId="0" fillId="13" borderId="85" xfId="0" applyFill="1" applyBorder="1" applyAlignment="1">
      <alignment horizontal="center" vertical="top" wrapText="1"/>
    </xf>
    <xf numFmtId="0" fontId="0" fillId="13" borderId="86" xfId="0" applyFill="1" applyBorder="1" applyAlignment="1">
      <alignment vertical="top" wrapText="1"/>
    </xf>
    <xf numFmtId="0" fontId="34" fillId="13" borderId="84" xfId="0" applyFont="1" applyFill="1" applyBorder="1" applyAlignment="1">
      <alignment vertical="top" wrapText="1"/>
    </xf>
    <xf numFmtId="0" fontId="0" fillId="13" borderId="0" xfId="0" applyFill="1" applyAlignment="1">
      <alignment vertical="top" wrapText="1"/>
    </xf>
    <xf numFmtId="0" fontId="40" fillId="13" borderId="83" xfId="0" applyFont="1" applyFill="1" applyBorder="1" applyAlignment="1">
      <alignment vertical="top" wrapText="1"/>
    </xf>
    <xf numFmtId="0" fontId="40" fillId="13" borderId="84" xfId="0" applyFont="1" applyFill="1" applyBorder="1" applyAlignment="1">
      <alignment vertical="top" wrapText="1"/>
    </xf>
    <xf numFmtId="0" fontId="40" fillId="13" borderId="84" xfId="0" applyFont="1" applyFill="1" applyBorder="1" applyAlignment="1">
      <alignment horizontal="center" vertical="top" wrapText="1"/>
    </xf>
    <xf numFmtId="0" fontId="40" fillId="13" borderId="85" xfId="0" applyFont="1" applyFill="1" applyBorder="1" applyAlignment="1">
      <alignment horizontal="center" vertical="top" wrapText="1"/>
    </xf>
    <xf numFmtId="0" fontId="0" fillId="13" borderId="87" xfId="0" applyFill="1" applyBorder="1" applyAlignment="1">
      <alignment vertical="top" wrapText="1"/>
    </xf>
    <xf numFmtId="0" fontId="10" fillId="13" borderId="64" xfId="0" applyFont="1" applyFill="1" applyBorder="1" applyAlignment="1">
      <alignment horizontal="center" vertical="center" wrapText="1"/>
    </xf>
    <xf numFmtId="0" fontId="0" fillId="13" borderId="93" xfId="0" applyFill="1" applyBorder="1" applyAlignment="1">
      <alignment vertical="top" wrapText="1"/>
    </xf>
    <xf numFmtId="0" fontId="0" fillId="13" borderId="94" xfId="0" applyFill="1" applyBorder="1" applyAlignment="1">
      <alignment vertical="top" wrapText="1"/>
    </xf>
    <xf numFmtId="0" fontId="0" fillId="13" borderId="94" xfId="0" applyFill="1" applyBorder="1" applyAlignment="1">
      <alignment horizontal="center" vertical="top" wrapText="1"/>
    </xf>
    <xf numFmtId="0" fontId="0" fillId="13" borderId="95" xfId="0" applyFill="1" applyBorder="1" applyAlignment="1">
      <alignment horizontal="center" vertical="top" wrapText="1"/>
    </xf>
    <xf numFmtId="0" fontId="0" fillId="13" borderId="96" xfId="0" applyFill="1" applyBorder="1" applyAlignment="1">
      <alignment vertical="top" wrapText="1"/>
    </xf>
    <xf numFmtId="3" fontId="16" fillId="12" borderId="0" xfId="1" applyNumberFormat="1" applyFill="1" applyAlignment="1" applyProtection="1">
      <alignment vertical="center"/>
      <protection hidden="1"/>
    </xf>
    <xf numFmtId="0" fontId="23" fillId="12" borderId="0" xfId="1" applyFont="1" applyFill="1" applyAlignment="1" applyProtection="1">
      <alignment vertical="center"/>
      <protection hidden="1"/>
    </xf>
    <xf numFmtId="0" fontId="16" fillId="12" borderId="0" xfId="1" applyFill="1" applyAlignment="1" applyProtection="1">
      <alignment vertical="center" wrapText="1"/>
      <protection hidden="1"/>
    </xf>
    <xf numFmtId="0" fontId="25" fillId="11" borderId="44" xfId="1" applyFont="1" applyFill="1" applyBorder="1" applyAlignment="1" applyProtection="1">
      <alignment horizontal="center" vertical="center" wrapText="1"/>
      <protection hidden="1"/>
    </xf>
    <xf numFmtId="0" fontId="25" fillId="11" borderId="45" xfId="1" applyFont="1" applyFill="1" applyBorder="1" applyAlignment="1" applyProtection="1">
      <alignment horizontal="center" vertical="center" wrapText="1"/>
      <protection hidden="1"/>
    </xf>
    <xf numFmtId="3" fontId="25" fillId="11" borderId="7" xfId="1" applyNumberFormat="1" applyFont="1" applyFill="1" applyBorder="1" applyAlignment="1" applyProtection="1">
      <alignment horizontal="center" vertical="center" wrapText="1"/>
      <protection hidden="1"/>
    </xf>
    <xf numFmtId="0" fontId="16" fillId="13" borderId="14" xfId="1" applyFill="1" applyBorder="1" applyAlignment="1" applyProtection="1">
      <alignment horizontal="center" vertical="center"/>
      <protection hidden="1"/>
    </xf>
    <xf numFmtId="0" fontId="16" fillId="13" borderId="15" xfId="1" applyFill="1" applyBorder="1" applyAlignment="1" applyProtection="1">
      <alignment horizontal="center" vertical="center"/>
      <protection hidden="1"/>
    </xf>
    <xf numFmtId="0" fontId="19" fillId="13" borderId="15" xfId="1" applyFont="1" applyFill="1" applyBorder="1" applyAlignment="1" applyProtection="1">
      <alignment horizontal="center" vertical="center"/>
      <protection hidden="1"/>
    </xf>
    <xf numFmtId="3" fontId="16" fillId="13" borderId="16" xfId="1" applyNumberFormat="1" applyFill="1" applyBorder="1" applyAlignment="1" applyProtection="1">
      <alignment horizontal="center" vertical="center"/>
      <protection hidden="1"/>
    </xf>
    <xf numFmtId="0" fontId="16" fillId="13" borderId="38" xfId="1" applyFill="1" applyBorder="1" applyAlignment="1" applyProtection="1">
      <alignment horizontal="center" vertical="center"/>
      <protection hidden="1"/>
    </xf>
    <xf numFmtId="0" fontId="16" fillId="13" borderId="4" xfId="1" applyFill="1" applyBorder="1" applyAlignment="1" applyProtection="1">
      <alignment horizontal="center" vertical="center"/>
      <protection hidden="1"/>
    </xf>
    <xf numFmtId="0" fontId="19" fillId="13" borderId="4" xfId="1" applyFont="1" applyFill="1" applyBorder="1" applyAlignment="1" applyProtection="1">
      <alignment horizontal="center" vertical="center"/>
      <protection hidden="1"/>
    </xf>
    <xf numFmtId="3" fontId="16" fillId="13" borderId="37" xfId="1" applyNumberFormat="1" applyFill="1" applyBorder="1" applyAlignment="1" applyProtection="1">
      <alignment horizontal="center" vertical="center"/>
      <protection hidden="1"/>
    </xf>
    <xf numFmtId="0" fontId="16" fillId="13" borderId="38" xfId="1" applyFill="1" applyBorder="1" applyAlignment="1" applyProtection="1">
      <alignment horizontal="center" vertical="center" wrapText="1"/>
      <protection hidden="1"/>
    </xf>
    <xf numFmtId="0" fontId="16" fillId="13" borderId="4" xfId="1" applyFill="1" applyBorder="1" applyAlignment="1" applyProtection="1">
      <alignment horizontal="center" vertical="center" wrapText="1"/>
      <protection hidden="1"/>
    </xf>
    <xf numFmtId="0" fontId="12" fillId="12" borderId="0" xfId="1" applyFont="1" applyFill="1" applyAlignment="1" applyProtection="1">
      <alignment vertical="center"/>
      <protection hidden="1"/>
    </xf>
    <xf numFmtId="0" fontId="16" fillId="13" borderId="39" xfId="1" applyFill="1" applyBorder="1" applyAlignment="1" applyProtection="1">
      <alignment horizontal="center" vertical="center" wrapText="1"/>
      <protection hidden="1"/>
    </xf>
    <xf numFmtId="0" fontId="16" fillId="13" borderId="18" xfId="1" applyFill="1" applyBorder="1" applyAlignment="1" applyProtection="1">
      <alignment horizontal="center" vertical="center" wrapText="1"/>
      <protection hidden="1"/>
    </xf>
    <xf numFmtId="0" fontId="16" fillId="13" borderId="18" xfId="1" applyFill="1" applyBorder="1" applyAlignment="1" applyProtection="1">
      <alignment horizontal="center" vertical="center"/>
      <protection hidden="1"/>
    </xf>
    <xf numFmtId="3" fontId="16" fillId="13" borderId="10" xfId="1" applyNumberFormat="1" applyFill="1" applyBorder="1" applyAlignment="1" applyProtection="1">
      <alignment horizontal="center" vertical="center"/>
      <protection hidden="1"/>
    </xf>
    <xf numFmtId="0" fontId="16" fillId="12" borderId="0" xfId="1" applyFill="1" applyAlignment="1" applyProtection="1">
      <alignment horizontal="left" vertical="center"/>
      <protection hidden="1"/>
    </xf>
    <xf numFmtId="0" fontId="16" fillId="12" borderId="0" xfId="1" applyFill="1" applyAlignment="1" applyProtection="1">
      <alignment horizontal="center" vertical="center"/>
      <protection hidden="1"/>
    </xf>
    <xf numFmtId="3" fontId="16" fillId="12" borderId="0" xfId="1" applyNumberFormat="1" applyFill="1" applyAlignment="1" applyProtection="1">
      <alignment horizontal="center" vertical="center"/>
      <protection hidden="1"/>
    </xf>
    <xf numFmtId="0" fontId="25" fillId="11" borderId="5" xfId="1" applyFont="1" applyFill="1" applyBorder="1" applyAlignment="1" applyProtection="1">
      <alignment horizontal="center" vertical="center" wrapText="1"/>
      <protection hidden="1"/>
    </xf>
    <xf numFmtId="0" fontId="25" fillId="11" borderId="8" xfId="1" applyFont="1" applyFill="1" applyBorder="1" applyAlignment="1" applyProtection="1">
      <alignment horizontal="center" vertical="center" wrapText="1"/>
      <protection hidden="1"/>
    </xf>
    <xf numFmtId="0" fontId="25" fillId="11" borderId="46" xfId="1" applyFont="1" applyFill="1" applyBorder="1" applyAlignment="1" applyProtection="1">
      <alignment horizontal="center" vertical="center" wrapText="1"/>
      <protection hidden="1"/>
    </xf>
    <xf numFmtId="0" fontId="11" fillId="11" borderId="47" xfId="1" applyFont="1" applyFill="1" applyBorder="1" applyAlignment="1" applyProtection="1">
      <alignment horizontal="center" vertical="center" wrapText="1"/>
      <protection hidden="1"/>
    </xf>
    <xf numFmtId="0" fontId="16" fillId="12" borderId="35" xfId="1" applyFill="1" applyBorder="1" applyAlignment="1" applyProtection="1">
      <alignment vertical="center" wrapText="1"/>
      <protection hidden="1"/>
    </xf>
    <xf numFmtId="0" fontId="16" fillId="13" borderId="48" xfId="1" applyFill="1" applyBorder="1" applyAlignment="1" applyProtection="1">
      <alignment horizontal="center" vertical="center"/>
      <protection hidden="1"/>
    </xf>
    <xf numFmtId="0" fontId="16" fillId="13" borderId="49" xfId="1" applyFill="1" applyBorder="1" applyAlignment="1" applyProtection="1">
      <alignment horizontal="center" vertical="center"/>
      <protection hidden="1"/>
    </xf>
    <xf numFmtId="0" fontId="19" fillId="13" borderId="48" xfId="1" applyFont="1" applyFill="1" applyBorder="1" applyAlignment="1" applyProtection="1">
      <alignment horizontal="center" vertical="center"/>
      <protection hidden="1"/>
    </xf>
    <xf numFmtId="0" fontId="16" fillId="13" borderId="50" xfId="1" applyFill="1" applyBorder="1" applyAlignment="1" applyProtection="1">
      <alignment horizontal="center" vertical="center"/>
      <protection hidden="1"/>
    </xf>
    <xf numFmtId="9" fontId="16" fillId="13" borderId="51" xfId="1" applyNumberFormat="1" applyFill="1" applyBorder="1" applyAlignment="1" applyProtection="1">
      <alignment horizontal="center" vertical="center"/>
      <protection hidden="1"/>
    </xf>
    <xf numFmtId="0" fontId="16" fillId="13" borderId="52" xfId="1" applyFill="1" applyBorder="1" applyAlignment="1" applyProtection="1">
      <alignment horizontal="center" vertical="center"/>
      <protection hidden="1"/>
    </xf>
    <xf numFmtId="9" fontId="16" fillId="13" borderId="53" xfId="1" applyNumberFormat="1" applyFill="1" applyBorder="1" applyAlignment="1" applyProtection="1">
      <alignment horizontal="center" vertical="center"/>
      <protection hidden="1"/>
    </xf>
    <xf numFmtId="0" fontId="16" fillId="13" borderId="54" xfId="1" applyFill="1" applyBorder="1" applyAlignment="1" applyProtection="1">
      <alignment horizontal="center" vertical="center"/>
      <protection hidden="1"/>
    </xf>
    <xf numFmtId="0" fontId="16" fillId="13" borderId="55" xfId="1" applyFill="1" applyBorder="1" applyAlignment="1" applyProtection="1">
      <alignment horizontal="center" vertical="center"/>
      <protection hidden="1"/>
    </xf>
    <xf numFmtId="0" fontId="19" fillId="13" borderId="54" xfId="1" applyFont="1" applyFill="1" applyBorder="1" applyAlignment="1" applyProtection="1">
      <alignment horizontal="center" vertical="center"/>
      <protection hidden="1"/>
    </xf>
    <xf numFmtId="0" fontId="16" fillId="13" borderId="56" xfId="1" applyFill="1" applyBorder="1" applyAlignment="1" applyProtection="1">
      <alignment horizontal="center" vertical="center"/>
      <protection hidden="1"/>
    </xf>
    <xf numFmtId="9" fontId="16" fillId="13" borderId="57" xfId="1" applyNumberFormat="1" applyFill="1" applyBorder="1" applyAlignment="1" applyProtection="1">
      <alignment horizontal="center" vertical="center"/>
      <protection hidden="1"/>
    </xf>
    <xf numFmtId="0" fontId="27" fillId="13" borderId="55" xfId="1" applyFont="1" applyFill="1" applyBorder="1" applyAlignment="1" applyProtection="1">
      <alignment horizontal="center" vertical="center"/>
      <protection hidden="1"/>
    </xf>
    <xf numFmtId="0" fontId="16" fillId="13" borderId="55" xfId="1" applyFill="1" applyBorder="1" applyAlignment="1" applyProtection="1">
      <alignment horizontal="center" vertical="center" wrapText="1"/>
      <protection hidden="1"/>
    </xf>
    <xf numFmtId="49" fontId="0" fillId="0" borderId="0" xfId="0" applyNumberFormat="1" applyAlignment="1">
      <alignment vertical="top"/>
    </xf>
    <xf numFmtId="49" fontId="0" fillId="0" borderId="0" xfId="0" applyNumberFormat="1" applyAlignment="1">
      <alignment horizontal="left" vertical="top"/>
    </xf>
    <xf numFmtId="0" fontId="16" fillId="13" borderId="97" xfId="1" applyFill="1" applyBorder="1" applyAlignment="1" applyProtection="1">
      <alignment horizontal="center" vertical="center"/>
      <protection hidden="1"/>
    </xf>
    <xf numFmtId="0" fontId="16" fillId="13" borderId="98" xfId="1" applyFill="1" applyBorder="1" applyAlignment="1" applyProtection="1">
      <alignment horizontal="center" vertical="center" wrapText="1"/>
      <protection hidden="1"/>
    </xf>
    <xf numFmtId="0" fontId="19" fillId="13" borderId="97" xfId="1" applyFont="1" applyFill="1" applyBorder="1" applyAlignment="1" applyProtection="1">
      <alignment horizontal="center" vertical="center"/>
      <protection hidden="1"/>
    </xf>
    <xf numFmtId="0" fontId="16" fillId="13" borderId="98" xfId="1" applyFill="1" applyBorder="1" applyAlignment="1" applyProtection="1">
      <alignment horizontal="center" vertical="center"/>
      <protection hidden="1"/>
    </xf>
    <xf numFmtId="0" fontId="16" fillId="13" borderId="99" xfId="1" applyFill="1" applyBorder="1" applyAlignment="1" applyProtection="1">
      <alignment horizontal="center" vertical="center"/>
      <protection hidden="1"/>
    </xf>
    <xf numFmtId="9" fontId="16" fillId="13" borderId="100" xfId="1" applyNumberFormat="1" applyFill="1" applyBorder="1" applyAlignment="1" applyProtection="1">
      <alignment horizontal="center" vertical="center"/>
      <protection hidden="1"/>
    </xf>
    <xf numFmtId="0" fontId="16" fillId="13" borderId="5" xfId="1" applyFill="1" applyBorder="1" applyAlignment="1" applyProtection="1">
      <alignment horizontal="center" vertical="center"/>
      <protection hidden="1"/>
    </xf>
    <xf numFmtId="0" fontId="16" fillId="13" borderId="8" xfId="1" applyFill="1" applyBorder="1" applyAlignment="1" applyProtection="1">
      <alignment horizontal="center" vertical="center" wrapText="1"/>
      <protection hidden="1"/>
    </xf>
    <xf numFmtId="0" fontId="16" fillId="13" borderId="8" xfId="1" applyFill="1" applyBorder="1" applyAlignment="1" applyProtection="1">
      <alignment horizontal="center" vertical="center"/>
      <protection hidden="1"/>
    </xf>
    <xf numFmtId="0" fontId="16" fillId="13" borderId="46" xfId="1" applyFill="1" applyBorder="1" applyAlignment="1" applyProtection="1">
      <alignment horizontal="center" vertical="center"/>
      <protection hidden="1"/>
    </xf>
    <xf numFmtId="9" fontId="16" fillId="13" borderId="47" xfId="1" applyNumberFormat="1" applyFill="1" applyBorder="1" applyAlignment="1" applyProtection="1">
      <alignment horizontal="center" vertical="center"/>
      <protection hidden="1"/>
    </xf>
    <xf numFmtId="0" fontId="0" fillId="2" borderId="35" xfId="0" applyFill="1" applyBorder="1"/>
    <xf numFmtId="0" fontId="0" fillId="0" borderId="4" xfId="0" applyBorder="1"/>
    <xf numFmtId="0" fontId="0" fillId="2" borderId="4" xfId="0" applyFill="1" applyBorder="1"/>
    <xf numFmtId="0" fontId="0" fillId="3" borderId="4" xfId="0" applyFill="1" applyBorder="1"/>
    <xf numFmtId="0" fontId="0" fillId="11" borderId="0" xfId="0" applyFill="1"/>
    <xf numFmtId="0" fontId="24" fillId="11" borderId="0" xfId="0" applyFont="1" applyFill="1" applyAlignment="1">
      <alignment vertical="center"/>
    </xf>
    <xf numFmtId="0" fontId="0" fillId="14" borderId="0" xfId="0" applyFill="1"/>
    <xf numFmtId="0" fontId="24" fillId="14" borderId="0" xfId="0" applyFont="1" applyFill="1" applyAlignment="1">
      <alignment vertical="center"/>
    </xf>
    <xf numFmtId="0" fontId="15" fillId="5" borderId="3" xfId="0" applyFont="1" applyFill="1" applyBorder="1" applyAlignment="1">
      <alignment horizontal="center" vertical="center"/>
    </xf>
    <xf numFmtId="0" fontId="15" fillId="5" borderId="32" xfId="0" applyFont="1" applyFill="1" applyBorder="1" applyAlignment="1">
      <alignment horizontal="center" vertical="center"/>
    </xf>
    <xf numFmtId="0" fontId="0" fillId="3" borderId="15" xfId="0" applyFill="1" applyBorder="1" applyAlignment="1">
      <alignment horizontal="center"/>
    </xf>
    <xf numFmtId="0" fontId="0" fillId="3" borderId="16" xfId="0" applyFill="1" applyBorder="1" applyAlignment="1">
      <alignment horizontal="center"/>
    </xf>
    <xf numFmtId="0" fontId="0" fillId="3" borderId="37" xfId="0" applyFill="1" applyBorder="1" applyAlignment="1">
      <alignment horizontal="center"/>
    </xf>
    <xf numFmtId="0" fontId="15" fillId="5" borderId="17" xfId="0" applyFont="1" applyFill="1" applyBorder="1" applyAlignment="1">
      <alignment horizontal="center" vertical="center"/>
    </xf>
    <xf numFmtId="0" fontId="0" fillId="3" borderId="18" xfId="0" applyFill="1" applyBorder="1"/>
    <xf numFmtId="0" fontId="0" fillId="3" borderId="10" xfId="0" applyFill="1" applyBorder="1"/>
    <xf numFmtId="0" fontId="0" fillId="3" borderId="18" xfId="0" applyFill="1" applyBorder="1" applyAlignment="1">
      <alignment horizontal="center"/>
    </xf>
    <xf numFmtId="0" fontId="0" fillId="3" borderId="10" xfId="0" applyFill="1" applyBorder="1" applyAlignment="1">
      <alignment horizontal="center"/>
    </xf>
    <xf numFmtId="0" fontId="10" fillId="0" borderId="0" xfId="0" applyFont="1" applyAlignment="1">
      <alignment vertical="center"/>
    </xf>
    <xf numFmtId="0" fontId="10" fillId="0" borderId="4" xfId="0" applyFont="1" applyBorder="1" applyAlignment="1">
      <alignment horizontal="right" vertical="center"/>
    </xf>
    <xf numFmtId="0" fontId="17" fillId="0" borderId="4" xfId="0" applyFont="1" applyBorder="1" applyAlignment="1">
      <alignment horizontal="center" vertical="center"/>
    </xf>
    <xf numFmtId="0" fontId="9" fillId="11" borderId="4" xfId="0" applyFont="1" applyFill="1" applyBorder="1" applyAlignment="1">
      <alignment vertical="center"/>
    </xf>
    <xf numFmtId="0" fontId="9" fillId="11" borderId="1" xfId="0" applyFont="1" applyFill="1" applyBorder="1" applyAlignment="1">
      <alignment vertical="center"/>
    </xf>
    <xf numFmtId="0" fontId="9" fillId="15" borderId="5" xfId="0" applyFont="1" applyFill="1" applyBorder="1" applyAlignment="1">
      <alignment horizontal="center" vertical="center"/>
    </xf>
    <xf numFmtId="0" fontId="14" fillId="15" borderId="6" xfId="0" applyFont="1" applyFill="1" applyBorder="1" applyAlignment="1">
      <alignment horizontal="center" vertical="center"/>
    </xf>
    <xf numFmtId="0" fontId="11" fillId="15" borderId="5" xfId="0" applyFont="1" applyFill="1" applyBorder="1" applyAlignment="1">
      <alignment vertical="center"/>
    </xf>
    <xf numFmtId="0" fontId="11" fillId="15" borderId="6" xfId="0" applyFont="1" applyFill="1" applyBorder="1" applyAlignment="1">
      <alignment vertical="center"/>
    </xf>
    <xf numFmtId="0" fontId="11" fillId="15" borderId="6" xfId="0" applyFont="1" applyFill="1" applyBorder="1" applyAlignment="1">
      <alignment horizontal="center" vertical="center"/>
    </xf>
    <xf numFmtId="0" fontId="11" fillId="15" borderId="21" xfId="0" applyFont="1" applyFill="1" applyBorder="1" applyAlignment="1">
      <alignment horizontal="center" vertical="center"/>
    </xf>
    <xf numFmtId="0" fontId="9" fillId="15" borderId="11" xfId="0" applyFont="1" applyFill="1" applyBorder="1" applyAlignment="1">
      <alignment horizontal="center" vertical="center"/>
    </xf>
    <xf numFmtId="0" fontId="14" fillId="15" borderId="33" xfId="0" applyFont="1" applyFill="1" applyBorder="1" applyAlignment="1">
      <alignment horizontal="center" vertical="center"/>
    </xf>
    <xf numFmtId="0" fontId="0" fillId="16" borderId="4" xfId="0" applyFill="1" applyBorder="1" applyAlignment="1">
      <alignment horizontal="center"/>
    </xf>
    <xf numFmtId="0" fontId="0" fillId="16" borderId="37" xfId="0" applyFill="1" applyBorder="1" applyAlignment="1">
      <alignment horizontal="center"/>
    </xf>
    <xf numFmtId="0" fontId="11" fillId="15" borderId="33" xfId="0" applyFont="1" applyFill="1" applyBorder="1" applyAlignment="1">
      <alignment horizontal="center" vertical="center"/>
    </xf>
    <xf numFmtId="0" fontId="11" fillId="15" borderId="34" xfId="0" applyFont="1" applyFill="1" applyBorder="1" applyAlignment="1">
      <alignment horizontal="center" vertical="center"/>
    </xf>
    <xf numFmtId="0" fontId="11" fillId="15" borderId="11" xfId="0" applyFont="1" applyFill="1" applyBorder="1" applyAlignment="1">
      <alignment vertical="center"/>
    </xf>
    <xf numFmtId="0" fontId="9" fillId="15" borderId="33" xfId="0" applyFont="1" applyFill="1" applyBorder="1" applyAlignment="1">
      <alignment horizontal="center" vertical="center"/>
    </xf>
    <xf numFmtId="0" fontId="15" fillId="5" borderId="4" xfId="0" applyFont="1" applyFill="1" applyBorder="1" applyAlignment="1">
      <alignment horizontal="center" vertical="center"/>
    </xf>
    <xf numFmtId="0" fontId="15" fillId="5" borderId="15" xfId="0" applyFont="1" applyFill="1" applyBorder="1" applyAlignment="1">
      <alignment horizontal="center" vertical="center"/>
    </xf>
    <xf numFmtId="0" fontId="15" fillId="5" borderId="18" xfId="0" applyFont="1" applyFill="1" applyBorder="1" applyAlignment="1">
      <alignment horizontal="center" vertical="center"/>
    </xf>
    <xf numFmtId="0" fontId="0" fillId="3" borderId="32" xfId="0" applyFill="1" applyBorder="1" applyAlignment="1">
      <alignment horizontal="center"/>
    </xf>
    <xf numFmtId="0" fontId="0" fillId="3" borderId="3" xfId="0" applyFill="1" applyBorder="1" applyAlignment="1">
      <alignment horizontal="center"/>
    </xf>
    <xf numFmtId="0" fontId="0" fillId="16" borderId="3" xfId="0" applyFill="1" applyBorder="1" applyAlignment="1">
      <alignment horizontal="center"/>
    </xf>
    <xf numFmtId="0" fontId="0" fillId="3" borderId="17" xfId="0" applyFill="1" applyBorder="1" applyAlignment="1">
      <alignment horizontal="center"/>
    </xf>
    <xf numFmtId="0" fontId="11" fillId="15" borderId="33" xfId="0" applyFont="1" applyFill="1" applyBorder="1" applyAlignment="1">
      <alignment vertical="center"/>
    </xf>
    <xf numFmtId="0" fontId="15" fillId="5" borderId="16" xfId="0" applyFont="1" applyFill="1" applyBorder="1" applyAlignment="1">
      <alignment horizontal="center" vertical="center"/>
    </xf>
    <xf numFmtId="0" fontId="15" fillId="5" borderId="37" xfId="0" applyFont="1" applyFill="1" applyBorder="1" applyAlignment="1">
      <alignment horizontal="center" vertical="center"/>
    </xf>
    <xf numFmtId="0" fontId="15" fillId="5" borderId="10" xfId="0" applyFont="1" applyFill="1" applyBorder="1" applyAlignment="1">
      <alignment horizontal="center" vertical="center"/>
    </xf>
    <xf numFmtId="0" fontId="9" fillId="15" borderId="33" xfId="0" applyFont="1" applyFill="1" applyBorder="1" applyAlignment="1">
      <alignment vertical="center"/>
    </xf>
    <xf numFmtId="0" fontId="0" fillId="17" borderId="0" xfId="0" applyFill="1"/>
    <xf numFmtId="0" fontId="10" fillId="17" borderId="0" xfId="0" applyFont="1" applyFill="1" applyAlignment="1">
      <alignment vertical="center"/>
    </xf>
    <xf numFmtId="0" fontId="9" fillId="14" borderId="65" xfId="0" applyFont="1" applyFill="1" applyBorder="1" applyAlignment="1">
      <alignment vertical="center"/>
    </xf>
    <xf numFmtId="0" fontId="11" fillId="14" borderId="0" xfId="0" applyFont="1" applyFill="1"/>
    <xf numFmtId="0" fontId="9" fillId="14" borderId="0" xfId="0" applyFont="1" applyFill="1" applyAlignment="1">
      <alignment vertical="center"/>
    </xf>
    <xf numFmtId="0" fontId="0" fillId="2" borderId="36" xfId="0" applyFill="1" applyBorder="1"/>
    <xf numFmtId="0" fontId="9" fillId="11" borderId="11" xfId="0" applyFont="1" applyFill="1" applyBorder="1" applyAlignment="1">
      <alignment horizontal="center" vertical="center"/>
    </xf>
    <xf numFmtId="0" fontId="0" fillId="17" borderId="35" xfId="0" applyFill="1" applyBorder="1" applyAlignment="1">
      <alignment horizontal="center"/>
    </xf>
    <xf numFmtId="0" fontId="0" fillId="17" borderId="36" xfId="0" applyFill="1" applyBorder="1" applyAlignment="1">
      <alignment horizontal="center"/>
    </xf>
    <xf numFmtId="0" fontId="10" fillId="17" borderId="35" xfId="0" applyFont="1" applyFill="1" applyBorder="1" applyAlignment="1">
      <alignment vertical="center"/>
    </xf>
    <xf numFmtId="0" fontId="10" fillId="5" borderId="35" xfId="0" applyFont="1" applyFill="1" applyBorder="1"/>
    <xf numFmtId="0" fontId="0" fillId="18" borderId="0" xfId="0" applyFill="1"/>
    <xf numFmtId="0" fontId="0" fillId="18" borderId="35" xfId="0" applyFill="1" applyBorder="1"/>
    <xf numFmtId="0" fontId="10" fillId="17" borderId="0" xfId="0" applyFont="1" applyFill="1" applyAlignment="1">
      <alignment horizontal="center" vertical="center"/>
    </xf>
    <xf numFmtId="0" fontId="10" fillId="17" borderId="35" xfId="0" applyFont="1" applyFill="1" applyBorder="1" applyAlignment="1">
      <alignment horizontal="center" vertical="center"/>
    </xf>
    <xf numFmtId="0" fontId="10" fillId="17" borderId="36" xfId="0" applyFont="1" applyFill="1" applyBorder="1" applyAlignment="1">
      <alignment horizontal="center" vertical="center"/>
    </xf>
    <xf numFmtId="0" fontId="0" fillId="7" borderId="35" xfId="0" applyFill="1" applyBorder="1"/>
    <xf numFmtId="0" fontId="0" fillId="7" borderId="0" xfId="0" applyFill="1"/>
    <xf numFmtId="0" fontId="0" fillId="7" borderId="36" xfId="0" applyFill="1" applyBorder="1"/>
    <xf numFmtId="0" fontId="0" fillId="19" borderId="0" xfId="0" applyFill="1"/>
    <xf numFmtId="0" fontId="0" fillId="20" borderId="0" xfId="0" applyFill="1"/>
    <xf numFmtId="0" fontId="50" fillId="21" borderId="0" xfId="0" applyFont="1" applyFill="1" applyProtection="1">
      <protection hidden="1"/>
    </xf>
    <xf numFmtId="0" fontId="47" fillId="0" borderId="0" xfId="0" applyFont="1"/>
    <xf numFmtId="0" fontId="47" fillId="21" borderId="0" xfId="0" applyFont="1" applyFill="1"/>
    <xf numFmtId="0" fontId="47" fillId="21" borderId="0" xfId="0" applyFont="1" applyFill="1" applyProtection="1">
      <protection hidden="1"/>
    </xf>
    <xf numFmtId="0" fontId="47" fillId="21" borderId="0" xfId="0" applyFont="1" applyFill="1" applyAlignment="1" applyProtection="1">
      <alignment horizontal="center" vertical="center"/>
      <protection locked="0" hidden="1"/>
    </xf>
    <xf numFmtId="0" fontId="48" fillId="0" borderId="0" xfId="0" applyFont="1" applyAlignment="1">
      <alignment vertical="center" wrapText="1"/>
    </xf>
    <xf numFmtId="0" fontId="30" fillId="0" borderId="0" xfId="0" applyFont="1" applyAlignment="1">
      <alignment vertical="center" wrapText="1"/>
    </xf>
    <xf numFmtId="0" fontId="62" fillId="0" borderId="0" xfId="0" applyFont="1"/>
    <xf numFmtId="0" fontId="62" fillId="0" borderId="0" xfId="0" applyFont="1" applyAlignment="1">
      <alignment horizontal="center" vertical="center"/>
    </xf>
    <xf numFmtId="0" fontId="64" fillId="0" borderId="0" xfId="0" applyFont="1" applyAlignment="1">
      <alignment vertical="center"/>
    </xf>
    <xf numFmtId="0" fontId="68" fillId="0" borderId="0" xfId="0" applyFont="1"/>
    <xf numFmtId="0" fontId="68" fillId="0" borderId="0" xfId="0" applyFont="1" applyAlignment="1">
      <alignment horizontal="center" vertical="center"/>
    </xf>
    <xf numFmtId="0" fontId="69" fillId="0" borderId="0" xfId="0" applyFont="1"/>
    <xf numFmtId="0" fontId="62" fillId="0" borderId="128" xfId="0" applyFont="1" applyBorder="1"/>
    <xf numFmtId="0" fontId="62" fillId="0" borderId="129" xfId="0" applyFont="1" applyBorder="1"/>
    <xf numFmtId="0" fontId="47" fillId="0" borderId="128" xfId="0" applyFont="1" applyBorder="1"/>
    <xf numFmtId="0" fontId="68" fillId="0" borderId="129" xfId="0" applyFont="1" applyBorder="1"/>
    <xf numFmtId="0" fontId="68" fillId="0" borderId="128" xfId="0" applyFont="1" applyBorder="1"/>
    <xf numFmtId="0" fontId="68" fillId="0" borderId="130" xfId="0" applyFont="1" applyBorder="1"/>
    <xf numFmtId="0" fontId="68" fillId="0" borderId="131" xfId="0" applyFont="1" applyBorder="1" applyAlignment="1">
      <alignment horizontal="center"/>
    </xf>
    <xf numFmtId="0" fontId="69" fillId="0" borderId="131" xfId="0" applyFont="1" applyBorder="1"/>
    <xf numFmtId="0" fontId="68" fillId="0" borderId="131" xfId="0" applyFont="1" applyBorder="1"/>
    <xf numFmtId="0" fontId="69" fillId="0" borderId="131" xfId="0" applyFont="1" applyBorder="1" applyAlignment="1">
      <alignment horizontal="center" vertical="center"/>
    </xf>
    <xf numFmtId="0" fontId="68" fillId="0" borderId="132" xfId="0" applyFont="1" applyBorder="1"/>
    <xf numFmtId="0" fontId="47" fillId="0" borderId="138" xfId="0" applyFont="1" applyBorder="1"/>
    <xf numFmtId="0" fontId="47" fillId="0" borderId="139" xfId="0" applyFont="1" applyBorder="1"/>
    <xf numFmtId="0" fontId="58" fillId="0" borderId="139" xfId="0" applyFont="1" applyBorder="1" applyAlignment="1">
      <alignment vertical="center" wrapText="1"/>
    </xf>
    <xf numFmtId="0" fontId="58" fillId="0" borderId="140" xfId="0" applyFont="1" applyBorder="1" applyAlignment="1">
      <alignment vertical="center" wrapText="1"/>
    </xf>
    <xf numFmtId="0" fontId="47" fillId="0" borderId="137" xfId="0" applyFont="1" applyBorder="1"/>
    <xf numFmtId="0" fontId="59" fillId="0" borderId="136" xfId="0" applyFont="1" applyBorder="1" applyAlignment="1" applyProtection="1">
      <alignment vertical="center"/>
      <protection locked="0"/>
    </xf>
    <xf numFmtId="0" fontId="60" fillId="0" borderId="136" xfId="0" applyFont="1" applyBorder="1" applyAlignment="1" applyProtection="1">
      <alignment vertical="center"/>
      <protection locked="0"/>
    </xf>
    <xf numFmtId="0" fontId="30" fillId="0" borderId="136" xfId="0" applyFont="1" applyBorder="1" applyAlignment="1">
      <alignment vertical="center" wrapText="1"/>
    </xf>
    <xf numFmtId="0" fontId="47" fillId="0" borderId="136" xfId="0" applyFont="1" applyBorder="1"/>
    <xf numFmtId="0" fontId="65" fillId="0" borderId="136" xfId="0" applyFont="1" applyBorder="1"/>
    <xf numFmtId="0" fontId="66" fillId="0" borderId="136" xfId="0" applyFont="1" applyBorder="1"/>
    <xf numFmtId="0" fontId="47" fillId="0" borderId="141" xfId="0" applyFont="1" applyBorder="1"/>
    <xf numFmtId="0" fontId="47" fillId="0" borderId="142" xfId="0" applyFont="1" applyBorder="1"/>
    <xf numFmtId="0" fontId="49" fillId="0" borderId="142" xfId="1" applyFont="1" applyBorder="1" applyAlignment="1">
      <alignment vertical="center"/>
    </xf>
    <xf numFmtId="0" fontId="63" fillId="0" borderId="142" xfId="1" applyFont="1" applyBorder="1" applyAlignment="1">
      <alignment vertical="center"/>
    </xf>
    <xf numFmtId="9" fontId="67" fillId="0" borderId="142" xfId="2" applyFont="1" applyFill="1" applyBorder="1" applyAlignment="1" applyProtection="1">
      <alignment horizontal="center" vertical="center"/>
    </xf>
    <xf numFmtId="0" fontId="47" fillId="0" borderId="143" xfId="0" applyFont="1" applyBorder="1"/>
    <xf numFmtId="0" fontId="53" fillId="22" borderId="122" xfId="0" applyFont="1" applyFill="1" applyBorder="1" applyAlignment="1">
      <alignment horizontal="center" vertical="center" wrapText="1"/>
    </xf>
    <xf numFmtId="0" fontId="63" fillId="0" borderId="0" xfId="0" applyFont="1" applyAlignment="1">
      <alignment horizontal="center" vertical="center"/>
    </xf>
    <xf numFmtId="0" fontId="68" fillId="0" borderId="0" xfId="0" applyFont="1" applyAlignment="1">
      <alignment horizontal="center"/>
    </xf>
    <xf numFmtId="0" fontId="69" fillId="0" borderId="0" xfId="0" applyFont="1" applyAlignment="1">
      <alignment horizontal="center" vertical="center"/>
    </xf>
    <xf numFmtId="0" fontId="68" fillId="0" borderId="0" xfId="0" applyFont="1" applyAlignment="1">
      <alignment vertical="center"/>
    </xf>
    <xf numFmtId="0" fontId="52" fillId="0" borderId="0" xfId="0" applyFont="1" applyAlignment="1">
      <alignment horizontal="center" vertical="center"/>
    </xf>
    <xf numFmtId="0" fontId="47" fillId="0" borderId="0" xfId="0" applyFont="1" applyAlignment="1">
      <alignment horizontal="center" vertical="center"/>
    </xf>
    <xf numFmtId="0" fontId="52" fillId="0" borderId="122" xfId="0" applyFont="1" applyBorder="1" applyAlignment="1">
      <alignment horizontal="center" vertical="center"/>
    </xf>
    <xf numFmtId="0" fontId="52" fillId="0" borderId="128" xfId="0" applyFont="1" applyBorder="1" applyAlignment="1">
      <alignment horizontal="center" vertical="center"/>
    </xf>
    <xf numFmtId="0" fontId="52" fillId="0" borderId="129" xfId="0" applyFont="1" applyBorder="1" applyAlignment="1">
      <alignment horizontal="center" vertical="center"/>
    </xf>
    <xf numFmtId="0" fontId="68" fillId="0" borderId="129" xfId="0" applyFont="1" applyBorder="1" applyAlignment="1">
      <alignment horizontal="center" vertical="center"/>
    </xf>
    <xf numFmtId="0" fontId="70" fillId="0" borderId="128" xfId="0" applyFont="1" applyBorder="1" applyAlignment="1">
      <alignment horizontal="center" vertical="center"/>
    </xf>
    <xf numFmtId="0" fontId="68" fillId="0" borderId="128" xfId="0" applyFont="1" applyBorder="1" applyAlignment="1">
      <alignment horizontal="center" vertical="center"/>
    </xf>
    <xf numFmtId="0" fontId="68" fillId="0" borderId="130" xfId="0" applyFont="1" applyBorder="1" applyAlignment="1">
      <alignment horizontal="center" vertical="center"/>
    </xf>
    <xf numFmtId="0" fontId="68" fillId="0" borderId="131" xfId="0" applyFont="1" applyBorder="1" applyAlignment="1">
      <alignment horizontal="center" vertical="center"/>
    </xf>
    <xf numFmtId="0" fontId="68" fillId="0" borderId="131" xfId="0" applyFont="1" applyBorder="1" applyAlignment="1">
      <alignment vertical="center"/>
    </xf>
    <xf numFmtId="0" fontId="68" fillId="0" borderId="132" xfId="0" applyFont="1" applyBorder="1" applyAlignment="1">
      <alignment horizontal="center" vertical="center"/>
    </xf>
    <xf numFmtId="0" fontId="62" fillId="0" borderId="117" xfId="0" applyFont="1" applyBorder="1"/>
    <xf numFmtId="0" fontId="47" fillId="0" borderId="118" xfId="0" applyFont="1" applyBorder="1"/>
    <xf numFmtId="0" fontId="47" fillId="0" borderId="118" xfId="0" applyFont="1" applyBorder="1" applyAlignment="1">
      <alignment horizontal="center" vertical="center"/>
    </xf>
    <xf numFmtId="0" fontId="62" fillId="0" borderId="119" xfId="0" applyFont="1" applyBorder="1"/>
    <xf numFmtId="0" fontId="68" fillId="0" borderId="120" xfId="0" applyFont="1" applyBorder="1" applyAlignment="1">
      <alignment horizontal="center" vertical="center"/>
    </xf>
    <xf numFmtId="0" fontId="69" fillId="0" borderId="120" xfId="0" applyFont="1" applyBorder="1" applyAlignment="1">
      <alignment horizontal="center" vertical="center"/>
    </xf>
    <xf numFmtId="0" fontId="47" fillId="0" borderId="121" xfId="0" applyFont="1" applyBorder="1" applyAlignment="1">
      <alignment horizontal="center" vertical="center"/>
    </xf>
    <xf numFmtId="0" fontId="53" fillId="0" borderId="122" xfId="0" applyFont="1" applyBorder="1" applyAlignment="1">
      <alignment vertical="center" wrapText="1"/>
    </xf>
    <xf numFmtId="0" fontId="73" fillId="22" borderId="122" xfId="0" applyFont="1" applyFill="1" applyBorder="1" applyAlignment="1">
      <alignment horizontal="center" vertical="center" wrapText="1"/>
    </xf>
    <xf numFmtId="0" fontId="62" fillId="0" borderId="122" xfId="0" applyFont="1" applyBorder="1" applyAlignment="1">
      <alignment horizontal="center" vertical="center"/>
    </xf>
    <xf numFmtId="0" fontId="71" fillId="22" borderId="122" xfId="0" applyFont="1" applyFill="1" applyBorder="1" applyAlignment="1">
      <alignment horizontal="center" vertical="center" wrapText="1"/>
    </xf>
    <xf numFmtId="0" fontId="74" fillId="22" borderId="122" xfId="0" applyFont="1" applyFill="1" applyBorder="1" applyAlignment="1">
      <alignment horizontal="center" vertical="center" wrapText="1"/>
    </xf>
    <xf numFmtId="0" fontId="62" fillId="0" borderId="128" xfId="0" applyFont="1" applyBorder="1" applyAlignment="1">
      <alignment horizontal="center" vertical="center"/>
    </xf>
    <xf numFmtId="0" fontId="63" fillId="0" borderId="129" xfId="0" applyFont="1" applyBorder="1" applyAlignment="1">
      <alignment horizontal="center" vertical="center"/>
    </xf>
    <xf numFmtId="0" fontId="62" fillId="0" borderId="129" xfId="0" applyFont="1" applyBorder="1" applyAlignment="1">
      <alignment horizontal="center" vertical="center"/>
    </xf>
    <xf numFmtId="0" fontId="63" fillId="0" borderId="128" xfId="0" applyFont="1" applyBorder="1" applyAlignment="1">
      <alignment horizontal="center" vertical="center"/>
    </xf>
    <xf numFmtId="0" fontId="63" fillId="0" borderId="130" xfId="0" applyFont="1" applyBorder="1" applyAlignment="1">
      <alignment horizontal="center" vertical="center"/>
    </xf>
    <xf numFmtId="0" fontId="62" fillId="0" borderId="131" xfId="0" applyFont="1" applyBorder="1" applyAlignment="1">
      <alignment vertical="center"/>
    </xf>
    <xf numFmtId="0" fontId="62" fillId="0" borderId="131" xfId="0" applyFont="1" applyBorder="1" applyAlignment="1">
      <alignment horizontal="center" vertical="center"/>
    </xf>
    <xf numFmtId="0" fontId="62" fillId="0" borderId="132" xfId="0" applyFont="1" applyBorder="1" applyAlignment="1">
      <alignment horizontal="center" vertical="center"/>
    </xf>
    <xf numFmtId="0" fontId="62" fillId="0" borderId="130" xfId="0" applyFont="1" applyBorder="1" applyAlignment="1">
      <alignment horizontal="center" vertical="center"/>
    </xf>
    <xf numFmtId="0" fontId="57" fillId="0" borderId="131" xfId="0" applyFont="1" applyBorder="1" applyAlignment="1">
      <alignment horizontal="center" vertical="center"/>
    </xf>
    <xf numFmtId="0" fontId="47" fillId="0" borderId="131" xfId="0" applyFont="1" applyBorder="1"/>
    <xf numFmtId="0" fontId="65" fillId="0" borderId="118" xfId="0" applyFont="1" applyBorder="1" applyAlignment="1">
      <alignment horizontal="center" vertical="center"/>
    </xf>
    <xf numFmtId="0" fontId="66" fillId="0" borderId="118" xfId="0" applyFont="1" applyBorder="1" applyAlignment="1">
      <alignment horizontal="center" vertical="center"/>
    </xf>
    <xf numFmtId="0" fontId="62" fillId="0" borderId="120" xfId="0" applyFont="1" applyBorder="1" applyAlignment="1">
      <alignment horizontal="center" vertical="center"/>
    </xf>
    <xf numFmtId="0" fontId="62" fillId="0" borderId="120" xfId="0" applyFont="1" applyBorder="1" applyAlignment="1">
      <alignment vertical="center"/>
    </xf>
    <xf numFmtId="0" fontId="16" fillId="0" borderId="0" xfId="0" applyFont="1"/>
    <xf numFmtId="0" fontId="52" fillId="23" borderId="144" xfId="0" applyFont="1" applyFill="1" applyBorder="1" applyAlignment="1">
      <alignment vertical="center"/>
    </xf>
    <xf numFmtId="0" fontId="52" fillId="23" borderId="145" xfId="0" applyFont="1" applyFill="1" applyBorder="1" applyAlignment="1">
      <alignment vertical="center"/>
    </xf>
    <xf numFmtId="0" fontId="52" fillId="23" borderId="146" xfId="0" applyFont="1" applyFill="1" applyBorder="1" applyAlignment="1">
      <alignment vertical="center"/>
    </xf>
    <xf numFmtId="0" fontId="77" fillId="21" borderId="0" xfId="0" applyFont="1" applyFill="1" applyAlignment="1">
      <alignment vertical="center"/>
    </xf>
    <xf numFmtId="0" fontId="47" fillId="0" borderId="0" xfId="0" applyFont="1" applyAlignment="1">
      <alignment vertical="center"/>
    </xf>
    <xf numFmtId="0" fontId="47" fillId="0" borderId="150" xfId="0" applyFont="1" applyBorder="1" applyAlignment="1">
      <alignment vertical="center"/>
    </xf>
    <xf numFmtId="0" fontId="47" fillId="0" borderId="151" xfId="0" applyFont="1" applyBorder="1" applyAlignment="1">
      <alignment vertical="center"/>
    </xf>
    <xf numFmtId="0" fontId="47" fillId="21" borderId="0" xfId="0" applyFont="1" applyFill="1" applyAlignment="1">
      <alignment vertical="center"/>
    </xf>
    <xf numFmtId="0" fontId="10" fillId="17" borderId="36" xfId="0" applyFont="1" applyFill="1" applyBorder="1" applyAlignment="1">
      <alignment vertical="center"/>
    </xf>
    <xf numFmtId="49" fontId="0" fillId="2" borderId="0" xfId="0" applyNumberFormat="1" applyFill="1" applyAlignment="1">
      <alignment vertical="top"/>
    </xf>
    <xf numFmtId="0" fontId="77" fillId="21" borderId="0" xfId="0" applyFont="1" applyFill="1"/>
    <xf numFmtId="0" fontId="0" fillId="0" borderId="176" xfId="0" applyBorder="1" applyAlignment="1">
      <alignment horizontal="center" vertical="center"/>
    </xf>
    <xf numFmtId="0" fontId="0" fillId="21" borderId="176" xfId="0" applyFill="1" applyBorder="1" applyAlignment="1">
      <alignment horizontal="center" vertical="center"/>
    </xf>
    <xf numFmtId="0" fontId="47" fillId="0" borderId="136" xfId="0" applyFont="1" applyBorder="1" applyAlignment="1">
      <alignment vertical="center"/>
    </xf>
    <xf numFmtId="49" fontId="0" fillId="21" borderId="0" xfId="0" applyNumberFormat="1" applyFill="1" applyAlignment="1">
      <alignment vertical="top"/>
    </xf>
    <xf numFmtId="0" fontId="47" fillId="3" borderId="141" xfId="0" applyFont="1" applyFill="1" applyBorder="1" applyAlignment="1">
      <alignment vertical="center"/>
    </xf>
    <xf numFmtId="0" fontId="47" fillId="3" borderId="142" xfId="0" applyFont="1" applyFill="1" applyBorder="1" applyAlignment="1">
      <alignment vertical="center"/>
    </xf>
    <xf numFmtId="0" fontId="47" fillId="3" borderId="143" xfId="0" applyFont="1" applyFill="1" applyBorder="1" applyAlignment="1">
      <alignment vertical="center"/>
    </xf>
    <xf numFmtId="0" fontId="47" fillId="3" borderId="151" xfId="0" applyFont="1" applyFill="1" applyBorder="1" applyAlignment="1">
      <alignment vertical="center"/>
    </xf>
    <xf numFmtId="0" fontId="47" fillId="3" borderId="136" xfId="0" applyFont="1" applyFill="1" applyBorder="1" applyAlignment="1">
      <alignment vertical="center"/>
    </xf>
    <xf numFmtId="0" fontId="47" fillId="3" borderId="168" xfId="0" applyFont="1" applyFill="1" applyBorder="1" applyAlignment="1">
      <alignment vertical="center"/>
    </xf>
    <xf numFmtId="0" fontId="47" fillId="3" borderId="138" xfId="0" applyFont="1" applyFill="1" applyBorder="1" applyAlignment="1">
      <alignment vertical="center"/>
    </xf>
    <xf numFmtId="0" fontId="47" fillId="3" borderId="139" xfId="0" applyFont="1" applyFill="1" applyBorder="1" applyAlignment="1">
      <alignment vertical="center"/>
    </xf>
    <xf numFmtId="0" fontId="47" fillId="3" borderId="140" xfId="0" applyFont="1" applyFill="1" applyBorder="1" applyAlignment="1">
      <alignment vertical="center"/>
    </xf>
    <xf numFmtId="0" fontId="47" fillId="3" borderId="137" xfId="0" applyFont="1" applyFill="1" applyBorder="1" applyAlignment="1">
      <alignment vertical="center"/>
    </xf>
    <xf numFmtId="0" fontId="47" fillId="3" borderId="0" xfId="0" applyFont="1" applyFill="1" applyAlignment="1">
      <alignment vertical="center"/>
    </xf>
    <xf numFmtId="0" fontId="47" fillId="3" borderId="150" xfId="0" applyFont="1" applyFill="1" applyBorder="1" applyAlignment="1">
      <alignment vertical="center"/>
    </xf>
    <xf numFmtId="0" fontId="55" fillId="3" borderId="0" xfId="0" applyFont="1" applyFill="1" applyAlignment="1">
      <alignment vertical="center"/>
    </xf>
    <xf numFmtId="0" fontId="47" fillId="3" borderId="166" xfId="0" applyFont="1" applyFill="1" applyBorder="1" applyAlignment="1">
      <alignment vertical="center"/>
    </xf>
    <xf numFmtId="0" fontId="47" fillId="3" borderId="167" xfId="0" applyFont="1" applyFill="1" applyBorder="1" applyAlignment="1">
      <alignment vertical="center"/>
    </xf>
    <xf numFmtId="0" fontId="47" fillId="21" borderId="0" xfId="0" applyFont="1" applyFill="1" applyAlignment="1">
      <alignment vertical="center" wrapText="1"/>
    </xf>
    <xf numFmtId="0" fontId="0" fillId="21" borderId="4" xfId="0" applyFill="1" applyBorder="1" applyAlignment="1">
      <alignment horizontal="center" vertical="center"/>
    </xf>
    <xf numFmtId="0" fontId="0" fillId="0" borderId="13" xfId="0" applyBorder="1" applyAlignment="1">
      <alignment horizontal="center" vertical="center"/>
    </xf>
    <xf numFmtId="0" fontId="0" fillId="21" borderId="175" xfId="0" applyFill="1" applyBorder="1" applyAlignment="1">
      <alignment horizontal="center" vertical="center"/>
    </xf>
    <xf numFmtId="0" fontId="0" fillId="0" borderId="175" xfId="0" applyBorder="1" applyAlignment="1">
      <alignment horizontal="center" vertical="center"/>
    </xf>
    <xf numFmtId="0" fontId="47" fillId="3" borderId="136" xfId="0" applyFont="1" applyFill="1" applyBorder="1" applyAlignment="1">
      <alignment vertical="center" wrapText="1"/>
    </xf>
    <xf numFmtId="0" fontId="0" fillId="0" borderId="4" xfId="0" applyBorder="1" applyAlignment="1">
      <alignment horizontal="center" vertical="center"/>
    </xf>
    <xf numFmtId="0" fontId="47" fillId="3" borderId="137" xfId="0" applyFont="1" applyFill="1" applyBorder="1" applyAlignment="1">
      <alignment vertical="center" wrapText="1"/>
    </xf>
    <xf numFmtId="0" fontId="47" fillId="3" borderId="151" xfId="0" applyFont="1" applyFill="1" applyBorder="1" applyAlignment="1">
      <alignment vertical="center" wrapText="1"/>
    </xf>
    <xf numFmtId="0" fontId="47" fillId="3" borderId="150" xfId="0" applyFont="1" applyFill="1" applyBorder="1" applyAlignment="1">
      <alignment vertical="center" wrapText="1"/>
    </xf>
    <xf numFmtId="0" fontId="76" fillId="3" borderId="65" xfId="0" applyFont="1" applyFill="1" applyBorder="1" applyAlignment="1">
      <alignment vertical="center"/>
    </xf>
    <xf numFmtId="0" fontId="47" fillId="0" borderId="137" xfId="0" applyFont="1" applyBorder="1" applyAlignment="1">
      <alignment vertical="center"/>
    </xf>
    <xf numFmtId="0" fontId="47" fillId="0" borderId="117" xfId="0" applyFont="1" applyBorder="1" applyAlignment="1">
      <alignment vertical="center"/>
    </xf>
    <xf numFmtId="0" fontId="47" fillId="0" borderId="118" xfId="0" applyFont="1" applyBorder="1" applyAlignment="1">
      <alignment vertical="center"/>
    </xf>
    <xf numFmtId="0" fontId="47" fillId="0" borderId="194" xfId="0" applyFont="1" applyBorder="1" applyAlignment="1">
      <alignment vertical="center"/>
    </xf>
    <xf numFmtId="0" fontId="47" fillId="0" borderId="200" xfId="0" applyFont="1" applyBorder="1" applyAlignment="1">
      <alignment vertical="center"/>
    </xf>
    <xf numFmtId="0" fontId="47" fillId="0" borderId="161" xfId="0" applyFont="1" applyBorder="1" applyAlignment="1">
      <alignment horizontal="center" vertical="center"/>
    </xf>
    <xf numFmtId="0" fontId="47" fillId="0" borderId="165" xfId="0" applyFont="1" applyBorder="1" applyAlignment="1">
      <alignment horizontal="center" vertical="center"/>
    </xf>
    <xf numFmtId="0" fontId="47" fillId="22" borderId="202" xfId="0" applyFont="1" applyFill="1" applyBorder="1" applyAlignment="1">
      <alignment horizontal="center" vertical="center"/>
    </xf>
    <xf numFmtId="0" fontId="47" fillId="22" borderId="203" xfId="0" applyFont="1" applyFill="1" applyBorder="1" applyAlignment="1">
      <alignment horizontal="center" vertical="center"/>
    </xf>
    <xf numFmtId="0" fontId="47" fillId="3" borderId="119" xfId="0" applyFont="1" applyFill="1" applyBorder="1" applyAlignment="1">
      <alignment vertical="center"/>
    </xf>
    <xf numFmtId="0" fontId="47" fillId="3" borderId="120" xfId="0" applyFont="1" applyFill="1" applyBorder="1" applyAlignment="1">
      <alignment horizontal="center" vertical="center"/>
    </xf>
    <xf numFmtId="0" fontId="47" fillId="3" borderId="121" xfId="0" applyFont="1" applyFill="1" applyBorder="1" applyAlignment="1">
      <alignment vertical="center"/>
    </xf>
    <xf numFmtId="0" fontId="47" fillId="3" borderId="117" xfId="0" applyFont="1" applyFill="1" applyBorder="1" applyAlignment="1">
      <alignment vertical="center"/>
    </xf>
    <xf numFmtId="0" fontId="47" fillId="3" borderId="118" xfId="0" applyFont="1" applyFill="1" applyBorder="1" applyAlignment="1">
      <alignment vertical="center"/>
    </xf>
    <xf numFmtId="0" fontId="47" fillId="3" borderId="120" xfId="0" applyFont="1" applyFill="1" applyBorder="1" applyAlignment="1">
      <alignment vertical="center"/>
    </xf>
    <xf numFmtId="0" fontId="47" fillId="3" borderId="193" xfId="0" applyFont="1" applyFill="1" applyBorder="1" applyAlignment="1">
      <alignment vertical="center"/>
    </xf>
    <xf numFmtId="0" fontId="47" fillId="3" borderId="196" xfId="0" applyFont="1" applyFill="1" applyBorder="1" applyAlignment="1">
      <alignment vertical="center"/>
    </xf>
    <xf numFmtId="0" fontId="47" fillId="3" borderId="199" xfId="0" applyFont="1" applyFill="1" applyBorder="1" applyAlignment="1">
      <alignment vertical="center"/>
    </xf>
    <xf numFmtId="0" fontId="47" fillId="3" borderId="200" xfId="0" applyFont="1" applyFill="1" applyBorder="1" applyAlignment="1">
      <alignment vertical="center"/>
    </xf>
    <xf numFmtId="0" fontId="47" fillId="3" borderId="194" xfId="0" applyFont="1" applyFill="1" applyBorder="1" applyAlignment="1">
      <alignment vertical="center"/>
    </xf>
    <xf numFmtId="0" fontId="78" fillId="3" borderId="0" xfId="0" applyFont="1" applyFill="1" applyAlignment="1">
      <alignment vertical="center"/>
    </xf>
    <xf numFmtId="0" fontId="47" fillId="3" borderId="0" xfId="0" applyFont="1" applyFill="1" applyAlignment="1">
      <alignment horizontal="center" vertical="center"/>
    </xf>
    <xf numFmtId="0" fontId="76" fillId="3" borderId="0" xfId="0" applyFont="1" applyFill="1" applyAlignment="1">
      <alignment horizontal="center" vertical="center" wrapText="1"/>
    </xf>
    <xf numFmtId="0" fontId="50" fillId="3" borderId="0" xfId="0" applyFont="1" applyFill="1" applyAlignment="1">
      <alignment horizontal="left" vertical="center"/>
    </xf>
    <xf numFmtId="0" fontId="52" fillId="3" borderId="0" xfId="0" applyFont="1" applyFill="1" applyAlignment="1">
      <alignment horizontal="center" vertical="center" wrapText="1"/>
    </xf>
    <xf numFmtId="0" fontId="79" fillId="21" borderId="0" xfId="0" applyFont="1" applyFill="1" applyAlignment="1">
      <alignment horizontal="center" vertical="center"/>
    </xf>
    <xf numFmtId="0" fontId="9" fillId="11" borderId="33" xfId="0" applyFont="1" applyFill="1" applyBorder="1" applyAlignment="1">
      <alignment horizontal="center" vertical="center"/>
    </xf>
    <xf numFmtId="0" fontId="10" fillId="5" borderId="0" xfId="0" applyFont="1" applyFill="1"/>
    <xf numFmtId="0" fontId="0" fillId="2" borderId="1" xfId="0" applyFill="1" applyBorder="1"/>
    <xf numFmtId="0" fontId="0" fillId="18" borderId="41" xfId="0" applyFill="1" applyBorder="1"/>
    <xf numFmtId="0" fontId="0" fillId="18" borderId="2" xfId="0" applyFill="1" applyBorder="1"/>
    <xf numFmtId="0" fontId="0" fillId="7" borderId="41" xfId="0" applyFill="1" applyBorder="1"/>
    <xf numFmtId="0" fontId="0" fillId="7" borderId="2" xfId="0" applyFill="1" applyBorder="1"/>
    <xf numFmtId="0" fontId="0" fillId="7" borderId="42" xfId="0" applyFill="1" applyBorder="1"/>
    <xf numFmtId="0" fontId="0" fillId="0" borderId="2" xfId="0" applyBorder="1"/>
    <xf numFmtId="0" fontId="9" fillId="11" borderId="2" xfId="0" applyFont="1" applyFill="1" applyBorder="1" applyAlignment="1">
      <alignment vertical="center"/>
    </xf>
    <xf numFmtId="0" fontId="0" fillId="2" borderId="3" xfId="0" applyFill="1" applyBorder="1"/>
    <xf numFmtId="0" fontId="15" fillId="5" borderId="60" xfId="0" applyFont="1" applyFill="1" applyBorder="1" applyAlignment="1">
      <alignment horizontal="center" vertical="center"/>
    </xf>
    <xf numFmtId="0" fontId="0" fillId="3" borderId="60" xfId="0" applyFill="1" applyBorder="1" applyAlignment="1">
      <alignment horizontal="center"/>
    </xf>
    <xf numFmtId="0" fontId="0" fillId="3" borderId="13" xfId="0" applyFill="1" applyBorder="1" applyAlignment="1">
      <alignment horizontal="center"/>
    </xf>
    <xf numFmtId="0" fontId="0" fillId="3" borderId="209" xfId="0" applyFill="1" applyBorder="1" applyAlignment="1">
      <alignment horizontal="center"/>
    </xf>
    <xf numFmtId="0" fontId="15" fillId="5" borderId="13" xfId="0" applyFont="1" applyFill="1" applyBorder="1" applyAlignment="1">
      <alignment horizontal="center" vertical="center"/>
    </xf>
    <xf numFmtId="0" fontId="30" fillId="27" borderId="27" xfId="0" applyFont="1" applyFill="1" applyBorder="1" applyAlignment="1">
      <alignment horizontal="center" vertical="center" wrapText="1"/>
    </xf>
    <xf numFmtId="164" fontId="78" fillId="0" borderId="7" xfId="0" applyNumberFormat="1" applyFont="1" applyBorder="1" applyAlignment="1">
      <alignment horizontal="center" vertical="center"/>
    </xf>
    <xf numFmtId="0" fontId="10" fillId="17" borderId="35" xfId="0" applyFont="1" applyFill="1" applyBorder="1" applyAlignment="1">
      <alignment horizontal="center"/>
    </xf>
    <xf numFmtId="0" fontId="10" fillId="17" borderId="0" xfId="0" applyFont="1" applyFill="1" applyAlignment="1">
      <alignment horizontal="center"/>
    </xf>
    <xf numFmtId="0" fontId="10" fillId="17" borderId="36" xfId="0" applyFont="1" applyFill="1" applyBorder="1" applyAlignment="1">
      <alignment horizontal="center"/>
    </xf>
    <xf numFmtId="0" fontId="0" fillId="19" borderId="35" xfId="0" applyFill="1" applyBorder="1" applyAlignment="1">
      <alignment horizontal="center"/>
    </xf>
    <xf numFmtId="0" fontId="0" fillId="19" borderId="0" xfId="0" applyFill="1" applyAlignment="1">
      <alignment horizontal="center"/>
    </xf>
    <xf numFmtId="0" fontId="0" fillId="20" borderId="0" xfId="0" applyFill="1" applyAlignment="1">
      <alignment horizontal="center"/>
    </xf>
    <xf numFmtId="0" fontId="0" fillId="19" borderId="2" xfId="0" applyFill="1" applyBorder="1" applyAlignment="1">
      <alignment horizontal="center"/>
    </xf>
    <xf numFmtId="0" fontId="0" fillId="20" borderId="2" xfId="0" applyFill="1" applyBorder="1" applyAlignment="1">
      <alignment horizontal="center"/>
    </xf>
    <xf numFmtId="164" fontId="47" fillId="0" borderId="24" xfId="0" applyNumberFormat="1" applyFont="1" applyBorder="1" applyAlignment="1">
      <alignment horizontal="center" vertical="center"/>
    </xf>
    <xf numFmtId="164" fontId="78" fillId="0" borderId="21" xfId="0" applyNumberFormat="1" applyFont="1" applyBorder="1" applyAlignment="1">
      <alignment horizontal="center" vertical="center"/>
    </xf>
    <xf numFmtId="0" fontId="61" fillId="0" borderId="47" xfId="0" applyFont="1" applyBorder="1" applyAlignment="1">
      <alignment horizontal="center" vertical="center"/>
    </xf>
    <xf numFmtId="164" fontId="47" fillId="3" borderId="36" xfId="0" applyNumberFormat="1" applyFont="1" applyFill="1" applyBorder="1" applyAlignment="1">
      <alignment horizontal="center" vertical="center"/>
    </xf>
    <xf numFmtId="164" fontId="47" fillId="3" borderId="57" xfId="0" applyNumberFormat="1" applyFont="1" applyFill="1" applyBorder="1" applyAlignment="1">
      <alignment horizontal="center" vertical="center"/>
    </xf>
    <xf numFmtId="164" fontId="47" fillId="0" borderId="217" xfId="0" applyNumberFormat="1" applyFont="1" applyBorder="1" applyAlignment="1">
      <alignment horizontal="center" vertical="center"/>
    </xf>
    <xf numFmtId="0" fontId="53" fillId="0" borderId="57" xfId="0" applyFont="1" applyBorder="1" applyAlignment="1">
      <alignment horizontal="center" vertical="center"/>
    </xf>
    <xf numFmtId="0" fontId="53" fillId="0" borderId="224" xfId="0" applyFont="1" applyBorder="1" applyAlignment="1">
      <alignment horizontal="center" vertical="center"/>
    </xf>
    <xf numFmtId="0" fontId="47" fillId="0" borderId="224" xfId="0" applyFont="1" applyBorder="1" applyAlignment="1">
      <alignment horizontal="center" vertical="center"/>
    </xf>
    <xf numFmtId="0" fontId="47" fillId="0" borderId="57" xfId="0" applyFont="1" applyBorder="1" applyAlignment="1">
      <alignment horizontal="center" vertical="center"/>
    </xf>
    <xf numFmtId="0" fontId="47" fillId="0" borderId="225" xfId="0" applyFont="1" applyBorder="1" applyAlignment="1">
      <alignment horizontal="center" vertical="center"/>
    </xf>
    <xf numFmtId="0" fontId="53" fillId="0" borderId="53" xfId="0" applyFont="1" applyBorder="1" applyAlignment="1">
      <alignment horizontal="center" vertical="center"/>
    </xf>
    <xf numFmtId="0" fontId="78" fillId="0" borderId="47" xfId="0" applyFont="1" applyBorder="1" applyAlignment="1">
      <alignment horizontal="center" vertical="center"/>
    </xf>
    <xf numFmtId="0" fontId="79" fillId="21" borderId="0" xfId="0" applyFont="1" applyFill="1" applyAlignment="1">
      <alignment vertical="center"/>
    </xf>
    <xf numFmtId="0" fontId="77" fillId="21" borderId="0" xfId="0" applyFont="1" applyFill="1" applyAlignment="1">
      <alignment vertical="center" wrapText="1"/>
    </xf>
    <xf numFmtId="0" fontId="62" fillId="28" borderId="0" xfId="0" applyFont="1" applyFill="1" applyAlignment="1">
      <alignment horizontal="center" vertical="center"/>
    </xf>
    <xf numFmtId="0" fontId="85" fillId="0" borderId="0" xfId="0" applyFont="1"/>
    <xf numFmtId="0" fontId="61" fillId="3" borderId="0" xfId="0" applyFont="1" applyFill="1" applyAlignment="1">
      <alignment horizontal="center" vertical="center"/>
    </xf>
    <xf numFmtId="0" fontId="54" fillId="25" borderId="44" xfId="0" applyFont="1" applyFill="1" applyBorder="1" applyAlignment="1">
      <alignment horizontal="center" vertical="center"/>
    </xf>
    <xf numFmtId="0" fontId="87" fillId="0" borderId="172" xfId="0" applyFont="1" applyBorder="1" applyAlignment="1">
      <alignment horizontal="center" vertical="center" wrapText="1"/>
    </xf>
    <xf numFmtId="0" fontId="87" fillId="0" borderId="181" xfId="0" applyFont="1" applyBorder="1" applyAlignment="1">
      <alignment horizontal="center" vertical="center" wrapText="1"/>
    </xf>
    <xf numFmtId="0" fontId="87" fillId="0" borderId="232" xfId="0" applyFont="1" applyBorder="1" applyAlignment="1">
      <alignment horizontal="center" vertical="center" wrapText="1"/>
    </xf>
    <xf numFmtId="0" fontId="54" fillId="25" borderId="5" xfId="0" applyFont="1" applyFill="1" applyBorder="1" applyAlignment="1">
      <alignment horizontal="center" vertical="center"/>
    </xf>
    <xf numFmtId="0" fontId="50" fillId="3" borderId="0" xfId="0" applyFont="1" applyFill="1" applyAlignment="1">
      <alignment vertical="center"/>
    </xf>
    <xf numFmtId="9" fontId="50" fillId="21" borderId="173" xfId="0" applyNumberFormat="1" applyFont="1" applyFill="1" applyBorder="1" applyAlignment="1">
      <alignment horizontal="center" vertical="center"/>
    </xf>
    <xf numFmtId="0" fontId="87" fillId="0" borderId="4" xfId="0" applyFont="1" applyBorder="1" applyAlignment="1">
      <alignment horizontal="center" vertical="center" wrapText="1"/>
    </xf>
    <xf numFmtId="0" fontId="12" fillId="11" borderId="0" xfId="0" applyFont="1" applyFill="1"/>
    <xf numFmtId="0" fontId="12" fillId="11" borderId="0" xfId="0" applyFont="1" applyFill="1" applyAlignment="1">
      <alignment horizontal="center"/>
    </xf>
    <xf numFmtId="0" fontId="16" fillId="13" borderId="0" xfId="0" applyFont="1" applyFill="1"/>
    <xf numFmtId="0" fontId="12" fillId="13" borderId="0" xfId="0" applyFont="1" applyFill="1"/>
    <xf numFmtId="0" fontId="12" fillId="6" borderId="0" xfId="0" applyFont="1" applyFill="1"/>
    <xf numFmtId="0" fontId="16" fillId="3" borderId="0" xfId="0" applyFont="1" applyFill="1"/>
    <xf numFmtId="0" fontId="13" fillId="3" borderId="0" xfId="0" applyFont="1" applyFill="1" applyAlignment="1">
      <alignment horizontal="center" vertical="center"/>
    </xf>
    <xf numFmtId="0" fontId="87" fillId="3" borderId="0" xfId="0" applyFont="1" applyFill="1"/>
    <xf numFmtId="0" fontId="32" fillId="3" borderId="0" xfId="0" applyFont="1" applyFill="1" applyAlignment="1">
      <alignment vertical="center"/>
    </xf>
    <xf numFmtId="0" fontId="87" fillId="3" borderId="194" xfId="0" applyFont="1" applyFill="1" applyBorder="1"/>
    <xf numFmtId="0" fontId="32" fillId="3" borderId="194" xfId="0" applyFont="1" applyFill="1" applyBorder="1" applyAlignment="1">
      <alignment vertical="center"/>
    </xf>
    <xf numFmtId="0" fontId="87" fillId="30" borderId="13" xfId="0" applyFont="1" applyFill="1" applyBorder="1" applyAlignment="1">
      <alignment horizontal="center" vertical="center" wrapText="1"/>
    </xf>
    <xf numFmtId="0" fontId="2" fillId="21" borderId="173" xfId="0" applyFont="1" applyFill="1" applyBorder="1" applyAlignment="1">
      <alignment horizontal="center" vertical="center"/>
    </xf>
    <xf numFmtId="0" fontId="54" fillId="25" borderId="40" xfId="0" applyFont="1" applyFill="1" applyBorder="1" applyAlignment="1">
      <alignment horizontal="center" vertical="center"/>
    </xf>
    <xf numFmtId="0" fontId="87" fillId="0" borderId="240" xfId="0" applyFont="1" applyBorder="1" applyAlignment="1">
      <alignment horizontal="center" vertical="center" wrapText="1"/>
    </xf>
    <xf numFmtId="0" fontId="54" fillId="25" borderId="41" xfId="0" applyFont="1" applyFill="1" applyBorder="1" applyAlignment="1">
      <alignment horizontal="center" vertical="center"/>
    </xf>
    <xf numFmtId="0" fontId="54" fillId="25" borderId="63" xfId="0" applyFont="1" applyFill="1" applyBorder="1" applyAlignment="1">
      <alignment horizontal="center" vertical="center"/>
    </xf>
    <xf numFmtId="0" fontId="87" fillId="0" borderId="233" xfId="0" applyFont="1" applyBorder="1" applyAlignment="1">
      <alignment horizontal="center" vertical="center" wrapText="1"/>
    </xf>
    <xf numFmtId="0" fontId="87" fillId="0" borderId="197" xfId="0" applyFont="1" applyBorder="1" applyAlignment="1">
      <alignment horizontal="center" vertical="center" wrapText="1"/>
    </xf>
    <xf numFmtId="0" fontId="47" fillId="22" borderId="241" xfId="0" applyFont="1" applyFill="1" applyBorder="1" applyAlignment="1">
      <alignment horizontal="center" vertical="center"/>
    </xf>
    <xf numFmtId="1" fontId="47" fillId="0" borderId="175" xfId="0" applyNumberFormat="1" applyFont="1" applyBorder="1" applyAlignment="1">
      <alignment horizontal="center" vertical="center"/>
    </xf>
    <xf numFmtId="1" fontId="47" fillId="21" borderId="62" xfId="0" applyNumberFormat="1" applyFont="1" applyFill="1" applyBorder="1" applyAlignment="1">
      <alignment horizontal="center" vertical="center"/>
    </xf>
    <xf numFmtId="1" fontId="47" fillId="0" borderId="171" xfId="0" applyNumberFormat="1" applyFont="1" applyBorder="1" applyAlignment="1">
      <alignment horizontal="center" vertical="center"/>
    </xf>
    <xf numFmtId="0" fontId="47" fillId="22" borderId="202" xfId="0" applyFont="1" applyFill="1" applyBorder="1" applyAlignment="1">
      <alignment vertical="center"/>
    </xf>
    <xf numFmtId="0" fontId="47" fillId="0" borderId="161" xfId="0" applyFont="1" applyBorder="1" applyAlignment="1">
      <alignment vertical="center"/>
    </xf>
    <xf numFmtId="0" fontId="9" fillId="11" borderId="11" xfId="0" applyFont="1" applyFill="1" applyBorder="1" applyAlignment="1">
      <alignment vertical="center"/>
    </xf>
    <xf numFmtId="0" fontId="9" fillId="11" borderId="33" xfId="0" applyFont="1" applyFill="1" applyBorder="1" applyAlignment="1">
      <alignment vertical="center"/>
    </xf>
    <xf numFmtId="0" fontId="9" fillId="11" borderId="34" xfId="0" applyFont="1" applyFill="1" applyBorder="1" applyAlignment="1">
      <alignment vertical="center"/>
    </xf>
    <xf numFmtId="0" fontId="9" fillId="11" borderId="0" xfId="0" applyFont="1" applyFill="1" applyAlignment="1">
      <alignment horizontal="center" vertical="center"/>
    </xf>
    <xf numFmtId="0" fontId="0" fillId="3" borderId="0" xfId="0" applyFill="1"/>
    <xf numFmtId="0" fontId="47" fillId="3" borderId="161" xfId="0" applyFont="1" applyFill="1" applyBorder="1" applyAlignment="1">
      <alignment vertical="center"/>
    </xf>
    <xf numFmtId="1" fontId="47" fillId="21" borderId="69" xfId="0" applyNumberFormat="1" applyFont="1" applyFill="1" applyBorder="1" applyAlignment="1">
      <alignment horizontal="center" vertical="center"/>
    </xf>
    <xf numFmtId="0" fontId="47" fillId="3" borderId="165" xfId="0" applyFont="1" applyFill="1" applyBorder="1" applyAlignment="1">
      <alignment vertical="center"/>
    </xf>
    <xf numFmtId="0" fontId="47" fillId="0" borderId="165" xfId="0" applyFont="1" applyBorder="1" applyAlignment="1">
      <alignment vertical="center"/>
    </xf>
    <xf numFmtId="1" fontId="47" fillId="21" borderId="163" xfId="0" applyNumberFormat="1" applyFont="1" applyFill="1" applyBorder="1" applyAlignment="1">
      <alignment horizontal="center" vertical="center"/>
    </xf>
    <xf numFmtId="1" fontId="47" fillId="21" borderId="170" xfId="0" applyNumberFormat="1" applyFont="1" applyFill="1" applyBorder="1" applyAlignment="1">
      <alignment horizontal="center" vertical="center"/>
    </xf>
    <xf numFmtId="0" fontId="0" fillId="0" borderId="245" xfId="0" applyBorder="1" applyAlignment="1">
      <alignment wrapText="1"/>
    </xf>
    <xf numFmtId="0" fontId="49" fillId="21" borderId="0" xfId="0" applyFont="1" applyFill="1" applyAlignment="1">
      <alignment vertical="center"/>
    </xf>
    <xf numFmtId="0" fontId="63" fillId="3" borderId="194" xfId="0" applyFont="1" applyFill="1" applyBorder="1" applyAlignment="1">
      <alignment vertical="center"/>
    </xf>
    <xf numFmtId="0" fontId="0" fillId="3" borderId="0" xfId="0" applyFill="1" applyAlignment="1">
      <alignment horizontal="center" vertical="center"/>
    </xf>
    <xf numFmtId="0" fontId="61" fillId="3" borderId="0" xfId="0" applyFont="1" applyFill="1" applyAlignment="1">
      <alignment vertical="center"/>
    </xf>
    <xf numFmtId="49" fontId="16" fillId="21" borderId="0" xfId="0" applyNumberFormat="1" applyFont="1" applyFill="1" applyAlignment="1">
      <alignment vertical="top"/>
    </xf>
    <xf numFmtId="49" fontId="16" fillId="0" borderId="0" xfId="0" applyNumberFormat="1" applyFont="1" applyAlignment="1">
      <alignment vertical="top"/>
    </xf>
    <xf numFmtId="0" fontId="50" fillId="3" borderId="0" xfId="0" applyFont="1" applyFill="1" applyAlignment="1">
      <alignment horizontal="left" vertical="top" wrapText="1"/>
    </xf>
    <xf numFmtId="0" fontId="92" fillId="21" borderId="0" xfId="0" applyFont="1" applyFill="1" applyAlignment="1">
      <alignment vertical="center" wrapText="1"/>
    </xf>
    <xf numFmtId="0" fontId="93" fillId="21" borderId="0" xfId="0" applyFont="1" applyFill="1" applyAlignment="1">
      <alignment vertical="center" wrapText="1"/>
    </xf>
    <xf numFmtId="0" fontId="94" fillId="21" borderId="0" xfId="0" applyFont="1" applyFill="1" applyAlignment="1" applyProtection="1">
      <alignment vertical="center"/>
      <protection locked="0"/>
    </xf>
    <xf numFmtId="0" fontId="95" fillId="21" borderId="0" xfId="0" applyFont="1" applyFill="1" applyAlignment="1" applyProtection="1">
      <alignment vertical="center"/>
      <protection locked="0"/>
    </xf>
    <xf numFmtId="0" fontId="93" fillId="21" borderId="0" xfId="0" applyFont="1" applyFill="1" applyAlignment="1" applyProtection="1">
      <alignment vertical="center" wrapText="1"/>
      <protection locked="0"/>
    </xf>
    <xf numFmtId="0" fontId="95" fillId="21" borderId="0" xfId="0" applyFont="1" applyFill="1" applyAlignment="1" applyProtection="1">
      <alignment vertical="center" wrapText="1"/>
      <protection locked="0"/>
    </xf>
    <xf numFmtId="0" fontId="96" fillId="21" borderId="0" xfId="0" applyFont="1" applyFill="1" applyAlignment="1" applyProtection="1">
      <alignment vertical="center" wrapText="1"/>
      <protection locked="0"/>
    </xf>
    <xf numFmtId="0" fontId="79" fillId="21" borderId="0" xfId="0" applyFont="1" applyFill="1"/>
    <xf numFmtId="0" fontId="51" fillId="0" borderId="110" xfId="0" applyFont="1" applyBorder="1" applyAlignment="1">
      <alignment horizontal="left" vertical="center"/>
    </xf>
    <xf numFmtId="0" fontId="51" fillId="0" borderId="105" xfId="0" applyFont="1" applyBorder="1" applyAlignment="1">
      <alignment horizontal="left" vertical="center"/>
    </xf>
    <xf numFmtId="0" fontId="51" fillId="3" borderId="111" xfId="0" applyFont="1" applyFill="1" applyBorder="1" applyAlignment="1">
      <alignment horizontal="left" vertical="center"/>
    </xf>
    <xf numFmtId="0" fontId="51" fillId="3" borderId="108" xfId="0" applyFont="1" applyFill="1" applyBorder="1" applyAlignment="1">
      <alignment horizontal="left" vertical="center"/>
    </xf>
    <xf numFmtId="0" fontId="51" fillId="0" borderId="106" xfId="0" applyFont="1" applyBorder="1" applyAlignment="1">
      <alignment horizontal="left" vertical="center"/>
    </xf>
    <xf numFmtId="0" fontId="31" fillId="23" borderId="101" xfId="0" applyFont="1" applyFill="1" applyBorder="1" applyAlignment="1">
      <alignment horizontal="center" vertical="center" wrapText="1"/>
    </xf>
    <xf numFmtId="0" fontId="31" fillId="23" borderId="102" xfId="0" applyFont="1" applyFill="1" applyBorder="1" applyAlignment="1">
      <alignment horizontal="center" vertical="center"/>
    </xf>
    <xf numFmtId="0" fontId="31" fillId="23" borderId="103" xfId="0" applyFont="1" applyFill="1" applyBorder="1" applyAlignment="1">
      <alignment horizontal="center" vertical="center"/>
    </xf>
    <xf numFmtId="0" fontId="29" fillId="0" borderId="110" xfId="0" applyFont="1" applyBorder="1" applyAlignment="1">
      <alignment horizontal="center" vertical="center"/>
    </xf>
    <xf numFmtId="0" fontId="29" fillId="0" borderId="105" xfId="0" applyFont="1" applyBorder="1" applyAlignment="1">
      <alignment horizontal="center" vertical="center"/>
    </xf>
    <xf numFmtId="0" fontId="29" fillId="0" borderId="110" xfId="0" applyFont="1" applyBorder="1" applyAlignment="1">
      <alignment horizontal="center" vertical="center" wrapText="1"/>
    </xf>
    <xf numFmtId="0" fontId="29" fillId="0" borderId="112" xfId="0" applyFont="1" applyBorder="1" applyAlignment="1">
      <alignment horizontal="center" vertical="center" wrapText="1"/>
    </xf>
    <xf numFmtId="0" fontId="29" fillId="0" borderId="110" xfId="0" applyFont="1" applyBorder="1" applyAlignment="1">
      <alignment horizontal="left" vertical="center" wrapText="1"/>
    </xf>
    <xf numFmtId="0" fontId="29" fillId="0" borderId="105" xfId="0" applyFont="1" applyBorder="1" applyAlignment="1">
      <alignment horizontal="left" vertical="center" wrapText="1"/>
    </xf>
    <xf numFmtId="0" fontId="29" fillId="0" borderId="110" xfId="0" quotePrefix="1" applyFont="1" applyBorder="1" applyAlignment="1">
      <alignment horizontal="left" vertical="center" wrapText="1"/>
    </xf>
    <xf numFmtId="0" fontId="29" fillId="0" borderId="105" xfId="0" quotePrefix="1" applyFont="1" applyBorder="1" applyAlignment="1">
      <alignment horizontal="left" vertical="center" wrapText="1"/>
    </xf>
    <xf numFmtId="0" fontId="29" fillId="0" borderId="110" xfId="0" quotePrefix="1" applyFont="1" applyBorder="1" applyAlignment="1">
      <alignment horizontal="center" vertical="center" wrapText="1"/>
    </xf>
    <xf numFmtId="0" fontId="29" fillId="0" borderId="112" xfId="0" quotePrefix="1" applyFont="1" applyBorder="1" applyAlignment="1">
      <alignment horizontal="center" vertical="center" wrapText="1"/>
    </xf>
    <xf numFmtId="0" fontId="50" fillId="21" borderId="133" xfId="0" applyFont="1" applyFill="1" applyBorder="1" applyAlignment="1">
      <alignment horizontal="left" vertical="top" wrapText="1"/>
    </xf>
    <xf numFmtId="0" fontId="50" fillId="21" borderId="134" xfId="0" applyFont="1" applyFill="1" applyBorder="1" applyAlignment="1">
      <alignment horizontal="left" vertical="top" wrapText="1"/>
    </xf>
    <xf numFmtId="0" fontId="50" fillId="21" borderId="135" xfId="0" applyFont="1" applyFill="1" applyBorder="1" applyAlignment="1">
      <alignment horizontal="left" vertical="top" wrapText="1"/>
    </xf>
    <xf numFmtId="0" fontId="57" fillId="25" borderId="125" xfId="0" applyFont="1" applyFill="1" applyBorder="1" applyAlignment="1">
      <alignment horizontal="center" vertical="center"/>
    </xf>
    <xf numFmtId="0" fontId="57" fillId="25" borderId="126" xfId="0" applyFont="1" applyFill="1" applyBorder="1" applyAlignment="1">
      <alignment horizontal="center" vertical="center"/>
    </xf>
    <xf numFmtId="0" fontId="57" fillId="25" borderId="127" xfId="0" applyFont="1" applyFill="1" applyBorder="1" applyAlignment="1">
      <alignment horizontal="center" vertical="center"/>
    </xf>
    <xf numFmtId="0" fontId="53" fillId="22" borderId="122" xfId="0" applyFont="1" applyFill="1" applyBorder="1" applyAlignment="1">
      <alignment horizontal="center" vertical="center" wrapText="1"/>
    </xf>
    <xf numFmtId="0" fontId="79" fillId="21" borderId="0" xfId="0" applyFont="1" applyFill="1" applyAlignment="1">
      <alignment horizontal="center" vertical="center"/>
    </xf>
    <xf numFmtId="0" fontId="53" fillId="22" borderId="229" xfId="0" applyFont="1" applyFill="1" applyBorder="1" applyAlignment="1">
      <alignment horizontal="center" vertical="center" wrapText="1"/>
    </xf>
    <xf numFmtId="0" fontId="83" fillId="0" borderId="123" xfId="0" applyFont="1" applyBorder="1" applyAlignment="1">
      <alignment horizontal="left" vertical="center" wrapText="1"/>
    </xf>
    <xf numFmtId="0" fontId="83" fillId="0" borderId="124" xfId="0" applyFont="1" applyBorder="1" applyAlignment="1">
      <alignment horizontal="left" vertical="center" wrapText="1"/>
    </xf>
    <xf numFmtId="0" fontId="84" fillId="0" borderId="228" xfId="0" applyFont="1" applyBorder="1" applyAlignment="1">
      <alignment horizontal="left" wrapText="1"/>
    </xf>
    <xf numFmtId="0" fontId="84" fillId="0" borderId="0" xfId="0" applyFont="1" applyAlignment="1">
      <alignment horizontal="left" wrapText="1"/>
    </xf>
    <xf numFmtId="0" fontId="29" fillId="0" borderId="111" xfId="0" applyFont="1" applyBorder="1" applyAlignment="1">
      <alignment horizontal="left" vertical="center" wrapText="1"/>
    </xf>
    <xf numFmtId="0" fontId="29" fillId="0" borderId="108" xfId="0" applyFont="1" applyBorder="1" applyAlignment="1">
      <alignment horizontal="left" vertical="center" wrapText="1"/>
    </xf>
    <xf numFmtId="0" fontId="71" fillId="22" borderId="122" xfId="0" applyFont="1" applyFill="1" applyBorder="1" applyAlignment="1">
      <alignment horizontal="center" vertical="center" wrapText="1"/>
    </xf>
    <xf numFmtId="0" fontId="33" fillId="24" borderId="114" xfId="0" applyFont="1" applyFill="1" applyBorder="1" applyAlignment="1">
      <alignment horizontal="left" vertical="center"/>
    </xf>
    <xf numFmtId="0" fontId="33" fillId="24" borderId="115" xfId="0" applyFont="1" applyFill="1" applyBorder="1" applyAlignment="1">
      <alignment horizontal="left" vertical="center"/>
    </xf>
    <xf numFmtId="0" fontId="33" fillId="24" borderId="116" xfId="0" applyFont="1" applyFill="1" applyBorder="1" applyAlignment="1">
      <alignment horizontal="left" vertical="center"/>
    </xf>
    <xf numFmtId="0" fontId="53" fillId="22" borderId="123" xfId="0" applyFont="1" applyFill="1" applyBorder="1" applyAlignment="1">
      <alignment horizontal="center" vertical="center" wrapText="1"/>
    </xf>
    <xf numFmtId="0" fontId="53" fillId="22" borderId="124" xfId="0" applyFont="1" applyFill="1" applyBorder="1" applyAlignment="1">
      <alignment horizontal="center" vertical="center" wrapText="1"/>
    </xf>
    <xf numFmtId="0" fontId="56" fillId="0" borderId="0" xfId="0" applyFont="1" applyAlignment="1">
      <alignment horizontal="left"/>
    </xf>
    <xf numFmtId="0" fontId="54" fillId="25" borderId="125" xfId="0" quotePrefix="1" applyFont="1" applyFill="1" applyBorder="1" applyAlignment="1">
      <alignment horizontal="center" vertical="center"/>
    </xf>
    <xf numFmtId="0" fontId="54" fillId="25" borderId="126" xfId="0" quotePrefix="1" applyFont="1" applyFill="1" applyBorder="1" applyAlignment="1">
      <alignment horizontal="center" vertical="center"/>
    </xf>
    <xf numFmtId="0" fontId="54" fillId="25" borderId="127" xfId="0" quotePrefix="1" applyFont="1" applyFill="1" applyBorder="1" applyAlignment="1">
      <alignment horizontal="center" vertical="center"/>
    </xf>
    <xf numFmtId="14" fontId="29" fillId="0" borderId="110" xfId="0" applyNumberFormat="1" applyFont="1" applyBorder="1" applyAlignment="1">
      <alignment horizontal="center" vertical="center" wrapText="1"/>
    </xf>
    <xf numFmtId="0" fontId="29" fillId="3" borderId="110" xfId="0" applyFont="1" applyFill="1" applyBorder="1" applyAlignment="1">
      <alignment horizontal="center" vertical="center"/>
    </xf>
    <xf numFmtId="0" fontId="29" fillId="3" borderId="105" xfId="0" applyFont="1" applyFill="1" applyBorder="1" applyAlignment="1">
      <alignment horizontal="center" vertical="center"/>
    </xf>
    <xf numFmtId="0" fontId="48" fillId="0" borderId="0" xfId="0" applyFont="1" applyAlignment="1">
      <alignment horizontal="center" vertical="center" wrapText="1"/>
    </xf>
    <xf numFmtId="14" fontId="48" fillId="0" borderId="0" xfId="0" applyNumberFormat="1" applyFont="1" applyAlignment="1" applyProtection="1">
      <alignment horizontal="center" vertical="center"/>
      <protection locked="0"/>
    </xf>
    <xf numFmtId="0" fontId="48" fillId="0" borderId="0" xfId="0" applyFont="1" applyAlignment="1" applyProtection="1">
      <alignment horizontal="center" vertical="center" wrapText="1"/>
      <protection locked="0"/>
    </xf>
    <xf numFmtId="14" fontId="29" fillId="0" borderId="111" xfId="0" applyNumberFormat="1" applyFont="1" applyBorder="1" applyAlignment="1">
      <alignment horizontal="center" vertical="center" wrapText="1"/>
    </xf>
    <xf numFmtId="0" fontId="29" fillId="0" borderId="113" xfId="0" applyFont="1" applyBorder="1" applyAlignment="1">
      <alignment horizontal="center" vertical="center" wrapText="1"/>
    </xf>
    <xf numFmtId="0" fontId="50" fillId="21" borderId="58" xfId="0" applyFont="1" applyFill="1" applyBorder="1" applyAlignment="1">
      <alignment horizontal="center" vertical="top" wrapText="1"/>
    </xf>
    <xf numFmtId="0" fontId="50" fillId="21" borderId="59" xfId="0" applyFont="1" applyFill="1" applyBorder="1" applyAlignment="1">
      <alignment horizontal="center" vertical="top" wrapText="1"/>
    </xf>
    <xf numFmtId="0" fontId="50" fillId="21" borderId="60" xfId="0" applyFont="1" applyFill="1" applyBorder="1" applyAlignment="1">
      <alignment horizontal="center" vertical="top" wrapText="1"/>
    </xf>
    <xf numFmtId="0" fontId="50" fillId="21" borderId="19" xfId="0" applyFont="1" applyFill="1" applyBorder="1" applyAlignment="1">
      <alignment horizontal="center" vertical="top" wrapText="1"/>
    </xf>
    <xf numFmtId="0" fontId="50" fillId="21" borderId="20" xfId="0" applyFont="1" applyFill="1" applyBorder="1" applyAlignment="1">
      <alignment horizontal="center" vertical="top" wrapText="1"/>
    </xf>
    <xf numFmtId="0" fontId="50" fillId="21" borderId="61" xfId="0" applyFont="1" applyFill="1" applyBorder="1" applyAlignment="1">
      <alignment horizontal="center" vertical="top" wrapText="1"/>
    </xf>
    <xf numFmtId="0" fontId="68" fillId="21" borderId="58" xfId="0" applyFont="1" applyFill="1" applyBorder="1" applyAlignment="1">
      <alignment horizontal="center"/>
    </xf>
    <xf numFmtId="0" fontId="68" fillId="21" borderId="59" xfId="0" applyFont="1" applyFill="1" applyBorder="1" applyAlignment="1">
      <alignment horizontal="center"/>
    </xf>
    <xf numFmtId="0" fontId="68" fillId="21" borderId="60" xfId="0" applyFont="1" applyFill="1" applyBorder="1" applyAlignment="1">
      <alignment horizontal="center"/>
    </xf>
    <xf numFmtId="0" fontId="68" fillId="21" borderId="19" xfId="0" applyFont="1" applyFill="1" applyBorder="1" applyAlignment="1">
      <alignment horizontal="center"/>
    </xf>
    <xf numFmtId="0" fontId="68" fillId="21" borderId="20" xfId="0" applyFont="1" applyFill="1" applyBorder="1" applyAlignment="1">
      <alignment horizontal="center"/>
    </xf>
    <xf numFmtId="0" fontId="68" fillId="21" borderId="61" xfId="0" applyFont="1" applyFill="1" applyBorder="1" applyAlignment="1">
      <alignment horizontal="center"/>
    </xf>
    <xf numFmtId="0" fontId="51" fillId="3" borderId="111" xfId="0" applyFont="1" applyFill="1" applyBorder="1" applyAlignment="1">
      <alignment horizontal="right" vertical="center"/>
    </xf>
    <xf numFmtId="0" fontId="51" fillId="3" borderId="108" xfId="0" applyFont="1" applyFill="1" applyBorder="1" applyAlignment="1">
      <alignment horizontal="right" vertical="center"/>
    </xf>
    <xf numFmtId="0" fontId="51" fillId="3" borderId="109" xfId="0" applyFont="1" applyFill="1" applyBorder="1" applyAlignment="1">
      <alignment horizontal="right" vertical="center"/>
    </xf>
    <xf numFmtId="0" fontId="47" fillId="7" borderId="155" xfId="0" applyFont="1" applyFill="1" applyBorder="1" applyAlignment="1">
      <alignment horizontal="center" vertical="center"/>
    </xf>
    <xf numFmtId="0" fontId="47" fillId="7" borderId="62" xfId="0" applyFont="1" applyFill="1" applyBorder="1" applyAlignment="1">
      <alignment horizontal="center" vertical="center"/>
    </xf>
    <xf numFmtId="0" fontId="47" fillId="0" borderId="204" xfId="0" applyFont="1" applyBorder="1" applyAlignment="1">
      <alignment horizontal="center" vertical="center"/>
    </xf>
    <xf numFmtId="0" fontId="47" fillId="0" borderId="62" xfId="0" applyFont="1" applyBorder="1" applyAlignment="1">
      <alignment horizontal="center" vertical="center"/>
    </xf>
    <xf numFmtId="0" fontId="90" fillId="32" borderId="200" xfId="0" applyFont="1" applyFill="1" applyBorder="1" applyAlignment="1">
      <alignment horizontal="center" vertical="center"/>
    </xf>
    <xf numFmtId="0" fontId="61" fillId="31" borderId="200" xfId="0" applyFont="1" applyFill="1" applyBorder="1" applyAlignment="1">
      <alignment horizontal="center" vertical="center"/>
    </xf>
    <xf numFmtId="0" fontId="90" fillId="33" borderId="200" xfId="0" applyFont="1" applyFill="1" applyBorder="1" applyAlignment="1">
      <alignment horizontal="center" vertical="center"/>
    </xf>
    <xf numFmtId="0" fontId="30" fillId="22" borderId="58" xfId="0" applyFont="1" applyFill="1" applyBorder="1" applyAlignment="1">
      <alignment horizontal="center" vertical="center"/>
    </xf>
    <xf numFmtId="0" fontId="30" fillId="22" borderId="59" xfId="0" applyFont="1" applyFill="1" applyBorder="1" applyAlignment="1">
      <alignment horizontal="center" vertical="center"/>
    </xf>
    <xf numFmtId="0" fontId="30" fillId="22" borderId="60" xfId="0" applyFont="1" applyFill="1" applyBorder="1" applyAlignment="1">
      <alignment horizontal="center" vertical="center"/>
    </xf>
    <xf numFmtId="0" fontId="30" fillId="22" borderId="19" xfId="0" applyFont="1" applyFill="1" applyBorder="1" applyAlignment="1">
      <alignment horizontal="center" vertical="center"/>
    </xf>
    <xf numFmtId="0" fontId="30" fillId="22" borderId="20" xfId="0" applyFont="1" applyFill="1" applyBorder="1" applyAlignment="1">
      <alignment horizontal="center" vertical="center"/>
    </xf>
    <xf numFmtId="0" fontId="30" fillId="22" borderId="61" xfId="0" applyFont="1" applyFill="1" applyBorder="1" applyAlignment="1">
      <alignment horizontal="center" vertical="center"/>
    </xf>
    <xf numFmtId="0" fontId="51" fillId="0" borderId="110" xfId="0" applyFont="1" applyBorder="1" applyAlignment="1">
      <alignment horizontal="right" vertical="center"/>
    </xf>
    <xf numFmtId="0" fontId="51" fillId="0" borderId="106" xfId="0" applyFont="1" applyBorder="1" applyAlignment="1">
      <alignment horizontal="right" vertical="center"/>
    </xf>
    <xf numFmtId="0" fontId="51" fillId="0" borderId="111" xfId="0" applyFont="1" applyBorder="1" applyAlignment="1">
      <alignment horizontal="right" vertical="center"/>
    </xf>
    <xf numFmtId="0" fontId="51" fillId="0" borderId="109" xfId="0" applyFont="1" applyBorder="1" applyAlignment="1">
      <alignment horizontal="right" vertical="center"/>
    </xf>
    <xf numFmtId="0" fontId="29" fillId="0" borderId="110" xfId="0" applyFont="1" applyBorder="1" applyAlignment="1">
      <alignment horizontal="left" vertical="center"/>
    </xf>
    <xf numFmtId="0" fontId="29" fillId="0" borderId="105" xfId="0" applyFont="1" applyBorder="1" applyAlignment="1">
      <alignment horizontal="left" vertical="center"/>
    </xf>
    <xf numFmtId="0" fontId="29" fillId="0" borderId="111" xfId="0" applyFont="1" applyBorder="1" applyAlignment="1">
      <alignment horizontal="left" vertical="center"/>
    </xf>
    <xf numFmtId="0" fontId="29" fillId="0" borderId="108" xfId="0" applyFont="1" applyBorder="1" applyAlignment="1">
      <alignment horizontal="left" vertical="center"/>
    </xf>
    <xf numFmtId="0" fontId="51" fillId="0" borderId="105" xfId="0" applyFont="1" applyBorder="1" applyAlignment="1">
      <alignment horizontal="right" vertical="center"/>
    </xf>
    <xf numFmtId="0" fontId="51" fillId="0" borderId="108" xfId="0" applyFont="1" applyBorder="1" applyAlignment="1">
      <alignment horizontal="right" vertical="center"/>
    </xf>
    <xf numFmtId="0" fontId="29" fillId="0" borderId="226" xfId="0" applyFont="1" applyBorder="1" applyAlignment="1">
      <alignment horizontal="left" vertical="center"/>
    </xf>
    <xf numFmtId="0" fontId="29" fillId="0" borderId="227" xfId="0" applyFont="1" applyBorder="1" applyAlignment="1">
      <alignment horizontal="left" vertical="center"/>
    </xf>
    <xf numFmtId="0" fontId="29" fillId="0" borderId="109" xfId="0" applyFont="1" applyBorder="1" applyAlignment="1">
      <alignment horizontal="left" vertical="center"/>
    </xf>
    <xf numFmtId="0" fontId="30" fillId="22" borderId="4" xfId="0" applyFont="1" applyFill="1" applyBorder="1" applyAlignment="1">
      <alignment horizontal="center" vertical="center"/>
    </xf>
    <xf numFmtId="0" fontId="47" fillId="0" borderId="213" xfId="0" applyFont="1" applyBorder="1" applyAlignment="1">
      <alignment horizontal="center" vertical="center"/>
    </xf>
    <xf numFmtId="0" fontId="47" fillId="0" borderId="216" xfId="0" applyFont="1" applyBorder="1" applyAlignment="1">
      <alignment horizontal="center" vertical="center"/>
    </xf>
    <xf numFmtId="0" fontId="47" fillId="0" borderId="217" xfId="0" applyFont="1" applyBorder="1" applyAlignment="1">
      <alignment horizontal="center" vertical="center"/>
    </xf>
    <xf numFmtId="0" fontId="75" fillId="0" borderId="212" xfId="0" applyFont="1" applyBorder="1" applyAlignment="1">
      <alignment horizontal="center" vertical="center"/>
    </xf>
    <xf numFmtId="0" fontId="75" fillId="0" borderId="21" xfId="0" applyFont="1" applyBorder="1" applyAlignment="1">
      <alignment horizontal="center" vertical="center"/>
    </xf>
    <xf numFmtId="0" fontId="61" fillId="0" borderId="212" xfId="0" applyFont="1" applyBorder="1" applyAlignment="1">
      <alignment horizontal="center" vertical="center"/>
    </xf>
    <xf numFmtId="0" fontId="61" fillId="0" borderId="21" xfId="0" applyFont="1" applyBorder="1" applyAlignment="1">
      <alignment horizontal="center" vertical="center"/>
    </xf>
    <xf numFmtId="0" fontId="78" fillId="7" borderId="5" xfId="0" applyFont="1" applyFill="1" applyBorder="1" applyAlignment="1">
      <alignment horizontal="center" vertical="center"/>
    </xf>
    <xf numFmtId="0" fontId="78" fillId="7" borderId="6" xfId="0" applyFont="1" applyFill="1" applyBorder="1" applyAlignment="1">
      <alignment horizontal="center" vertical="center"/>
    </xf>
    <xf numFmtId="0" fontId="78" fillId="7" borderId="214" xfId="0" applyFont="1" applyFill="1" applyBorder="1" applyAlignment="1">
      <alignment horizontal="center" vertical="center"/>
    </xf>
    <xf numFmtId="0" fontId="4" fillId="21" borderId="48" xfId="0" applyFont="1" applyFill="1" applyBorder="1" applyAlignment="1">
      <alignment horizontal="center" vertical="center"/>
    </xf>
    <xf numFmtId="0" fontId="4" fillId="21" borderId="230" xfId="0" applyFont="1" applyFill="1" applyBorder="1" applyAlignment="1">
      <alignment horizontal="center" vertical="center"/>
    </xf>
    <xf numFmtId="0" fontId="4" fillId="21" borderId="231" xfId="0" applyFont="1" applyFill="1" applyBorder="1" applyAlignment="1">
      <alignment horizontal="center" vertical="center"/>
    </xf>
    <xf numFmtId="0" fontId="4" fillId="21" borderId="54" xfId="0" applyFont="1" applyFill="1" applyBorder="1" applyAlignment="1">
      <alignment horizontal="center" vertical="center"/>
    </xf>
    <xf numFmtId="0" fontId="4" fillId="21" borderId="67" xfId="0" applyFont="1" applyFill="1" applyBorder="1" applyAlignment="1">
      <alignment horizontal="center" vertical="center"/>
    </xf>
    <xf numFmtId="0" fontId="4" fillId="21" borderId="62" xfId="0" applyFont="1" applyFill="1" applyBorder="1" applyAlignment="1">
      <alignment horizontal="center" vertical="center"/>
    </xf>
    <xf numFmtId="0" fontId="4" fillId="21" borderId="219" xfId="0" applyFont="1" applyFill="1" applyBorder="1" applyAlignment="1">
      <alignment horizontal="center" vertical="center"/>
    </xf>
    <xf numFmtId="0" fontId="4" fillId="21" borderId="222" xfId="0" applyFont="1" applyFill="1" applyBorder="1" applyAlignment="1">
      <alignment horizontal="center" vertical="center"/>
    </xf>
    <xf numFmtId="0" fontId="4" fillId="21" borderId="220" xfId="0" applyFont="1" applyFill="1" applyBorder="1" applyAlignment="1">
      <alignment horizontal="center" vertical="center"/>
    </xf>
    <xf numFmtId="0" fontId="4" fillId="0" borderId="158" xfId="0" applyFont="1" applyBorder="1" applyAlignment="1">
      <alignment horizontal="center" vertical="center"/>
    </xf>
    <xf numFmtId="0" fontId="4" fillId="0" borderId="218" xfId="0" applyFont="1" applyBorder="1" applyAlignment="1">
      <alignment horizontal="center" vertical="center"/>
    </xf>
    <xf numFmtId="0" fontId="51" fillId="0" borderId="110" xfId="0" applyFont="1" applyBorder="1" applyAlignment="1">
      <alignment horizontal="center" vertical="center"/>
    </xf>
    <xf numFmtId="0" fontId="51" fillId="0" borderId="105" xfId="0" applyFont="1" applyBorder="1" applyAlignment="1">
      <alignment horizontal="center" vertical="center"/>
    </xf>
    <xf numFmtId="0" fontId="51" fillId="0" borderId="106" xfId="0" applyFont="1" applyBorder="1" applyAlignment="1">
      <alignment horizontal="center" vertical="center"/>
    </xf>
    <xf numFmtId="0" fontId="52" fillId="14" borderId="192" xfId="0" applyFont="1" applyFill="1" applyBorder="1" applyAlignment="1">
      <alignment horizontal="center" vertical="center" wrapText="1"/>
    </xf>
    <xf numFmtId="0" fontId="52" fillId="14" borderId="193" xfId="0" applyFont="1" applyFill="1" applyBorder="1" applyAlignment="1">
      <alignment horizontal="center" vertical="center" wrapText="1"/>
    </xf>
    <xf numFmtId="0" fontId="52" fillId="14" borderId="195" xfId="0" applyFont="1" applyFill="1" applyBorder="1" applyAlignment="1">
      <alignment horizontal="center" vertical="center" wrapText="1"/>
    </xf>
    <xf numFmtId="0" fontId="52" fillId="14" borderId="196" xfId="0" applyFont="1" applyFill="1" applyBorder="1" applyAlignment="1">
      <alignment horizontal="center" vertical="center" wrapText="1"/>
    </xf>
    <xf numFmtId="0" fontId="52" fillId="14" borderId="198" xfId="0" applyFont="1" applyFill="1" applyBorder="1" applyAlignment="1">
      <alignment horizontal="center" vertical="center" wrapText="1"/>
    </xf>
    <xf numFmtId="0" fontId="52" fillId="14" borderId="199" xfId="0" applyFont="1" applyFill="1" applyBorder="1" applyAlignment="1">
      <alignment horizontal="center" vertical="center" wrapText="1"/>
    </xf>
    <xf numFmtId="0" fontId="30" fillId="22" borderId="178" xfId="0" applyFont="1" applyFill="1" applyBorder="1" applyAlignment="1">
      <alignment horizontal="right" vertical="center"/>
    </xf>
    <xf numFmtId="0" fontId="30" fillId="22" borderId="172" xfId="0" applyFont="1" applyFill="1" applyBorder="1" applyAlignment="1">
      <alignment horizontal="right" vertical="center"/>
    </xf>
    <xf numFmtId="0" fontId="47" fillId="0" borderId="221" xfId="0" applyFont="1" applyBorder="1" applyAlignment="1">
      <alignment horizontal="center" vertical="center"/>
    </xf>
    <xf numFmtId="0" fontId="47" fillId="0" borderId="223" xfId="0" applyFont="1" applyBorder="1" applyAlignment="1">
      <alignment horizontal="center" vertical="center"/>
    </xf>
    <xf numFmtId="9" fontId="50" fillId="0" borderId="173" xfId="0" applyNumberFormat="1" applyFont="1" applyBorder="1" applyAlignment="1">
      <alignment horizontal="center" vertical="center"/>
    </xf>
    <xf numFmtId="9" fontId="50" fillId="0" borderId="4" xfId="0" applyNumberFormat="1" applyFont="1" applyBorder="1" applyAlignment="1">
      <alignment horizontal="center" vertical="center"/>
    </xf>
    <xf numFmtId="0" fontId="61" fillId="3" borderId="1" xfId="0" applyFont="1" applyFill="1" applyBorder="1" applyAlignment="1">
      <alignment horizontal="center" vertical="center"/>
    </xf>
    <xf numFmtId="0" fontId="61" fillId="3" borderId="3" xfId="0" applyFont="1" applyFill="1" applyBorder="1" applyAlignment="1">
      <alignment horizontal="center" vertical="center"/>
    </xf>
    <xf numFmtId="0" fontId="32" fillId="7" borderId="156" xfId="0" applyFont="1" applyFill="1" applyBorder="1" applyAlignment="1">
      <alignment horizontal="left" vertical="center"/>
    </xf>
    <xf numFmtId="0" fontId="32" fillId="7" borderId="155" xfId="0" applyFont="1" applyFill="1" applyBorder="1" applyAlignment="1">
      <alignment horizontal="left" vertical="center"/>
    </xf>
    <xf numFmtId="0" fontId="32" fillId="7" borderId="169" xfId="0" applyFont="1" applyFill="1" applyBorder="1" applyAlignment="1">
      <alignment horizontal="left" vertical="center"/>
    </xf>
    <xf numFmtId="0" fontId="32" fillId="7" borderId="152" xfId="0" applyFont="1" applyFill="1" applyBorder="1" applyAlignment="1">
      <alignment horizontal="left" vertical="center"/>
    </xf>
    <xf numFmtId="0" fontId="87" fillId="21" borderId="58" xfId="0" applyFont="1" applyFill="1" applyBorder="1" applyAlignment="1">
      <alignment horizontal="left" vertical="top" wrapText="1"/>
    </xf>
    <xf numFmtId="0" fontId="87" fillId="21" borderId="59" xfId="0" applyFont="1" applyFill="1" applyBorder="1" applyAlignment="1">
      <alignment horizontal="left" vertical="top" wrapText="1"/>
    </xf>
    <xf numFmtId="0" fontId="87" fillId="21" borderId="60" xfId="0" applyFont="1" applyFill="1" applyBorder="1" applyAlignment="1">
      <alignment horizontal="left" vertical="top" wrapText="1"/>
    </xf>
    <xf numFmtId="0" fontId="87" fillId="21" borderId="1" xfId="0" applyFont="1" applyFill="1" applyBorder="1" applyAlignment="1">
      <alignment horizontal="left" vertical="top" wrapText="1"/>
    </xf>
    <xf numFmtId="0" fontId="87" fillId="21" borderId="2" xfId="0" applyFont="1" applyFill="1" applyBorder="1" applyAlignment="1">
      <alignment horizontal="left" vertical="top" wrapText="1"/>
    </xf>
    <xf numFmtId="0" fontId="87" fillId="21" borderId="3" xfId="0" applyFont="1" applyFill="1" applyBorder="1" applyAlignment="1">
      <alignment horizontal="left" vertical="top" wrapText="1"/>
    </xf>
    <xf numFmtId="0" fontId="88" fillId="22" borderId="1" xfId="0" applyFont="1" applyFill="1" applyBorder="1" applyAlignment="1">
      <alignment horizontal="center" vertical="center"/>
    </xf>
    <xf numFmtId="0" fontId="88" fillId="22" borderId="177" xfId="0" applyFont="1" applyFill="1" applyBorder="1" applyAlignment="1">
      <alignment horizontal="center" vertical="center"/>
    </xf>
    <xf numFmtId="0" fontId="32" fillId="7" borderId="3" xfId="0" applyFont="1" applyFill="1" applyBorder="1" applyAlignment="1">
      <alignment horizontal="left" vertical="center"/>
    </xf>
    <xf numFmtId="0" fontId="32" fillId="7" borderId="178" xfId="0" applyFont="1" applyFill="1" applyBorder="1" applyAlignment="1">
      <alignment horizontal="left" vertical="center"/>
    </xf>
    <xf numFmtId="0" fontId="32" fillId="21" borderId="58" xfId="0" applyFont="1" applyFill="1" applyBorder="1" applyAlignment="1">
      <alignment horizontal="center" vertical="center" wrapText="1"/>
    </xf>
    <xf numFmtId="0" fontId="32" fillId="21" borderId="59" xfId="0" applyFont="1" applyFill="1" applyBorder="1" applyAlignment="1">
      <alignment horizontal="center" vertical="center" wrapText="1"/>
    </xf>
    <xf numFmtId="0" fontId="32" fillId="21" borderId="60" xfId="0" applyFont="1" applyFill="1" applyBorder="1" applyAlignment="1">
      <alignment horizontal="center" vertical="center" wrapText="1"/>
    </xf>
    <xf numFmtId="0" fontId="32" fillId="21" borderId="65" xfId="0" applyFont="1" applyFill="1" applyBorder="1" applyAlignment="1">
      <alignment horizontal="center" vertical="center" wrapText="1"/>
    </xf>
    <xf numFmtId="0" fontId="32" fillId="21" borderId="0" xfId="0" applyFont="1" applyFill="1" applyAlignment="1">
      <alignment horizontal="center" vertical="center" wrapText="1"/>
    </xf>
    <xf numFmtId="0" fontId="32" fillId="21" borderId="66" xfId="0" applyFont="1" applyFill="1" applyBorder="1" applyAlignment="1">
      <alignment horizontal="center" vertical="center" wrapText="1"/>
    </xf>
    <xf numFmtId="0" fontId="32" fillId="21" borderId="19" xfId="0" applyFont="1" applyFill="1" applyBorder="1" applyAlignment="1">
      <alignment horizontal="center" vertical="center" wrapText="1"/>
    </xf>
    <xf numFmtId="0" fontId="32" fillId="21" borderId="20" xfId="0" applyFont="1" applyFill="1" applyBorder="1" applyAlignment="1">
      <alignment horizontal="center" vertical="center" wrapText="1"/>
    </xf>
    <xf numFmtId="0" fontId="32" fillId="21" borderId="61" xfId="0" applyFont="1" applyFill="1" applyBorder="1" applyAlignment="1">
      <alignment horizontal="center" vertical="center" wrapText="1"/>
    </xf>
    <xf numFmtId="164" fontId="47" fillId="3" borderId="4" xfId="0" applyNumberFormat="1" applyFont="1" applyFill="1" applyBorder="1" applyAlignment="1">
      <alignment horizontal="center" vertical="center"/>
    </xf>
    <xf numFmtId="0" fontId="88" fillId="22" borderId="58" xfId="0" applyFont="1" applyFill="1" applyBorder="1" applyAlignment="1">
      <alignment horizontal="center" vertical="center"/>
    </xf>
    <xf numFmtId="0" fontId="88" fillId="22" borderId="206" xfId="0" applyFont="1" applyFill="1" applyBorder="1" applyAlignment="1">
      <alignment horizontal="center" vertical="center"/>
    </xf>
    <xf numFmtId="0" fontId="88" fillId="22" borderId="65" xfId="0" applyFont="1" applyFill="1" applyBorder="1" applyAlignment="1">
      <alignment horizontal="center" vertical="center"/>
    </xf>
    <xf numFmtId="0" fontId="88" fillId="22" borderId="215" xfId="0" applyFont="1" applyFill="1" applyBorder="1" applyAlignment="1">
      <alignment horizontal="center" vertical="center"/>
    </xf>
    <xf numFmtId="0" fontId="32" fillId="7" borderId="237" xfId="0" applyFont="1" applyFill="1" applyBorder="1" applyAlignment="1">
      <alignment horizontal="left" vertical="center"/>
    </xf>
    <xf numFmtId="0" fontId="32" fillId="7" borderId="164" xfId="0" applyFont="1" applyFill="1" applyBorder="1" applyAlignment="1">
      <alignment horizontal="left" vertical="center"/>
    </xf>
    <xf numFmtId="164" fontId="49" fillId="0" borderId="2" xfId="0" applyNumberFormat="1" applyFont="1" applyBorder="1" applyAlignment="1">
      <alignment horizontal="center" vertical="center"/>
    </xf>
    <xf numFmtId="164" fontId="49" fillId="0" borderId="3" xfId="0" applyNumberFormat="1" applyFont="1" applyBorder="1" applyAlignment="1">
      <alignment horizontal="center" vertical="center"/>
    </xf>
    <xf numFmtId="164" fontId="49" fillId="0" borderId="59" xfId="0" applyNumberFormat="1" applyFont="1" applyBorder="1" applyAlignment="1">
      <alignment horizontal="center" vertical="center"/>
    </xf>
    <xf numFmtId="164" fontId="49" fillId="0" borderId="60" xfId="0" applyNumberFormat="1" applyFont="1" applyBorder="1" applyAlignment="1">
      <alignment horizontal="center" vertical="center"/>
    </xf>
    <xf numFmtId="164" fontId="49" fillId="0" borderId="20" xfId="0" applyNumberFormat="1" applyFont="1" applyBorder="1" applyAlignment="1">
      <alignment horizontal="center" vertical="center"/>
    </xf>
    <xf numFmtId="164" fontId="49" fillId="0" borderId="61" xfId="0" applyNumberFormat="1" applyFont="1" applyBorder="1" applyAlignment="1">
      <alignment horizontal="center" vertical="center"/>
    </xf>
    <xf numFmtId="0" fontId="88" fillId="22" borderId="1" xfId="0" applyFont="1" applyFill="1" applyBorder="1" applyAlignment="1">
      <alignment horizontal="center" vertical="center" wrapText="1"/>
    </xf>
    <xf numFmtId="0" fontId="88" fillId="22" borderId="2" xfId="0" applyFont="1" applyFill="1" applyBorder="1" applyAlignment="1">
      <alignment horizontal="center" vertical="center" wrapText="1"/>
    </xf>
    <xf numFmtId="0" fontId="50" fillId="7" borderId="169" xfId="0" applyFont="1" applyFill="1" applyBorder="1" applyAlignment="1">
      <alignment horizontal="left" vertical="center"/>
    </xf>
    <xf numFmtId="0" fontId="50" fillId="7" borderId="152" xfId="0" applyFont="1" applyFill="1" applyBorder="1" applyAlignment="1">
      <alignment horizontal="left" vertical="center"/>
    </xf>
    <xf numFmtId="164" fontId="47" fillId="0" borderId="4" xfId="0" applyNumberFormat="1" applyFont="1" applyBorder="1" applyAlignment="1">
      <alignment horizontal="center" vertical="center"/>
    </xf>
    <xf numFmtId="0" fontId="88" fillId="22" borderId="58" xfId="0" applyFont="1" applyFill="1" applyBorder="1" applyAlignment="1">
      <alignment horizontal="center" vertical="center" wrapText="1"/>
    </xf>
    <xf numFmtId="0" fontId="88" fillId="22" borderId="59" xfId="0" applyFont="1" applyFill="1" applyBorder="1" applyAlignment="1">
      <alignment horizontal="center" vertical="center" wrapText="1"/>
    </xf>
    <xf numFmtId="0" fontId="88" fillId="22" borderId="65" xfId="0" applyFont="1" applyFill="1" applyBorder="1" applyAlignment="1">
      <alignment horizontal="center" vertical="center" wrapText="1"/>
    </xf>
    <xf numFmtId="0" fontId="88" fillId="22" borderId="0" xfId="0" applyFont="1" applyFill="1" applyAlignment="1">
      <alignment horizontal="center" vertical="center" wrapText="1"/>
    </xf>
    <xf numFmtId="0" fontId="88" fillId="22" borderId="19" xfId="0" applyFont="1" applyFill="1" applyBorder="1" applyAlignment="1">
      <alignment horizontal="center" vertical="center" wrapText="1"/>
    </xf>
    <xf numFmtId="0" fontId="88" fillId="22" borderId="20" xfId="0" applyFont="1" applyFill="1" applyBorder="1" applyAlignment="1">
      <alignment horizontal="center" vertical="center" wrapText="1"/>
    </xf>
    <xf numFmtId="0" fontId="50" fillId="7" borderId="197" xfId="0" applyFont="1" applyFill="1" applyBorder="1" applyAlignment="1">
      <alignment horizontal="center" vertical="center"/>
    </xf>
    <xf numFmtId="0" fontId="50" fillId="7" borderId="2" xfId="0" applyFont="1" applyFill="1" applyBorder="1" applyAlignment="1">
      <alignment horizontal="center" vertical="center"/>
    </xf>
    <xf numFmtId="0" fontId="29" fillId="0" borderId="112" xfId="0" applyFont="1" applyBorder="1" applyAlignment="1">
      <alignment horizontal="left" vertical="center"/>
    </xf>
    <xf numFmtId="0" fontId="51" fillId="0" borderId="104" xfId="0" applyFont="1" applyBorder="1" applyAlignment="1">
      <alignment horizontal="right" vertical="center"/>
    </xf>
    <xf numFmtId="0" fontId="47" fillId="3" borderId="120" xfId="0" applyFont="1" applyFill="1" applyBorder="1" applyAlignment="1">
      <alignment horizontal="left" vertical="center"/>
    </xf>
    <xf numFmtId="0" fontId="47" fillId="7" borderId="162" xfId="0" applyFont="1" applyFill="1" applyBorder="1" applyAlignment="1">
      <alignment horizontal="center" vertical="center"/>
    </xf>
    <xf numFmtId="0" fontId="47" fillId="7" borderId="163" xfId="0" applyFont="1" applyFill="1" applyBorder="1" applyAlignment="1">
      <alignment horizontal="center" vertical="center"/>
    </xf>
    <xf numFmtId="0" fontId="61" fillId="21" borderId="4" xfId="0" applyFont="1" applyFill="1" applyBorder="1" applyAlignment="1">
      <alignment horizontal="center" vertical="center"/>
    </xf>
    <xf numFmtId="0" fontId="50" fillId="7" borderId="173" xfId="0" applyFont="1" applyFill="1" applyBorder="1" applyAlignment="1">
      <alignment horizontal="left" vertical="center"/>
    </xf>
    <xf numFmtId="0" fontId="50" fillId="7" borderId="1" xfId="0" applyFont="1" applyFill="1" applyBorder="1" applyAlignment="1">
      <alignment horizontal="left" vertical="center"/>
    </xf>
    <xf numFmtId="0" fontId="47" fillId="3" borderId="4" xfId="0" applyFont="1" applyFill="1" applyBorder="1" applyAlignment="1">
      <alignment horizontal="center" vertical="center"/>
    </xf>
    <xf numFmtId="0" fontId="78" fillId="22" borderId="152" xfId="0" applyFont="1" applyFill="1" applyBorder="1" applyAlignment="1">
      <alignment horizontal="center" vertical="center"/>
    </xf>
    <xf numFmtId="0" fontId="78" fillId="22" borderId="153" xfId="0" applyFont="1" applyFill="1" applyBorder="1" applyAlignment="1">
      <alignment horizontal="center" vertical="center"/>
    </xf>
    <xf numFmtId="0" fontId="78" fillId="22" borderId="154" xfId="0" applyFont="1" applyFill="1" applyBorder="1" applyAlignment="1">
      <alignment horizontal="center" vertical="center"/>
    </xf>
    <xf numFmtId="0" fontId="50" fillId="21" borderId="192" xfId="0" applyFont="1" applyFill="1" applyBorder="1" applyAlignment="1">
      <alignment horizontal="center" vertical="center"/>
    </xf>
    <xf numFmtId="0" fontId="50" fillId="21" borderId="194" xfId="0" applyFont="1" applyFill="1" applyBorder="1" applyAlignment="1">
      <alignment horizontal="center" vertical="center"/>
    </xf>
    <xf numFmtId="0" fontId="50" fillId="21" borderId="193" xfId="0" applyFont="1" applyFill="1" applyBorder="1" applyAlignment="1">
      <alignment horizontal="center" vertical="center"/>
    </xf>
    <xf numFmtId="0" fontId="50" fillId="21" borderId="195" xfId="0" applyFont="1" applyFill="1" applyBorder="1" applyAlignment="1">
      <alignment horizontal="center" vertical="center"/>
    </xf>
    <xf numFmtId="0" fontId="50" fillId="21" borderId="0" xfId="0" applyFont="1" applyFill="1" applyAlignment="1">
      <alignment horizontal="center" vertical="center"/>
    </xf>
    <xf numFmtId="0" fontId="50" fillId="21" borderId="196" xfId="0" applyFont="1" applyFill="1" applyBorder="1" applyAlignment="1">
      <alignment horizontal="center" vertical="center"/>
    </xf>
    <xf numFmtId="0" fontId="50" fillId="21" borderId="198" xfId="0" applyFont="1" applyFill="1" applyBorder="1" applyAlignment="1">
      <alignment horizontal="center" vertical="center"/>
    </xf>
    <xf numFmtId="0" fontId="50" fillId="21" borderId="200" xfId="0" applyFont="1" applyFill="1" applyBorder="1" applyAlignment="1">
      <alignment horizontal="center" vertical="center"/>
    </xf>
    <xf numFmtId="0" fontId="50" fillId="21" borderId="199" xfId="0" applyFont="1" applyFill="1" applyBorder="1" applyAlignment="1">
      <alignment horizontal="center" vertical="center"/>
    </xf>
    <xf numFmtId="0" fontId="47" fillId="22" borderId="201" xfId="0" applyFont="1" applyFill="1" applyBorder="1" applyAlignment="1">
      <alignment horizontal="center" vertical="center"/>
    </xf>
    <xf numFmtId="0" fontId="47" fillId="22" borderId="202" xfId="0" applyFont="1" applyFill="1" applyBorder="1" applyAlignment="1">
      <alignment horizontal="center" vertical="center"/>
    </xf>
    <xf numFmtId="0" fontId="30" fillId="22" borderId="25" xfId="0" applyFont="1" applyFill="1" applyBorder="1" applyAlignment="1">
      <alignment horizontal="center" vertical="center"/>
    </xf>
    <xf numFmtId="0" fontId="30" fillId="22" borderId="26" xfId="0" applyFont="1" applyFill="1" applyBorder="1" applyAlignment="1">
      <alignment horizontal="center" vertical="center"/>
    </xf>
    <xf numFmtId="0" fontId="30" fillId="22" borderId="11" xfId="0" applyFont="1" applyFill="1" applyBorder="1" applyAlignment="1">
      <alignment horizontal="center" vertical="center"/>
    </xf>
    <xf numFmtId="0" fontId="30" fillId="22" borderId="33" xfId="0" applyFont="1" applyFill="1" applyBorder="1" applyAlignment="1">
      <alignment horizontal="center" vertical="center"/>
    </xf>
    <xf numFmtId="0" fontId="30" fillId="22" borderId="211" xfId="0" applyFont="1" applyFill="1" applyBorder="1" applyAlignment="1">
      <alignment horizontal="center" vertical="center"/>
    </xf>
    <xf numFmtId="0" fontId="30" fillId="27" borderId="12" xfId="0" applyFont="1" applyFill="1" applyBorder="1" applyAlignment="1">
      <alignment horizontal="center" vertical="center" wrapText="1"/>
    </xf>
    <xf numFmtId="0" fontId="30" fillId="27" borderId="34" xfId="0" applyFont="1" applyFill="1" applyBorder="1" applyAlignment="1">
      <alignment horizontal="center" vertical="center" wrapText="1"/>
    </xf>
    <xf numFmtId="14" fontId="29" fillId="0" borderId="111" xfId="0" applyNumberFormat="1" applyFont="1" applyBorder="1" applyAlignment="1">
      <alignment horizontal="left" vertical="center"/>
    </xf>
    <xf numFmtId="14" fontId="29" fillId="0" borderId="108" xfId="0" applyNumberFormat="1" applyFont="1" applyBorder="1" applyAlignment="1">
      <alignment horizontal="left" vertical="center"/>
    </xf>
    <xf numFmtId="14" fontId="29" fillId="0" borderId="113" xfId="0" applyNumberFormat="1" applyFont="1" applyBorder="1" applyAlignment="1">
      <alignment horizontal="left" vertical="center"/>
    </xf>
    <xf numFmtId="14" fontId="29" fillId="0" borderId="110" xfId="0" applyNumberFormat="1" applyFont="1" applyBorder="1" applyAlignment="1">
      <alignment horizontal="left" vertical="center"/>
    </xf>
    <xf numFmtId="14" fontId="29" fillId="0" borderId="105" xfId="0" applyNumberFormat="1" applyFont="1" applyBorder="1" applyAlignment="1">
      <alignment horizontal="left" vertical="center"/>
    </xf>
    <xf numFmtId="14" fontId="29" fillId="0" borderId="112" xfId="0" applyNumberFormat="1" applyFont="1" applyBorder="1" applyAlignment="1">
      <alignment horizontal="left" vertical="center"/>
    </xf>
    <xf numFmtId="0" fontId="51" fillId="0" borderId="107" xfId="0" applyFont="1" applyBorder="1" applyAlignment="1">
      <alignment horizontal="right" vertical="center"/>
    </xf>
    <xf numFmtId="0" fontId="78" fillId="7" borderId="9" xfId="0" applyFont="1" applyFill="1" applyBorder="1" applyAlignment="1">
      <alignment horizontal="center" vertical="center"/>
    </xf>
    <xf numFmtId="0" fontId="4" fillId="0" borderId="243" xfId="0" applyFont="1" applyBorder="1" applyAlignment="1">
      <alignment horizontal="center" vertical="center"/>
    </xf>
    <xf numFmtId="0" fontId="4" fillId="0" borderId="244" xfId="0" applyFont="1" applyBorder="1" applyAlignment="1">
      <alignment horizontal="center" vertical="center"/>
    </xf>
    <xf numFmtId="0" fontId="50" fillId="21" borderId="48" xfId="0" applyFont="1" applyFill="1" applyBorder="1" applyAlignment="1">
      <alignment horizontal="center" vertical="center"/>
    </xf>
    <xf numFmtId="0" fontId="50" fillId="21" borderId="230" xfId="0" applyFont="1" applyFill="1" applyBorder="1" applyAlignment="1">
      <alignment horizontal="center" vertical="center"/>
    </xf>
    <xf numFmtId="0" fontId="50" fillId="21" borderId="231" xfId="0" applyFont="1" applyFill="1" applyBorder="1" applyAlignment="1">
      <alignment horizontal="center" vertical="center"/>
    </xf>
    <xf numFmtId="0" fontId="50" fillId="21" borderId="54" xfId="0" applyFont="1" applyFill="1" applyBorder="1" applyAlignment="1">
      <alignment horizontal="center" vertical="center"/>
    </xf>
    <xf numFmtId="0" fontId="50" fillId="21" borderId="67" xfId="0" applyFont="1" applyFill="1" applyBorder="1" applyAlignment="1">
      <alignment horizontal="center" vertical="center"/>
    </xf>
    <xf numFmtId="0" fontId="50" fillId="21" borderId="62" xfId="0" applyFont="1" applyFill="1" applyBorder="1" applyAlignment="1">
      <alignment horizontal="center" vertical="center"/>
    </xf>
    <xf numFmtId="0" fontId="50" fillId="21" borderId="219" xfId="0" applyFont="1" applyFill="1" applyBorder="1" applyAlignment="1">
      <alignment horizontal="center" vertical="center"/>
    </xf>
    <xf numFmtId="0" fontId="50" fillId="21" borderId="222" xfId="0" applyFont="1" applyFill="1" applyBorder="1" applyAlignment="1">
      <alignment horizontal="center" vertical="center"/>
    </xf>
    <xf numFmtId="0" fontId="50" fillId="21" borderId="220" xfId="0" applyFont="1" applyFill="1" applyBorder="1" applyAlignment="1">
      <alignment horizontal="center" vertical="center"/>
    </xf>
    <xf numFmtId="0" fontId="4" fillId="0" borderId="204" xfId="0" applyFont="1" applyBorder="1" applyAlignment="1">
      <alignment horizontal="center" vertical="center"/>
    </xf>
    <xf numFmtId="0" fontId="4" fillId="0" borderId="217" xfId="0" applyFont="1" applyBorder="1" applyAlignment="1">
      <alignment horizontal="center" vertical="center"/>
    </xf>
    <xf numFmtId="0" fontId="47" fillId="0" borderId="205" xfId="0" applyFont="1" applyBorder="1" applyAlignment="1">
      <alignment horizontal="center" vertical="center"/>
    </xf>
    <xf numFmtId="0" fontId="47" fillId="0" borderId="163" xfId="0" applyFont="1" applyBorder="1" applyAlignment="1">
      <alignment horizontal="center" vertical="center"/>
    </xf>
    <xf numFmtId="0" fontId="78" fillId="27" borderId="13" xfId="0" applyFont="1" applyFill="1" applyBorder="1" applyAlignment="1">
      <alignment horizontal="center" vertical="center" wrapText="1"/>
    </xf>
    <xf numFmtId="0" fontId="78" fillId="27" borderId="242" xfId="0" applyFont="1" applyFill="1" applyBorder="1" applyAlignment="1">
      <alignment horizontal="center" vertical="center" wrapText="1"/>
    </xf>
    <xf numFmtId="0" fontId="47" fillId="7" borderId="160" xfId="0" applyFont="1" applyFill="1" applyBorder="1" applyAlignment="1">
      <alignment horizontal="center" vertical="center"/>
    </xf>
    <xf numFmtId="0" fontId="47" fillId="7" borderId="161" xfId="0" applyFont="1" applyFill="1" applyBorder="1" applyAlignment="1">
      <alignment horizontal="center" vertical="center"/>
    </xf>
    <xf numFmtId="0" fontId="47" fillId="22" borderId="204" xfId="0" applyFont="1" applyFill="1" applyBorder="1" applyAlignment="1">
      <alignment horizontal="center" vertical="center"/>
    </xf>
    <xf numFmtId="0" fontId="47" fillId="22" borderId="62" xfId="0" applyFont="1" applyFill="1" applyBorder="1" applyAlignment="1">
      <alignment horizontal="center" vertical="center"/>
    </xf>
    <xf numFmtId="0" fontId="30" fillId="22" borderId="207" xfId="0" applyFont="1" applyFill="1" applyBorder="1" applyAlignment="1">
      <alignment horizontal="left" vertical="center"/>
    </xf>
    <xf numFmtId="0" fontId="30" fillId="22" borderId="6" xfId="0" applyFont="1" applyFill="1" applyBorder="1" applyAlignment="1">
      <alignment horizontal="left" vertical="center"/>
    </xf>
    <xf numFmtId="0" fontId="30" fillId="22" borderId="214" xfId="0" applyFont="1" applyFill="1" applyBorder="1" applyAlignment="1">
      <alignment horizontal="left" vertical="center"/>
    </xf>
    <xf numFmtId="0" fontId="87" fillId="0" borderId="207" xfId="0" applyFont="1" applyBorder="1" applyAlignment="1">
      <alignment horizontal="left" vertical="center" wrapText="1"/>
    </xf>
    <xf numFmtId="0" fontId="87" fillId="0" borderId="6" xfId="0" applyFont="1" applyBorder="1" applyAlignment="1">
      <alignment horizontal="left" vertical="center" wrapText="1"/>
    </xf>
    <xf numFmtId="0" fontId="87" fillId="0" borderId="21" xfId="0" applyFont="1" applyBorder="1" applyAlignment="1">
      <alignment horizontal="left" vertical="center" wrapText="1"/>
    </xf>
    <xf numFmtId="0" fontId="29" fillId="0" borderId="238" xfId="0" applyFont="1" applyBorder="1" applyAlignment="1">
      <alignment horizontal="left" vertical="center"/>
    </xf>
    <xf numFmtId="0" fontId="51" fillId="0" borderId="108" xfId="0" applyFont="1" applyBorder="1" applyAlignment="1">
      <alignment horizontal="right" vertical="center" wrapText="1"/>
    </xf>
    <xf numFmtId="0" fontId="51" fillId="0" borderId="109" xfId="0" applyFont="1" applyBorder="1" applyAlignment="1">
      <alignment horizontal="right" vertical="center" wrapText="1"/>
    </xf>
    <xf numFmtId="0" fontId="29" fillId="0" borderId="113" xfId="0" applyFont="1" applyBorder="1" applyAlignment="1">
      <alignment horizontal="left" vertical="center"/>
    </xf>
    <xf numFmtId="0" fontId="33" fillId="26" borderId="147" xfId="0" applyFont="1" applyFill="1" applyBorder="1" applyAlignment="1">
      <alignment horizontal="left" vertical="center"/>
    </xf>
    <xf numFmtId="0" fontId="33" fillId="26" borderId="148" xfId="0" applyFont="1" applyFill="1" applyBorder="1" applyAlignment="1">
      <alignment horizontal="left" vertical="center"/>
    </xf>
    <xf numFmtId="0" fontId="33" fillId="26" borderId="149" xfId="0" applyFont="1" applyFill="1" applyBorder="1" applyAlignment="1">
      <alignment horizontal="left" vertical="center"/>
    </xf>
    <xf numFmtId="0" fontId="29" fillId="0" borderId="106" xfId="0" applyFont="1" applyBorder="1" applyAlignment="1">
      <alignment horizontal="left" vertical="center" wrapText="1"/>
    </xf>
    <xf numFmtId="0" fontId="51" fillId="0" borderId="110" xfId="0" applyFont="1" applyBorder="1" applyAlignment="1">
      <alignment horizontal="right" vertical="center" wrapText="1"/>
    </xf>
    <xf numFmtId="0" fontId="51" fillId="0" borderId="105" xfId="0" applyFont="1" applyBorder="1" applyAlignment="1">
      <alignment horizontal="right" vertical="center" wrapText="1"/>
    </xf>
    <xf numFmtId="0" fontId="51" fillId="0" borderId="106" xfId="0" applyFont="1" applyBorder="1" applyAlignment="1">
      <alignment horizontal="right" vertical="center" wrapText="1"/>
    </xf>
    <xf numFmtId="0" fontId="31" fillId="23" borderId="101" xfId="0" applyFont="1" applyFill="1" applyBorder="1" applyAlignment="1">
      <alignment horizontal="center" vertical="center"/>
    </xf>
    <xf numFmtId="0" fontId="50" fillId="22" borderId="1" xfId="0" applyFont="1" applyFill="1" applyBorder="1" applyAlignment="1">
      <alignment horizontal="left" vertical="center" wrapText="1"/>
    </xf>
    <xf numFmtId="0" fontId="50" fillId="22" borderId="2" xfId="0" applyFont="1" applyFill="1" applyBorder="1" applyAlignment="1">
      <alignment horizontal="left" vertical="center" wrapText="1"/>
    </xf>
    <xf numFmtId="0" fontId="50" fillId="22" borderId="177" xfId="0" applyFont="1" applyFill="1" applyBorder="1" applyAlignment="1">
      <alignment horizontal="left" vertical="center" wrapText="1"/>
    </xf>
    <xf numFmtId="0" fontId="87" fillId="0" borderId="4" xfId="0" applyFont="1" applyBorder="1" applyAlignment="1">
      <alignment horizontal="center" vertical="center" wrapText="1"/>
    </xf>
    <xf numFmtId="0" fontId="87" fillId="0" borderId="37" xfId="0" applyFont="1" applyBorder="1" applyAlignment="1">
      <alignment horizontal="center" vertical="center" wrapText="1"/>
    </xf>
    <xf numFmtId="0" fontId="91" fillId="3" borderId="0" xfId="0" applyFont="1" applyFill="1" applyAlignment="1">
      <alignment horizontal="left" vertical="top" wrapText="1"/>
    </xf>
    <xf numFmtId="0" fontId="50" fillId="22" borderId="43" xfId="0" applyFont="1" applyFill="1" applyBorder="1" applyAlignment="1">
      <alignment horizontal="left" vertical="center" wrapText="1"/>
    </xf>
    <xf numFmtId="0" fontId="50" fillId="22" borderId="31" xfId="0" applyFont="1" applyFill="1" applyBorder="1" applyAlignment="1">
      <alignment horizontal="left" vertical="center" wrapText="1"/>
    </xf>
    <xf numFmtId="0" fontId="50" fillId="22" borderId="239" xfId="0" applyFont="1" applyFill="1" applyBorder="1" applyAlignment="1">
      <alignment horizontal="left" vertical="center" wrapText="1"/>
    </xf>
    <xf numFmtId="0" fontId="87" fillId="0" borderId="15" xfId="0" applyFont="1" applyBorder="1" applyAlignment="1">
      <alignment horizontal="center" vertical="center" wrapText="1"/>
    </xf>
    <xf numFmtId="0" fontId="87" fillId="0" borderId="16" xfId="0" applyFont="1" applyBorder="1" applyAlignment="1">
      <alignment horizontal="center" vertical="center" wrapText="1"/>
    </xf>
    <xf numFmtId="0" fontId="87" fillId="0" borderId="1" xfId="0" applyFont="1" applyBorder="1" applyAlignment="1">
      <alignment vertical="center" wrapText="1"/>
    </xf>
    <xf numFmtId="0" fontId="87" fillId="0" borderId="2" xfId="0" applyFont="1" applyBorder="1" applyAlignment="1">
      <alignment vertical="center" wrapText="1"/>
    </xf>
    <xf numFmtId="0" fontId="87" fillId="0" borderId="42" xfId="0" applyFont="1" applyBorder="1" applyAlignment="1">
      <alignment vertical="center" wrapText="1"/>
    </xf>
    <xf numFmtId="0" fontId="50" fillId="22" borderId="58" xfId="0" applyFont="1" applyFill="1" applyBorder="1" applyAlignment="1">
      <alignment horizontal="left" vertical="center" wrapText="1"/>
    </xf>
    <xf numFmtId="0" fontId="50" fillId="22" borderId="59" xfId="0" applyFont="1" applyFill="1" applyBorder="1" applyAlignment="1">
      <alignment horizontal="left" vertical="center" wrapText="1"/>
    </xf>
    <xf numFmtId="0" fontId="50" fillId="22" borderId="206" xfId="0" applyFont="1" applyFill="1" applyBorder="1" applyAlignment="1">
      <alignment horizontal="left" vertical="center" wrapText="1"/>
    </xf>
    <xf numFmtId="0" fontId="87" fillId="0" borderId="58" xfId="0" applyFont="1" applyBorder="1" applyAlignment="1">
      <alignment vertical="center" wrapText="1"/>
    </xf>
    <xf numFmtId="0" fontId="87" fillId="0" borderId="59" xfId="0" applyFont="1" applyBorder="1" applyAlignment="1">
      <alignment vertical="center" wrapText="1"/>
    </xf>
    <xf numFmtId="0" fontId="87" fillId="0" borderId="208" xfId="0" applyFont="1" applyBorder="1" applyAlignment="1">
      <alignment vertical="center" wrapText="1"/>
    </xf>
    <xf numFmtId="0" fontId="50" fillId="22" borderId="207" xfId="0" applyFont="1" applyFill="1" applyBorder="1" applyAlignment="1">
      <alignment horizontal="left" vertical="center" wrapText="1"/>
    </xf>
    <xf numFmtId="0" fontId="50" fillId="22" borderId="6" xfId="0" applyFont="1" applyFill="1" applyBorder="1" applyAlignment="1">
      <alignment horizontal="left" vertical="center" wrapText="1"/>
    </xf>
    <xf numFmtId="0" fontId="50" fillId="22" borderId="214" xfId="0" applyFont="1" applyFill="1" applyBorder="1" applyAlignment="1">
      <alignment horizontal="left" vertical="center" wrapText="1"/>
    </xf>
    <xf numFmtId="0" fontId="87" fillId="0" borderId="207" xfId="0" applyFont="1" applyBorder="1" applyAlignment="1">
      <alignment horizontal="center" vertical="center" wrapText="1"/>
    </xf>
    <xf numFmtId="0" fontId="87" fillId="0" borderId="6" xfId="0" applyFont="1" applyBorder="1" applyAlignment="1">
      <alignment horizontal="center" vertical="center" wrapText="1"/>
    </xf>
    <xf numFmtId="0" fontId="87" fillId="0" borderId="21" xfId="0" applyFont="1" applyBorder="1" applyAlignment="1">
      <alignment horizontal="center" vertical="center" wrapText="1"/>
    </xf>
    <xf numFmtId="0" fontId="76" fillId="22" borderId="1" xfId="0" applyFont="1" applyFill="1" applyBorder="1" applyAlignment="1">
      <alignment horizontal="left" vertical="center"/>
    </xf>
    <xf numFmtId="0" fontId="76" fillId="22" borderId="2" xfId="0" applyFont="1" applyFill="1" applyBorder="1" applyAlignment="1">
      <alignment horizontal="left" vertical="center"/>
    </xf>
    <xf numFmtId="0" fontId="76" fillId="22" borderId="3" xfId="0" applyFont="1" applyFill="1" applyBorder="1" applyAlignment="1">
      <alignment horizontal="left" vertical="center"/>
    </xf>
    <xf numFmtId="0" fontId="49" fillId="7" borderId="178" xfId="0" applyFont="1" applyFill="1" applyBorder="1" applyAlignment="1">
      <alignment horizontal="left" vertical="center"/>
    </xf>
    <xf numFmtId="0" fontId="49" fillId="7" borderId="172" xfId="0" applyFont="1" applyFill="1" applyBorder="1" applyAlignment="1">
      <alignment horizontal="left" vertical="center"/>
    </xf>
    <xf numFmtId="0" fontId="49" fillId="0" borderId="172" xfId="0" applyFont="1" applyBorder="1" applyAlignment="1">
      <alignment horizontal="left" vertical="center"/>
    </xf>
    <xf numFmtId="0" fontId="49" fillId="0" borderId="173" xfId="0" applyFont="1" applyBorder="1" applyAlignment="1">
      <alignment horizontal="left" vertical="center"/>
    </xf>
    <xf numFmtId="0" fontId="49" fillId="7" borderId="180" xfId="0" applyFont="1" applyFill="1" applyBorder="1" applyAlignment="1">
      <alignment horizontal="left" vertical="center" wrapText="1"/>
    </xf>
    <xf numFmtId="0" fontId="49" fillId="7" borderId="181" xfId="0" applyFont="1" applyFill="1" applyBorder="1" applyAlignment="1">
      <alignment horizontal="left" vertical="center" wrapText="1"/>
    </xf>
    <xf numFmtId="0" fontId="49" fillId="7" borderId="182" xfId="0" applyFont="1" applyFill="1" applyBorder="1" applyAlignment="1">
      <alignment horizontal="left" vertical="center" wrapText="1"/>
    </xf>
    <xf numFmtId="0" fontId="49" fillId="7" borderId="183" xfId="0" applyFont="1" applyFill="1" applyBorder="1" applyAlignment="1">
      <alignment horizontal="left" vertical="center" wrapText="1"/>
    </xf>
    <xf numFmtId="0" fontId="49" fillId="0" borderId="181" xfId="0" applyFont="1" applyBorder="1" applyAlignment="1">
      <alignment horizontal="left" vertical="center"/>
    </xf>
    <xf numFmtId="0" fontId="49" fillId="0" borderId="174" xfId="0" applyFont="1" applyBorder="1" applyAlignment="1">
      <alignment horizontal="left" vertical="center"/>
    </xf>
    <xf numFmtId="0" fontId="49" fillId="0" borderId="183" xfId="0" applyFont="1" applyBorder="1" applyAlignment="1">
      <alignment horizontal="left" vertical="center"/>
    </xf>
    <xf numFmtId="0" fontId="49" fillId="0" borderId="179" xfId="0" applyFont="1" applyBorder="1" applyAlignment="1">
      <alignment horizontal="left" vertical="center"/>
    </xf>
    <xf numFmtId="0" fontId="81" fillId="3" borderId="65" xfId="0" applyFont="1" applyFill="1" applyBorder="1" applyAlignment="1">
      <alignment horizontal="left" vertical="center"/>
    </xf>
    <xf numFmtId="0" fontId="81" fillId="3" borderId="0" xfId="0" applyFont="1" applyFill="1" applyAlignment="1">
      <alignment horizontal="left" vertical="center"/>
    </xf>
    <xf numFmtId="0" fontId="49" fillId="3" borderId="0" xfId="0" applyFont="1" applyFill="1" applyAlignment="1">
      <alignment horizontal="left" vertical="center"/>
    </xf>
    <xf numFmtId="9" fontId="50" fillId="21" borderId="1" xfId="0" applyNumberFormat="1" applyFont="1" applyFill="1" applyBorder="1" applyAlignment="1">
      <alignment horizontal="center" vertical="center"/>
    </xf>
    <xf numFmtId="9" fontId="50" fillId="21" borderId="2" xfId="0" applyNumberFormat="1" applyFont="1" applyFill="1" applyBorder="1" applyAlignment="1">
      <alignment horizontal="center" vertical="center"/>
    </xf>
    <xf numFmtId="9" fontId="50" fillId="21" borderId="3" xfId="0" applyNumberFormat="1" applyFont="1" applyFill="1" applyBorder="1" applyAlignment="1">
      <alignment horizontal="center" vertical="center"/>
    </xf>
    <xf numFmtId="0" fontId="30" fillId="27" borderId="1" xfId="0" applyFont="1" applyFill="1" applyBorder="1" applyAlignment="1">
      <alignment horizontal="center" vertical="center"/>
    </xf>
    <xf numFmtId="0" fontId="30" fillId="27" borderId="177" xfId="0" applyFont="1" applyFill="1" applyBorder="1" applyAlignment="1">
      <alignment horizontal="center" vertical="center"/>
    </xf>
    <xf numFmtId="0" fontId="47" fillId="21" borderId="58" xfId="0" applyFont="1" applyFill="1" applyBorder="1" applyAlignment="1">
      <alignment horizontal="left" vertical="center" wrapText="1"/>
    </xf>
    <xf numFmtId="0" fontId="47" fillId="21" borderId="59" xfId="0" applyFont="1" applyFill="1" applyBorder="1" applyAlignment="1">
      <alignment horizontal="left" vertical="center" wrapText="1"/>
    </xf>
    <xf numFmtId="0" fontId="47" fillId="21" borderId="60" xfId="0" applyFont="1" applyFill="1" applyBorder="1" applyAlignment="1">
      <alignment horizontal="left" vertical="center" wrapText="1"/>
    </xf>
    <xf numFmtId="0" fontId="47" fillId="21" borderId="19" xfId="0" applyFont="1" applyFill="1" applyBorder="1" applyAlignment="1">
      <alignment horizontal="left" vertical="center" wrapText="1"/>
    </xf>
    <xf numFmtId="0" fontId="47" fillId="21" borderId="20" xfId="0" applyFont="1" applyFill="1" applyBorder="1" applyAlignment="1">
      <alignment horizontal="left" vertical="center" wrapText="1"/>
    </xf>
    <xf numFmtId="0" fontId="47" fillId="21" borderId="61" xfId="0" applyFont="1" applyFill="1" applyBorder="1" applyAlignment="1">
      <alignment horizontal="left" vertical="center" wrapText="1"/>
    </xf>
    <xf numFmtId="0" fontId="29" fillId="7" borderId="178" xfId="0" applyFont="1" applyFill="1" applyBorder="1" applyAlignment="1">
      <alignment horizontal="right" vertical="center"/>
    </xf>
    <xf numFmtId="0" fontId="29" fillId="7" borderId="172" xfId="0" applyFont="1" applyFill="1" applyBorder="1" applyAlignment="1">
      <alignment horizontal="right" vertical="center"/>
    </xf>
    <xf numFmtId="0" fontId="87" fillId="0" borderId="1" xfId="0" applyFont="1" applyBorder="1" applyAlignment="1">
      <alignment horizontal="center" vertical="center" wrapText="1"/>
    </xf>
    <xf numFmtId="0" fontId="87" fillId="0" borderId="3" xfId="0" applyFont="1" applyBorder="1" applyAlignment="1">
      <alignment horizontal="center" vertical="center" wrapText="1"/>
    </xf>
    <xf numFmtId="0" fontId="1" fillId="7" borderId="178" xfId="0" applyFont="1" applyFill="1" applyBorder="1" applyAlignment="1">
      <alignment horizontal="right" vertical="center" wrapText="1"/>
    </xf>
    <xf numFmtId="0" fontId="3" fillId="7" borderId="172" xfId="0" applyFont="1" applyFill="1" applyBorder="1" applyAlignment="1">
      <alignment horizontal="right" vertical="center" wrapText="1"/>
    </xf>
    <xf numFmtId="0" fontId="3" fillId="7" borderId="197" xfId="0" applyFont="1" applyFill="1" applyBorder="1" applyAlignment="1">
      <alignment horizontal="right" vertical="center" wrapText="1"/>
    </xf>
    <xf numFmtId="0" fontId="3" fillId="7" borderId="178" xfId="0" applyFont="1" applyFill="1" applyBorder="1" applyAlignment="1">
      <alignment horizontal="right" vertical="center" wrapText="1"/>
    </xf>
    <xf numFmtId="0" fontId="2" fillId="7" borderId="2" xfId="0" applyFont="1" applyFill="1" applyBorder="1" applyAlignment="1">
      <alignment horizontal="right" vertical="center" wrapText="1"/>
    </xf>
    <xf numFmtId="0" fontId="2" fillId="7" borderId="177" xfId="0" applyFont="1" applyFill="1" applyBorder="1" applyAlignment="1">
      <alignment horizontal="right" vertical="center" wrapText="1"/>
    </xf>
    <xf numFmtId="0" fontId="89" fillId="27" borderId="1" xfId="0" applyFont="1" applyFill="1" applyBorder="1" applyAlignment="1">
      <alignment horizontal="center" vertical="center" wrapText="1"/>
    </xf>
    <xf numFmtId="164" fontId="75" fillId="29" borderId="4" xfId="0" applyNumberFormat="1" applyFont="1" applyFill="1" applyBorder="1" applyAlignment="1">
      <alignment horizontal="center" vertical="center"/>
    </xf>
    <xf numFmtId="0" fontId="2" fillId="7" borderId="177" xfId="0" applyFont="1" applyFill="1" applyBorder="1" applyAlignment="1">
      <alignment horizontal="right" vertical="center"/>
    </xf>
    <xf numFmtId="0" fontId="2" fillId="7" borderId="172" xfId="0" applyFont="1" applyFill="1" applyBorder="1" applyAlignment="1">
      <alignment horizontal="right" vertical="center"/>
    </xf>
    <xf numFmtId="0" fontId="29" fillId="7" borderId="178" xfId="0" applyFont="1" applyFill="1" applyBorder="1" applyAlignment="1">
      <alignment horizontal="right" vertical="center" wrapText="1"/>
    </xf>
    <xf numFmtId="0" fontId="29" fillId="7" borderId="172" xfId="0" applyFont="1" applyFill="1" applyBorder="1" applyAlignment="1">
      <alignment horizontal="right" vertical="center" wrapText="1"/>
    </xf>
    <xf numFmtId="0" fontId="30" fillId="22" borderId="4" xfId="0" applyFont="1" applyFill="1" applyBorder="1" applyAlignment="1">
      <alignment horizontal="left" vertical="center"/>
    </xf>
    <xf numFmtId="0" fontId="3" fillId="7" borderId="1" xfId="0" applyFont="1" applyFill="1" applyBorder="1" applyAlignment="1">
      <alignment horizontal="right" vertical="center"/>
    </xf>
    <xf numFmtId="0" fontId="3" fillId="7" borderId="2" xfId="0" applyFont="1" applyFill="1" applyBorder="1" applyAlignment="1">
      <alignment horizontal="right" vertical="center"/>
    </xf>
    <xf numFmtId="0" fontId="3" fillId="7" borderId="3" xfId="0" applyFont="1" applyFill="1" applyBorder="1" applyAlignment="1">
      <alignment horizontal="right" vertical="center"/>
    </xf>
    <xf numFmtId="0" fontId="3" fillId="7" borderId="60" xfId="0" applyFont="1" applyFill="1" applyBorder="1" applyAlignment="1">
      <alignment horizontal="right" vertical="center"/>
    </xf>
    <xf numFmtId="0" fontId="29" fillId="0" borderId="109" xfId="0" applyFont="1" applyBorder="1" applyAlignment="1">
      <alignment horizontal="left" vertical="center" wrapText="1"/>
    </xf>
    <xf numFmtId="0" fontId="51" fillId="0" borderId="111" xfId="0" applyFont="1" applyBorder="1" applyAlignment="1">
      <alignment horizontal="right" vertical="center" wrapText="1"/>
    </xf>
    <xf numFmtId="0" fontId="30" fillId="22" borderId="1" xfId="0" applyFont="1" applyFill="1" applyBorder="1" applyAlignment="1">
      <alignment horizontal="left" vertical="center"/>
    </xf>
    <xf numFmtId="0" fontId="30" fillId="22" borderId="2" xfId="0" applyFont="1" applyFill="1" applyBorder="1" applyAlignment="1">
      <alignment horizontal="left" vertical="center"/>
    </xf>
    <xf numFmtId="0" fontId="30" fillId="22" borderId="3" xfId="0" applyFont="1" applyFill="1" applyBorder="1" applyAlignment="1">
      <alignment horizontal="left" vertical="center"/>
    </xf>
    <xf numFmtId="0" fontId="30" fillId="22" borderId="1" xfId="0" applyFont="1" applyFill="1" applyBorder="1" applyAlignment="1">
      <alignment horizontal="center" vertical="center"/>
    </xf>
    <xf numFmtId="0" fontId="30" fillId="22" borderId="2" xfId="0" applyFont="1" applyFill="1" applyBorder="1" applyAlignment="1">
      <alignment horizontal="center" vertical="center"/>
    </xf>
    <xf numFmtId="0" fontId="30" fillId="22" borderId="3" xfId="0" applyFont="1" applyFill="1" applyBorder="1" applyAlignment="1">
      <alignment horizontal="center" vertical="center"/>
    </xf>
    <xf numFmtId="0" fontId="29" fillId="3" borderId="1" xfId="0" applyFont="1" applyFill="1" applyBorder="1" applyAlignment="1">
      <alignment horizontal="center" vertical="center"/>
    </xf>
    <xf numFmtId="0" fontId="29" fillId="3" borderId="2" xfId="0" applyFont="1" applyFill="1" applyBorder="1" applyAlignment="1">
      <alignment horizontal="center" vertical="center"/>
    </xf>
    <xf numFmtId="0" fontId="29" fillId="3" borderId="3" xfId="0" applyFont="1" applyFill="1" applyBorder="1" applyAlignment="1">
      <alignment horizontal="center" vertical="center"/>
    </xf>
    <xf numFmtId="49" fontId="1" fillId="7" borderId="1" xfId="0" applyNumberFormat="1" applyFont="1" applyFill="1" applyBorder="1" applyAlignment="1">
      <alignment horizontal="right" vertical="center" wrapText="1"/>
    </xf>
    <xf numFmtId="49" fontId="3" fillId="7" borderId="2" xfId="0" applyNumberFormat="1" applyFont="1" applyFill="1" applyBorder="1" applyAlignment="1">
      <alignment horizontal="right" vertical="center" wrapText="1"/>
    </xf>
    <xf numFmtId="0" fontId="2" fillId="7" borderId="1" xfId="0" applyFont="1" applyFill="1" applyBorder="1" applyAlignment="1">
      <alignment horizontal="right" vertical="center" wrapText="1"/>
    </xf>
    <xf numFmtId="0" fontId="75" fillId="30" borderId="2" xfId="0" applyFont="1" applyFill="1" applyBorder="1" applyAlignment="1">
      <alignment horizontal="center" vertical="center"/>
    </xf>
    <xf numFmtId="0" fontId="75" fillId="30" borderId="60" xfId="0" applyFont="1" applyFill="1" applyBorder="1" applyAlignment="1">
      <alignment horizontal="center" vertical="center"/>
    </xf>
    <xf numFmtId="0" fontId="30" fillId="22" borderId="234" xfId="0" applyFont="1" applyFill="1" applyBorder="1" applyAlignment="1">
      <alignment horizontal="left" vertical="center"/>
    </xf>
    <xf numFmtId="0" fontId="30" fillId="22" borderId="235" xfId="0" applyFont="1" applyFill="1" applyBorder="1" applyAlignment="1">
      <alignment horizontal="left" vertical="center"/>
    </xf>
    <xf numFmtId="0" fontId="47" fillId="21" borderId="133" xfId="0" applyFont="1" applyFill="1" applyBorder="1" applyAlignment="1">
      <alignment horizontal="left" vertical="center" wrapText="1"/>
    </xf>
    <xf numFmtId="0" fontId="47" fillId="21" borderId="134" xfId="0" applyFont="1" applyFill="1" applyBorder="1" applyAlignment="1">
      <alignment horizontal="left" vertical="center" wrapText="1"/>
    </xf>
    <xf numFmtId="0" fontId="47" fillId="21" borderId="135" xfId="0" applyFont="1" applyFill="1" applyBorder="1" applyAlignment="1">
      <alignment horizontal="left" vertical="center" wrapText="1"/>
    </xf>
    <xf numFmtId="0" fontId="80" fillId="26" borderId="148" xfId="0" applyFont="1" applyFill="1" applyBorder="1" applyAlignment="1">
      <alignment horizontal="left" vertical="center"/>
    </xf>
    <xf numFmtId="0" fontId="80" fillId="26" borderId="149" xfId="0" applyFont="1" applyFill="1" applyBorder="1" applyAlignment="1">
      <alignment horizontal="left" vertical="center"/>
    </xf>
    <xf numFmtId="0" fontId="72" fillId="3" borderId="0" xfId="0" applyFont="1" applyFill="1" applyAlignment="1">
      <alignment horizontal="left" vertical="center"/>
    </xf>
    <xf numFmtId="164" fontId="30" fillId="21" borderId="236" xfId="0" applyNumberFormat="1" applyFont="1" applyFill="1" applyBorder="1" applyAlignment="1">
      <alignment horizontal="center" vertical="center"/>
    </xf>
    <xf numFmtId="164" fontId="30" fillId="21" borderId="3" xfId="0" applyNumberFormat="1" applyFont="1" applyFill="1" applyBorder="1" applyAlignment="1">
      <alignment horizontal="center" vertical="center"/>
    </xf>
    <xf numFmtId="0" fontId="47" fillId="3" borderId="0" xfId="0" applyFont="1" applyFill="1" applyAlignment="1">
      <alignment horizontal="center" vertical="center"/>
    </xf>
    <xf numFmtId="0" fontId="0" fillId="21" borderId="4" xfId="0" applyFill="1" applyBorder="1" applyAlignment="1">
      <alignment horizontal="center" vertical="center"/>
    </xf>
    <xf numFmtId="0" fontId="0" fillId="27" borderId="4" xfId="0" applyFill="1" applyBorder="1" applyAlignment="1">
      <alignment horizontal="center" vertical="center"/>
    </xf>
    <xf numFmtId="0" fontId="0" fillId="21" borderId="13" xfId="0" applyFill="1" applyBorder="1" applyAlignment="1">
      <alignment horizontal="center" vertical="center"/>
    </xf>
    <xf numFmtId="0" fontId="0" fillId="0" borderId="13" xfId="0" applyBorder="1" applyAlignment="1">
      <alignment horizontal="center" vertical="center"/>
    </xf>
    <xf numFmtId="165" fontId="0" fillId="0" borderId="13" xfId="0" applyNumberFormat="1" applyBorder="1" applyAlignment="1">
      <alignment horizontal="center" vertical="center"/>
    </xf>
    <xf numFmtId="0" fontId="0" fillId="21" borderId="175" xfId="0" applyFill="1" applyBorder="1" applyAlignment="1">
      <alignment horizontal="center" vertical="center"/>
    </xf>
    <xf numFmtId="0" fontId="0" fillId="7" borderId="4" xfId="0" applyFill="1" applyBorder="1" applyAlignment="1">
      <alignment horizontal="center" vertical="center"/>
    </xf>
    <xf numFmtId="0" fontId="0" fillId="7" borderId="4" xfId="0" applyFill="1" applyBorder="1" applyAlignment="1">
      <alignment horizontal="center" vertical="center" wrapText="1"/>
    </xf>
    <xf numFmtId="0" fontId="0" fillId="0" borderId="175" xfId="0" applyBorder="1" applyAlignment="1">
      <alignment horizontal="center" vertical="center"/>
    </xf>
    <xf numFmtId="10" fontId="0" fillId="0" borderId="155" xfId="0" applyNumberFormat="1" applyBorder="1" applyAlignment="1">
      <alignment horizontal="center" vertical="center"/>
    </xf>
    <xf numFmtId="10" fontId="0" fillId="0" borderId="69" xfId="0" applyNumberFormat="1" applyBorder="1" applyAlignment="1">
      <alignment horizontal="center" vertical="center"/>
    </xf>
    <xf numFmtId="0" fontId="0" fillId="0" borderId="176" xfId="0" applyBorder="1" applyAlignment="1">
      <alignment horizontal="center" vertical="center"/>
    </xf>
    <xf numFmtId="10" fontId="0" fillId="0" borderId="157" xfId="0" applyNumberFormat="1" applyBorder="1" applyAlignment="1">
      <alignment horizontal="center" vertical="center"/>
    </xf>
    <xf numFmtId="10" fontId="0" fillId="0" borderId="159" xfId="0" applyNumberFormat="1" applyBorder="1" applyAlignment="1">
      <alignment horizontal="center" vertical="center"/>
    </xf>
    <xf numFmtId="0" fontId="0" fillId="21" borderId="176" xfId="0" applyFill="1" applyBorder="1" applyAlignment="1">
      <alignment horizontal="center" vertical="center"/>
    </xf>
    <xf numFmtId="0" fontId="55" fillId="3" borderId="0" xfId="0" applyFont="1" applyFill="1" applyAlignment="1">
      <alignment horizontal="left" vertical="center"/>
    </xf>
    <xf numFmtId="0" fontId="55" fillId="21" borderId="184" xfId="0" applyFont="1" applyFill="1" applyBorder="1" applyAlignment="1">
      <alignment horizontal="left" vertical="top" wrapText="1"/>
    </xf>
    <xf numFmtId="0" fontId="55" fillId="21" borderId="185" xfId="0" applyFont="1" applyFill="1" applyBorder="1" applyAlignment="1">
      <alignment horizontal="left" vertical="top" wrapText="1"/>
    </xf>
    <xf numFmtId="0" fontId="55" fillId="21" borderId="186" xfId="0" applyFont="1" applyFill="1" applyBorder="1" applyAlignment="1">
      <alignment horizontal="left" vertical="top" wrapText="1"/>
    </xf>
    <xf numFmtId="0" fontId="55" fillId="21" borderId="187" xfId="0" applyFont="1" applyFill="1" applyBorder="1" applyAlignment="1">
      <alignment horizontal="left" vertical="top" wrapText="1"/>
    </xf>
    <xf numFmtId="0" fontId="55" fillId="21" borderId="0" xfId="0" applyFont="1" applyFill="1" applyAlignment="1">
      <alignment horizontal="left" vertical="top" wrapText="1"/>
    </xf>
    <xf numFmtId="0" fontId="55" fillId="21" borderId="188" xfId="0" applyFont="1" applyFill="1" applyBorder="1" applyAlignment="1">
      <alignment horizontal="left" vertical="top" wrapText="1"/>
    </xf>
    <xf numFmtId="0" fontId="55" fillId="21" borderId="189" xfId="0" applyFont="1" applyFill="1" applyBorder="1" applyAlignment="1">
      <alignment horizontal="left" vertical="top" wrapText="1"/>
    </xf>
    <xf numFmtId="0" fontId="55" fillId="21" borderId="190" xfId="0" applyFont="1" applyFill="1" applyBorder="1" applyAlignment="1">
      <alignment horizontal="left" vertical="top" wrapText="1"/>
    </xf>
    <xf numFmtId="0" fontId="55" fillId="21" borderId="191" xfId="0" applyFont="1" applyFill="1" applyBorder="1" applyAlignment="1">
      <alignment horizontal="left" vertical="top" wrapText="1"/>
    </xf>
    <xf numFmtId="0" fontId="54" fillId="25" borderId="1" xfId="0" applyFont="1" applyFill="1" applyBorder="1" applyAlignment="1">
      <alignment horizontal="center" vertical="center"/>
    </xf>
    <xf numFmtId="0" fontId="54" fillId="25" borderId="2" xfId="0" applyFont="1" applyFill="1" applyBorder="1" applyAlignment="1">
      <alignment horizontal="center" vertical="center"/>
    </xf>
    <xf numFmtId="0" fontId="54" fillId="25" borderId="3" xfId="0" applyFont="1" applyFill="1" applyBorder="1" applyAlignment="1">
      <alignment horizontal="center" vertical="center"/>
    </xf>
    <xf numFmtId="0" fontId="0" fillId="0" borderId="4" xfId="0" applyBorder="1" applyAlignment="1">
      <alignment horizontal="center" vertical="center"/>
    </xf>
    <xf numFmtId="10" fontId="0" fillId="0" borderId="1" xfId="0" applyNumberFormat="1" applyBorder="1" applyAlignment="1">
      <alignment horizontal="center" vertical="center"/>
    </xf>
    <xf numFmtId="10" fontId="0" fillId="0" borderId="3" xfId="0" applyNumberFormat="1" applyBorder="1" applyAlignment="1">
      <alignment horizontal="center" vertical="center"/>
    </xf>
    <xf numFmtId="0" fontId="21" fillId="11" borderId="5" xfId="1" applyFont="1" applyFill="1" applyBorder="1" applyAlignment="1" applyProtection="1">
      <alignment horizontal="center" vertical="center"/>
      <protection hidden="1"/>
    </xf>
    <xf numFmtId="0" fontId="21" fillId="11" borderId="6" xfId="1" applyFont="1" applyFill="1" applyBorder="1" applyAlignment="1" applyProtection="1">
      <alignment horizontal="center" vertical="center"/>
      <protection hidden="1"/>
    </xf>
    <xf numFmtId="0" fontId="21" fillId="11" borderId="21" xfId="1" applyFont="1" applyFill="1" applyBorder="1" applyAlignment="1" applyProtection="1">
      <alignment horizontal="center" vertical="center"/>
      <protection hidden="1"/>
    </xf>
    <xf numFmtId="0" fontId="16" fillId="12" borderId="0" xfId="1" applyFill="1" applyAlignment="1" applyProtection="1">
      <alignment horizontal="center" vertical="center" wrapText="1"/>
      <protection hidden="1"/>
    </xf>
    <xf numFmtId="0" fontId="12" fillId="0" borderId="0" xfId="1" applyFont="1" applyAlignment="1" applyProtection="1">
      <alignment horizontal="left" vertical="center" wrapText="1"/>
      <protection hidden="1"/>
    </xf>
    <xf numFmtId="0" fontId="16" fillId="0" borderId="0" xfId="1" applyAlignment="1" applyProtection="1">
      <alignment horizontal="left" vertical="center" wrapText="1"/>
      <protection hidden="1"/>
    </xf>
    <xf numFmtId="0" fontId="9" fillId="23" borderId="11" xfId="0" applyFont="1" applyFill="1" applyBorder="1" applyAlignment="1">
      <alignment horizontal="center" vertical="center"/>
    </xf>
    <xf numFmtId="0" fontId="9" fillId="23" borderId="34" xfId="0" applyFont="1" applyFill="1" applyBorder="1" applyAlignment="1">
      <alignment horizontal="center" vertical="center"/>
    </xf>
    <xf numFmtId="0" fontId="82" fillId="0" borderId="35" xfId="0" applyFont="1" applyBorder="1" applyAlignment="1">
      <alignment horizontal="center" vertical="center"/>
    </xf>
    <xf numFmtId="0" fontId="82" fillId="0" borderId="36" xfId="0" applyFont="1" applyBorder="1" applyAlignment="1">
      <alignment horizontal="center" vertical="center"/>
    </xf>
    <xf numFmtId="0" fontId="82" fillId="0" borderId="23" xfId="0" applyFont="1" applyBorder="1" applyAlignment="1">
      <alignment horizontal="center" vertical="center"/>
    </xf>
    <xf numFmtId="0" fontId="82" fillId="0" borderId="24" xfId="0" applyFont="1" applyBorder="1" applyAlignment="1">
      <alignment horizontal="center" vertical="center"/>
    </xf>
    <xf numFmtId="0" fontId="15" fillId="5" borderId="26" xfId="0" applyFont="1" applyFill="1" applyBorder="1" applyAlignment="1">
      <alignment horizontal="center" vertical="center"/>
    </xf>
    <xf numFmtId="0" fontId="15" fillId="5" borderId="68" xfId="0" applyFont="1" applyFill="1" applyBorder="1" applyAlignment="1">
      <alignment horizontal="center" vertical="center"/>
    </xf>
    <xf numFmtId="0" fontId="15" fillId="5" borderId="29" xfId="0" applyFont="1" applyFill="1" applyBorder="1" applyAlignment="1">
      <alignment horizontal="center" vertical="center"/>
    </xf>
    <xf numFmtId="0" fontId="10" fillId="5" borderId="14" xfId="0" applyFont="1" applyFill="1" applyBorder="1" applyAlignment="1">
      <alignment horizontal="center" vertical="center"/>
    </xf>
    <xf numFmtId="0" fontId="10" fillId="5" borderId="38" xfId="0" applyFont="1" applyFill="1" applyBorder="1" applyAlignment="1">
      <alignment horizontal="center" vertical="center"/>
    </xf>
    <xf numFmtId="0" fontId="10" fillId="5" borderId="210" xfId="0" applyFont="1" applyFill="1" applyBorder="1" applyAlignment="1">
      <alignment horizontal="center" vertical="center"/>
    </xf>
    <xf numFmtId="0" fontId="10" fillId="5" borderId="39" xfId="0" applyFont="1" applyFill="1" applyBorder="1" applyAlignment="1">
      <alignment horizontal="center" vertical="center"/>
    </xf>
    <xf numFmtId="0" fontId="10" fillId="5" borderId="15" xfId="0" applyFont="1" applyFill="1" applyBorder="1" applyAlignment="1">
      <alignment horizontal="center" vertical="center"/>
    </xf>
    <xf numFmtId="0" fontId="10" fillId="5" borderId="4" xfId="0" applyFont="1" applyFill="1" applyBorder="1" applyAlignment="1">
      <alignment horizontal="center" vertical="center"/>
    </xf>
    <xf numFmtId="0" fontId="10" fillId="5" borderId="13" xfId="0" applyFont="1" applyFill="1" applyBorder="1" applyAlignment="1">
      <alignment horizontal="center" vertical="center"/>
    </xf>
    <xf numFmtId="0" fontId="10" fillId="5" borderId="18" xfId="0" applyFont="1" applyFill="1" applyBorder="1" applyAlignment="1">
      <alignment horizontal="center" vertical="center"/>
    </xf>
    <xf numFmtId="164" fontId="15" fillId="5" borderId="26" xfId="0" applyNumberFormat="1" applyFont="1" applyFill="1" applyBorder="1" applyAlignment="1">
      <alignment horizontal="center" vertical="center"/>
    </xf>
    <xf numFmtId="164" fontId="15" fillId="5" borderId="68" xfId="0" applyNumberFormat="1" applyFont="1" applyFill="1" applyBorder="1" applyAlignment="1">
      <alignment horizontal="center" vertical="center"/>
    </xf>
    <xf numFmtId="164" fontId="15" fillId="5" borderId="29" xfId="0" applyNumberFormat="1" applyFont="1" applyFill="1" applyBorder="1" applyAlignment="1">
      <alignment horizontal="center" vertical="center"/>
    </xf>
    <xf numFmtId="0" fontId="10" fillId="5" borderId="25" xfId="0" applyFont="1" applyFill="1" applyBorder="1" applyAlignment="1">
      <alignment horizontal="center" vertical="center"/>
    </xf>
    <xf numFmtId="0" fontId="10" fillId="5" borderId="30" xfId="0" applyFont="1" applyFill="1" applyBorder="1" applyAlignment="1">
      <alignment horizontal="center" vertical="center"/>
    </xf>
    <xf numFmtId="0" fontId="10" fillId="5" borderId="28" xfId="0" applyFont="1" applyFill="1" applyBorder="1" applyAlignment="1">
      <alignment horizontal="center" vertical="center"/>
    </xf>
    <xf numFmtId="0" fontId="10" fillId="5" borderId="26" xfId="0" applyFont="1" applyFill="1" applyBorder="1" applyAlignment="1">
      <alignment horizontal="center" vertical="center"/>
    </xf>
    <xf numFmtId="0" fontId="10" fillId="5" borderId="68" xfId="0" applyFont="1" applyFill="1" applyBorder="1" applyAlignment="1">
      <alignment horizontal="center" vertical="center"/>
    </xf>
    <xf numFmtId="0" fontId="10" fillId="5" borderId="29" xfId="0" applyFont="1" applyFill="1" applyBorder="1" applyAlignment="1">
      <alignment horizontal="center" vertical="center"/>
    </xf>
    <xf numFmtId="0" fontId="9" fillId="11" borderId="2" xfId="0" applyFont="1" applyFill="1" applyBorder="1" applyAlignment="1">
      <alignment horizontal="center" vertical="center"/>
    </xf>
    <xf numFmtId="0" fontId="9" fillId="11" borderId="1" xfId="0" applyFont="1" applyFill="1" applyBorder="1" applyAlignment="1">
      <alignment horizontal="center" vertical="center"/>
    </xf>
    <xf numFmtId="0" fontId="9" fillId="11" borderId="3" xfId="0" applyFont="1" applyFill="1" applyBorder="1" applyAlignment="1">
      <alignment horizontal="center" vertical="center"/>
    </xf>
    <xf numFmtId="0" fontId="9" fillId="11" borderId="11" xfId="0" applyFont="1" applyFill="1" applyBorder="1" applyAlignment="1">
      <alignment horizontal="center"/>
    </xf>
    <xf numFmtId="0" fontId="9" fillId="11" borderId="33" xfId="0" applyFont="1" applyFill="1" applyBorder="1" applyAlignment="1">
      <alignment horizontal="center"/>
    </xf>
    <xf numFmtId="0" fontId="9" fillId="11" borderId="34" xfId="0" applyFont="1" applyFill="1" applyBorder="1" applyAlignment="1">
      <alignment horizontal="center"/>
    </xf>
    <xf numFmtId="0" fontId="9" fillId="11" borderId="11" xfId="0" applyFont="1" applyFill="1" applyBorder="1" applyAlignment="1">
      <alignment horizontal="center" vertical="center"/>
    </xf>
    <xf numFmtId="0" fontId="9" fillId="11" borderId="34" xfId="0" applyFont="1" applyFill="1" applyBorder="1" applyAlignment="1">
      <alignment horizontal="center" vertical="center"/>
    </xf>
  </cellXfs>
  <cellStyles count="7">
    <cellStyle name="Normal" xfId="0" builtinId="0"/>
    <cellStyle name="Normal 2" xfId="1" xr:uid="{00000000-0005-0000-0000-000002000000}"/>
    <cellStyle name="Normal 3" xfId="3" xr:uid="{00000000-0005-0000-0000-000003000000}"/>
    <cellStyle name="Normal 4" xfId="4" xr:uid="{00000000-0005-0000-0000-000004000000}"/>
    <cellStyle name="Normal 5" xfId="5" xr:uid="{00000000-0005-0000-0000-000005000000}"/>
    <cellStyle name="Normal 6" xfId="6" xr:uid="{A19F0B02-47E9-4D2C-B3F6-A8C99D86DDDE}"/>
    <cellStyle name="Pourcentage 2" xfId="2" xr:uid="{00000000-0005-0000-0000-000006000000}"/>
  </cellStyles>
  <dxfs count="53">
    <dxf>
      <fill>
        <patternFill>
          <bgColor theme="7" tint="0.59996337778862885"/>
        </patternFill>
      </fill>
    </dxf>
    <dxf>
      <fill>
        <patternFill>
          <bgColor theme="9" tint="0.39994506668294322"/>
        </patternFill>
      </fill>
    </dxf>
    <dxf>
      <fill>
        <patternFill>
          <bgColor theme="8" tint="0.39994506668294322"/>
        </patternFill>
      </fill>
    </dxf>
    <dxf>
      <fill>
        <patternFill patternType="lightUp"/>
      </fill>
    </dxf>
    <dxf>
      <font>
        <b val="0"/>
        <i val="0"/>
      </font>
      <fill>
        <patternFill>
          <bgColor rgb="FFFFFFFF"/>
        </patternFill>
      </fill>
      <border>
        <left style="thin">
          <color rgb="FF000000"/>
        </left>
        <right style="thin">
          <color rgb="FF000000"/>
        </right>
        <top style="thin">
          <color rgb="FF000000"/>
        </top>
        <bottom style="thin">
          <color rgb="FF000000"/>
        </bottom>
      </border>
    </dxf>
    <dxf>
      <font>
        <b val="0"/>
        <i val="0"/>
        <color rgb="FF000000"/>
      </font>
      <fill>
        <patternFill>
          <bgColor rgb="FF000000"/>
        </patternFill>
      </fill>
      <border>
        <left style="thin">
          <color rgb="FF000000"/>
        </left>
        <right style="thin">
          <color rgb="FF000000"/>
        </right>
        <top style="thin">
          <color rgb="FF000000"/>
        </top>
        <bottom style="thin">
          <color rgb="FF000000"/>
        </bottom>
      </border>
    </dxf>
    <dxf>
      <font>
        <color rgb="FF9C0006"/>
      </font>
      <fill>
        <patternFill>
          <bgColor rgb="FFFFC7CE"/>
        </patternFill>
      </fill>
    </dxf>
    <dxf>
      <font>
        <color rgb="FF006100"/>
      </font>
      <fill>
        <patternFill>
          <bgColor rgb="FFC6EFCE"/>
        </patternFill>
      </fill>
    </dxf>
    <dxf>
      <font>
        <b val="0"/>
        <i val="0"/>
        <color rgb="FF000000"/>
      </font>
      <fill>
        <patternFill>
          <bgColor rgb="FFC6EEFF" tint="0.79998168889431442"/>
        </patternFill>
      </fill>
      <border>
        <left style="thin">
          <color rgb="FF000000"/>
        </left>
        <right style="thin">
          <color rgb="FF000000"/>
        </right>
        <top style="thin">
          <color rgb="FF000000"/>
        </top>
        <bottom style="thin">
          <color rgb="FF000000"/>
        </bottom>
      </border>
    </dxf>
    <dxf>
      <font>
        <b val="0"/>
        <i val="0"/>
        <color rgb="FF000000"/>
      </font>
      <fill>
        <patternFill>
          <bgColor rgb="FFC6EEFF" tint="0.79998168889431442"/>
        </patternFill>
      </fill>
      <border>
        <left style="thin">
          <color rgb="FF000000"/>
        </left>
        <right style="thin">
          <color rgb="FF000000"/>
        </right>
        <top style="thin">
          <color rgb="FF000000"/>
        </top>
        <bottom style="thin">
          <color rgb="FF000000"/>
        </bottom>
      </border>
    </dxf>
    <dxf>
      <fill>
        <patternFill>
          <bgColor theme="7" tint="0.59996337778862885"/>
        </patternFill>
      </fill>
    </dxf>
    <dxf>
      <fill>
        <patternFill>
          <bgColor theme="9" tint="0.39994506668294322"/>
        </patternFill>
      </fill>
    </dxf>
    <dxf>
      <fill>
        <patternFill>
          <bgColor theme="8" tint="0.39994506668294322"/>
        </patternFill>
      </fill>
    </dxf>
    <dxf>
      <fill>
        <patternFill patternType="lightUp"/>
      </fill>
    </dxf>
    <dxf>
      <font>
        <color rgb="FF9C0006"/>
      </font>
      <fill>
        <patternFill>
          <bgColor rgb="FFFFC7CE"/>
        </patternFill>
      </fill>
    </dxf>
    <dxf>
      <font>
        <color rgb="FF006100"/>
      </font>
      <fill>
        <patternFill>
          <bgColor rgb="FFC6EFCE"/>
        </patternFill>
      </fill>
    </dxf>
    <dxf>
      <fill>
        <patternFill patternType="mediumGray"/>
      </fill>
    </dxf>
    <dxf>
      <font>
        <color theme="0"/>
      </font>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theme="0"/>
      </font>
      <fill>
        <patternFill>
          <bgColor theme="9" tint="-0.24994659260841701"/>
        </patternFill>
      </fill>
    </dxf>
    <dxf>
      <font>
        <b/>
        <i val="0"/>
      </font>
      <fill>
        <patternFill>
          <bgColor rgb="FFFF9966"/>
        </patternFill>
      </fill>
    </dxf>
    <dxf>
      <font>
        <b/>
        <i val="0"/>
        <color theme="0"/>
      </font>
      <fill>
        <patternFill>
          <bgColor theme="7"/>
        </patternFill>
      </fill>
    </dxf>
    <dxf>
      <fill>
        <patternFill>
          <bgColor theme="7" tint="0.39994506668294322"/>
        </patternFill>
      </fill>
    </dxf>
    <dxf>
      <fill>
        <patternFill>
          <bgColor rgb="FFFF9966"/>
        </patternFill>
      </fill>
    </dxf>
    <dxf>
      <font>
        <color theme="7" tint="-0.499984740745262"/>
      </font>
      <fill>
        <patternFill>
          <bgColor rgb="FFC6EFCE"/>
        </patternFill>
      </fill>
    </dxf>
    <dxf>
      <font>
        <color rgb="FFA50021"/>
      </font>
      <fill>
        <patternFill>
          <bgColor rgb="FFFFC7CE"/>
        </patternFill>
      </fill>
    </dxf>
    <dxf>
      <fill>
        <patternFill>
          <bgColor theme="7" tint="0.59996337778862885"/>
        </patternFill>
      </fill>
    </dxf>
    <dxf>
      <fill>
        <patternFill>
          <bgColor theme="9" tint="0.39994506668294322"/>
        </patternFill>
      </fill>
    </dxf>
    <dxf>
      <font>
        <b/>
        <i val="0"/>
        <color theme="1"/>
      </font>
      <fill>
        <patternFill>
          <bgColor theme="9" tint="-0.24994659260841701"/>
        </patternFill>
      </fill>
    </dxf>
    <dxf>
      <font>
        <b/>
        <i val="0"/>
      </font>
      <fill>
        <patternFill>
          <bgColor rgb="FFFF9966"/>
        </patternFill>
      </fill>
    </dxf>
    <dxf>
      <font>
        <b/>
        <i val="0"/>
        <color theme="1"/>
      </font>
      <fill>
        <patternFill>
          <bgColor theme="7"/>
        </patternFill>
      </fill>
    </dxf>
    <dxf>
      <font>
        <b/>
        <i val="0"/>
        <color theme="0"/>
      </font>
      <fill>
        <patternFill>
          <bgColor theme="9" tint="-0.24994659260841701"/>
        </patternFill>
      </fill>
    </dxf>
    <dxf>
      <font>
        <b/>
        <i val="0"/>
      </font>
      <fill>
        <patternFill>
          <bgColor theme="8" tint="0.59996337778862885"/>
        </patternFill>
      </fill>
    </dxf>
    <dxf>
      <font>
        <b/>
        <i val="0"/>
        <color theme="0"/>
      </font>
      <fill>
        <patternFill>
          <bgColor theme="7"/>
        </patternFill>
      </fill>
    </dxf>
    <dxf>
      <font>
        <b/>
        <i val="0"/>
        <color theme="0"/>
      </font>
      <fill>
        <patternFill>
          <bgColor theme="9" tint="-0.24994659260841701"/>
        </patternFill>
      </fill>
    </dxf>
    <dxf>
      <font>
        <b/>
        <i val="0"/>
      </font>
      <fill>
        <patternFill>
          <bgColor theme="8" tint="0.59996337778862885"/>
        </patternFill>
      </fill>
    </dxf>
    <dxf>
      <font>
        <b/>
        <i val="0"/>
        <color theme="0"/>
      </font>
      <fill>
        <patternFill>
          <bgColor theme="7"/>
        </patternFill>
      </fill>
    </dxf>
    <dxf>
      <font>
        <b/>
        <i val="0"/>
        <color theme="1"/>
      </font>
      <fill>
        <patternFill>
          <bgColor theme="9" tint="-0.24994659260841701"/>
        </patternFill>
      </fill>
    </dxf>
    <dxf>
      <font>
        <b/>
        <i val="0"/>
      </font>
      <fill>
        <patternFill>
          <bgColor rgb="FFFF9966"/>
        </patternFill>
      </fill>
    </dxf>
    <dxf>
      <font>
        <b/>
        <i val="0"/>
        <color theme="1"/>
      </font>
      <fill>
        <patternFill>
          <bgColor theme="7"/>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i val="0"/>
        <color theme="0"/>
      </font>
      <fill>
        <patternFill>
          <bgColor theme="7"/>
        </patternFill>
      </fill>
      <border>
        <left style="thin">
          <color theme="0"/>
        </left>
        <right style="thin">
          <color theme="0"/>
        </right>
        <top style="thin">
          <color theme="0"/>
        </top>
        <bottom style="thin">
          <color theme="0"/>
        </bottom>
      </border>
    </dxf>
    <dxf>
      <font>
        <b/>
        <i val="0"/>
        <color theme="0"/>
      </font>
      <fill>
        <patternFill>
          <bgColor theme="9" tint="-0.24994659260841701"/>
        </patternFill>
      </fill>
      <border>
        <left style="thin">
          <color theme="0"/>
        </left>
        <right style="thin">
          <color theme="0"/>
        </right>
        <top style="thin">
          <color theme="0"/>
        </top>
        <bottom style="thin">
          <color theme="0"/>
        </bottom>
      </border>
    </dxf>
  </dxfs>
  <tableStyles count="0" defaultTableStyle="TableStyleMedium2" defaultPivotStyle="PivotStyleLight16"/>
  <colors>
    <mruColors>
      <color rgb="FFD57A44"/>
      <color rgb="FFFF9966"/>
      <color rgb="FF7AB51C"/>
      <color rgb="FFA50021"/>
      <color rgb="FFFFC7CE"/>
      <color rgb="FFFFCCFF"/>
      <color rgb="FFC6EFCE"/>
      <color rgb="FF76B82A"/>
      <color rgb="FF002DE0"/>
      <color rgb="FF00E0B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40"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19050</xdr:colOff>
      <xdr:row>1</xdr:row>
      <xdr:rowOff>19050</xdr:rowOff>
    </xdr:from>
    <xdr:to>
      <xdr:col>3</xdr:col>
      <xdr:colOff>582246</xdr:colOff>
      <xdr:row>1</xdr:row>
      <xdr:rowOff>818278</xdr:rowOff>
    </xdr:to>
    <xdr:pic>
      <xdr:nvPicPr>
        <xdr:cNvPr id="4" name="Image 3" descr="Logo Les agences de l'eau ferr droite">
          <a:extLst>
            <a:ext uri="{FF2B5EF4-FFF2-40B4-BE49-F238E27FC236}">
              <a16:creationId xmlns:a16="http://schemas.microsoft.com/office/drawing/2014/main" id="{E028F8D4-2DBC-4BCC-BB32-AD7649EA9F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1000" y="142875"/>
          <a:ext cx="1278482" cy="8068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16934</xdr:colOff>
      <xdr:row>1</xdr:row>
      <xdr:rowOff>16933</xdr:rowOff>
    </xdr:from>
    <xdr:to>
      <xdr:col>3</xdr:col>
      <xdr:colOff>618961</xdr:colOff>
      <xdr:row>2</xdr:row>
      <xdr:rowOff>38822</xdr:rowOff>
    </xdr:to>
    <xdr:pic>
      <xdr:nvPicPr>
        <xdr:cNvPr id="2" name="Image 1" descr="Logo Les agences de l'eau ferr droite">
          <a:extLst>
            <a:ext uri="{FF2B5EF4-FFF2-40B4-BE49-F238E27FC236}">
              <a16:creationId xmlns:a16="http://schemas.microsoft.com/office/drawing/2014/main" id="{DC1A8C3C-90C3-4EA4-8123-292DA9B3A5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7934" y="140758"/>
          <a:ext cx="1374774" cy="8696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ODOUL Patrick" id="{B4F875B1-694D-40BA-A3FA-6538D6EDB61E}" userId="S::patrick.odoul@eaurmc.fr::a257c166-9fda-420f-9989-c4df878a8877" providerId="AD"/>
  <person displayName="PELLETIER Clémentine" id="{5FA9D90E-9B90-4400-BDE0-D953E751ACC4}" userId="S::Clementine.PELLETIER@eau-loire-bretagne.fr::00f649e6-0a0a-4289-a39b-586495493301" providerId="AD"/>
</personList>
</file>

<file path=xl/theme/theme1.xml><?xml version="1.0" encoding="utf-8"?>
<a:theme xmlns:a="http://schemas.openxmlformats.org/drawingml/2006/main" name="Thème Office">
  <a:themeElements>
    <a:clrScheme name="Personnalisé 1">
      <a:dk1>
        <a:sysClr val="windowText" lastClr="000000"/>
      </a:dk1>
      <a:lt1>
        <a:sysClr val="window" lastClr="FFFFFF"/>
      </a:lt1>
      <a:dk2>
        <a:srgbClr val="1F497D"/>
      </a:dk2>
      <a:lt2>
        <a:srgbClr val="E6E6E6"/>
      </a:lt2>
      <a:accent1>
        <a:srgbClr val="571CB5"/>
      </a:accent1>
      <a:accent2>
        <a:srgbClr val="8FC4E6"/>
      </a:accent2>
      <a:accent3>
        <a:srgbClr val="009DE0"/>
      </a:accent3>
      <a:accent4>
        <a:srgbClr val="7AB51C"/>
      </a:accent4>
      <a:accent5>
        <a:srgbClr val="E6DC8F"/>
      </a:accent5>
      <a:accent6>
        <a:srgbClr val="E6B08F"/>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Q6" dT="2025-11-07T08:56:56.07" personId="{B4F875B1-694D-40BA-A3FA-6538D6EDB61E}" id="{EE12F811-E84D-4C92-8E0A-A7206D8CC7F4}">
    <text>Cette information n’a pas besoin de figurer au niveau du descriptif, elle est dans l’onglet Analytique</text>
  </threadedComment>
  <threadedComment ref="C8" dT="2025-10-31T16:21:54.40" personId="{B4F875B1-694D-40BA-A3FA-6538D6EDB61E}" id="{AA9503DB-4D1F-4D0D-BE2B-C481379003DF}">
    <text>Produire un fichier vierge de tout équipement réseau et station</text>
  </threadedComment>
  <threadedComment ref="O30" dT="2025-11-07T09:29:08.96" personId="{B4F875B1-694D-40BA-A3FA-6538D6EDB61E}" id="{7E077257-A2EF-4C9A-8D4C-D38302F5EEA0}">
    <text>On a 2 fois le même libellé de colonne O30 et M30 (ainsi que dans les Templates) ce qui prête à confusion, il vaudrait mieux parler de type d’équipement pour M30 et de type de matériel pour O30 (ainsi que dans les Templates)</text>
  </threadedComment>
  <threadedComment ref="J31" dT="2025-11-07T08:59:09.20" personId="{B4F875B1-694D-40BA-A3FA-6538D6EDB61E}" id="{C4F1626C-C343-4846-B744-A6D82428C19A}">
    <text>La formule pointe vers le libellé de l’équipement. Il y a un mélange entre Point de mesure / équipement et code / libellé</text>
  </threadedComment>
  <threadedComment ref="K31" dT="2025-11-07T08:59:48.35" personId="{B4F875B1-694D-40BA-A3FA-6538D6EDB61E}" id="{B04DBC6F-F822-4BF8-A1D9-625814CB1CFC}">
    <text>La formule pointe vers le libellé de l’équipement. Il y a un mélange entre Point de mesure / équipement et code / libellé</text>
  </threadedComment>
  <threadedComment ref="E39" dT="2025-11-07T09:04:43.47" personId="{B4F875B1-694D-40BA-A3FA-6538D6EDB61E}" id="{0FCBE9BA-9353-46EC-AA49-427A6F54FE78}">
    <text>On ne peut pas ajouter d’équipement sur la station s’il n’y en a aucun sur le système de collecte</text>
  </threadedComment>
  <threadedComment ref="C52" dT="2025-10-31T16:37:06.45" personId="{B4F875B1-694D-40BA-A3FA-6538D6EDB61E}" id="{4CDFD801-656E-4EBC-8E19-AF211D24C9AC}">
    <text>Supprimer ce paragraphe, ça fait doublon avec les onglets Qualité et Synthèse, qui plus est on à tendance à vouloir le remplir ce qui écrase les formules</text>
  </threadedComment>
</ThreadedComments>
</file>

<file path=xl/threadedComments/threadedComment8.xml><?xml version="1.0" encoding="utf-8"?>
<ThreadedComments xmlns="http://schemas.microsoft.com/office/spreadsheetml/2018/threadedcomments" xmlns:x="http://schemas.openxmlformats.org/spreadsheetml/2006/main">
  <threadedComment ref="D20" dT="2025-11-07T14:08:50.32" personId="{B4F875B1-694D-40BA-A3FA-6538D6EDB61E}" id="{D4CCEFEA-B1D7-43A6-A8C8-EBB826D465A6}">
    <text>Il manque les questions suivantes :
Nom du(des) laboratoire(s) réalisant les analyses de la matrice eau ?
Nom du laboratoire réalisant l’analyse de la siccités des boues et des matières sèches ?
Le(s) laboratoire(s) est(sont)-il(s) agréé(s) au titre du code de l’environnement pour l’ensemble des paramètres de la matrice eau ?
A défaut, est ce que le laboratoire réalise un exercice concluant d’intercalibration avec un laboratoire agréé ?</text>
  </threadedComment>
  <threadedComment ref="J21" dT="2025-11-07T14:16:39.36" personId="{B4F875B1-694D-40BA-A3FA-6538D6EDB61E}" id="{523D3885-5460-48F3-BFB8-C3B8DA7A8B7D}">
    <text xml:space="preserve">Rajouter une formule pour remplir cette cellule en fonction des résultats aux 2 questions précédente (à rajouter). </text>
  </threadedComment>
  <threadedComment ref="C30" dT="2025-11-07T14:20:43.01" personId="{B4F875B1-694D-40BA-A3FA-6538D6EDB61E}" id="{FB9BA56C-9BB4-42CB-9B1F-330CFC72F3D9}">
    <text>Module non testé</text>
  </threadedComment>
  <threadedComment ref="D33" dT="2025-11-07T15:15:31.76" personId="{B4F875B1-694D-40BA-A3FA-6538D6EDB61E}" id="{712DB4BA-90E4-419F-B85B-5B6F5E63F79A}">
    <text>Voir l’intérêt de cette information</text>
  </threadedComment>
  <threadedComment ref="K33" dT="2025-11-07T15:15:41.07" personId="{B4F875B1-694D-40BA-A3FA-6538D6EDB61E}" id="{6C5B93C2-CFE8-49C4-B775-8A450B4F4F8C}">
    <text>Voir l’intérêt de cette information</text>
  </threadedComment>
  <threadedComment ref="D37" dT="2025-11-07T15:16:33.83" personId="{B4F875B1-694D-40BA-A3FA-6538D6EDB61E}" id="{270FE892-3A84-4948-9E4C-C650A0D050DB}">
    <text>Il convient de faire apparaître le point de prélèvement (Entrée station, Sortie station, Boues, etc …)</text>
  </threadedComment>
  <threadedComment ref="D38" dT="2025-11-07T15:18:34.84" personId="{B4F875B1-694D-40BA-A3FA-6538D6EDB61E}" id="{0734DA72-B4A5-416D-A1B5-2A7AC9025C45}">
    <text>Il manque le NGL, Métox, AOX et COT sont inutiles pour les collectivités</text>
  </threadedComment>
  <threadedComment ref="M39" dT="2025-11-07T15:25:25.71" personId="{B4F875B1-694D-40BA-A3FA-6538D6EDB61E}" id="{86A84E34-9762-45E3-90FD-C586B4E261EF}">
    <text>Le nombre d’analyses réalisées n’est pas à compter sur la colonne M mais sur la colonne G</text>
  </threadedComment>
  <threadedComment ref="O41" dT="2025-11-07T15:24:42.22" personId="{B4F875B1-694D-40BA-A3FA-6538D6EDB61E}" id="{6068CCF3-0DB9-4CE5-A320-C66FE45BBBB5}">
    <text>Ces cellules doivent se remplir «automatiquement» en fonction des EMT (Cf. le fichier des industriels).</text>
  </threadedComment>
</ThreadedComments>
</file>

<file path=xl/threadedComments/threadedComment9.xml><?xml version="1.0" encoding="utf-8"?>
<ThreadedComments xmlns="http://schemas.microsoft.com/office/spreadsheetml/2018/threadedcomments" xmlns:x="http://schemas.openxmlformats.org/spreadsheetml/2006/main">
  <threadedComment ref="E18" dT="2025-10-31T16:44:54.40" personId="{B4F875B1-694D-40BA-A3FA-6538D6EDB61E}" id="{D8175C3C-A09E-4F39-A30D-46145E61CB51}">
    <text>Pour les lignes 2 à 7 enlever (à jour, validé ou en cours d’expertise) à la fin des phrases</text>
  </threadedComment>
  <threadedComment ref="E33" dT="2025-10-31T16:52:11.21" personId="{B4F875B1-694D-40BA-A3FA-6538D6EDB61E}" id="{6E779EBC-A10C-4F4A-8D19-E0D67D1390DB}">
    <text>Enlever la fin de la phrase « et les résultats analytiques sont-ils déposés selon le scénario d’échange en vigueur »</text>
  </threadedComment>
  <threadedComment ref="L34" dT="2025-10-31T16:53:56.53" personId="{B4F875B1-694D-40BA-A3FA-6538D6EDB61E}" id="{2A80A92D-CA33-4F3A-8726-62F6EEB6A27E}">
    <text>Supprimer la ligne, ça fait doublon avec la ligne précédente</text>
  </threadedComment>
</ThreadedComments>
</file>

<file path=xl/threadedComments/threadedComment10.xml><?xml version="1.0" encoding="utf-8"?>
<ThreadedComments xmlns="http://schemas.microsoft.com/office/spreadsheetml/2018/threadedcomments" xmlns:x="http://schemas.openxmlformats.org/spreadsheetml/2006/main">
  <threadedComment ref="I12" dT="2025-11-07T08:45:32.58" personId="{B4F875B1-694D-40BA-A3FA-6538D6EDB61E}" id="{FBC7F5DD-5FA2-438C-A9B8-A26BE939FEF8}">
    <text>Verrouiller toutes les cellules avec des formules</text>
  </threadedComment>
  <threadedComment ref="G17" dT="2025-11-07T14:29:14.14" personId="{B4F875B1-694D-40BA-A3FA-6538D6EDB61E}" id="{C8DCE332-75DA-4DA2-89F8-2648339154DA}">
    <text>Rajouter à la fin de la phrase «ou en cours d’expertise»</text>
  </threadedComment>
  <threadedComment ref="K17" dT="2025-10-31T16:37:53.33" personId="{B4F875B1-694D-40BA-A3FA-6538D6EDB61E}" id="{F25581D5-1145-4727-9499-AAA8921C098A}">
    <text>Aller chercher l’information dans l’onglet Qualité</text>
  </threadedComment>
  <threadedComment ref="K18" dT="2025-10-31T16:38:04.94" personId="{B4F875B1-694D-40BA-A3FA-6538D6EDB61E}" id="{FE8E1DF2-1420-428A-AC48-8E3C1A2874CF}">
    <text>Idem</text>
  </threadedComment>
  <threadedComment ref="G22" dT="2025-11-07T14:39:47.30" personId="{B4F875B1-694D-40BA-A3FA-6538D6EDB61E}" id="{572509B3-59D2-4D23-8E1B-13D3C97207A8}">
    <text>Il manque une ligne sur les analyses à alimenter en fonction du score à la cellule Q21 de l’onglet «Analytique». Il manque également une conclusion globale en fonction du score à la cellule J24 de l’onglet «Analytique»</text>
  </threadedComment>
  <threadedComment ref="P22" dT="2025-11-07T14:41:25.40" personId="{B4F875B1-694D-40BA-A3FA-6538D6EDB61E}" id="{A63100E8-DF0B-403C-A538-A2E77565E6DB}">
    <text>A voir comment on alimente ce point, voire si on le conserve</text>
  </threadedComment>
  <threadedComment ref="G32" dT="2025-11-07T14:42:46.45" personId="{B4F875B1-694D-40BA-A3FA-6538D6EDB61E}" id="{ECD12205-531F-427D-8560-7B37AAED15FE}">
    <text>Les informations ne remontent pas des onglets TEMP</text>
  </threadedComment>
  <threadedComment ref="P32" dT="2025-11-07T14:43:14.62" personId="{B4F875B1-694D-40BA-A3FA-6538D6EDB61E}" id="{254127BD-21EC-4567-840C-CC90CD2C03AA}">
    <text>Les informations ne remontent pas des onglets PLUVIO</text>
  </threadedComment>
  <threadedComment ref="C46" dT="2025-11-07T14:45:35.02" personId="{B4F875B1-694D-40BA-A3FA-6538D6EDB61E}" id="{EE03F8C0-62EA-459F-9A41-6370D1CF9253}">
    <text>A voir en GT2 si l’on conserve cette présentation plus détaillée, mais les cellules commentaires risquent d’être trop petites</text>
  </threadedComment>
</ThreadedComments>
</file>

<file path=xl/threadedComments/threadedComment12.xml><?xml version="1.0" encoding="utf-8"?>
<ThreadedComments xmlns="http://schemas.microsoft.com/office/spreadsheetml/2018/threadedcomments" xmlns:x="http://schemas.openxmlformats.org/spreadsheetml/2006/main">
  <threadedComment ref="J27" dT="2023-11-24T10:15:44.48" personId="{5FA9D90E-9B90-4400-BDE0-D953E751ACC4}" id="{B4132B75-E79F-4C91-84CF-E3DED874F9F6}">
    <text>En attente du retour de RMC si % ou mg/l</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microsoft.com/office/2017/10/relationships/threadedComment" Target="../threadedComments/threadedComment10.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9.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 Id="rId4" Type="http://schemas.microsoft.com/office/2017/10/relationships/threadedComment" Target="../threadedComments/threadedComment8.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4" Type="http://schemas.microsoft.com/office/2017/10/relationships/threadedComment" Target="../threadedComments/threadedComment12.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12">
    <tabColor rgb="FFC00000"/>
  </sheetPr>
  <dimension ref="A1:AM92"/>
  <sheetViews>
    <sheetView showGridLines="0" tabSelected="1" topLeftCell="I1" zoomScaleNormal="100" workbookViewId="0">
      <pane ySplit="7" topLeftCell="A35" activePane="bottomLeft" state="frozen"/>
      <selection pane="bottomLeft" activeCell="Q5" sqref="Q5:R5"/>
    </sheetView>
  </sheetViews>
  <sheetFormatPr baseColWidth="10" defaultColWidth="11.41015625" defaultRowHeight="20.100000000000001" customHeight="1" outlineLevelRow="1" x14ac:dyDescent="0.45"/>
  <cols>
    <col min="1" max="2" width="2.703125" style="224" customWidth="1"/>
    <col min="3" max="5" width="10.703125" style="224" customWidth="1"/>
    <col min="6" max="8" width="12.64453125" style="224" customWidth="1"/>
    <col min="9" max="9" width="10.703125" style="224" customWidth="1"/>
    <col min="10" max="10" width="15.46875" style="224" customWidth="1"/>
    <col min="11" max="11" width="10.703125" style="224" customWidth="1"/>
    <col min="12" max="13" width="12.64453125" style="224" customWidth="1"/>
    <col min="14" max="16" width="10.703125" style="224" customWidth="1"/>
    <col min="17" max="18" width="12.64453125" style="224" customWidth="1"/>
    <col min="19" max="19" width="13.46875" style="224" customWidth="1"/>
    <col min="20" max="20" width="22.29296875" style="224" customWidth="1"/>
    <col min="21" max="21" width="14.64453125" style="224" customWidth="1"/>
    <col min="22" max="22" width="12.8203125" style="224" customWidth="1"/>
    <col min="23" max="23" width="2.703125" style="224" customWidth="1"/>
    <col min="24" max="24" width="2.703125" style="318" customWidth="1"/>
    <col min="25" max="25" width="26.234375" style="318" customWidth="1"/>
    <col min="26" max="28" width="11.41015625" style="318"/>
    <col min="29" max="30" width="16.41015625" style="318" customWidth="1"/>
    <col min="31" max="31" width="18.1171875" style="318" customWidth="1"/>
    <col min="32" max="32" width="16.41015625" style="318" customWidth="1"/>
    <col min="33" max="36" width="12.703125" style="318" customWidth="1"/>
    <col min="37" max="39" width="11.41015625" style="318"/>
    <col min="40" max="16384" width="11.41015625" style="224"/>
  </cols>
  <sheetData>
    <row r="1" spans="1:36" ht="9.9499999999999993" customHeight="1" thickBot="1" x14ac:dyDescent="0.6">
      <c r="A1" s="222"/>
      <c r="B1" s="246"/>
      <c r="C1" s="247"/>
      <c r="D1" s="248"/>
      <c r="E1" s="248"/>
      <c r="F1" s="248"/>
      <c r="G1" s="248"/>
      <c r="H1" s="248"/>
      <c r="I1" s="248"/>
      <c r="J1" s="248"/>
      <c r="K1" s="248"/>
      <c r="L1" s="248"/>
      <c r="M1" s="248"/>
      <c r="N1" s="248"/>
      <c r="O1" s="248"/>
      <c r="P1" s="248"/>
      <c r="Q1" s="248"/>
      <c r="R1" s="248"/>
      <c r="S1" s="248"/>
      <c r="T1" s="248"/>
      <c r="U1" s="248"/>
      <c r="V1" s="248"/>
      <c r="W1" s="249"/>
      <c r="X1" s="471"/>
      <c r="Y1" s="471"/>
      <c r="Z1" s="471"/>
      <c r="AA1" s="471"/>
      <c r="AB1" s="471"/>
      <c r="AC1" s="472" t="s">
        <v>319</v>
      </c>
      <c r="AD1" s="472" t="s">
        <v>319</v>
      </c>
      <c r="AE1" s="472" t="s">
        <v>319</v>
      </c>
      <c r="AF1" s="472" t="s">
        <v>319</v>
      </c>
      <c r="AG1" s="472" t="s">
        <v>319</v>
      </c>
      <c r="AH1" s="472" t="s">
        <v>319</v>
      </c>
      <c r="AI1" s="472" t="s">
        <v>319</v>
      </c>
      <c r="AJ1" s="472" t="s">
        <v>319</v>
      </c>
    </row>
    <row r="2" spans="1:36" ht="66.95" customHeight="1" thickTop="1" x14ac:dyDescent="0.45">
      <c r="A2" s="225"/>
      <c r="B2" s="250"/>
      <c r="C2" s="484" t="s">
        <v>386</v>
      </c>
      <c r="D2" s="485"/>
      <c r="E2" s="485"/>
      <c r="F2" s="485"/>
      <c r="G2" s="485"/>
      <c r="H2" s="485"/>
      <c r="I2" s="485"/>
      <c r="J2" s="485"/>
      <c r="K2" s="485"/>
      <c r="L2" s="485"/>
      <c r="M2" s="485"/>
      <c r="N2" s="485"/>
      <c r="O2" s="485"/>
      <c r="P2" s="485"/>
      <c r="Q2" s="485"/>
      <c r="R2" s="485"/>
      <c r="S2" s="485"/>
      <c r="T2" s="485"/>
      <c r="U2" s="485"/>
      <c r="V2" s="486"/>
      <c r="W2" s="251"/>
      <c r="X2" s="473"/>
      <c r="Y2" s="473"/>
      <c r="Z2" s="473"/>
      <c r="AA2" s="473"/>
      <c r="AB2" s="473"/>
      <c r="AC2" s="474" t="s">
        <v>327</v>
      </c>
      <c r="AD2" s="474">
        <f>ROW(E13)+1</f>
        <v>14</v>
      </c>
      <c r="AE2" s="474" t="s">
        <v>329</v>
      </c>
      <c r="AF2" s="474">
        <f>ROW(D15)-1</f>
        <v>14</v>
      </c>
      <c r="AG2" s="311" t="s">
        <v>488</v>
      </c>
      <c r="AH2" s="311">
        <f>ROW(E22)+1</f>
        <v>23</v>
      </c>
      <c r="AI2" s="311">
        <f>ROW(D24)-1</f>
        <v>23</v>
      </c>
      <c r="AJ2" s="311"/>
    </row>
    <row r="3" spans="1:36" ht="24" customHeight="1" x14ac:dyDescent="0.45">
      <c r="A3" s="226"/>
      <c r="B3" s="250"/>
      <c r="C3" s="479" t="s">
        <v>387</v>
      </c>
      <c r="D3" s="480"/>
      <c r="E3" s="483"/>
      <c r="F3" s="491" t="s">
        <v>473</v>
      </c>
      <c r="G3" s="492"/>
      <c r="H3" s="492"/>
      <c r="I3" s="479" t="s">
        <v>396</v>
      </c>
      <c r="J3" s="480"/>
      <c r="K3" s="483"/>
      <c r="L3" s="491" t="s">
        <v>473</v>
      </c>
      <c r="M3" s="492"/>
      <c r="N3" s="479" t="s">
        <v>393</v>
      </c>
      <c r="O3" s="480"/>
      <c r="P3" s="483"/>
      <c r="Q3" s="487" t="s">
        <v>505</v>
      </c>
      <c r="R3" s="488"/>
      <c r="S3" s="479" t="s">
        <v>385</v>
      </c>
      <c r="T3" s="480"/>
      <c r="U3" s="489" t="s">
        <v>475</v>
      </c>
      <c r="V3" s="490"/>
      <c r="W3" s="252"/>
      <c r="X3" s="473"/>
      <c r="Y3" s="473"/>
      <c r="Z3" s="472"/>
      <c r="AA3" s="472"/>
      <c r="AB3" s="475"/>
      <c r="AC3" s="474" t="s">
        <v>328</v>
      </c>
      <c r="AD3" s="474">
        <f>ROW(E33)+1</f>
        <v>34</v>
      </c>
      <c r="AE3" s="476" t="s">
        <v>330</v>
      </c>
      <c r="AF3" s="476">
        <f>ROW(D35)-1</f>
        <v>34</v>
      </c>
      <c r="AG3" s="311" t="s">
        <v>489</v>
      </c>
      <c r="AH3" s="311">
        <f>ROW(E42)+1</f>
        <v>43</v>
      </c>
      <c r="AI3" s="311">
        <f>ROW(D44)-1</f>
        <v>43</v>
      </c>
    </row>
    <row r="4" spans="1:36" ht="24" customHeight="1" x14ac:dyDescent="0.45">
      <c r="A4" s="226"/>
      <c r="B4" s="250"/>
      <c r="C4" s="479" t="s">
        <v>388</v>
      </c>
      <c r="D4" s="480"/>
      <c r="E4" s="483"/>
      <c r="F4" s="491" t="s">
        <v>502</v>
      </c>
      <c r="G4" s="492"/>
      <c r="H4" s="492"/>
      <c r="I4" s="479" t="s">
        <v>390</v>
      </c>
      <c r="J4" s="480"/>
      <c r="K4" s="483"/>
      <c r="L4" s="493" t="s">
        <v>476</v>
      </c>
      <c r="M4" s="494"/>
      <c r="N4" s="479" t="s">
        <v>394</v>
      </c>
      <c r="O4" s="480"/>
      <c r="P4" s="483"/>
      <c r="Q4" s="487" t="s">
        <v>503</v>
      </c>
      <c r="R4" s="488"/>
      <c r="S4" s="479" t="s">
        <v>525</v>
      </c>
      <c r="T4" s="480"/>
      <c r="U4" s="495" t="s">
        <v>506</v>
      </c>
      <c r="V4" s="496"/>
      <c r="W4" s="253"/>
      <c r="X4" s="472"/>
      <c r="Y4" s="472"/>
      <c r="Z4" s="472"/>
      <c r="AA4" s="472"/>
      <c r="AB4" s="475"/>
      <c r="AC4" s="476"/>
      <c r="AD4" s="476"/>
      <c r="AE4" s="476"/>
      <c r="AF4" s="476"/>
      <c r="AG4" s="311"/>
      <c r="AH4" s="311"/>
      <c r="AI4" s="311"/>
      <c r="AJ4" s="311"/>
    </row>
    <row r="5" spans="1:36" ht="24" customHeight="1" x14ac:dyDescent="0.45">
      <c r="A5" s="226"/>
      <c r="B5" s="250" t="s">
        <v>95</v>
      </c>
      <c r="C5" s="479" t="s">
        <v>389</v>
      </c>
      <c r="D5" s="480"/>
      <c r="E5" s="483"/>
      <c r="F5" s="491" t="s">
        <v>474</v>
      </c>
      <c r="G5" s="492"/>
      <c r="H5" s="492"/>
      <c r="I5" s="479" t="s">
        <v>528</v>
      </c>
      <c r="J5" s="480"/>
      <c r="K5" s="483"/>
      <c r="L5" s="491" t="s">
        <v>523</v>
      </c>
      <c r="M5" s="492"/>
      <c r="N5" s="479" t="s">
        <v>524</v>
      </c>
      <c r="O5" s="480"/>
      <c r="P5" s="483"/>
      <c r="Q5" s="523" t="s">
        <v>544</v>
      </c>
      <c r="R5" s="524"/>
      <c r="S5" s="479" t="s">
        <v>526</v>
      </c>
      <c r="T5" s="480"/>
      <c r="U5" s="522">
        <v>46006</v>
      </c>
      <c r="V5" s="490"/>
      <c r="W5" s="253"/>
      <c r="X5" s="472"/>
      <c r="Y5" s="472"/>
      <c r="Z5" s="472"/>
      <c r="AA5" s="472"/>
      <c r="AB5" s="477"/>
      <c r="AC5" s="476"/>
      <c r="AD5" s="476"/>
      <c r="AE5" s="476"/>
      <c r="AF5" s="476"/>
    </row>
    <row r="6" spans="1:36" ht="24" customHeight="1" thickBot="1" x14ac:dyDescent="0.5">
      <c r="A6" s="226"/>
      <c r="B6" s="250"/>
      <c r="C6" s="479" t="s">
        <v>392</v>
      </c>
      <c r="D6" s="480"/>
      <c r="E6" s="483"/>
      <c r="F6" s="510" t="s">
        <v>522</v>
      </c>
      <c r="G6" s="511"/>
      <c r="H6" s="511"/>
      <c r="I6" s="479" t="s">
        <v>391</v>
      </c>
      <c r="J6" s="480"/>
      <c r="K6" s="483"/>
      <c r="L6" s="491" t="s">
        <v>477</v>
      </c>
      <c r="M6" s="492"/>
      <c r="N6" s="479" t="s">
        <v>395</v>
      </c>
      <c r="O6" s="480"/>
      <c r="P6" s="483"/>
      <c r="Q6" s="487" t="s">
        <v>504</v>
      </c>
      <c r="R6" s="488"/>
      <c r="S6" s="481" t="s">
        <v>527</v>
      </c>
      <c r="T6" s="482"/>
      <c r="U6" s="528" t="s">
        <v>507</v>
      </c>
      <c r="V6" s="529"/>
      <c r="W6" s="253"/>
      <c r="X6" s="472"/>
      <c r="Y6" s="472"/>
      <c r="Z6" s="472"/>
      <c r="AA6" s="472"/>
      <c r="AB6" s="477"/>
      <c r="AC6" s="476"/>
      <c r="AD6" s="476"/>
      <c r="AE6" s="476"/>
      <c r="AF6" s="476"/>
    </row>
    <row r="7" spans="1:36" ht="9.9499999999999993" customHeight="1" thickTop="1" thickBot="1" x14ac:dyDescent="0.5">
      <c r="A7" s="226"/>
      <c r="B7" s="250"/>
      <c r="C7" s="223"/>
      <c r="D7" s="525"/>
      <c r="E7" s="525"/>
      <c r="F7" s="526"/>
      <c r="G7" s="526"/>
      <c r="H7" s="525"/>
      <c r="I7" s="525"/>
      <c r="J7" s="527"/>
      <c r="K7" s="527"/>
      <c r="L7" s="227"/>
      <c r="M7" s="227"/>
      <c r="N7" s="228"/>
      <c r="O7" s="228"/>
      <c r="P7" s="228"/>
      <c r="Q7" s="228"/>
      <c r="R7" s="228"/>
      <c r="S7" s="228"/>
      <c r="T7" s="228"/>
      <c r="U7" s="228"/>
      <c r="V7" s="228"/>
      <c r="W7" s="253"/>
      <c r="X7" s="472"/>
      <c r="Y7" s="472"/>
      <c r="Z7" s="472"/>
      <c r="AA7" s="472"/>
      <c r="AB7" s="477"/>
      <c r="AC7" s="476"/>
      <c r="AD7" s="476"/>
      <c r="AE7" s="476"/>
      <c r="AF7" s="476"/>
    </row>
    <row r="8" spans="1:36" ht="20.100000000000001" customHeight="1" thickTop="1" thickBot="1" x14ac:dyDescent="0.5">
      <c r="B8" s="250"/>
      <c r="C8" s="513" t="s">
        <v>398</v>
      </c>
      <c r="D8" s="514"/>
      <c r="E8" s="514"/>
      <c r="F8" s="514"/>
      <c r="G8" s="514"/>
      <c r="H8" s="514"/>
      <c r="I8" s="514"/>
      <c r="J8" s="514"/>
      <c r="K8" s="514"/>
      <c r="L8" s="514"/>
      <c r="M8" s="514"/>
      <c r="N8" s="514"/>
      <c r="O8" s="514"/>
      <c r="P8" s="514"/>
      <c r="Q8" s="514"/>
      <c r="R8" s="514"/>
      <c r="S8" s="514"/>
      <c r="T8" s="514"/>
      <c r="U8" s="514"/>
      <c r="V8" s="515"/>
      <c r="W8" s="254"/>
      <c r="AC8" s="478"/>
      <c r="AD8" s="478"/>
      <c r="AE8" s="478"/>
      <c r="AF8" s="478"/>
    </row>
    <row r="9" spans="1:36" ht="20.100000000000001" customHeight="1" outlineLevel="1" thickTop="1" thickBot="1" x14ac:dyDescent="0.5">
      <c r="B9" s="250"/>
      <c r="C9" s="280"/>
      <c r="D9" s="229"/>
      <c r="E9" s="229"/>
      <c r="F9" s="229"/>
      <c r="G9" s="229"/>
      <c r="H9" s="229"/>
      <c r="I9" s="229"/>
      <c r="J9" s="229"/>
      <c r="K9" s="229"/>
      <c r="L9" s="229"/>
      <c r="M9" s="229"/>
      <c r="N9" s="229"/>
      <c r="O9" s="229"/>
      <c r="P9" s="229"/>
      <c r="Q9" s="229"/>
      <c r="R9" s="229"/>
      <c r="S9" s="229"/>
      <c r="T9" s="229"/>
      <c r="U9" s="229"/>
      <c r="V9" s="281"/>
      <c r="W9" s="254"/>
      <c r="AC9" s="478"/>
      <c r="AD9" s="478"/>
      <c r="AE9" s="478"/>
      <c r="AF9" s="478"/>
    </row>
    <row r="10" spans="1:36" ht="20.100000000000001" customHeight="1" outlineLevel="1" thickTop="1" thickBot="1" x14ac:dyDescent="0.5">
      <c r="B10" s="250"/>
      <c r="C10" s="280"/>
      <c r="D10" s="308" t="s">
        <v>547</v>
      </c>
      <c r="E10" s="309"/>
      <c r="F10" s="309"/>
      <c r="G10" s="309"/>
      <c r="H10" s="309"/>
      <c r="I10" s="309"/>
      <c r="J10" s="309"/>
      <c r="K10" s="309"/>
      <c r="L10" s="309"/>
      <c r="M10" s="309"/>
      <c r="N10" s="309"/>
      <c r="O10" s="309"/>
      <c r="P10" s="309"/>
      <c r="Q10" s="309"/>
      <c r="R10" s="309"/>
      <c r="S10" s="309"/>
      <c r="T10" s="309"/>
      <c r="U10" s="310"/>
      <c r="V10" s="281"/>
      <c r="W10" s="254"/>
      <c r="AC10" s="478"/>
      <c r="AD10" s="478"/>
      <c r="AE10" s="478"/>
      <c r="AF10" s="478"/>
    </row>
    <row r="11" spans="1:36" ht="20.100000000000001" customHeight="1" outlineLevel="1" thickTop="1" x14ac:dyDescent="0.45">
      <c r="B11" s="250"/>
      <c r="C11" s="280"/>
      <c r="D11" s="235"/>
      <c r="E11" s="229"/>
      <c r="F11" s="229"/>
      <c r="G11" s="229"/>
      <c r="H11" s="229"/>
      <c r="I11" s="229"/>
      <c r="J11" s="229"/>
      <c r="K11" s="229"/>
      <c r="L11" s="229"/>
      <c r="M11" s="264"/>
      <c r="N11" s="229"/>
      <c r="O11" s="229"/>
      <c r="P11" s="229"/>
      <c r="Q11" s="229"/>
      <c r="R11" s="229"/>
      <c r="S11" s="229"/>
      <c r="T11" s="229"/>
      <c r="U11" s="236"/>
      <c r="V11" s="281"/>
      <c r="W11" s="254"/>
      <c r="AC11" s="478"/>
      <c r="AD11" s="478"/>
      <c r="AE11" s="478"/>
      <c r="AF11" s="478"/>
    </row>
    <row r="12" spans="1:36" ht="20.100000000000001" customHeight="1" outlineLevel="1" x14ac:dyDescent="0.5">
      <c r="B12" s="250"/>
      <c r="C12" s="280"/>
      <c r="D12" s="235"/>
      <c r="E12" s="417"/>
      <c r="F12" s="229"/>
      <c r="G12" s="229"/>
      <c r="H12" s="518" t="s">
        <v>514</v>
      </c>
      <c r="I12" s="518"/>
      <c r="J12" s="518"/>
      <c r="K12" s="518"/>
      <c r="L12" s="518"/>
      <c r="M12" s="518"/>
      <c r="N12" s="518"/>
      <c r="O12" s="518"/>
      <c r="P12" s="518"/>
      <c r="Q12" s="518"/>
      <c r="R12" s="229"/>
      <c r="S12" s="229"/>
      <c r="T12" s="229"/>
      <c r="U12" s="236"/>
      <c r="V12" s="281"/>
      <c r="W12" s="254"/>
    </row>
    <row r="13" spans="1:36" ht="44.35" customHeight="1" outlineLevel="1" x14ac:dyDescent="0.45">
      <c r="B13" s="250"/>
      <c r="C13" s="280"/>
      <c r="D13" s="237"/>
      <c r="E13" s="263" t="s">
        <v>185</v>
      </c>
      <c r="F13" s="503" t="s">
        <v>400</v>
      </c>
      <c r="G13" s="503"/>
      <c r="H13" s="288" t="s">
        <v>382</v>
      </c>
      <c r="I13" s="288" t="s">
        <v>399</v>
      </c>
      <c r="J13" s="288" t="s">
        <v>559</v>
      </c>
      <c r="K13" s="503" t="s">
        <v>515</v>
      </c>
      <c r="L13" s="503"/>
      <c r="M13" s="503" t="s">
        <v>471</v>
      </c>
      <c r="N13" s="503"/>
      <c r="O13" s="503" t="s">
        <v>481</v>
      </c>
      <c r="P13" s="503"/>
      <c r="Q13" s="505" t="s">
        <v>512</v>
      </c>
      <c r="R13" s="505"/>
      <c r="S13" s="506" t="s">
        <v>511</v>
      </c>
      <c r="T13" s="507"/>
      <c r="U13" s="238"/>
      <c r="V13" s="281"/>
      <c r="W13" s="254"/>
      <c r="AC13" s="504" t="s">
        <v>324</v>
      </c>
      <c r="AD13" s="504"/>
      <c r="AE13" s="504" t="s">
        <v>325</v>
      </c>
      <c r="AF13" s="504"/>
      <c r="AG13" s="504" t="s">
        <v>384</v>
      </c>
      <c r="AH13" s="504"/>
      <c r="AI13" s="504" t="s">
        <v>383</v>
      </c>
      <c r="AJ13" s="504"/>
    </row>
    <row r="14" spans="1:36" ht="20" customHeight="1" outlineLevel="1" x14ac:dyDescent="0.45">
      <c r="B14" s="250"/>
      <c r="C14" s="280"/>
      <c r="D14" s="239"/>
      <c r="E14" s="232"/>
      <c r="F14" s="232"/>
      <c r="G14" s="232"/>
      <c r="H14" s="232"/>
      <c r="I14" s="232"/>
      <c r="J14" s="232"/>
      <c r="K14" s="232"/>
      <c r="L14" s="233"/>
      <c r="M14" s="233"/>
      <c r="N14" s="232"/>
      <c r="O14" s="232"/>
      <c r="P14" s="232"/>
      <c r="Q14" s="232"/>
      <c r="R14" s="232"/>
      <c r="S14" s="232"/>
      <c r="T14" s="232"/>
      <c r="U14" s="238"/>
      <c r="V14" s="281"/>
      <c r="W14" s="254"/>
      <c r="AB14" s="318">
        <f t="shared" ref="AB14:AB43" si="0">ROW(A14)- $AD$2 +1</f>
        <v>1</v>
      </c>
      <c r="AC14" s="374" t="str">
        <f t="shared" ref="AC14:AC43" si="1">IF(AND($E14="Oui",$M14="Préleveur"),$F14,"")</f>
        <v/>
      </c>
      <c r="AD14" s="374" t="str" cm="1">
        <f t="array" aca="1" ref="AD14" ca="1">IFERROR(INDEX($AC$14:$AC$102,SMALL(IF($AC$14:$AC$102&lt;&gt;"",ROW($AC$14:$AC$102)-ROW(INDIRECT("$AC$14"))+1),ROW(INDIRECT("A" &amp; AB14 ) ))),"")</f>
        <v/>
      </c>
      <c r="AE14" s="374" t="str">
        <f t="shared" ref="AE14:AE43" si="2">IF(AND($E14="Oui",LEFT($M14,10) ="Débitmètre"),$F14,"")</f>
        <v/>
      </c>
      <c r="AF14" s="374" t="str" cm="1">
        <f t="array" aca="1" ref="AF14" ca="1">IFERROR(INDEX($AE$14:$AE$102,SMALL(IF($AE$14:$AE$102&lt;&gt;"",ROW($AE$14:$AE$102)-ROW(INDIRECT("$AE$14"))+1),ROW(INDIRECT("A" &amp; AB14 ) ))),"")</f>
        <v/>
      </c>
      <c r="AG14" s="374" t="str">
        <f t="shared" ref="AG14:AG43" si="3">IF(AND($E14="Oui",LEFT($M14,5) ="Sonde"),$F14,"")</f>
        <v/>
      </c>
      <c r="AH14" s="374" t="str" cm="1">
        <f t="array" aca="1" ref="AH14" ca="1">IFERROR(INDEX($AG$14:$AG$102,SMALL(IF($AG$14:$AG$102&lt;&gt;"",ROW($AG$14:$AG$102)-ROW(INDIRECT("$AG$14"))+1),ROW(INDIRECT("A" &amp; AB14 ) ))),"")</f>
        <v/>
      </c>
      <c r="AI14" s="374" t="str">
        <f t="shared" ref="AI14:AI43" si="4">IF(AND($E14="Oui", $F14 &lt;&gt; "", $M14 = ""),$F14,"")</f>
        <v/>
      </c>
      <c r="AJ14" s="374" t="str" cm="1">
        <f t="array" aca="1" ref="AJ14" ca="1">IFERROR(INDEX($AI$14:$AI$102,SMALL(IF($AI$14:$AI$102&lt;&gt;"",ROW($AI$14:$AI$102)-ROW(INDIRECT("$AI$14"))+1),ROW(INDIRECT("A" &amp; AB14 ) ))),"")</f>
        <v/>
      </c>
    </row>
    <row r="15" spans="1:36" ht="20.100000000000001" customHeight="1" outlineLevel="1" x14ac:dyDescent="0.5">
      <c r="B15" s="250"/>
      <c r="C15" s="280"/>
      <c r="D15" s="239"/>
      <c r="E15" s="500" t="s">
        <v>186</v>
      </c>
      <c r="F15" s="501"/>
      <c r="G15" s="502"/>
      <c r="H15" s="234"/>
      <c r="I15" s="232"/>
      <c r="J15" s="234"/>
      <c r="K15" s="518" t="s">
        <v>513</v>
      </c>
      <c r="L15" s="518"/>
      <c r="M15" s="518"/>
      <c r="N15" s="518"/>
      <c r="O15" s="518"/>
      <c r="P15" s="518"/>
      <c r="Q15" s="518"/>
      <c r="R15" s="518"/>
      <c r="S15" s="518"/>
      <c r="T15" s="518"/>
      <c r="U15" s="238"/>
      <c r="V15" s="281"/>
      <c r="W15" s="254"/>
      <c r="AB15" s="318">
        <f t="shared" si="0"/>
        <v>2</v>
      </c>
      <c r="AC15" s="374" t="str">
        <f t="shared" si="1"/>
        <v/>
      </c>
      <c r="AD15" s="374" t="str" cm="1">
        <f t="array" aca="1" ref="AD15" ca="1">IFERROR(INDEX($AC$14:$AC$102,SMALL(IF($AC$14:$AC$102&lt;&gt;"",ROW($AC$14:$AC$102)-ROW(INDIRECT("$AC$14"))+1),ROW(INDIRECT("A" &amp; AB15 ) ))),"")</f>
        <v/>
      </c>
      <c r="AE15" s="374" t="str">
        <f t="shared" si="2"/>
        <v/>
      </c>
      <c r="AF15" s="374" t="str" cm="1">
        <f t="array" aca="1" ref="AF15" ca="1">IFERROR(INDEX($AE$14:$AE$102,SMALL(IF($AE$14:$AE$102&lt;&gt;"",ROW($AE$14:$AE$102)-ROW(INDIRECT("$AE$14"))+1),ROW(INDIRECT("A" &amp; AB15 ) ))),"")</f>
        <v/>
      </c>
      <c r="AG15" s="374" t="str">
        <f t="shared" si="3"/>
        <v/>
      </c>
      <c r="AH15" s="374" t="str" cm="1">
        <f t="array" aca="1" ref="AH15" ca="1">IFERROR(INDEX($AG$14:$AG$102,SMALL(IF($AG$14:$AG$102&lt;&gt;"",ROW($AG$14:$AG$102)-ROW(INDIRECT("$AG$14"))+1),ROW(INDIRECT("A" &amp; AB15 ) ))),"")</f>
        <v/>
      </c>
      <c r="AI15" s="374" t="str">
        <f t="shared" si="4"/>
        <v/>
      </c>
      <c r="AJ15" s="374" t="str" cm="1">
        <f t="array" aca="1" ref="AJ15" ca="1">IFERROR(INDEX($AI$14:$AI$102,SMALL(IF($AI$14:$AI$102&lt;&gt;"",ROW($AI$14:$AI$102)-ROW(INDIRECT("$AI$14"))+1),ROW(INDIRECT("A" &amp; AB15 ) ))),"")</f>
        <v/>
      </c>
    </row>
    <row r="16" spans="1:36" ht="20.100000000000001" customHeight="1" outlineLevel="1" x14ac:dyDescent="0.45">
      <c r="B16" s="250"/>
      <c r="C16" s="280"/>
      <c r="D16" s="239"/>
      <c r="E16" s="234"/>
      <c r="F16" s="234"/>
      <c r="G16" s="234"/>
      <c r="H16" s="234"/>
      <c r="I16" s="232"/>
      <c r="J16" s="234"/>
      <c r="K16" s="536"/>
      <c r="L16" s="537"/>
      <c r="M16" s="537"/>
      <c r="N16" s="537"/>
      <c r="O16" s="537"/>
      <c r="P16" s="537"/>
      <c r="Q16" s="537"/>
      <c r="R16" s="537"/>
      <c r="S16" s="537"/>
      <c r="T16" s="538"/>
      <c r="U16" s="238"/>
      <c r="V16" s="281"/>
      <c r="W16" s="254"/>
      <c r="AB16" s="318">
        <f t="shared" si="0"/>
        <v>3</v>
      </c>
      <c r="AC16" s="374" t="str">
        <f t="shared" si="1"/>
        <v/>
      </c>
      <c r="AD16" s="374" t="str" cm="1">
        <f t="array" aca="1" ref="AD16" ca="1">IFERROR(INDEX($AC$14:$AC$102,SMALL(IF($AC$14:$AC$102&lt;&gt;"",ROW($AC$14:$AC$102)-ROW(INDIRECT("$AC$14"))+1),ROW(INDIRECT("A" &amp; AB16 ) ))),"")</f>
        <v/>
      </c>
      <c r="AE16" s="374" t="str">
        <f t="shared" si="2"/>
        <v/>
      </c>
      <c r="AF16" s="374" t="str" cm="1">
        <f t="array" aca="1" ref="AF16" ca="1">IFERROR(INDEX($AE$14:$AE$102,SMALL(IF($AE$14:$AE$102&lt;&gt;"",ROW($AE$14:$AE$102)-ROW(INDIRECT("$AE$14"))+1),ROW(INDIRECT("A" &amp; AB16 ) ))),"")</f>
        <v/>
      </c>
      <c r="AG16" s="374" t="str">
        <f t="shared" si="3"/>
        <v/>
      </c>
      <c r="AH16" s="374" t="str" cm="1">
        <f t="array" aca="1" ref="AH16" ca="1">IFERROR(INDEX($AG$14:$AG$102,SMALL(IF($AG$14:$AG$102&lt;&gt;"",ROW($AG$14:$AG$102)-ROW(INDIRECT("$AG$14"))+1),ROW(INDIRECT("A" &amp; AB16 ) ))),"")</f>
        <v/>
      </c>
      <c r="AI16" s="374" t="str">
        <f t="shared" si="4"/>
        <v/>
      </c>
      <c r="AJ16" s="374" t="str" cm="1">
        <f t="array" aca="1" ref="AJ16" ca="1">IFERROR(INDEX($AI$14:$AI$102,SMALL(IF($AI$14:$AI$102&lt;&gt;"",ROW($AI$14:$AI$102)-ROW(INDIRECT("$AI$14"))+1),ROW(INDIRECT("A" &amp; AB16 ) ))),"")</f>
        <v/>
      </c>
    </row>
    <row r="17" spans="2:36" ht="20.100000000000001" customHeight="1" outlineLevel="1" x14ac:dyDescent="0.45">
      <c r="B17" s="250"/>
      <c r="C17" s="280"/>
      <c r="D17" s="239"/>
      <c r="E17" s="234"/>
      <c r="F17" s="234"/>
      <c r="G17" s="234"/>
      <c r="H17" s="234"/>
      <c r="I17" s="232"/>
      <c r="J17" s="234"/>
      <c r="K17" s="539"/>
      <c r="L17" s="540"/>
      <c r="M17" s="540"/>
      <c r="N17" s="540"/>
      <c r="O17" s="540"/>
      <c r="P17" s="540"/>
      <c r="Q17" s="540"/>
      <c r="R17" s="540"/>
      <c r="S17" s="540"/>
      <c r="T17" s="541"/>
      <c r="U17" s="238"/>
      <c r="V17" s="281"/>
      <c r="W17" s="254"/>
      <c r="AB17" s="318">
        <f t="shared" si="0"/>
        <v>4</v>
      </c>
      <c r="AC17" s="374" t="str">
        <f t="shared" si="1"/>
        <v/>
      </c>
      <c r="AD17" s="374" t="str" cm="1">
        <f t="array" aca="1" ref="AD17" ca="1">IFERROR(INDEX($AC$14:$AC$102,SMALL(IF($AC$14:$AC$102&lt;&gt;"",ROW($AC$14:$AC$102)-ROW(INDIRECT("$AC$14"))+1),ROW(INDIRECT("A" &amp; AB17 ) ))),"")</f>
        <v/>
      </c>
      <c r="AE17" s="374" t="str">
        <f t="shared" si="2"/>
        <v/>
      </c>
      <c r="AF17" s="374" t="str" cm="1">
        <f t="array" aca="1" ref="AF17" ca="1">IFERROR(INDEX($AE$14:$AE$102,SMALL(IF($AE$14:$AE$102&lt;&gt;"",ROW($AE$14:$AE$102)-ROW(INDIRECT("$AE$14"))+1),ROW(INDIRECT("A" &amp; AB17 ) ))),"")</f>
        <v/>
      </c>
      <c r="AG17" s="374" t="str">
        <f t="shared" si="3"/>
        <v/>
      </c>
      <c r="AH17" s="374" t="str" cm="1">
        <f t="array" aca="1" ref="AH17" ca="1">IFERROR(INDEX($AG$14:$AG$102,SMALL(IF($AG$14:$AG$102&lt;&gt;"",ROW($AG$14:$AG$102)-ROW(INDIRECT("$AG$14"))+1),ROW(INDIRECT("A" &amp; AB17 ) ))),"")</f>
        <v/>
      </c>
      <c r="AI17" s="374" t="str">
        <f t="shared" si="4"/>
        <v/>
      </c>
      <c r="AJ17" s="374" t="str" cm="1">
        <f t="array" aca="1" ref="AJ17" ca="1">IFERROR(INDEX($AI$14:$AI$102,SMALL(IF($AI$14:$AI$102&lt;&gt;"",ROW($AI$14:$AI$102)-ROW(INDIRECT("$AI$14"))+1),ROW(INDIRECT("A" &amp; AB17 ) ))),"")</f>
        <v/>
      </c>
    </row>
    <row r="18" spans="2:36" ht="20.100000000000001" customHeight="1" outlineLevel="1" thickBot="1" x14ac:dyDescent="0.5">
      <c r="B18" s="250"/>
      <c r="C18" s="280"/>
      <c r="D18" s="240"/>
      <c r="E18" s="241"/>
      <c r="F18" s="242"/>
      <c r="G18" s="243"/>
      <c r="H18" s="243"/>
      <c r="I18" s="243"/>
      <c r="J18" s="243"/>
      <c r="K18" s="243"/>
      <c r="L18" s="243"/>
      <c r="M18" s="244"/>
      <c r="N18" s="243"/>
      <c r="O18" s="243"/>
      <c r="P18" s="243"/>
      <c r="Q18" s="243"/>
      <c r="R18" s="243"/>
      <c r="S18" s="243"/>
      <c r="T18" s="243"/>
      <c r="U18" s="245"/>
      <c r="V18" s="281"/>
      <c r="W18" s="254"/>
      <c r="AB18" s="318">
        <f t="shared" si="0"/>
        <v>5</v>
      </c>
      <c r="AC18" s="374" t="str">
        <f t="shared" si="1"/>
        <v/>
      </c>
      <c r="AD18" s="374" t="str" cm="1">
        <f t="array" aca="1" ref="AD18" ca="1">IFERROR(INDEX($AC$14:$AC$102,SMALL(IF($AC$14:$AC$102&lt;&gt;"",ROW($AC$14:$AC$102)-ROW(INDIRECT("$AC$14"))+1),ROW(INDIRECT("A" &amp; AB18 ) ))),"")</f>
        <v/>
      </c>
      <c r="AE18" s="374" t="str">
        <f t="shared" si="2"/>
        <v/>
      </c>
      <c r="AF18" s="374" t="str" cm="1">
        <f t="array" aca="1" ref="AF18" ca="1">IFERROR(INDEX($AE$14:$AE$102,SMALL(IF($AE$14:$AE$102&lt;&gt;"",ROW($AE$14:$AE$102)-ROW(INDIRECT("$AE$14"))+1),ROW(INDIRECT("A" &amp; AB18 ) ))),"")</f>
        <v/>
      </c>
      <c r="AG18" s="374" t="str">
        <f t="shared" si="3"/>
        <v/>
      </c>
      <c r="AH18" s="374" t="str" cm="1">
        <f t="array" aca="1" ref="AH18" ca="1">IFERROR(INDEX($AG$14:$AG$102,SMALL(IF($AG$14:$AG$102&lt;&gt;"",ROW($AG$14:$AG$102)-ROW(INDIRECT("$AG$14"))+1),ROW(INDIRECT("A" &amp; AB18 ) ))),"")</f>
        <v/>
      </c>
      <c r="AI18" s="374" t="str">
        <f t="shared" si="4"/>
        <v/>
      </c>
      <c r="AJ18" s="374" t="str" cm="1">
        <f t="array" aca="1" ref="AJ18" ca="1">IFERROR(INDEX($AI$14:$AI$102,SMALL(IF($AI$14:$AI$102&lt;&gt;"",ROW($AI$14:$AI$102)-ROW(INDIRECT("$AI$14"))+1),ROW(INDIRECT("A" &amp; AB18 ) ))),"")</f>
        <v/>
      </c>
    </row>
    <row r="19" spans="2:36" ht="20.100000000000001" customHeight="1" outlineLevel="1" thickTop="1" thickBot="1" x14ac:dyDescent="0.5">
      <c r="B19" s="250"/>
      <c r="C19" s="280"/>
      <c r="D19" s="234"/>
      <c r="E19" s="265"/>
      <c r="F19" s="234"/>
      <c r="G19" s="232"/>
      <c r="H19" s="232"/>
      <c r="I19" s="232"/>
      <c r="J19" s="232"/>
      <c r="K19" s="232"/>
      <c r="L19" s="232"/>
      <c r="M19" s="266"/>
      <c r="N19" s="232"/>
      <c r="O19" s="232"/>
      <c r="P19" s="232"/>
      <c r="Q19" s="232"/>
      <c r="R19" s="232"/>
      <c r="S19" s="232"/>
      <c r="T19" s="232"/>
      <c r="U19" s="232"/>
      <c r="V19" s="281"/>
      <c r="W19" s="254"/>
      <c r="AB19" s="318">
        <f t="shared" si="0"/>
        <v>6</v>
      </c>
      <c r="AC19" s="374" t="str">
        <f t="shared" si="1"/>
        <v/>
      </c>
      <c r="AD19" s="374" t="str" cm="1">
        <f t="array" aca="1" ref="AD19" ca="1">IFERROR(INDEX($AC$14:$AC$102,SMALL(IF($AC$14:$AC$102&lt;&gt;"",ROW($AC$14:$AC$102)-ROW(INDIRECT("$AC$14"))+1),ROW(INDIRECT("A" &amp; AB19 ) ))),"")</f>
        <v/>
      </c>
      <c r="AE19" s="374" t="str">
        <f t="shared" si="2"/>
        <v/>
      </c>
      <c r="AF19" s="374" t="str" cm="1">
        <f t="array" aca="1" ref="AF19" ca="1">IFERROR(INDEX($AE$14:$AE$102,SMALL(IF($AE$14:$AE$102&lt;&gt;"",ROW($AE$14:$AE$102)-ROW(INDIRECT("$AE$14"))+1),ROW(INDIRECT("A" &amp; AB19 ) ))),"")</f>
        <v/>
      </c>
      <c r="AG19" s="374" t="str">
        <f t="shared" si="3"/>
        <v/>
      </c>
      <c r="AH19" s="374" t="str" cm="1">
        <f t="array" aca="1" ref="AH19" ca="1">IFERROR(INDEX($AG$14:$AG$102,SMALL(IF($AG$14:$AG$102&lt;&gt;"",ROW($AG$14:$AG$102)-ROW(INDIRECT("$AG$14"))+1),ROW(INDIRECT("A" &amp; AB19 ) ))),"")</f>
        <v/>
      </c>
      <c r="AI19" s="374" t="str">
        <f t="shared" si="4"/>
        <v/>
      </c>
      <c r="AJ19" s="374" t="str" cm="1">
        <f t="array" aca="1" ref="AJ19" ca="1">IFERROR(INDEX($AI$14:$AI$102,SMALL(IF($AI$14:$AI$102&lt;&gt;"",ROW($AI$14:$AI$102)-ROW(INDIRECT("$AI$14"))+1),ROW(INDIRECT("A" &amp; AB19 ) ))),"")</f>
        <v/>
      </c>
    </row>
    <row r="20" spans="2:36" ht="20.100000000000001" customHeight="1" outlineLevel="1" thickTop="1" thickBot="1" x14ac:dyDescent="0.5">
      <c r="B20" s="250"/>
      <c r="C20" s="280"/>
      <c r="D20" s="308" t="s">
        <v>509</v>
      </c>
      <c r="E20" s="309"/>
      <c r="F20" s="309"/>
      <c r="G20" s="309"/>
      <c r="H20" s="309"/>
      <c r="I20" s="309"/>
      <c r="J20" s="309"/>
      <c r="K20" s="309"/>
      <c r="L20" s="309"/>
      <c r="M20" s="309"/>
      <c r="N20" s="309"/>
      <c r="O20" s="309"/>
      <c r="P20" s="309"/>
      <c r="Q20" s="309"/>
      <c r="R20" s="309"/>
      <c r="S20" s="309"/>
      <c r="T20" s="309"/>
      <c r="U20" s="310"/>
      <c r="V20" s="281"/>
      <c r="W20" s="254"/>
      <c r="AB20" s="318">
        <f t="shared" si="0"/>
        <v>7</v>
      </c>
      <c r="AC20" s="374" t="str">
        <f t="shared" si="1"/>
        <v/>
      </c>
      <c r="AD20" s="374" t="str" cm="1">
        <f t="array" aca="1" ref="AD20" ca="1">IFERROR(INDEX($AC$14:$AC$102,SMALL(IF($AC$14:$AC$102&lt;&gt;"",ROW($AC$14:$AC$102)-ROW(INDIRECT("$AC$14"))+1),ROW(INDIRECT("A" &amp; AB20 ) ))),"")</f>
        <v/>
      </c>
      <c r="AE20" s="374" t="str">
        <f t="shared" si="2"/>
        <v/>
      </c>
      <c r="AF20" s="374" t="str" cm="1">
        <f t="array" aca="1" ref="AF20" ca="1">IFERROR(INDEX($AE$14:$AE$102,SMALL(IF($AE$14:$AE$102&lt;&gt;"",ROW($AE$14:$AE$102)-ROW(INDIRECT("$AE$14"))+1),ROW(INDIRECT("A" &amp; AB20 ) ))),"")</f>
        <v/>
      </c>
      <c r="AG20" s="374" t="str">
        <f t="shared" si="3"/>
        <v/>
      </c>
      <c r="AH20" s="374" t="str" cm="1">
        <f t="array" aca="1" ref="AH20" ca="1">IFERROR(INDEX($AG$14:$AG$102,SMALL(IF($AG$14:$AG$102&lt;&gt;"",ROW($AG$14:$AG$102)-ROW(INDIRECT("$AG$14"))+1),ROW(INDIRECT("A" &amp; AB20 ) ))),"")</f>
        <v/>
      </c>
      <c r="AI20" s="374" t="str">
        <f t="shared" si="4"/>
        <v/>
      </c>
      <c r="AJ20" s="374" t="str" cm="1">
        <f t="array" aca="1" ref="AJ20" ca="1">IFERROR(INDEX($AI$14:$AI$102,SMALL(IF($AI$14:$AI$102&lt;&gt;"",ROW($AI$14:$AI$102)-ROW(INDIRECT("$AI$14"))+1),ROW(INDIRECT("A" &amp; AB20 ) ))),"")</f>
        <v/>
      </c>
    </row>
    <row r="21" spans="2:36" ht="20.100000000000001" customHeight="1" outlineLevel="1" thickTop="1" x14ac:dyDescent="0.45">
      <c r="B21" s="250"/>
      <c r="C21" s="280"/>
      <c r="D21" s="271"/>
      <c r="E21" s="268"/>
      <c r="F21" s="268"/>
      <c r="G21" s="268"/>
      <c r="H21" s="268"/>
      <c r="I21" s="268"/>
      <c r="J21" s="268"/>
      <c r="K21" s="268"/>
      <c r="L21" s="268"/>
      <c r="M21" s="268"/>
      <c r="N21" s="268"/>
      <c r="O21" s="268"/>
      <c r="P21" s="268"/>
      <c r="Q21" s="268"/>
      <c r="R21" s="268"/>
      <c r="S21" s="268"/>
      <c r="T21" s="268"/>
      <c r="U21" s="272"/>
      <c r="V21" s="282"/>
      <c r="W21" s="254"/>
      <c r="AB21" s="318">
        <f t="shared" si="0"/>
        <v>8</v>
      </c>
      <c r="AC21" s="374" t="str">
        <f t="shared" si="1"/>
        <v/>
      </c>
      <c r="AD21" s="374" t="str" cm="1">
        <f t="array" aca="1" ref="AD21" ca="1">IFERROR(INDEX($AC$14:$AC$102,SMALL(IF($AC$14:$AC$102&lt;&gt;"",ROW($AC$14:$AC$102)-ROW(INDIRECT("$AC$14"))+1),ROW(INDIRECT("A" &amp; AB21 ) ))),"")</f>
        <v/>
      </c>
      <c r="AE21" s="374" t="str">
        <f t="shared" si="2"/>
        <v/>
      </c>
      <c r="AF21" s="374" t="str" cm="1">
        <f t="array" aca="1" ref="AF21" ca="1">IFERROR(INDEX($AE$14:$AE$102,SMALL(IF($AE$14:$AE$102&lt;&gt;"",ROW($AE$14:$AE$102)-ROW(INDIRECT("$AE$14"))+1),ROW(INDIRECT("A" &amp; AB21 ) ))),"")</f>
        <v/>
      </c>
      <c r="AG21" s="374" t="str">
        <f t="shared" si="3"/>
        <v/>
      </c>
      <c r="AH21" s="374" t="str" cm="1">
        <f t="array" aca="1" ref="AH21" ca="1">IFERROR(INDEX($AG$14:$AG$102,SMALL(IF($AG$14:$AG$102&lt;&gt;"",ROW($AG$14:$AG$102)-ROW(INDIRECT("$AG$14"))+1),ROW(INDIRECT("A" &amp; AB21 ) ))),"")</f>
        <v/>
      </c>
      <c r="AI21" s="374" t="str">
        <f t="shared" si="4"/>
        <v/>
      </c>
      <c r="AJ21" s="374" t="str" cm="1">
        <f t="array" aca="1" ref="AJ21" ca="1">IFERROR(INDEX($AI$14:$AI$102,SMALL(IF($AI$14:$AI$102&lt;&gt;"",ROW($AI$14:$AI$102)-ROW(INDIRECT("$AI$14"))+1),ROW(INDIRECT("A" &amp; AB21 ) ))),"")</f>
        <v/>
      </c>
    </row>
    <row r="22" spans="2:36" ht="30" customHeight="1" outlineLevel="1" x14ac:dyDescent="0.45">
      <c r="B22" s="250"/>
      <c r="C22" s="280"/>
      <c r="D22" s="271"/>
      <c r="E22" s="263" t="s">
        <v>185</v>
      </c>
      <c r="F22" s="516" t="s">
        <v>400</v>
      </c>
      <c r="G22" s="517"/>
      <c r="H22" s="287"/>
      <c r="I22" s="270"/>
      <c r="J22" s="270"/>
      <c r="K22" s="268"/>
      <c r="L22" s="268"/>
      <c r="M22" s="268"/>
      <c r="N22" s="268"/>
      <c r="O22" s="268"/>
      <c r="P22" s="268"/>
      <c r="Q22" s="268"/>
      <c r="R22" s="268"/>
      <c r="S22" s="268"/>
      <c r="T22" s="268"/>
      <c r="U22" s="272"/>
      <c r="V22" s="282"/>
      <c r="W22" s="254"/>
      <c r="AB22" s="318">
        <f t="shared" si="0"/>
        <v>9</v>
      </c>
      <c r="AC22" s="374" t="str">
        <f t="shared" si="1"/>
        <v/>
      </c>
      <c r="AD22" s="374" t="str" cm="1">
        <f t="array" aca="1" ref="AD22" ca="1">IFERROR(INDEX($AC$14:$AC$102,SMALL(IF($AC$14:$AC$102&lt;&gt;"",ROW($AC$14:$AC$102)-ROW(INDIRECT("$AC$14"))+1),ROW(INDIRECT("A" &amp; AB22 ) ))),"")</f>
        <v/>
      </c>
      <c r="AE22" s="374" t="str">
        <f t="shared" si="2"/>
        <v/>
      </c>
      <c r="AF22" s="374" t="str" cm="1">
        <f t="array" aca="1" ref="AF22" ca="1">IFERROR(INDEX($AE$14:$AE$102,SMALL(IF($AE$14:$AE$102&lt;&gt;"",ROW($AE$14:$AE$102)-ROW(INDIRECT("$AE$14"))+1),ROW(INDIRECT("A" &amp; AB22 ) ))),"")</f>
        <v/>
      </c>
      <c r="AG22" s="374" t="str">
        <f t="shared" si="3"/>
        <v/>
      </c>
      <c r="AH22" s="374" t="str" cm="1">
        <f t="array" aca="1" ref="AH22" ca="1">IFERROR(INDEX($AG$14:$AG$102,SMALL(IF($AG$14:$AG$102&lt;&gt;"",ROW($AG$14:$AG$102)-ROW(INDIRECT("$AG$14"))+1),ROW(INDIRECT("A" &amp; AB22 ) ))),"")</f>
        <v/>
      </c>
      <c r="AI22" s="374" t="str">
        <f t="shared" si="4"/>
        <v/>
      </c>
      <c r="AJ22" s="374" t="str" cm="1">
        <f t="array" aca="1" ref="AJ22" ca="1">IFERROR(INDEX($AI$14:$AI$102,SMALL(IF($AI$14:$AI$102&lt;&gt;"",ROW($AI$14:$AI$102)-ROW(INDIRECT("$AI$14"))+1),ROW(INDIRECT("A" &amp; AB22 ) ))),"")</f>
        <v/>
      </c>
    </row>
    <row r="23" spans="2:36" ht="15.7" customHeight="1" outlineLevel="1" x14ac:dyDescent="0.45">
      <c r="B23" s="250"/>
      <c r="C23" s="280"/>
      <c r="D23" s="271"/>
      <c r="E23" s="268"/>
      <c r="F23" s="268"/>
      <c r="G23" s="268"/>
      <c r="H23" s="268"/>
      <c r="I23" s="268"/>
      <c r="J23" s="268"/>
      <c r="K23" s="268"/>
      <c r="L23" s="268"/>
      <c r="M23" s="268"/>
      <c r="N23" s="268"/>
      <c r="O23" s="268"/>
      <c r="P23" s="268"/>
      <c r="Q23" s="268"/>
      <c r="R23" s="268"/>
      <c r="S23" s="268"/>
      <c r="T23" s="268"/>
      <c r="U23" s="272"/>
      <c r="V23" s="282"/>
      <c r="W23" s="254"/>
      <c r="AB23" s="318">
        <f t="shared" si="0"/>
        <v>10</v>
      </c>
      <c r="AC23" s="374" t="str">
        <f t="shared" si="1"/>
        <v/>
      </c>
      <c r="AD23" s="374" t="str" cm="1">
        <f t="array" aca="1" ref="AD23" ca="1">IFERROR(INDEX($AC$14:$AC$102,SMALL(IF($AC$14:$AC$102&lt;&gt;"",ROW($AC$14:$AC$102)-ROW(INDIRECT("$AC$14"))+1),ROW(INDIRECT("A" &amp; AB23 ) ))),"")</f>
        <v/>
      </c>
      <c r="AE23" s="374" t="str">
        <f t="shared" si="2"/>
        <v/>
      </c>
      <c r="AF23" s="374" t="str" cm="1">
        <f t="array" aca="1" ref="AF23" ca="1">IFERROR(INDEX($AE$14:$AE$102,SMALL(IF($AE$14:$AE$102&lt;&gt;"",ROW($AE$14:$AE$102)-ROW(INDIRECT("$AE$14"))+1),ROW(INDIRECT("A" &amp; AB23 ) ))),"")</f>
        <v/>
      </c>
      <c r="AG23" s="374" t="str">
        <f t="shared" si="3"/>
        <v/>
      </c>
      <c r="AH23" s="374" t="str" cm="1">
        <f t="array" aca="1" ref="AH23" ca="1">IFERROR(INDEX($AG$14:$AG$102,SMALL(IF($AG$14:$AG$102&lt;&gt;"",ROW($AG$14:$AG$102)-ROW(INDIRECT("$AG$14"))+1),ROW(INDIRECT("A" &amp; AB23 ) ))),"")</f>
        <v/>
      </c>
      <c r="AI23" s="374" t="str">
        <f t="shared" si="4"/>
        <v/>
      </c>
      <c r="AJ23" s="374" t="str" cm="1">
        <f t="array" aca="1" ref="AJ23" ca="1">IFERROR(INDEX($AI$14:$AI$102,SMALL(IF($AI$14:$AI$102&lt;&gt;"",ROW($AI$14:$AI$102)-ROW(INDIRECT("$AI$14"))+1),ROW(INDIRECT("A" &amp; AB23 ) ))),"")</f>
        <v/>
      </c>
    </row>
    <row r="24" spans="2:36" ht="20" customHeight="1" outlineLevel="1" x14ac:dyDescent="0.5">
      <c r="B24" s="250"/>
      <c r="C24" s="280"/>
      <c r="D24" s="274"/>
      <c r="E24" s="519" t="s">
        <v>299</v>
      </c>
      <c r="F24" s="520"/>
      <c r="G24" s="521"/>
      <c r="H24" s="233"/>
      <c r="I24" s="233"/>
      <c r="J24" s="233"/>
      <c r="K24" s="518" t="s">
        <v>401</v>
      </c>
      <c r="L24" s="518"/>
      <c r="M24" s="518"/>
      <c r="N24" s="518"/>
      <c r="O24" s="518"/>
      <c r="P24" s="518"/>
      <c r="Q24" s="518"/>
      <c r="R24" s="518"/>
      <c r="S24" s="518"/>
      <c r="T24" s="518"/>
      <c r="U24" s="273"/>
      <c r="V24" s="282"/>
      <c r="W24" s="254"/>
      <c r="AB24" s="318">
        <f t="shared" si="0"/>
        <v>11</v>
      </c>
      <c r="AC24" s="374" t="str">
        <f t="shared" si="1"/>
        <v/>
      </c>
      <c r="AD24" s="374" t="str" cm="1">
        <f t="array" aca="1" ref="AD24" ca="1">IFERROR(INDEX($AC$14:$AC$102,SMALL(IF($AC$14:$AC$102&lt;&gt;"",ROW($AC$14:$AC$102)-ROW(INDIRECT("$AC$14"))+1),ROW(INDIRECT("A" &amp; AB24 ) ))),"")</f>
        <v/>
      </c>
      <c r="AE24" s="374" t="str">
        <f t="shared" si="2"/>
        <v/>
      </c>
      <c r="AF24" s="374" t="str" cm="1">
        <f t="array" aca="1" ref="AF24" ca="1">IFERROR(INDEX($AE$14:$AE$102,SMALL(IF($AE$14:$AE$102&lt;&gt;"",ROW($AE$14:$AE$102)-ROW(INDIRECT("$AE$14"))+1),ROW(INDIRECT("A" &amp; AB24 ) ))),"")</f>
        <v/>
      </c>
      <c r="AG24" s="374" t="str">
        <f t="shared" si="3"/>
        <v/>
      </c>
      <c r="AH24" s="374" t="str" cm="1">
        <f t="array" aca="1" ref="AH24" ca="1">IFERROR(INDEX($AG$14:$AG$102,SMALL(IF($AG$14:$AG$102&lt;&gt;"",ROW($AG$14:$AG$102)-ROW(INDIRECT("$AG$14"))+1),ROW(INDIRECT("A" &amp; AB24 ) ))),"")</f>
        <v/>
      </c>
      <c r="AI24" s="374" t="str">
        <f t="shared" si="4"/>
        <v/>
      </c>
      <c r="AJ24" s="374" t="str" cm="1">
        <f t="array" aca="1" ref="AJ24" ca="1">IFERROR(INDEX($AI$14:$AI$102,SMALL(IF($AI$14:$AI$102&lt;&gt;"",ROW($AI$14:$AI$102)-ROW(INDIRECT("$AI$14"))+1),ROW(INDIRECT("A" &amp; AB24 ) ))),"")</f>
        <v/>
      </c>
    </row>
    <row r="25" spans="2:36" ht="39.950000000000003" customHeight="1" outlineLevel="1" x14ac:dyDescent="0.45">
      <c r="B25" s="250"/>
      <c r="C25" s="280"/>
      <c r="D25" s="275"/>
      <c r="E25" s="266"/>
      <c r="F25" s="233"/>
      <c r="G25" s="267"/>
      <c r="H25" s="267"/>
      <c r="I25" s="267"/>
      <c r="J25" s="267"/>
      <c r="K25" s="497"/>
      <c r="L25" s="498"/>
      <c r="M25" s="498"/>
      <c r="N25" s="498"/>
      <c r="O25" s="498"/>
      <c r="P25" s="498"/>
      <c r="Q25" s="498"/>
      <c r="R25" s="498"/>
      <c r="S25" s="498"/>
      <c r="T25" s="499"/>
      <c r="U25" s="273"/>
      <c r="V25" s="282"/>
      <c r="W25" s="254"/>
      <c r="AB25" s="318">
        <f t="shared" si="0"/>
        <v>12</v>
      </c>
      <c r="AC25" s="374" t="str">
        <f t="shared" si="1"/>
        <v/>
      </c>
      <c r="AD25" s="374" t="str" cm="1">
        <f t="array" aca="1" ref="AD25" ca="1">IFERROR(INDEX($AC$14:$AC$102,SMALL(IF($AC$14:$AC$102&lt;&gt;"",ROW($AC$14:$AC$102)-ROW(INDIRECT("$AC$14"))+1),ROW(INDIRECT("A" &amp; AB25 ) ))),"")</f>
        <v/>
      </c>
      <c r="AE25" s="374" t="str">
        <f t="shared" si="2"/>
        <v/>
      </c>
      <c r="AF25" s="374" t="str" cm="1">
        <f t="array" aca="1" ref="AF25" ca="1">IFERROR(INDEX($AE$14:$AE$102,SMALL(IF($AE$14:$AE$102&lt;&gt;"",ROW($AE$14:$AE$102)-ROW(INDIRECT("$AE$14"))+1),ROW(INDIRECT("A" &amp; AB25 ) ))),"")</f>
        <v/>
      </c>
      <c r="AG25" s="374" t="str">
        <f t="shared" si="3"/>
        <v/>
      </c>
      <c r="AH25" s="374" t="str" cm="1">
        <f t="array" aca="1" ref="AH25" ca="1">IFERROR(INDEX($AG$14:$AG$102,SMALL(IF($AG$14:$AG$102&lt;&gt;"",ROW($AG$14:$AG$102)-ROW(INDIRECT("$AG$14"))+1),ROW(INDIRECT("A" &amp; AB25 ) ))),"")</f>
        <v/>
      </c>
      <c r="AI25" s="374" t="str">
        <f t="shared" si="4"/>
        <v/>
      </c>
      <c r="AJ25" s="374" t="str" cm="1">
        <f t="array" aca="1" ref="AJ25" ca="1">IFERROR(INDEX($AI$14:$AI$102,SMALL(IF($AI$14:$AI$102&lt;&gt;"",ROW($AI$14:$AI$102)-ROW(INDIRECT("$AI$14"))+1),ROW(INDIRECT("A" &amp; AB25 ) ))),"")</f>
        <v/>
      </c>
    </row>
    <row r="26" spans="2:36" ht="20.100000000000001" customHeight="1" outlineLevel="1" thickBot="1" x14ac:dyDescent="0.5">
      <c r="B26" s="250"/>
      <c r="C26" s="280"/>
      <c r="D26" s="276"/>
      <c r="E26" s="277"/>
      <c r="F26" s="277"/>
      <c r="G26" s="278"/>
      <c r="H26" s="278"/>
      <c r="I26" s="278"/>
      <c r="J26" s="278"/>
      <c r="K26" s="277"/>
      <c r="L26" s="277"/>
      <c r="M26" s="244"/>
      <c r="N26" s="277"/>
      <c r="O26" s="277"/>
      <c r="P26" s="277"/>
      <c r="Q26" s="277"/>
      <c r="R26" s="277"/>
      <c r="S26" s="277"/>
      <c r="T26" s="277"/>
      <c r="U26" s="279"/>
      <c r="V26" s="282"/>
      <c r="W26" s="254"/>
      <c r="AB26" s="318">
        <f t="shared" si="0"/>
        <v>13</v>
      </c>
      <c r="AC26" s="374" t="str">
        <f t="shared" si="1"/>
        <v/>
      </c>
      <c r="AD26" s="374" t="str" cm="1">
        <f t="array" aca="1" ref="AD26" ca="1">IFERROR(INDEX($AC$14:$AC$102,SMALL(IF($AC$14:$AC$102&lt;&gt;"",ROW($AC$14:$AC$102)-ROW(INDIRECT("$AC$14"))+1),ROW(INDIRECT("A" &amp; AB26 ) ))),"")</f>
        <v/>
      </c>
      <c r="AE26" s="374" t="str">
        <f t="shared" si="2"/>
        <v/>
      </c>
      <c r="AF26" s="374" t="str" cm="1">
        <f t="array" aca="1" ref="AF26" ca="1">IFERROR(INDEX($AE$14:$AE$102,SMALL(IF($AE$14:$AE$102&lt;&gt;"",ROW($AE$14:$AE$102)-ROW(INDIRECT("$AE$14"))+1),ROW(INDIRECT("A" &amp; AB26 ) ))),"")</f>
        <v/>
      </c>
      <c r="AG26" s="374" t="str">
        <f t="shared" si="3"/>
        <v/>
      </c>
      <c r="AH26" s="374" t="str" cm="1">
        <f t="array" aca="1" ref="AH26" ca="1">IFERROR(INDEX($AG$14:$AG$102,SMALL(IF($AG$14:$AG$102&lt;&gt;"",ROW($AG$14:$AG$102)-ROW(INDIRECT("$AG$14"))+1),ROW(INDIRECT("A" &amp; AB26 ) ))),"")</f>
        <v/>
      </c>
      <c r="AI26" s="374" t="str">
        <f t="shared" si="4"/>
        <v/>
      </c>
      <c r="AJ26" s="374" t="str" cm="1">
        <f t="array" aca="1" ref="AJ26" ca="1">IFERROR(INDEX($AI$14:$AI$102,SMALL(IF($AI$14:$AI$102&lt;&gt;"",ROW($AI$14:$AI$102)-ROW(INDIRECT("$AI$14"))+1),ROW(INDIRECT("A" &amp; AB26 ) ))),"")</f>
        <v/>
      </c>
    </row>
    <row r="27" spans="2:36" ht="20.100000000000001" customHeight="1" outlineLevel="1" thickTop="1" thickBot="1" x14ac:dyDescent="0.5">
      <c r="B27" s="250"/>
      <c r="C27" s="283"/>
      <c r="D27" s="284"/>
      <c r="E27" s="284"/>
      <c r="F27" s="284"/>
      <c r="G27" s="284"/>
      <c r="H27" s="284"/>
      <c r="I27" s="284"/>
      <c r="J27" s="284"/>
      <c r="K27" s="284"/>
      <c r="L27" s="284"/>
      <c r="M27" s="285"/>
      <c r="N27" s="284"/>
      <c r="O27" s="284"/>
      <c r="P27" s="284"/>
      <c r="Q27" s="284"/>
      <c r="R27" s="284"/>
      <c r="S27" s="284"/>
      <c r="T27" s="284"/>
      <c r="U27" s="284"/>
      <c r="V27" s="286"/>
      <c r="W27" s="254"/>
      <c r="AB27" s="318">
        <f t="shared" si="0"/>
        <v>14</v>
      </c>
      <c r="AC27" s="374" t="str">
        <f t="shared" si="1"/>
        <v/>
      </c>
      <c r="AD27" s="374" t="str" cm="1">
        <f t="array" aca="1" ref="AD27" ca="1">IFERROR(INDEX($AC$14:$AC$102,SMALL(IF($AC$14:$AC$102&lt;&gt;"",ROW($AC$14:$AC$102)-ROW(INDIRECT("$AC$14"))+1),ROW(INDIRECT("A" &amp; AB27 ) ))),"")</f>
        <v/>
      </c>
      <c r="AE27" s="374" t="str">
        <f t="shared" si="2"/>
        <v/>
      </c>
      <c r="AF27" s="374" t="str" cm="1">
        <f t="array" aca="1" ref="AF27" ca="1">IFERROR(INDEX($AE$14:$AE$102,SMALL(IF($AE$14:$AE$102&lt;&gt;"",ROW($AE$14:$AE$102)-ROW(INDIRECT("$AE$14"))+1),ROW(INDIRECT("A" &amp; AB27 ) ))),"")</f>
        <v/>
      </c>
      <c r="AG27" s="374" t="str">
        <f t="shared" si="3"/>
        <v/>
      </c>
      <c r="AH27" s="374" t="str" cm="1">
        <f t="array" aca="1" ref="AH27" ca="1">IFERROR(INDEX($AG$14:$AG$102,SMALL(IF($AG$14:$AG$102&lt;&gt;"",ROW($AG$14:$AG$102)-ROW(INDIRECT("$AG$14"))+1),ROW(INDIRECT("A" &amp; AB27 ) ))),"")</f>
        <v/>
      </c>
      <c r="AI27" s="374" t="str">
        <f t="shared" si="4"/>
        <v/>
      </c>
      <c r="AJ27" s="374" t="str" cm="1">
        <f t="array" aca="1" ref="AJ27" ca="1">IFERROR(INDEX($AI$14:$AI$102,SMALL(IF($AI$14:$AI$102&lt;&gt;"",ROW($AI$14:$AI$102)-ROW(INDIRECT("$AI$14"))+1),ROW(INDIRECT("A" &amp; AB27 ) ))),"")</f>
        <v/>
      </c>
    </row>
    <row r="28" spans="2:36" ht="9.9499999999999993" customHeight="1" thickTop="1" thickBot="1" x14ac:dyDescent="0.5">
      <c r="B28" s="250"/>
      <c r="C28" s="229"/>
      <c r="D28" s="231"/>
      <c r="E28" s="231"/>
      <c r="F28" s="231"/>
      <c r="G28" s="231"/>
      <c r="H28" s="231"/>
      <c r="I28" s="231"/>
      <c r="J28" s="231"/>
      <c r="K28" s="231"/>
      <c r="L28" s="231"/>
      <c r="M28" s="231"/>
      <c r="N28" s="230"/>
      <c r="O28" s="230"/>
      <c r="P28" s="230"/>
      <c r="Q28" s="230"/>
      <c r="R28" s="230"/>
      <c r="S28" s="230"/>
      <c r="T28" s="230"/>
      <c r="U28" s="230"/>
      <c r="V28" s="269"/>
      <c r="W28" s="254"/>
      <c r="AB28" s="318">
        <f t="shared" si="0"/>
        <v>15</v>
      </c>
      <c r="AC28" s="374" t="str">
        <f t="shared" si="1"/>
        <v/>
      </c>
      <c r="AD28" s="374" t="str" cm="1">
        <f t="array" aca="1" ref="AD28" ca="1">IFERROR(INDEX($AC$14:$AC$102,SMALL(IF($AC$14:$AC$102&lt;&gt;"",ROW($AC$14:$AC$102)-ROW(INDIRECT("$AC$14"))+1),ROW(INDIRECT("A" &amp; AB28 ) ))),"")</f>
        <v/>
      </c>
      <c r="AE28" s="374" t="str">
        <f t="shared" si="2"/>
        <v/>
      </c>
      <c r="AF28" s="374" t="str" cm="1">
        <f t="array" aca="1" ref="AF28" ca="1">IFERROR(INDEX($AE$14:$AE$102,SMALL(IF($AE$14:$AE$102&lt;&gt;"",ROW($AE$14:$AE$102)-ROW(INDIRECT("$AE$14"))+1),ROW(INDIRECT("A" &amp; AB28 ) ))),"")</f>
        <v/>
      </c>
      <c r="AG28" s="374" t="str">
        <f t="shared" si="3"/>
        <v/>
      </c>
      <c r="AH28" s="374" t="str" cm="1">
        <f t="array" aca="1" ref="AH28" ca="1">IFERROR(INDEX($AG$14:$AG$102,SMALL(IF($AG$14:$AG$102&lt;&gt;"",ROW($AG$14:$AG$102)-ROW(INDIRECT("$AG$14"))+1),ROW(INDIRECT("A" &amp; AB28 ) ))),"")</f>
        <v/>
      </c>
      <c r="AI28" s="374" t="str">
        <f t="shared" si="4"/>
        <v/>
      </c>
      <c r="AJ28" s="374" t="str" cm="1">
        <f t="array" aca="1" ref="AJ28" ca="1">IFERROR(INDEX($AI$14:$AI$102,SMALL(IF($AI$14:$AI$102&lt;&gt;"",ROW($AI$14:$AI$102)-ROW(INDIRECT("$AI$14"))+1),ROW(INDIRECT("A" &amp; AB28 ) ))),"")</f>
        <v/>
      </c>
    </row>
    <row r="29" spans="2:36" ht="20.100000000000001" customHeight="1" thickTop="1" thickBot="1" x14ac:dyDescent="0.5">
      <c r="B29" s="250"/>
      <c r="C29" s="513" t="s">
        <v>402</v>
      </c>
      <c r="D29" s="514"/>
      <c r="E29" s="514"/>
      <c r="F29" s="514"/>
      <c r="G29" s="514"/>
      <c r="H29" s="514"/>
      <c r="I29" s="514"/>
      <c r="J29" s="514"/>
      <c r="K29" s="514"/>
      <c r="L29" s="514"/>
      <c r="M29" s="514"/>
      <c r="N29" s="514"/>
      <c r="O29" s="514"/>
      <c r="P29" s="514"/>
      <c r="Q29" s="514"/>
      <c r="R29" s="514"/>
      <c r="S29" s="514"/>
      <c r="T29" s="514"/>
      <c r="U29" s="514"/>
      <c r="V29" s="515"/>
      <c r="W29" s="254"/>
      <c r="AB29" s="318">
        <f t="shared" si="0"/>
        <v>16</v>
      </c>
      <c r="AC29" s="374" t="str">
        <f t="shared" si="1"/>
        <v/>
      </c>
      <c r="AD29" s="374" t="str" cm="1">
        <f t="array" aca="1" ref="AD29" ca="1">IFERROR(INDEX($AC$14:$AC$102,SMALL(IF($AC$14:$AC$102&lt;&gt;"",ROW($AC$14:$AC$102)-ROW(INDIRECT("$AC$14"))+1),ROW(INDIRECT("A" &amp; AB29 ) ))),"")</f>
        <v/>
      </c>
      <c r="AE29" s="374" t="str">
        <f t="shared" si="2"/>
        <v/>
      </c>
      <c r="AF29" s="374" t="str" cm="1">
        <f t="array" aca="1" ref="AF29" ca="1">IFERROR(INDEX($AE$14:$AE$102,SMALL(IF($AE$14:$AE$102&lt;&gt;"",ROW($AE$14:$AE$102)-ROW(INDIRECT("$AE$14"))+1),ROW(INDIRECT("A" &amp; AB29 ) ))),"")</f>
        <v/>
      </c>
      <c r="AG29" s="374" t="str">
        <f t="shared" si="3"/>
        <v/>
      </c>
      <c r="AH29" s="374" t="str" cm="1">
        <f t="array" aca="1" ref="AH29" ca="1">IFERROR(INDEX($AG$14:$AG$102,SMALL(IF($AG$14:$AG$102&lt;&gt;"",ROW($AG$14:$AG$102)-ROW(INDIRECT("$AG$14"))+1),ROW(INDIRECT("A" &amp; AB29 ) ))),"")</f>
        <v/>
      </c>
      <c r="AI29" s="374" t="str">
        <f t="shared" si="4"/>
        <v/>
      </c>
      <c r="AJ29" s="374" t="str" cm="1">
        <f t="array" aca="1" ref="AJ29" ca="1">IFERROR(INDEX($AI$14:$AI$102,SMALL(IF($AI$14:$AI$102&lt;&gt;"",ROW($AI$14:$AI$102)-ROW(INDIRECT("$AI$14"))+1),ROW(INDIRECT("A" &amp; AB29 ) ))),"")</f>
        <v/>
      </c>
    </row>
    <row r="30" spans="2:36" ht="20.100000000000001" customHeight="1" outlineLevel="1" thickTop="1" thickBot="1" x14ac:dyDescent="0.5">
      <c r="B30" s="250"/>
      <c r="C30" s="280"/>
      <c r="D30" s="230"/>
      <c r="E30" s="264"/>
      <c r="F30" s="264"/>
      <c r="G30" s="230"/>
      <c r="H30" s="230"/>
      <c r="I30" s="230"/>
      <c r="J30" s="230"/>
      <c r="K30" s="230"/>
      <c r="L30" s="230"/>
      <c r="M30" s="264"/>
      <c r="N30" s="230"/>
      <c r="O30" s="230"/>
      <c r="P30" s="230"/>
      <c r="Q30" s="230"/>
      <c r="R30" s="230"/>
      <c r="S30" s="230"/>
      <c r="T30" s="230"/>
      <c r="U30" s="230"/>
      <c r="V30" s="282"/>
      <c r="W30" s="254"/>
      <c r="AB30" s="318">
        <f t="shared" si="0"/>
        <v>17</v>
      </c>
      <c r="AC30" s="374" t="str">
        <f t="shared" si="1"/>
        <v/>
      </c>
      <c r="AD30" s="374" t="str" cm="1">
        <f t="array" aca="1" ref="AD30" ca="1">IFERROR(INDEX($AC$14:$AC$102,SMALL(IF($AC$14:$AC$102&lt;&gt;"",ROW($AC$14:$AC$102)-ROW(INDIRECT("$AC$14"))+1),ROW(INDIRECT("A" &amp; AB30 ) ))),"")</f>
        <v/>
      </c>
      <c r="AE30" s="374" t="str">
        <f t="shared" si="2"/>
        <v/>
      </c>
      <c r="AF30" s="374" t="str" cm="1">
        <f t="array" aca="1" ref="AF30" ca="1">IFERROR(INDEX($AE$14:$AE$102,SMALL(IF($AE$14:$AE$102&lt;&gt;"",ROW($AE$14:$AE$102)-ROW(INDIRECT("$AE$14"))+1),ROW(INDIRECT("A" &amp; AB30 ) ))),"")</f>
        <v/>
      </c>
      <c r="AG30" s="374" t="str">
        <f t="shared" si="3"/>
        <v/>
      </c>
      <c r="AH30" s="374" t="str" cm="1">
        <f t="array" aca="1" ref="AH30" ca="1">IFERROR(INDEX($AG$14:$AG$102,SMALL(IF($AG$14:$AG$102&lt;&gt;"",ROW($AG$14:$AG$102)-ROW(INDIRECT("$AG$14"))+1),ROW(INDIRECT("A" &amp; AB30 ) ))),"")</f>
        <v/>
      </c>
      <c r="AI30" s="374" t="str">
        <f t="shared" si="4"/>
        <v/>
      </c>
      <c r="AJ30" s="374" t="str" cm="1">
        <f t="array" aca="1" ref="AJ30" ca="1">IFERROR(INDEX($AI$14:$AI$102,SMALL(IF($AI$14:$AI$102&lt;&gt;"",ROW($AI$14:$AI$102)-ROW(INDIRECT("$AI$14"))+1),ROW(INDIRECT("A" &amp; AB30 ) ))),"")</f>
        <v/>
      </c>
    </row>
    <row r="31" spans="2:36" ht="20.100000000000001" customHeight="1" outlineLevel="1" thickTop="1" thickBot="1" x14ac:dyDescent="0.5">
      <c r="B31" s="250"/>
      <c r="C31" s="280"/>
      <c r="D31" s="308" t="s">
        <v>548</v>
      </c>
      <c r="E31" s="309"/>
      <c r="F31" s="309"/>
      <c r="G31" s="309"/>
      <c r="H31" s="309"/>
      <c r="I31" s="309"/>
      <c r="J31" s="309"/>
      <c r="K31" s="309"/>
      <c r="L31" s="309"/>
      <c r="M31" s="309"/>
      <c r="N31" s="309"/>
      <c r="O31" s="309"/>
      <c r="P31" s="309"/>
      <c r="Q31" s="309"/>
      <c r="R31" s="309"/>
      <c r="S31" s="309"/>
      <c r="T31" s="309"/>
      <c r="U31" s="310"/>
      <c r="V31" s="282"/>
      <c r="W31" s="254"/>
      <c r="AB31" s="318">
        <f t="shared" si="0"/>
        <v>18</v>
      </c>
      <c r="AC31" s="374" t="str">
        <f t="shared" si="1"/>
        <v/>
      </c>
      <c r="AD31" s="374" t="str" cm="1">
        <f t="array" aca="1" ref="AD31" ca="1">IFERROR(INDEX($AC$14:$AC$102,SMALL(IF($AC$14:$AC$102&lt;&gt;"",ROW($AC$14:$AC$102)-ROW(INDIRECT("$AC$14"))+1),ROW(INDIRECT("A" &amp; AB31 ) ))),"")</f>
        <v/>
      </c>
      <c r="AE31" s="374" t="str">
        <f t="shared" si="2"/>
        <v/>
      </c>
      <c r="AF31" s="374" t="str" cm="1">
        <f t="array" aca="1" ref="AF31" ca="1">IFERROR(INDEX($AE$14:$AE$102,SMALL(IF($AE$14:$AE$102&lt;&gt;"",ROW($AE$14:$AE$102)-ROW(INDIRECT("$AE$14"))+1),ROW(INDIRECT("A" &amp; AB31 ) ))),"")</f>
        <v/>
      </c>
      <c r="AG31" s="374" t="str">
        <f t="shared" si="3"/>
        <v/>
      </c>
      <c r="AH31" s="374" t="str" cm="1">
        <f t="array" aca="1" ref="AH31" ca="1">IFERROR(INDEX($AG$14:$AG$102,SMALL(IF($AG$14:$AG$102&lt;&gt;"",ROW($AG$14:$AG$102)-ROW(INDIRECT("$AG$14"))+1),ROW(INDIRECT("A" &amp; AB31 ) ))),"")</f>
        <v/>
      </c>
      <c r="AI31" s="374" t="str">
        <f t="shared" si="4"/>
        <v/>
      </c>
      <c r="AJ31" s="374" t="str" cm="1">
        <f t="array" aca="1" ref="AJ31" ca="1">IFERROR(INDEX($AI$14:$AI$102,SMALL(IF($AI$14:$AI$102&lt;&gt;"",ROW($AI$14:$AI$102)-ROW(INDIRECT("$AI$14"))+1),ROW(INDIRECT("A" &amp; AB31 ) ))),"")</f>
        <v/>
      </c>
    </row>
    <row r="32" spans="2:36" ht="20.100000000000001" customHeight="1" outlineLevel="1" thickTop="1" x14ac:dyDescent="0.45">
      <c r="B32" s="250"/>
      <c r="C32" s="280"/>
      <c r="D32" s="292"/>
      <c r="E32" s="264"/>
      <c r="F32" s="264"/>
      <c r="G32" s="230"/>
      <c r="H32" s="230"/>
      <c r="I32" s="264"/>
      <c r="J32" s="264"/>
      <c r="K32" s="264"/>
      <c r="L32" s="264"/>
      <c r="M32" s="264"/>
      <c r="N32" s="230"/>
      <c r="O32" s="230"/>
      <c r="P32" s="230"/>
      <c r="Q32" s="230"/>
      <c r="R32" s="230"/>
      <c r="S32" s="230"/>
      <c r="T32" s="230"/>
      <c r="U32" s="294"/>
      <c r="V32" s="282"/>
      <c r="W32" s="254"/>
      <c r="AB32" s="318">
        <f t="shared" si="0"/>
        <v>19</v>
      </c>
      <c r="AC32" s="374" t="str">
        <f t="shared" si="1"/>
        <v/>
      </c>
      <c r="AD32" s="374" t="str" cm="1">
        <f t="array" aca="1" ref="AD32" ca="1">IFERROR(INDEX($AC$14:$AC$102,SMALL(IF($AC$14:$AC$102&lt;&gt;"",ROW($AC$14:$AC$102)-ROW(INDIRECT("$AC$14"))+1),ROW(INDIRECT("A" &amp; AB32 ) ))),"")</f>
        <v/>
      </c>
      <c r="AE32" s="374" t="str">
        <f t="shared" si="2"/>
        <v/>
      </c>
      <c r="AF32" s="374" t="str" cm="1">
        <f t="array" aca="1" ref="AF32" ca="1">IFERROR(INDEX($AE$14:$AE$102,SMALL(IF($AE$14:$AE$102&lt;&gt;"",ROW($AE$14:$AE$102)-ROW(INDIRECT("$AE$14"))+1),ROW(INDIRECT("A" &amp; AB32 ) ))),"")</f>
        <v/>
      </c>
      <c r="AG32" s="374" t="str">
        <f t="shared" si="3"/>
        <v/>
      </c>
      <c r="AH32" s="374" t="str" cm="1">
        <f t="array" aca="1" ref="AH32" ca="1">IFERROR(INDEX($AG$14:$AG$102,SMALL(IF($AG$14:$AG$102&lt;&gt;"",ROW($AG$14:$AG$102)-ROW(INDIRECT("$AG$14"))+1),ROW(INDIRECT("A" &amp; AB32 ) ))),"")</f>
        <v/>
      </c>
      <c r="AI32" s="374" t="str">
        <f t="shared" si="4"/>
        <v/>
      </c>
      <c r="AJ32" s="374" t="str" cm="1">
        <f t="array" aca="1" ref="AJ32" ca="1">IFERROR(INDEX($AI$14:$AI$102,SMALL(IF($AI$14:$AI$102&lt;&gt;"",ROW($AI$14:$AI$102)-ROW(INDIRECT("$AI$14"))+1),ROW(INDIRECT("A" &amp; AB32 ) ))),"")</f>
        <v/>
      </c>
    </row>
    <row r="33" spans="2:36" ht="39.700000000000003" customHeight="1" outlineLevel="1" x14ac:dyDescent="0.45">
      <c r="B33" s="250"/>
      <c r="C33" s="280"/>
      <c r="D33" s="237"/>
      <c r="E33" s="290" t="s">
        <v>185</v>
      </c>
      <c r="F33" s="512" t="s">
        <v>400</v>
      </c>
      <c r="G33" s="512"/>
      <c r="H33" s="291" t="s">
        <v>382</v>
      </c>
      <c r="I33" s="291" t="s">
        <v>381</v>
      </c>
      <c r="J33" s="291" t="s">
        <v>559</v>
      </c>
      <c r="K33" s="512" t="s">
        <v>515</v>
      </c>
      <c r="L33" s="512"/>
      <c r="M33" s="512" t="s">
        <v>471</v>
      </c>
      <c r="N33" s="512"/>
      <c r="O33" s="512" t="s">
        <v>481</v>
      </c>
      <c r="P33" s="512"/>
      <c r="Q33" s="512"/>
      <c r="R33" s="508" t="s">
        <v>511</v>
      </c>
      <c r="S33" s="509"/>
      <c r="T33" s="509"/>
      <c r="U33" s="294"/>
      <c r="V33" s="303"/>
      <c r="W33" s="255"/>
      <c r="AB33" s="318">
        <f t="shared" si="0"/>
        <v>20</v>
      </c>
      <c r="AC33" s="374" t="str">
        <f t="shared" si="1"/>
        <v/>
      </c>
      <c r="AD33" s="374" t="str" cm="1">
        <f t="array" aca="1" ref="AD33" ca="1">IFERROR(INDEX($AC$14:$AC$102,SMALL(IF($AC$14:$AC$102&lt;&gt;"",ROW($AC$14:$AC$102)-ROW(INDIRECT("$AC$14"))+1),ROW(INDIRECT("A" &amp; AB33 ) ))),"")</f>
        <v/>
      </c>
      <c r="AE33" s="374" t="str">
        <f t="shared" si="2"/>
        <v/>
      </c>
      <c r="AF33" s="374" t="str" cm="1">
        <f t="array" aca="1" ref="AF33" ca="1">IFERROR(INDEX($AE$14:$AE$102,SMALL(IF($AE$14:$AE$102&lt;&gt;"",ROW($AE$14:$AE$102)-ROW(INDIRECT("$AE$14"))+1),ROW(INDIRECT("A" &amp; AB33 ) ))),"")</f>
        <v/>
      </c>
      <c r="AG33" s="374" t="str">
        <f t="shared" si="3"/>
        <v/>
      </c>
      <c r="AH33" s="374" t="str" cm="1">
        <f t="array" aca="1" ref="AH33" ca="1">IFERROR(INDEX($AG$14:$AG$102,SMALL(IF($AG$14:$AG$102&lt;&gt;"",ROW($AG$14:$AG$102)-ROW(INDIRECT("$AG$14"))+1),ROW(INDIRECT("A" &amp; AB33 ) ))),"")</f>
        <v/>
      </c>
      <c r="AI33" s="374" t="str">
        <f t="shared" si="4"/>
        <v/>
      </c>
      <c r="AJ33" s="374" t="str" cm="1">
        <f t="array" aca="1" ref="AJ33" ca="1">IFERROR(INDEX($AI$14:$AI$102,SMALL(IF($AI$14:$AI$102&lt;&gt;"",ROW($AI$14:$AI$102)-ROW(INDIRECT("$AI$14"))+1),ROW(INDIRECT("A" &amp; AB33 ) ))),"")</f>
        <v/>
      </c>
    </row>
    <row r="34" spans="2:36" ht="20" customHeight="1" outlineLevel="1" x14ac:dyDescent="0.45">
      <c r="B34" s="250"/>
      <c r="C34" s="280"/>
      <c r="D34" s="292"/>
      <c r="E34" s="230"/>
      <c r="F34" s="230"/>
      <c r="G34" s="230"/>
      <c r="H34" s="230"/>
      <c r="I34" s="230"/>
      <c r="J34" s="230"/>
      <c r="K34" s="230"/>
      <c r="L34" s="230"/>
      <c r="M34" s="230"/>
      <c r="N34" s="230"/>
      <c r="O34" s="230"/>
      <c r="P34" s="230"/>
      <c r="Q34" s="230"/>
      <c r="R34" s="230"/>
      <c r="S34" s="230"/>
      <c r="T34" s="230"/>
      <c r="U34" s="294"/>
      <c r="V34" s="282"/>
      <c r="W34" s="254"/>
      <c r="AB34" s="318">
        <f t="shared" si="0"/>
        <v>21</v>
      </c>
      <c r="AC34" s="374" t="str">
        <f t="shared" si="1"/>
        <v/>
      </c>
      <c r="AD34" s="374" t="str" cm="1">
        <f t="array" aca="1" ref="AD34" ca="1">IFERROR(INDEX($AC$14:$AC$102,SMALL(IF($AC$14:$AC$102&lt;&gt;"",ROW($AC$14:$AC$102)-ROW(INDIRECT("$AC$14"))+1),ROW(INDIRECT("A" &amp; AB34 ) ))),"")</f>
        <v/>
      </c>
      <c r="AE34" s="374" t="str">
        <f t="shared" si="2"/>
        <v/>
      </c>
      <c r="AF34" s="374" t="str" cm="1">
        <f t="array" aca="1" ref="AF34" ca="1">IFERROR(INDEX($AE$14:$AE$102,SMALL(IF($AE$14:$AE$102&lt;&gt;"",ROW($AE$14:$AE$102)-ROW(INDIRECT("$AE$14"))+1),ROW(INDIRECT("A" &amp; AB34 ) ))),"")</f>
        <v/>
      </c>
      <c r="AG34" s="374" t="str">
        <f t="shared" si="3"/>
        <v/>
      </c>
      <c r="AH34" s="374" t="str" cm="1">
        <f t="array" aca="1" ref="AH34" ca="1">IFERROR(INDEX($AG$14:$AG$102,SMALL(IF($AG$14:$AG$102&lt;&gt;"",ROW($AG$14:$AG$102)-ROW(INDIRECT("$AG$14"))+1),ROW(INDIRECT("A" &amp; AB34 ) ))),"")</f>
        <v/>
      </c>
      <c r="AI34" s="374" t="str">
        <f t="shared" si="4"/>
        <v/>
      </c>
      <c r="AJ34" s="374" t="str" cm="1">
        <f t="array" aca="1" ref="AJ34" ca="1">IFERROR(INDEX($AI$14:$AI$102,SMALL(IF($AI$14:$AI$102&lt;&gt;"",ROW($AI$14:$AI$102)-ROW(INDIRECT("$AI$14"))+1),ROW(INDIRECT("A" &amp; AB34 ) ))),"")</f>
        <v/>
      </c>
    </row>
    <row r="35" spans="2:36" ht="20.100000000000001" customHeight="1" outlineLevel="1" x14ac:dyDescent="0.5">
      <c r="B35" s="250"/>
      <c r="C35" s="280"/>
      <c r="D35" s="292"/>
      <c r="E35" s="500" t="s">
        <v>187</v>
      </c>
      <c r="F35" s="501"/>
      <c r="G35" s="502"/>
      <c r="H35" s="230"/>
      <c r="I35" s="230"/>
      <c r="J35" s="230"/>
      <c r="K35" s="518" t="s">
        <v>513</v>
      </c>
      <c r="L35" s="518"/>
      <c r="M35" s="518"/>
      <c r="N35" s="518"/>
      <c r="O35" s="518"/>
      <c r="P35" s="518"/>
      <c r="Q35" s="518"/>
      <c r="R35" s="518"/>
      <c r="S35" s="518"/>
      <c r="T35" s="518"/>
      <c r="U35" s="294"/>
      <c r="V35" s="303"/>
      <c r="W35" s="255"/>
      <c r="AB35" s="318">
        <f t="shared" si="0"/>
        <v>22</v>
      </c>
      <c r="AC35" s="374" t="str">
        <f t="shared" si="1"/>
        <v/>
      </c>
      <c r="AD35" s="374" t="str" cm="1">
        <f t="array" aca="1" ref="AD35" ca="1">IFERROR(INDEX($AC$14:$AC$102,SMALL(IF($AC$14:$AC$102&lt;&gt;"",ROW($AC$14:$AC$102)-ROW(INDIRECT("$AC$14"))+1),ROW(INDIRECT("A" &amp; AB35 ) ))),"")</f>
        <v/>
      </c>
      <c r="AE35" s="374" t="str">
        <f t="shared" si="2"/>
        <v/>
      </c>
      <c r="AF35" s="374" t="str" cm="1">
        <f t="array" aca="1" ref="AF35" ca="1">IFERROR(INDEX($AE$14:$AE$102,SMALL(IF($AE$14:$AE$102&lt;&gt;"",ROW($AE$14:$AE$102)-ROW(INDIRECT("$AE$14"))+1),ROW(INDIRECT("A" &amp; AB35 ) ))),"")</f>
        <v/>
      </c>
      <c r="AG35" s="374" t="str">
        <f t="shared" si="3"/>
        <v/>
      </c>
      <c r="AH35" s="374" t="str" cm="1">
        <f t="array" aca="1" ref="AH35" ca="1">IFERROR(INDEX($AG$14:$AG$102,SMALL(IF($AG$14:$AG$102&lt;&gt;"",ROW($AG$14:$AG$102)-ROW(INDIRECT("$AG$14"))+1),ROW(INDIRECT("A" &amp; AB35 ) ))),"")</f>
        <v/>
      </c>
      <c r="AI35" s="374" t="str">
        <f t="shared" si="4"/>
        <v/>
      </c>
      <c r="AJ35" s="374" t="str" cm="1">
        <f t="array" aca="1" ref="AJ35" ca="1">IFERROR(INDEX($AI$14:$AI$102,SMALL(IF($AI$14:$AI$102&lt;&gt;"",ROW($AI$14:$AI$102)-ROW(INDIRECT("$AI$14"))+1),ROW(INDIRECT("A" &amp; AB35 ) ))),"")</f>
        <v/>
      </c>
    </row>
    <row r="36" spans="2:36" ht="20.100000000000001" customHeight="1" outlineLevel="1" x14ac:dyDescent="0.45">
      <c r="B36" s="250"/>
      <c r="C36" s="280"/>
      <c r="D36" s="292"/>
      <c r="E36" s="230"/>
      <c r="F36" s="230"/>
      <c r="G36" s="230"/>
      <c r="H36" s="230"/>
      <c r="I36" s="230"/>
      <c r="J36" s="230"/>
      <c r="K36" s="530"/>
      <c r="L36" s="531"/>
      <c r="M36" s="531"/>
      <c r="N36" s="531"/>
      <c r="O36" s="531"/>
      <c r="P36" s="531"/>
      <c r="Q36" s="531"/>
      <c r="R36" s="531"/>
      <c r="S36" s="531"/>
      <c r="T36" s="532"/>
      <c r="U36" s="294"/>
      <c r="V36" s="303"/>
      <c r="W36" s="255"/>
      <c r="AB36" s="318">
        <f t="shared" si="0"/>
        <v>23</v>
      </c>
      <c r="AC36" s="374" t="str">
        <f t="shared" si="1"/>
        <v/>
      </c>
      <c r="AD36" s="374" t="str" cm="1">
        <f t="array" aca="1" ref="AD36" ca="1">IFERROR(INDEX($AC$14:$AC$102,SMALL(IF($AC$14:$AC$102&lt;&gt;"",ROW($AC$14:$AC$102)-ROW(INDIRECT("$AC$14"))+1),ROW(INDIRECT("A" &amp; AB36 ) ))),"")</f>
        <v/>
      </c>
      <c r="AE36" s="374" t="str">
        <f t="shared" si="2"/>
        <v/>
      </c>
      <c r="AF36" s="374" t="str" cm="1">
        <f t="array" aca="1" ref="AF36" ca="1">IFERROR(INDEX($AE$14:$AE$102,SMALL(IF($AE$14:$AE$102&lt;&gt;"",ROW($AE$14:$AE$102)-ROW(INDIRECT("$AE$14"))+1),ROW(INDIRECT("A" &amp; AB36 ) ))),"")</f>
        <v/>
      </c>
      <c r="AG36" s="374" t="str">
        <f t="shared" si="3"/>
        <v/>
      </c>
      <c r="AH36" s="374" t="str" cm="1">
        <f t="array" aca="1" ref="AH36" ca="1">IFERROR(INDEX($AG$14:$AG$102,SMALL(IF($AG$14:$AG$102&lt;&gt;"",ROW($AG$14:$AG$102)-ROW(INDIRECT("$AG$14"))+1),ROW(INDIRECT("A" &amp; AB36 ) ))),"")</f>
        <v/>
      </c>
      <c r="AI36" s="374" t="str">
        <f t="shared" si="4"/>
        <v/>
      </c>
      <c r="AJ36" s="374" t="str" cm="1">
        <f t="array" aca="1" ref="AJ36" ca="1">IFERROR(INDEX($AI$14:$AI$102,SMALL(IF($AI$14:$AI$102&lt;&gt;"",ROW($AI$14:$AI$102)-ROW(INDIRECT("$AI$14"))+1),ROW(INDIRECT("A" &amp; AB36 ) ))),"")</f>
        <v/>
      </c>
    </row>
    <row r="37" spans="2:36" ht="20.100000000000001" customHeight="1" outlineLevel="1" x14ac:dyDescent="0.45">
      <c r="B37" s="250"/>
      <c r="C37" s="280"/>
      <c r="D37" s="292"/>
      <c r="E37" s="230"/>
      <c r="F37" s="230"/>
      <c r="G37" s="230"/>
      <c r="H37" s="230"/>
      <c r="I37" s="230"/>
      <c r="J37" s="230"/>
      <c r="K37" s="533"/>
      <c r="L37" s="534"/>
      <c r="M37" s="534"/>
      <c r="N37" s="534"/>
      <c r="O37" s="534"/>
      <c r="P37" s="534"/>
      <c r="Q37" s="534"/>
      <c r="R37" s="534"/>
      <c r="S37" s="534"/>
      <c r="T37" s="535"/>
      <c r="U37" s="294"/>
      <c r="V37" s="303"/>
      <c r="W37" s="255"/>
      <c r="AB37" s="318">
        <f t="shared" si="0"/>
        <v>24</v>
      </c>
      <c r="AC37" s="374" t="str">
        <f t="shared" si="1"/>
        <v/>
      </c>
      <c r="AD37" s="374" t="str" cm="1">
        <f t="array" aca="1" ref="AD37" ca="1">IFERROR(INDEX($AC$14:$AC$102,SMALL(IF($AC$14:$AC$102&lt;&gt;"",ROW($AC$14:$AC$102)-ROW(INDIRECT("$AC$14"))+1),ROW(INDIRECT("A" &amp; AB37 ) ))),"")</f>
        <v/>
      </c>
      <c r="AE37" s="374" t="str">
        <f t="shared" si="2"/>
        <v/>
      </c>
      <c r="AF37" s="374" t="str" cm="1">
        <f t="array" aca="1" ref="AF37" ca="1">IFERROR(INDEX($AE$14:$AE$102,SMALL(IF($AE$14:$AE$102&lt;&gt;"",ROW($AE$14:$AE$102)-ROW(INDIRECT("$AE$14"))+1),ROW(INDIRECT("A" &amp; AB37 ) ))),"")</f>
        <v/>
      </c>
      <c r="AG37" s="374" t="str">
        <f t="shared" si="3"/>
        <v/>
      </c>
      <c r="AH37" s="374" t="str" cm="1">
        <f t="array" aca="1" ref="AH37" ca="1">IFERROR(INDEX($AG$14:$AG$102,SMALL(IF($AG$14:$AG$102&lt;&gt;"",ROW($AG$14:$AG$102)-ROW(INDIRECT("$AG$14"))+1),ROW(INDIRECT("A" &amp; AB37 ) ))),"")</f>
        <v/>
      </c>
      <c r="AI37" s="374" t="str">
        <f t="shared" si="4"/>
        <v/>
      </c>
      <c r="AJ37" s="374" t="str" cm="1">
        <f t="array" aca="1" ref="AJ37" ca="1">IFERROR(INDEX($AI$14:$AI$102,SMALL(IF($AI$14:$AI$102&lt;&gt;"",ROW($AI$14:$AI$102)-ROW(INDIRECT("$AI$14"))+1),ROW(INDIRECT("A" &amp; AB37 ) ))),"")</f>
        <v/>
      </c>
    </row>
    <row r="38" spans="2:36" ht="20.100000000000001" customHeight="1" outlineLevel="1" thickBot="1" x14ac:dyDescent="0.5">
      <c r="B38" s="250"/>
      <c r="C38" s="280"/>
      <c r="D38" s="300"/>
      <c r="E38" s="301"/>
      <c r="F38" s="301"/>
      <c r="G38" s="301"/>
      <c r="H38" s="298"/>
      <c r="I38" s="298"/>
      <c r="J38" s="298"/>
      <c r="K38" s="298"/>
      <c r="L38" s="302"/>
      <c r="M38" s="302"/>
      <c r="N38" s="302"/>
      <c r="O38" s="302"/>
      <c r="P38" s="302"/>
      <c r="Q38" s="298"/>
      <c r="R38" s="298"/>
      <c r="S38" s="298"/>
      <c r="T38" s="298"/>
      <c r="U38" s="299"/>
      <c r="V38" s="303"/>
      <c r="W38" s="255"/>
      <c r="AB38" s="318">
        <f t="shared" si="0"/>
        <v>25</v>
      </c>
      <c r="AC38" s="374" t="str">
        <f t="shared" si="1"/>
        <v/>
      </c>
      <c r="AD38" s="374" t="str" cm="1">
        <f t="array" aca="1" ref="AD38" ca="1">IFERROR(INDEX($AC$14:$AC$102,SMALL(IF($AC$14:$AC$102&lt;&gt;"",ROW($AC$14:$AC$102)-ROW(INDIRECT("$AC$14"))+1),ROW(INDIRECT("A" &amp; AB38 ) ))),"")</f>
        <v/>
      </c>
      <c r="AE38" s="374" t="str">
        <f t="shared" si="2"/>
        <v/>
      </c>
      <c r="AF38" s="374" t="str" cm="1">
        <f t="array" aca="1" ref="AF38" ca="1">IFERROR(INDEX($AE$14:$AE$102,SMALL(IF($AE$14:$AE$102&lt;&gt;"",ROW($AE$14:$AE$102)-ROW(INDIRECT("$AE$14"))+1),ROW(INDIRECT("A" &amp; AB38 ) ))),"")</f>
        <v/>
      </c>
      <c r="AG38" s="374" t="str">
        <f t="shared" si="3"/>
        <v/>
      </c>
      <c r="AH38" s="374" t="str" cm="1">
        <f t="array" aca="1" ref="AH38" ca="1">IFERROR(INDEX($AG$14:$AG$102,SMALL(IF($AG$14:$AG$102&lt;&gt;"",ROW($AG$14:$AG$102)-ROW(INDIRECT("$AG$14"))+1),ROW(INDIRECT("A" &amp; AB38 ) ))),"")</f>
        <v/>
      </c>
      <c r="AI38" s="374" t="str">
        <f t="shared" si="4"/>
        <v/>
      </c>
      <c r="AJ38" s="374" t="str" cm="1">
        <f t="array" aca="1" ref="AJ38" ca="1">IFERROR(INDEX($AI$14:$AI$102,SMALL(IF($AI$14:$AI$102&lt;&gt;"",ROW($AI$14:$AI$102)-ROW(INDIRECT("$AI$14"))+1),ROW(INDIRECT("A" &amp; AB38 ) ))),"")</f>
        <v/>
      </c>
    </row>
    <row r="39" spans="2:36" ht="20.100000000000001" customHeight="1" outlineLevel="1" thickTop="1" thickBot="1" x14ac:dyDescent="0.5">
      <c r="B39" s="250"/>
      <c r="C39" s="280"/>
      <c r="D39" s="230"/>
      <c r="E39" s="230"/>
      <c r="F39" s="230"/>
      <c r="G39" s="230"/>
      <c r="H39" s="230"/>
      <c r="I39" s="230"/>
      <c r="J39" s="230"/>
      <c r="K39" s="230"/>
      <c r="L39" s="223"/>
      <c r="M39" s="223"/>
      <c r="N39" s="223"/>
      <c r="O39" s="223"/>
      <c r="P39" s="223"/>
      <c r="Q39" s="264"/>
      <c r="R39" s="264"/>
      <c r="S39" s="264"/>
      <c r="T39" s="264"/>
      <c r="U39" s="264"/>
      <c r="V39" s="304"/>
      <c r="W39" s="256"/>
      <c r="X39" s="478"/>
      <c r="AB39" s="318">
        <f t="shared" si="0"/>
        <v>26</v>
      </c>
      <c r="AC39" s="374" t="str">
        <f t="shared" si="1"/>
        <v/>
      </c>
      <c r="AD39" s="374" t="str" cm="1">
        <f t="array" aca="1" ref="AD39" ca="1">IFERROR(INDEX($AC$14:$AC$102,SMALL(IF($AC$14:$AC$102&lt;&gt;"",ROW($AC$14:$AC$102)-ROW(INDIRECT("$AC$14"))+1),ROW(INDIRECT("A" &amp; AB39 ) ))),"")</f>
        <v/>
      </c>
      <c r="AE39" s="374" t="str">
        <f t="shared" si="2"/>
        <v/>
      </c>
      <c r="AF39" s="374" t="str" cm="1">
        <f t="array" aca="1" ref="AF39" ca="1">IFERROR(INDEX($AE$14:$AE$102,SMALL(IF($AE$14:$AE$102&lt;&gt;"",ROW($AE$14:$AE$102)-ROW(INDIRECT("$AE$14"))+1),ROW(INDIRECT("A" &amp; AB39 ) ))),"")</f>
        <v/>
      </c>
      <c r="AG39" s="374" t="str">
        <f t="shared" si="3"/>
        <v/>
      </c>
      <c r="AH39" s="374" t="str" cm="1">
        <f t="array" aca="1" ref="AH39" ca="1">IFERROR(INDEX($AG$14:$AG$102,SMALL(IF($AG$14:$AG$102&lt;&gt;"",ROW($AG$14:$AG$102)-ROW(INDIRECT("$AG$14"))+1),ROW(INDIRECT("A" &amp; AB39 ) ))),"")</f>
        <v/>
      </c>
      <c r="AI39" s="374" t="str">
        <f t="shared" si="4"/>
        <v/>
      </c>
      <c r="AJ39" s="374" t="str" cm="1">
        <f t="array" aca="1" ref="AJ39" ca="1">IFERROR(INDEX($AI$14:$AI$102,SMALL(IF($AI$14:$AI$102&lt;&gt;"",ROW($AI$14:$AI$102)-ROW(INDIRECT("$AI$14"))+1),ROW(INDIRECT("A" &amp; AB39 ) ))),"")</f>
        <v/>
      </c>
    </row>
    <row r="40" spans="2:36" ht="20.100000000000001" customHeight="1" outlineLevel="1" thickTop="1" thickBot="1" x14ac:dyDescent="0.5">
      <c r="B40" s="250"/>
      <c r="C40" s="280"/>
      <c r="D40" s="308" t="s">
        <v>510</v>
      </c>
      <c r="E40" s="309"/>
      <c r="F40" s="309"/>
      <c r="G40" s="309"/>
      <c r="H40" s="309"/>
      <c r="I40" s="309"/>
      <c r="J40" s="309"/>
      <c r="K40" s="309"/>
      <c r="L40" s="309"/>
      <c r="M40" s="309"/>
      <c r="N40" s="309"/>
      <c r="O40" s="309"/>
      <c r="P40" s="309"/>
      <c r="Q40" s="309"/>
      <c r="R40" s="309"/>
      <c r="S40" s="309"/>
      <c r="T40" s="309"/>
      <c r="U40" s="310"/>
      <c r="V40" s="304"/>
      <c r="W40" s="256"/>
      <c r="X40" s="478"/>
      <c r="AB40" s="318">
        <f t="shared" si="0"/>
        <v>27</v>
      </c>
      <c r="AC40" s="374" t="str">
        <f t="shared" si="1"/>
        <v/>
      </c>
      <c r="AD40" s="374" t="str" cm="1">
        <f t="array" aca="1" ref="AD40" ca="1">IFERROR(INDEX($AC$14:$AC$102,SMALL(IF($AC$14:$AC$102&lt;&gt;"",ROW($AC$14:$AC$102)-ROW(INDIRECT("$AC$14"))+1),ROW(INDIRECT("A" &amp; AB40 ) ))),"")</f>
        <v/>
      </c>
      <c r="AE40" s="374" t="str">
        <f t="shared" si="2"/>
        <v/>
      </c>
      <c r="AF40" s="374" t="str" cm="1">
        <f t="array" aca="1" ref="AF40" ca="1">IFERROR(INDEX($AE$14:$AE$102,SMALL(IF($AE$14:$AE$102&lt;&gt;"",ROW($AE$14:$AE$102)-ROW(INDIRECT("$AE$14"))+1),ROW(INDIRECT("A" &amp; AB40 ) ))),"")</f>
        <v/>
      </c>
      <c r="AG40" s="374" t="str">
        <f t="shared" si="3"/>
        <v/>
      </c>
      <c r="AH40" s="374" t="str" cm="1">
        <f t="array" aca="1" ref="AH40" ca="1">IFERROR(INDEX($AG$14:$AG$102,SMALL(IF($AG$14:$AG$102&lt;&gt;"",ROW($AG$14:$AG$102)-ROW(INDIRECT("$AG$14"))+1),ROW(INDIRECT("A" &amp; AB40 ) ))),"")</f>
        <v/>
      </c>
      <c r="AI40" s="374" t="str">
        <f t="shared" si="4"/>
        <v/>
      </c>
      <c r="AJ40" s="374" t="str" cm="1">
        <f t="array" aca="1" ref="AJ40" ca="1">IFERROR(INDEX($AI$14:$AI$102,SMALL(IF($AI$14:$AI$102&lt;&gt;"",ROW($AI$14:$AI$102)-ROW(INDIRECT("$AI$14"))+1),ROW(INDIRECT("A" &amp; AB40 ) ))),"")</f>
        <v/>
      </c>
    </row>
    <row r="41" spans="2:36" ht="20.100000000000001" customHeight="1" outlineLevel="1" thickTop="1" x14ac:dyDescent="0.45">
      <c r="B41" s="250"/>
      <c r="C41" s="280"/>
      <c r="D41" s="292"/>
      <c r="E41" s="230"/>
      <c r="F41" s="230"/>
      <c r="G41" s="230"/>
      <c r="H41" s="230"/>
      <c r="I41" s="230"/>
      <c r="J41" s="230"/>
      <c r="K41" s="230"/>
      <c r="L41" s="223"/>
      <c r="M41" s="223"/>
      <c r="N41" s="223"/>
      <c r="O41" s="223"/>
      <c r="P41" s="223"/>
      <c r="Q41" s="264"/>
      <c r="R41" s="264"/>
      <c r="S41" s="264"/>
      <c r="T41" s="264"/>
      <c r="U41" s="293"/>
      <c r="V41" s="304"/>
      <c r="W41" s="256"/>
      <c r="X41" s="478"/>
      <c r="AB41" s="318">
        <f t="shared" si="0"/>
        <v>28</v>
      </c>
      <c r="AC41" s="374" t="str">
        <f t="shared" si="1"/>
        <v/>
      </c>
      <c r="AD41" s="374" t="str" cm="1">
        <f t="array" aca="1" ref="AD41" ca="1">IFERROR(INDEX($AC$14:$AC$102,SMALL(IF($AC$14:$AC$102&lt;&gt;"",ROW($AC$14:$AC$102)-ROW(INDIRECT("$AC$14"))+1),ROW(INDIRECT("A" &amp; AB41 ) ))),"")</f>
        <v/>
      </c>
      <c r="AE41" s="374" t="str">
        <f t="shared" si="2"/>
        <v/>
      </c>
      <c r="AF41" s="374" t="str" cm="1">
        <f t="array" aca="1" ref="AF41" ca="1">IFERROR(INDEX($AE$14:$AE$102,SMALL(IF($AE$14:$AE$102&lt;&gt;"",ROW($AE$14:$AE$102)-ROW(INDIRECT("$AE$14"))+1),ROW(INDIRECT("A" &amp; AB41 ) ))),"")</f>
        <v/>
      </c>
      <c r="AG41" s="374" t="str">
        <f t="shared" si="3"/>
        <v/>
      </c>
      <c r="AH41" s="374" t="str" cm="1">
        <f t="array" aca="1" ref="AH41" ca="1">IFERROR(INDEX($AG$14:$AG$102,SMALL(IF($AG$14:$AG$102&lt;&gt;"",ROW($AG$14:$AG$102)-ROW(INDIRECT("$AG$14"))+1),ROW(INDIRECT("A" &amp; AB41 ) ))),"")</f>
        <v/>
      </c>
      <c r="AI41" s="374" t="str">
        <f t="shared" si="4"/>
        <v/>
      </c>
      <c r="AJ41" s="374" t="str" cm="1">
        <f t="array" aca="1" ref="AJ41" ca="1">IFERROR(INDEX($AI$14:$AI$102,SMALL(IF($AI$14:$AI$102&lt;&gt;"",ROW($AI$14:$AI$102)-ROW(INDIRECT("$AI$14"))+1),ROW(INDIRECT("A" &amp; AB41 ) ))),"")</f>
        <v/>
      </c>
    </row>
    <row r="42" spans="2:36" ht="30" customHeight="1" outlineLevel="1" x14ac:dyDescent="0.45">
      <c r="B42" s="250"/>
      <c r="C42" s="280"/>
      <c r="D42" s="292"/>
      <c r="E42" s="263" t="s">
        <v>185</v>
      </c>
      <c r="F42" s="503" t="s">
        <v>400</v>
      </c>
      <c r="G42" s="503"/>
      <c r="H42" s="289"/>
      <c r="I42" s="289"/>
      <c r="J42" s="230"/>
      <c r="K42" s="230"/>
      <c r="L42" s="223"/>
      <c r="M42" s="223"/>
      <c r="N42" s="223"/>
      <c r="O42" s="223"/>
      <c r="P42" s="223"/>
      <c r="Q42" s="230"/>
      <c r="R42" s="230"/>
      <c r="S42" s="230"/>
      <c r="T42" s="230"/>
      <c r="U42" s="294"/>
      <c r="V42" s="282"/>
      <c r="W42" s="254"/>
      <c r="AB42" s="318">
        <f t="shared" si="0"/>
        <v>29</v>
      </c>
      <c r="AC42" s="374" t="str">
        <f t="shared" si="1"/>
        <v/>
      </c>
      <c r="AD42" s="374" t="str" cm="1">
        <f t="array" aca="1" ref="AD42" ca="1">IFERROR(INDEX($AC$14:$AC$102,SMALL(IF($AC$14:$AC$102&lt;&gt;"",ROW($AC$14:$AC$102)-ROW(INDIRECT("$AC$14"))+1),ROW(INDIRECT("A" &amp; AB42 ) ))),"")</f>
        <v/>
      </c>
      <c r="AE42" s="374" t="str">
        <f t="shared" si="2"/>
        <v/>
      </c>
      <c r="AF42" s="374" t="str" cm="1">
        <f t="array" aca="1" ref="AF42" ca="1">IFERROR(INDEX($AE$14:$AE$102,SMALL(IF($AE$14:$AE$102&lt;&gt;"",ROW($AE$14:$AE$102)-ROW(INDIRECT("$AE$14"))+1),ROW(INDIRECT("A" &amp; AB42 ) ))),"")</f>
        <v/>
      </c>
      <c r="AG42" s="374" t="str">
        <f t="shared" si="3"/>
        <v/>
      </c>
      <c r="AH42" s="374" t="str" cm="1">
        <f t="array" aca="1" ref="AH42" ca="1">IFERROR(INDEX($AG$14:$AG$102,SMALL(IF($AG$14:$AG$102&lt;&gt;"",ROW($AG$14:$AG$102)-ROW(INDIRECT("$AG$14"))+1),ROW(INDIRECT("A" &amp; AB42 ) ))),"")</f>
        <v/>
      </c>
      <c r="AI42" s="374" t="str">
        <f t="shared" si="4"/>
        <v/>
      </c>
      <c r="AJ42" s="374" t="str" cm="1">
        <f t="array" aca="1" ref="AJ42" ca="1">IFERROR(INDEX($AI$14:$AI$102,SMALL(IF($AI$14:$AI$102&lt;&gt;"",ROW($AI$14:$AI$102)-ROW(INDIRECT("$AI$14"))+1),ROW(INDIRECT("A" &amp; AB42 ) ))),"")</f>
        <v/>
      </c>
    </row>
    <row r="43" spans="2:36" ht="20.100000000000001" customHeight="1" outlineLevel="1" x14ac:dyDescent="0.45">
      <c r="B43" s="250"/>
      <c r="C43" s="280"/>
      <c r="D43" s="237"/>
      <c r="E43" s="416"/>
      <c r="F43" s="416"/>
      <c r="G43" s="416"/>
      <c r="H43" s="416"/>
      <c r="I43" s="416"/>
      <c r="J43" s="230"/>
      <c r="K43" s="230"/>
      <c r="L43" s="223"/>
      <c r="M43" s="223"/>
      <c r="N43" s="223"/>
      <c r="O43" s="223"/>
      <c r="P43" s="223"/>
      <c r="Q43" s="230"/>
      <c r="R43" s="230"/>
      <c r="S43" s="230"/>
      <c r="T43" s="230"/>
      <c r="U43" s="294"/>
      <c r="V43" s="282"/>
      <c r="W43" s="254"/>
      <c r="AB43" s="318">
        <f t="shared" si="0"/>
        <v>30</v>
      </c>
      <c r="AC43" s="374" t="str">
        <f t="shared" si="1"/>
        <v/>
      </c>
      <c r="AD43" s="374" t="str" cm="1">
        <f t="array" aca="1" ref="AD43" ca="1">IFERROR(INDEX($AC$14:$AC$102,SMALL(IF($AC$14:$AC$102&lt;&gt;"",ROW($AC$14:$AC$102)-ROW(INDIRECT("$AC$14"))+1),ROW(INDIRECT("A" &amp; AB43 ) ))),"")</f>
        <v/>
      </c>
      <c r="AE43" s="374" t="str">
        <f t="shared" si="2"/>
        <v/>
      </c>
      <c r="AF43" s="374" t="str" cm="1">
        <f t="array" aca="1" ref="AF43" ca="1">IFERROR(INDEX($AE$14:$AE$102,SMALL(IF($AE$14:$AE$102&lt;&gt;"",ROW($AE$14:$AE$102)-ROW(INDIRECT("$AE$14"))+1),ROW(INDIRECT("A" &amp; AB43 ) ))),"")</f>
        <v/>
      </c>
      <c r="AG43" s="374" t="str">
        <f t="shared" si="3"/>
        <v/>
      </c>
      <c r="AH43" s="374" t="str" cm="1">
        <f t="array" aca="1" ref="AH43" ca="1">IFERROR(INDEX($AG$14:$AG$102,SMALL(IF($AG$14:$AG$102&lt;&gt;"",ROW($AG$14:$AG$102)-ROW(INDIRECT("$AG$14"))+1),ROW(INDIRECT("A" &amp; AB43 ) ))),"")</f>
        <v/>
      </c>
      <c r="AI43" s="374" t="str">
        <f t="shared" si="4"/>
        <v/>
      </c>
      <c r="AJ43" s="374" t="str" cm="1">
        <f t="array" aca="1" ref="AJ43" ca="1">IFERROR(INDEX($AI$14:$AI$102,SMALL(IF($AI$14:$AI$102&lt;&gt;"",ROW($AI$14:$AI$102)-ROW(INDIRECT("$AI$14"))+1),ROW(INDIRECT("A" &amp; AB43 ) ))),"")</f>
        <v/>
      </c>
    </row>
    <row r="44" spans="2:36" ht="20.100000000000001" customHeight="1" outlineLevel="1" x14ac:dyDescent="0.5">
      <c r="B44" s="250"/>
      <c r="C44" s="280"/>
      <c r="D44" s="237"/>
      <c r="E44" s="500" t="s">
        <v>380</v>
      </c>
      <c r="F44" s="501"/>
      <c r="G44" s="502"/>
      <c r="H44" s="230"/>
      <c r="I44" s="230"/>
      <c r="J44" s="230"/>
      <c r="K44" s="518" t="s">
        <v>401</v>
      </c>
      <c r="L44" s="518"/>
      <c r="M44" s="518"/>
      <c r="N44" s="518"/>
      <c r="O44" s="518"/>
      <c r="P44" s="518"/>
      <c r="Q44" s="518"/>
      <c r="R44" s="518"/>
      <c r="S44" s="518"/>
      <c r="T44" s="518"/>
      <c r="U44" s="294"/>
      <c r="V44" s="282"/>
      <c r="W44" s="254"/>
      <c r="AB44" s="318">
        <f t="shared" ref="AB44:AB69" si="5">ROW(A44)- $AD$2 +1</f>
        <v>31</v>
      </c>
      <c r="AC44" s="374" t="str">
        <f t="shared" ref="AC44:AC73" si="6">IF(AND($E44="Oui",$M44="Préleveur"),$F44,"")</f>
        <v/>
      </c>
      <c r="AD44" s="374" t="str" cm="1">
        <f t="array" aca="1" ref="AD44" ca="1">IFERROR(INDEX($AC$14:$AC$99,SMALL(IF($AC$14:$AC$99&lt;&gt;"",ROW($AC$14:$AC$99)-ROW(INDIRECT("$AC$13"))+1),ROW(INDIRECT("A" &amp; AB44 ) ))),"")</f>
        <v/>
      </c>
      <c r="AE44" s="374" t="str">
        <f t="shared" ref="AE44:AE73" si="7">IF(AND($E44="Oui",LEFT($M44,10) ="Débitmètre"),$F44,"")</f>
        <v/>
      </c>
      <c r="AF44" s="374" t="str" cm="1">
        <f t="array" aca="1" ref="AF44" ca="1">IFERROR(INDEX($AE$14:$AE$99,SMALL(IF($AE$14:$AE$99&lt;&gt;"",ROW($AE$14:$AE$99)-ROW(INDIRECT("$AE$13"))+1),ROW(INDIRECT("A" &amp; AB44 ) ))),"")</f>
        <v/>
      </c>
      <c r="AG44" s="374" t="str">
        <f t="shared" ref="AG44:AG73" si="8">IF(AND($E44="Oui",LEFT($M44,5) ="Sonde"),$F44,"")</f>
        <v/>
      </c>
      <c r="AH44" s="374" t="str" cm="1">
        <f t="array" aca="1" ref="AH44" ca="1">IFERROR(INDEX($AG$14:$AG$99,SMALL(IF($AG$14:$AG$99&lt;&gt;"",ROW($AG$14:$AG$99)-ROW(INDIRECT("$AG$13"))+1),ROW(INDIRECT("A" &amp; AB44 ) ))),"")</f>
        <v/>
      </c>
      <c r="AI44" s="374" t="str">
        <f t="shared" ref="AI44:AI73" si="9">IF(AND($E44="Oui", $F44 &lt;&gt; "", $M44 = ""),$F44,"")</f>
        <v/>
      </c>
      <c r="AJ44" s="374" t="str" cm="1">
        <f t="array" aca="1" ref="AJ44" ca="1">IFERROR(INDEX($AI$14:$AI$99,SMALL(IF($AI$14:$AI$99&lt;&gt;"",ROW($AI$14:$AI$99)-ROW(INDIRECT("$AI$13"))+1),ROW(INDIRECT("A" &amp; AB44 ) ))),"")</f>
        <v/>
      </c>
    </row>
    <row r="45" spans="2:36" ht="39.950000000000003" customHeight="1" outlineLevel="1" x14ac:dyDescent="0.45">
      <c r="B45" s="250"/>
      <c r="C45" s="280"/>
      <c r="D45" s="295"/>
      <c r="E45" s="230"/>
      <c r="F45" s="230"/>
      <c r="G45" s="230"/>
      <c r="H45" s="230"/>
      <c r="I45" s="230"/>
      <c r="J45" s="230"/>
      <c r="K45" s="497"/>
      <c r="L45" s="498"/>
      <c r="M45" s="498"/>
      <c r="N45" s="498"/>
      <c r="O45" s="498"/>
      <c r="P45" s="498"/>
      <c r="Q45" s="498"/>
      <c r="R45" s="498"/>
      <c r="S45" s="498"/>
      <c r="T45" s="499"/>
      <c r="U45" s="294"/>
      <c r="V45" s="282"/>
      <c r="W45" s="254"/>
      <c r="AB45" s="318">
        <f t="shared" si="5"/>
        <v>32</v>
      </c>
      <c r="AC45" s="374" t="str">
        <f t="shared" si="6"/>
        <v/>
      </c>
      <c r="AD45" s="374" t="str" cm="1">
        <f t="array" aca="1" ref="AD45" ca="1">IFERROR(INDEX($AC$14:$AC$99,SMALL(IF($AC$14:$AC$99&lt;&gt;"",ROW($AC$14:$AC$99)-ROW(INDIRECT("$AC$13"))+1),ROW(INDIRECT("A" &amp; AB45 ) ))),"")</f>
        <v/>
      </c>
      <c r="AE45" s="374" t="str">
        <f t="shared" si="7"/>
        <v/>
      </c>
      <c r="AF45" s="374" t="str" cm="1">
        <f t="array" aca="1" ref="AF45" ca="1">IFERROR(INDEX($AE$14:$AE$99,SMALL(IF($AE$14:$AE$99&lt;&gt;"",ROW($AE$14:$AE$99)-ROW(INDIRECT("$AE$13"))+1),ROW(INDIRECT("A" &amp; AB45 ) ))),"")</f>
        <v/>
      </c>
      <c r="AG45" s="374" t="str">
        <f t="shared" si="8"/>
        <v/>
      </c>
      <c r="AH45" s="374" t="str" cm="1">
        <f t="array" aca="1" ref="AH45" ca="1">IFERROR(INDEX($AG$14:$AG$99,SMALL(IF($AG$14:$AG$99&lt;&gt;"",ROW($AG$14:$AG$99)-ROW(INDIRECT("$AG$13"))+1),ROW(INDIRECT("A" &amp; AB45 ) ))),"")</f>
        <v/>
      </c>
      <c r="AI45" s="374" t="str">
        <f t="shared" si="9"/>
        <v/>
      </c>
      <c r="AJ45" s="374" t="str" cm="1">
        <f t="array" aca="1" ref="AJ45" ca="1">IFERROR(INDEX($AI$14:$AI$99,SMALL(IF($AI$14:$AI$99&lt;&gt;"",ROW($AI$14:$AI$99)-ROW(INDIRECT("$AI$13"))+1),ROW(INDIRECT("A" &amp; AB45 ) ))),"")</f>
        <v/>
      </c>
    </row>
    <row r="46" spans="2:36" ht="20.100000000000001" customHeight="1" outlineLevel="1" thickBot="1" x14ac:dyDescent="0.5">
      <c r="B46" s="250"/>
      <c r="C46" s="280"/>
      <c r="D46" s="296"/>
      <c r="E46" s="297"/>
      <c r="F46" s="297"/>
      <c r="G46" s="297"/>
      <c r="H46" s="297"/>
      <c r="I46" s="298"/>
      <c r="J46" s="298"/>
      <c r="K46" s="298"/>
      <c r="L46" s="298"/>
      <c r="M46" s="298"/>
      <c r="N46" s="298"/>
      <c r="O46" s="298"/>
      <c r="P46" s="298"/>
      <c r="Q46" s="298"/>
      <c r="R46" s="298"/>
      <c r="S46" s="298"/>
      <c r="T46" s="298"/>
      <c r="U46" s="299"/>
      <c r="V46" s="282"/>
      <c r="W46" s="254"/>
      <c r="AB46" s="318">
        <f t="shared" si="5"/>
        <v>33</v>
      </c>
      <c r="AC46" s="374" t="str">
        <f t="shared" si="6"/>
        <v/>
      </c>
      <c r="AD46" s="374" t="str" cm="1">
        <f t="array" aca="1" ref="AD46" ca="1">IFERROR(INDEX($AC$14:$AC$99,SMALL(IF($AC$14:$AC$99&lt;&gt;"",ROW($AC$14:$AC$99)-ROW(INDIRECT("$AC$13"))+1),ROW(INDIRECT("A" &amp; AB46 ) ))),"")</f>
        <v/>
      </c>
      <c r="AE46" s="374" t="str">
        <f t="shared" si="7"/>
        <v/>
      </c>
      <c r="AF46" s="374" t="str" cm="1">
        <f t="array" aca="1" ref="AF46" ca="1">IFERROR(INDEX($AE$14:$AE$99,SMALL(IF($AE$14:$AE$99&lt;&gt;"",ROW($AE$14:$AE$99)-ROW(INDIRECT("$AE$13"))+1),ROW(INDIRECT("A" &amp; AB46 ) ))),"")</f>
        <v/>
      </c>
      <c r="AG46" s="374" t="str">
        <f t="shared" si="8"/>
        <v/>
      </c>
      <c r="AH46" s="374" t="str" cm="1">
        <f t="array" aca="1" ref="AH46" ca="1">IFERROR(INDEX($AG$14:$AG$99,SMALL(IF($AG$14:$AG$99&lt;&gt;"",ROW($AG$14:$AG$99)-ROW(INDIRECT("$AG$13"))+1),ROW(INDIRECT("A" &amp; AB46 ) ))),"")</f>
        <v/>
      </c>
      <c r="AI46" s="374" t="str">
        <f t="shared" si="9"/>
        <v/>
      </c>
      <c r="AJ46" s="374" t="str" cm="1">
        <f t="array" aca="1" ref="AJ46" ca="1">IFERROR(INDEX($AI$14:$AI$99,SMALL(IF($AI$14:$AI$99&lt;&gt;"",ROW($AI$14:$AI$99)-ROW(INDIRECT("$AI$13"))+1),ROW(INDIRECT("A" &amp; AB46 ) ))),"")</f>
        <v/>
      </c>
    </row>
    <row r="47" spans="2:36" ht="20.100000000000001" customHeight="1" outlineLevel="1" thickTop="1" thickBot="1" x14ac:dyDescent="0.5">
      <c r="B47" s="250"/>
      <c r="C47" s="283"/>
      <c r="D47" s="305"/>
      <c r="E47" s="306"/>
      <c r="F47" s="306"/>
      <c r="G47" s="306"/>
      <c r="H47" s="306"/>
      <c r="I47" s="305"/>
      <c r="J47" s="305"/>
      <c r="K47" s="305"/>
      <c r="L47" s="305"/>
      <c r="M47" s="305"/>
      <c r="N47" s="305"/>
      <c r="O47" s="305"/>
      <c r="P47" s="305"/>
      <c r="Q47" s="305"/>
      <c r="R47" s="305"/>
      <c r="S47" s="305"/>
      <c r="T47" s="305"/>
      <c r="U47" s="305"/>
      <c r="V47" s="286"/>
      <c r="W47" s="254"/>
      <c r="AB47" s="318">
        <f t="shared" si="5"/>
        <v>34</v>
      </c>
      <c r="AC47" s="374" t="str">
        <f t="shared" si="6"/>
        <v/>
      </c>
      <c r="AD47" s="374" t="str" cm="1">
        <f t="array" aca="1" ref="AD47" ca="1">IFERROR(INDEX($AC$14:$AC$99,SMALL(IF($AC$14:$AC$99&lt;&gt;"",ROW($AC$14:$AC$99)-ROW(INDIRECT("$AC$13"))+1),ROW(INDIRECT("A" &amp; AB47 ) ))),"")</f>
        <v/>
      </c>
      <c r="AE47" s="374" t="str">
        <f t="shared" si="7"/>
        <v/>
      </c>
      <c r="AF47" s="374" t="str" cm="1">
        <f t="array" aca="1" ref="AF47" ca="1">IFERROR(INDEX($AE$14:$AE$99,SMALL(IF($AE$14:$AE$99&lt;&gt;"",ROW($AE$14:$AE$99)-ROW(INDIRECT("$AE$13"))+1),ROW(INDIRECT("A" &amp; AB47 ) ))),"")</f>
        <v/>
      </c>
      <c r="AG47" s="374" t="str">
        <f t="shared" si="8"/>
        <v/>
      </c>
      <c r="AH47" s="374" t="str" cm="1">
        <f t="array" aca="1" ref="AH47" ca="1">IFERROR(INDEX($AG$14:$AG$99,SMALL(IF($AG$14:$AG$99&lt;&gt;"",ROW($AG$14:$AG$99)-ROW(INDIRECT("$AG$13"))+1),ROW(INDIRECT("A" &amp; AB47 ) ))),"")</f>
        <v/>
      </c>
      <c r="AI47" s="374" t="str">
        <f t="shared" si="9"/>
        <v/>
      </c>
      <c r="AJ47" s="374" t="str" cm="1">
        <f t="array" aca="1" ref="AJ47" ca="1">IFERROR(INDEX($AI$14:$AI$99,SMALL(IF($AI$14:$AI$99&lt;&gt;"",ROW($AI$14:$AI$99)-ROW(INDIRECT("$AI$13"))+1),ROW(INDIRECT("A" &amp; AB47 ) ))),"")</f>
        <v/>
      </c>
    </row>
    <row r="48" spans="2:36" ht="20.100000000000001" customHeight="1" thickTop="1" x14ac:dyDescent="0.45">
      <c r="B48" s="257"/>
      <c r="C48" s="258"/>
      <c r="D48" s="259"/>
      <c r="E48" s="260"/>
      <c r="F48" s="259"/>
      <c r="G48" s="259"/>
      <c r="H48" s="259"/>
      <c r="I48" s="259"/>
      <c r="J48" s="259"/>
      <c r="K48" s="259"/>
      <c r="L48" s="259"/>
      <c r="M48" s="261"/>
      <c r="N48" s="258"/>
      <c r="O48" s="258"/>
      <c r="P48" s="258"/>
      <c r="Q48" s="258"/>
      <c r="R48" s="258"/>
      <c r="S48" s="258"/>
      <c r="T48" s="258"/>
      <c r="U48" s="258"/>
      <c r="V48" s="258"/>
      <c r="W48" s="262"/>
      <c r="AB48" s="318">
        <f t="shared" si="5"/>
        <v>35</v>
      </c>
      <c r="AC48" s="374" t="str">
        <f t="shared" si="6"/>
        <v/>
      </c>
      <c r="AD48" s="374" t="str" cm="1">
        <f t="array" aca="1" ref="AD48" ca="1">IFERROR(INDEX($AC$14:$AC$99,SMALL(IF($AC$14:$AC$99&lt;&gt;"",ROW($AC$14:$AC$99)-ROW(INDIRECT("$AC$13"))+1),ROW(INDIRECT("A" &amp; AB48 ) ))),"")</f>
        <v/>
      </c>
      <c r="AE48" s="374" t="str">
        <f t="shared" si="7"/>
        <v/>
      </c>
      <c r="AF48" s="374" t="str" cm="1">
        <f t="array" aca="1" ref="AF48" ca="1">IFERROR(INDEX($AE$14:$AE$99,SMALL(IF($AE$14:$AE$99&lt;&gt;"",ROW($AE$14:$AE$99)-ROW(INDIRECT("$AE$13"))+1),ROW(INDIRECT("A" &amp; AB48 ) ))),"")</f>
        <v/>
      </c>
      <c r="AG48" s="374" t="str">
        <f t="shared" si="8"/>
        <v/>
      </c>
      <c r="AH48" s="374" t="str" cm="1">
        <f t="array" aca="1" ref="AH48" ca="1">IFERROR(INDEX($AG$14:$AG$99,SMALL(IF($AG$14:$AG$99&lt;&gt;"",ROW($AG$14:$AG$99)-ROW(INDIRECT("$AG$13"))+1),ROW(INDIRECT("A" &amp; AB48 ) ))),"")</f>
        <v/>
      </c>
      <c r="AI48" s="374" t="str">
        <f t="shared" si="9"/>
        <v/>
      </c>
      <c r="AJ48" s="374" t="str" cm="1">
        <f t="array" aca="1" ref="AJ48" ca="1">IFERROR(INDEX($AI$14:$AI$99,SMALL(IF($AI$14:$AI$99&lt;&gt;"",ROW($AI$14:$AI$99)-ROW(INDIRECT("$AI$13"))+1),ROW(INDIRECT("A" &amp; AB48 ) ))),"")</f>
        <v/>
      </c>
    </row>
    <row r="49" spans="28:36" ht="20.100000000000001" customHeight="1" x14ac:dyDescent="0.45">
      <c r="AB49" s="318">
        <f t="shared" si="5"/>
        <v>36</v>
      </c>
      <c r="AC49" s="374" t="str">
        <f t="shared" si="6"/>
        <v/>
      </c>
      <c r="AD49" s="374" t="str" cm="1">
        <f t="array" aca="1" ref="AD49" ca="1">IFERROR(INDEX($AC$14:$AC$99,SMALL(IF($AC$14:$AC$99&lt;&gt;"",ROW($AC$14:$AC$99)-ROW(INDIRECT("$AC$13"))+1),ROW(INDIRECT("A" &amp; AB49 ) ))),"")</f>
        <v/>
      </c>
      <c r="AE49" s="374" t="str">
        <f t="shared" si="7"/>
        <v/>
      </c>
      <c r="AF49" s="374" t="str" cm="1">
        <f t="array" aca="1" ref="AF49" ca="1">IFERROR(INDEX($AE$14:$AE$99,SMALL(IF($AE$14:$AE$99&lt;&gt;"",ROW($AE$14:$AE$99)-ROW(INDIRECT("$AE$13"))+1),ROW(INDIRECT("A" &amp; AB49 ) ))),"")</f>
        <v/>
      </c>
      <c r="AG49" s="374" t="str">
        <f t="shared" si="8"/>
        <v/>
      </c>
      <c r="AH49" s="374" t="str" cm="1">
        <f t="array" aca="1" ref="AH49" ca="1">IFERROR(INDEX($AG$14:$AG$99,SMALL(IF($AG$14:$AG$99&lt;&gt;"",ROW($AG$14:$AG$99)-ROW(INDIRECT("$AG$13"))+1),ROW(INDIRECT("A" &amp; AB49 ) ))),"")</f>
        <v/>
      </c>
      <c r="AI49" s="374" t="str">
        <f t="shared" si="9"/>
        <v/>
      </c>
      <c r="AJ49" s="374" t="str" cm="1">
        <f t="array" aca="1" ref="AJ49" ca="1">IFERROR(INDEX($AI$14:$AI$99,SMALL(IF($AI$14:$AI$99&lt;&gt;"",ROW($AI$14:$AI$99)-ROW(INDIRECT("$AI$13"))+1),ROW(INDIRECT("A" &amp; AB49 ) ))),"")</f>
        <v/>
      </c>
    </row>
    <row r="50" spans="28:36" ht="20.100000000000001" customHeight="1" x14ac:dyDescent="0.45">
      <c r="AB50" s="318">
        <f t="shared" si="5"/>
        <v>37</v>
      </c>
      <c r="AC50" s="374" t="str">
        <f t="shared" si="6"/>
        <v/>
      </c>
      <c r="AD50" s="374" t="str" cm="1">
        <f t="array" aca="1" ref="AD50" ca="1">IFERROR(INDEX($AC$14:$AC$99,SMALL(IF($AC$14:$AC$99&lt;&gt;"",ROW($AC$14:$AC$99)-ROW(INDIRECT("$AC$13"))+1),ROW(INDIRECT("A" &amp; AB50 ) ))),"")</f>
        <v/>
      </c>
      <c r="AE50" s="374" t="str">
        <f t="shared" si="7"/>
        <v/>
      </c>
      <c r="AF50" s="374" t="str" cm="1">
        <f t="array" aca="1" ref="AF50" ca="1">IFERROR(INDEX($AE$14:$AE$99,SMALL(IF($AE$14:$AE$99&lt;&gt;"",ROW($AE$14:$AE$99)-ROW(INDIRECT("$AE$13"))+1),ROW(INDIRECT("A" &amp; AB50 ) ))),"")</f>
        <v/>
      </c>
      <c r="AG50" s="374" t="str">
        <f t="shared" si="8"/>
        <v/>
      </c>
      <c r="AH50" s="374" t="str" cm="1">
        <f t="array" aca="1" ref="AH50" ca="1">IFERROR(INDEX($AG$14:$AG$99,SMALL(IF($AG$14:$AG$99&lt;&gt;"",ROW($AG$14:$AG$99)-ROW(INDIRECT("$AG$13"))+1),ROW(INDIRECT("A" &amp; AB50 ) ))),"")</f>
        <v/>
      </c>
      <c r="AI50" s="374" t="str">
        <f t="shared" si="9"/>
        <v/>
      </c>
      <c r="AJ50" s="374" t="str" cm="1">
        <f t="array" aca="1" ref="AJ50" ca="1">IFERROR(INDEX($AI$14:$AI$99,SMALL(IF($AI$14:$AI$99&lt;&gt;"",ROW($AI$14:$AI$99)-ROW(INDIRECT("$AI$13"))+1),ROW(INDIRECT("A" &amp; AB50 ) ))),"")</f>
        <v/>
      </c>
    </row>
    <row r="51" spans="28:36" ht="20.100000000000001" customHeight="1" x14ac:dyDescent="0.45">
      <c r="AB51" s="318">
        <f t="shared" si="5"/>
        <v>38</v>
      </c>
      <c r="AC51" s="374" t="str">
        <f t="shared" si="6"/>
        <v/>
      </c>
      <c r="AD51" s="374" t="str" cm="1">
        <f t="array" aca="1" ref="AD51" ca="1">IFERROR(INDEX($AC$14:$AC$99,SMALL(IF($AC$14:$AC$99&lt;&gt;"",ROW($AC$14:$AC$99)-ROW(INDIRECT("$AC$13"))+1),ROW(INDIRECT("A" &amp; AB51 ) ))),"")</f>
        <v/>
      </c>
      <c r="AE51" s="374" t="str">
        <f t="shared" si="7"/>
        <v/>
      </c>
      <c r="AF51" s="374" t="str" cm="1">
        <f t="array" aca="1" ref="AF51" ca="1">IFERROR(INDEX($AE$14:$AE$99,SMALL(IF($AE$14:$AE$99&lt;&gt;"",ROW($AE$14:$AE$99)-ROW(INDIRECT("$AE$13"))+1),ROW(INDIRECT("A" &amp; AB51 ) ))),"")</f>
        <v/>
      </c>
      <c r="AG51" s="374" t="str">
        <f t="shared" si="8"/>
        <v/>
      </c>
      <c r="AH51" s="374" t="str" cm="1">
        <f t="array" aca="1" ref="AH51" ca="1">IFERROR(INDEX($AG$14:$AG$99,SMALL(IF($AG$14:$AG$99&lt;&gt;"",ROW($AG$14:$AG$99)-ROW(INDIRECT("$AG$13"))+1),ROW(INDIRECT("A" &amp; AB51 ) ))),"")</f>
        <v/>
      </c>
      <c r="AI51" s="374" t="str">
        <f t="shared" si="9"/>
        <v/>
      </c>
      <c r="AJ51" s="374" t="str" cm="1">
        <f t="array" aca="1" ref="AJ51" ca="1">IFERROR(INDEX($AI$14:$AI$99,SMALL(IF($AI$14:$AI$99&lt;&gt;"",ROW($AI$14:$AI$99)-ROW(INDIRECT("$AI$13"))+1),ROW(INDIRECT("A" &amp; AB51 ) ))),"")</f>
        <v/>
      </c>
    </row>
    <row r="52" spans="28:36" ht="20.100000000000001" customHeight="1" x14ac:dyDescent="0.45">
      <c r="AB52" s="318">
        <f t="shared" si="5"/>
        <v>39</v>
      </c>
      <c r="AC52" s="374" t="str">
        <f t="shared" si="6"/>
        <v/>
      </c>
      <c r="AD52" s="374" t="str" cm="1">
        <f t="array" aca="1" ref="AD52" ca="1">IFERROR(INDEX($AC$14:$AC$99,SMALL(IF($AC$14:$AC$99&lt;&gt;"",ROW($AC$14:$AC$99)-ROW(INDIRECT("$AC$13"))+1),ROW(INDIRECT("A" &amp; AB52 ) ))),"")</f>
        <v/>
      </c>
      <c r="AE52" s="374" t="str">
        <f t="shared" si="7"/>
        <v/>
      </c>
      <c r="AF52" s="374" t="str" cm="1">
        <f t="array" aca="1" ref="AF52" ca="1">IFERROR(INDEX($AE$14:$AE$99,SMALL(IF($AE$14:$AE$99&lt;&gt;"",ROW($AE$14:$AE$99)-ROW(INDIRECT("$AE$13"))+1),ROW(INDIRECT("A" &amp; AB52 ) ))),"")</f>
        <v/>
      </c>
      <c r="AG52" s="374" t="str">
        <f t="shared" si="8"/>
        <v/>
      </c>
      <c r="AH52" s="374" t="str" cm="1">
        <f t="array" aca="1" ref="AH52" ca="1">IFERROR(INDEX($AG$14:$AG$99,SMALL(IF($AG$14:$AG$99&lt;&gt;"",ROW($AG$14:$AG$99)-ROW(INDIRECT("$AG$13"))+1),ROW(INDIRECT("A" &amp; AB52 ) ))),"")</f>
        <v/>
      </c>
      <c r="AI52" s="374" t="str">
        <f t="shared" si="9"/>
        <v/>
      </c>
      <c r="AJ52" s="374" t="str" cm="1">
        <f t="array" aca="1" ref="AJ52" ca="1">IFERROR(INDEX($AI$14:$AI$99,SMALL(IF($AI$14:$AI$99&lt;&gt;"",ROW($AI$14:$AI$99)-ROW(INDIRECT("$AI$13"))+1),ROW(INDIRECT("A" &amp; AB52 ) ))),"")</f>
        <v/>
      </c>
    </row>
    <row r="53" spans="28:36" ht="20.100000000000001" customHeight="1" x14ac:dyDescent="0.45">
      <c r="AB53" s="318">
        <f t="shared" si="5"/>
        <v>40</v>
      </c>
      <c r="AC53" s="374" t="str">
        <f t="shared" si="6"/>
        <v/>
      </c>
      <c r="AD53" s="374" t="str" cm="1">
        <f t="array" aca="1" ref="AD53" ca="1">IFERROR(INDEX($AC$14:$AC$99,SMALL(IF($AC$14:$AC$99&lt;&gt;"",ROW($AC$14:$AC$99)-ROW(INDIRECT("$AC$13"))+1),ROW(INDIRECT("A" &amp; AB53 ) ))),"")</f>
        <v/>
      </c>
      <c r="AE53" s="374" t="str">
        <f t="shared" si="7"/>
        <v/>
      </c>
      <c r="AF53" s="374" t="str" cm="1">
        <f t="array" aca="1" ref="AF53" ca="1">IFERROR(INDEX($AE$14:$AE$99,SMALL(IF($AE$14:$AE$99&lt;&gt;"",ROW($AE$14:$AE$99)-ROW(INDIRECT("$AE$13"))+1),ROW(INDIRECT("A" &amp; AB53 ) ))),"")</f>
        <v/>
      </c>
      <c r="AG53" s="374" t="str">
        <f t="shared" si="8"/>
        <v/>
      </c>
      <c r="AH53" s="374" t="str" cm="1">
        <f t="array" aca="1" ref="AH53" ca="1">IFERROR(INDEX($AG$14:$AG$99,SMALL(IF($AG$14:$AG$99&lt;&gt;"",ROW($AG$14:$AG$99)-ROW(INDIRECT("$AG$13"))+1),ROW(INDIRECT("A" &amp; AB53 ) ))),"")</f>
        <v/>
      </c>
      <c r="AI53" s="374" t="str">
        <f t="shared" si="9"/>
        <v/>
      </c>
      <c r="AJ53" s="374" t="str" cm="1">
        <f t="array" aca="1" ref="AJ53" ca="1">IFERROR(INDEX($AI$14:$AI$99,SMALL(IF($AI$14:$AI$99&lt;&gt;"",ROW($AI$14:$AI$99)-ROW(INDIRECT("$AI$13"))+1),ROW(INDIRECT("A" &amp; AB53 ) ))),"")</f>
        <v/>
      </c>
    </row>
    <row r="54" spans="28:36" ht="20.100000000000001" customHeight="1" x14ac:dyDescent="0.45">
      <c r="AB54" s="318">
        <f t="shared" si="5"/>
        <v>41</v>
      </c>
      <c r="AC54" s="374" t="str">
        <f t="shared" si="6"/>
        <v/>
      </c>
      <c r="AD54" s="374" t="str" cm="1">
        <f t="array" aca="1" ref="AD54" ca="1">IFERROR(INDEX($AC$14:$AC$99,SMALL(IF($AC$14:$AC$99&lt;&gt;"",ROW($AC$14:$AC$99)-ROW(INDIRECT("$AC$13"))+1),ROW(INDIRECT("A" &amp; AB54 ) ))),"")</f>
        <v/>
      </c>
      <c r="AE54" s="374" t="str">
        <f t="shared" si="7"/>
        <v/>
      </c>
      <c r="AF54" s="374" t="str" cm="1">
        <f t="array" aca="1" ref="AF54" ca="1">IFERROR(INDEX($AE$14:$AE$99,SMALL(IF($AE$14:$AE$99&lt;&gt;"",ROW($AE$14:$AE$99)-ROW(INDIRECT("$AE$13"))+1),ROW(INDIRECT("A" &amp; AB54 ) ))),"")</f>
        <v/>
      </c>
      <c r="AG54" s="374" t="str">
        <f t="shared" si="8"/>
        <v/>
      </c>
      <c r="AH54" s="374" t="str" cm="1">
        <f t="array" aca="1" ref="AH54" ca="1">IFERROR(INDEX($AG$14:$AG$99,SMALL(IF($AG$14:$AG$99&lt;&gt;"",ROW($AG$14:$AG$99)-ROW(INDIRECT("$AG$13"))+1),ROW(INDIRECT("A" &amp; AB54 ) ))),"")</f>
        <v/>
      </c>
      <c r="AI54" s="374" t="str">
        <f t="shared" si="9"/>
        <v/>
      </c>
      <c r="AJ54" s="374" t="str" cm="1">
        <f t="array" aca="1" ref="AJ54" ca="1">IFERROR(INDEX($AI$14:$AI$99,SMALL(IF($AI$14:$AI$99&lt;&gt;"",ROW($AI$14:$AI$99)-ROW(INDIRECT("$AI$13"))+1),ROW(INDIRECT("A" &amp; AB54 ) ))),"")</f>
        <v/>
      </c>
    </row>
    <row r="55" spans="28:36" ht="20.100000000000001" customHeight="1" x14ac:dyDescent="0.45">
      <c r="AB55" s="318">
        <f t="shared" si="5"/>
        <v>42</v>
      </c>
      <c r="AC55" s="374" t="str">
        <f t="shared" si="6"/>
        <v/>
      </c>
      <c r="AD55" s="374" t="str" cm="1">
        <f t="array" aca="1" ref="AD55" ca="1">IFERROR(INDEX($AC$14:$AC$99,SMALL(IF($AC$14:$AC$99&lt;&gt;"",ROW($AC$14:$AC$99)-ROW(INDIRECT("$AC$13"))+1),ROW(INDIRECT("A" &amp; AB55 ) ))),"")</f>
        <v/>
      </c>
      <c r="AE55" s="374" t="str">
        <f t="shared" si="7"/>
        <v/>
      </c>
      <c r="AF55" s="374" t="str" cm="1">
        <f t="array" aca="1" ref="AF55" ca="1">IFERROR(INDEX($AE$14:$AE$99,SMALL(IF($AE$14:$AE$99&lt;&gt;"",ROW($AE$14:$AE$99)-ROW(INDIRECT("$AE$13"))+1),ROW(INDIRECT("A" &amp; AB55 ) ))),"")</f>
        <v/>
      </c>
      <c r="AG55" s="374" t="str">
        <f t="shared" si="8"/>
        <v/>
      </c>
      <c r="AH55" s="374" t="str" cm="1">
        <f t="array" aca="1" ref="AH55" ca="1">IFERROR(INDEX($AG$14:$AG$99,SMALL(IF($AG$14:$AG$99&lt;&gt;"",ROW($AG$14:$AG$99)-ROW(INDIRECT("$AG$13"))+1),ROW(INDIRECT("A" &amp; AB55 ) ))),"")</f>
        <v/>
      </c>
      <c r="AI55" s="374" t="str">
        <f t="shared" si="9"/>
        <v/>
      </c>
      <c r="AJ55" s="374" t="str" cm="1">
        <f t="array" aca="1" ref="AJ55" ca="1">IFERROR(INDEX($AI$14:$AI$99,SMALL(IF($AI$14:$AI$99&lt;&gt;"",ROW($AI$14:$AI$99)-ROW(INDIRECT("$AI$13"))+1),ROW(INDIRECT("A" &amp; AB55 ) ))),"")</f>
        <v/>
      </c>
    </row>
    <row r="56" spans="28:36" ht="20.100000000000001" customHeight="1" x14ac:dyDescent="0.45">
      <c r="AB56" s="318">
        <f t="shared" si="5"/>
        <v>43</v>
      </c>
      <c r="AC56" s="374" t="str">
        <f t="shared" si="6"/>
        <v/>
      </c>
      <c r="AD56" s="374" t="str" cm="1">
        <f t="array" aca="1" ref="AD56" ca="1">IFERROR(INDEX($AC$14:$AC$99,SMALL(IF($AC$14:$AC$99&lt;&gt;"",ROW($AC$14:$AC$99)-ROW(INDIRECT("$AC$13"))+1),ROW(INDIRECT("A" &amp; AB56 ) ))),"")</f>
        <v/>
      </c>
      <c r="AE56" s="374" t="str">
        <f t="shared" si="7"/>
        <v/>
      </c>
      <c r="AF56" s="374" t="str" cm="1">
        <f t="array" aca="1" ref="AF56" ca="1">IFERROR(INDEX($AE$14:$AE$99,SMALL(IF($AE$14:$AE$99&lt;&gt;"",ROW($AE$14:$AE$99)-ROW(INDIRECT("$AE$13"))+1),ROW(INDIRECT("A" &amp; AB56 ) ))),"")</f>
        <v/>
      </c>
      <c r="AG56" s="374" t="str">
        <f t="shared" si="8"/>
        <v/>
      </c>
      <c r="AH56" s="374" t="str" cm="1">
        <f t="array" aca="1" ref="AH56" ca="1">IFERROR(INDEX($AG$14:$AG$99,SMALL(IF($AG$14:$AG$99&lt;&gt;"",ROW($AG$14:$AG$99)-ROW(INDIRECT("$AG$13"))+1),ROW(INDIRECT("A" &amp; AB56 ) ))),"")</f>
        <v/>
      </c>
      <c r="AI56" s="374" t="str">
        <f t="shared" si="9"/>
        <v/>
      </c>
      <c r="AJ56" s="374" t="str" cm="1">
        <f t="array" aca="1" ref="AJ56" ca="1">IFERROR(INDEX($AI$14:$AI$99,SMALL(IF($AI$14:$AI$99&lt;&gt;"",ROW($AI$14:$AI$99)-ROW(INDIRECT("$AI$13"))+1),ROW(INDIRECT("A" &amp; AB56 ) ))),"")</f>
        <v/>
      </c>
    </row>
    <row r="57" spans="28:36" ht="20.100000000000001" customHeight="1" x14ac:dyDescent="0.45">
      <c r="AB57" s="318">
        <f t="shared" si="5"/>
        <v>44</v>
      </c>
      <c r="AC57" s="374" t="str">
        <f t="shared" si="6"/>
        <v/>
      </c>
      <c r="AD57" s="374" t="str" cm="1">
        <f t="array" aca="1" ref="AD57" ca="1">IFERROR(INDEX($AC$14:$AC$99,SMALL(IF($AC$14:$AC$99&lt;&gt;"",ROW($AC$14:$AC$99)-ROW(INDIRECT("$AC$13"))+1),ROW(INDIRECT("A" &amp; AB57 ) ))),"")</f>
        <v/>
      </c>
      <c r="AE57" s="374" t="str">
        <f t="shared" si="7"/>
        <v/>
      </c>
      <c r="AF57" s="374" t="str" cm="1">
        <f t="array" aca="1" ref="AF57" ca="1">IFERROR(INDEX($AE$14:$AE$99,SMALL(IF($AE$14:$AE$99&lt;&gt;"",ROW($AE$14:$AE$99)-ROW(INDIRECT("$AE$13"))+1),ROW(INDIRECT("A" &amp; AB57 ) ))),"")</f>
        <v/>
      </c>
      <c r="AG57" s="374" t="str">
        <f t="shared" si="8"/>
        <v/>
      </c>
      <c r="AH57" s="374" t="str" cm="1">
        <f t="array" aca="1" ref="AH57" ca="1">IFERROR(INDEX($AG$14:$AG$99,SMALL(IF($AG$14:$AG$99&lt;&gt;"",ROW($AG$14:$AG$99)-ROW(INDIRECT("$AG$13"))+1),ROW(INDIRECT("A" &amp; AB57 ) ))),"")</f>
        <v/>
      </c>
      <c r="AI57" s="374" t="str">
        <f t="shared" si="9"/>
        <v/>
      </c>
      <c r="AJ57" s="374" t="str" cm="1">
        <f t="array" aca="1" ref="AJ57" ca="1">IFERROR(INDEX($AI$14:$AI$99,SMALL(IF($AI$14:$AI$99&lt;&gt;"",ROW($AI$14:$AI$99)-ROW(INDIRECT("$AI$13"))+1),ROW(INDIRECT("A" &amp; AB57 ) ))),"")</f>
        <v/>
      </c>
    </row>
    <row r="58" spans="28:36" ht="20.100000000000001" customHeight="1" x14ac:dyDescent="0.45">
      <c r="AB58" s="318">
        <f t="shared" si="5"/>
        <v>45</v>
      </c>
      <c r="AC58" s="374" t="str">
        <f t="shared" si="6"/>
        <v/>
      </c>
      <c r="AD58" s="374" t="str" cm="1">
        <f t="array" aca="1" ref="AD58" ca="1">IFERROR(INDEX($AC$14:$AC$99,SMALL(IF($AC$14:$AC$99&lt;&gt;"",ROW($AC$14:$AC$99)-ROW(INDIRECT("$AC$13"))+1),ROW(INDIRECT("A" &amp; AB58 ) ))),"")</f>
        <v/>
      </c>
      <c r="AE58" s="374" t="str">
        <f t="shared" si="7"/>
        <v/>
      </c>
      <c r="AF58" s="374" t="str" cm="1">
        <f t="array" aca="1" ref="AF58" ca="1">IFERROR(INDEX($AE$14:$AE$99,SMALL(IF($AE$14:$AE$99&lt;&gt;"",ROW($AE$14:$AE$99)-ROW(INDIRECT("$AE$13"))+1),ROW(INDIRECT("A" &amp; AB58 ) ))),"")</f>
        <v/>
      </c>
      <c r="AG58" s="374" t="str">
        <f t="shared" si="8"/>
        <v/>
      </c>
      <c r="AH58" s="374" t="str" cm="1">
        <f t="array" aca="1" ref="AH58" ca="1">IFERROR(INDEX($AG$14:$AG$99,SMALL(IF($AG$14:$AG$99&lt;&gt;"",ROW($AG$14:$AG$99)-ROW(INDIRECT("$AG$13"))+1),ROW(INDIRECT("A" &amp; AB58 ) ))),"")</f>
        <v/>
      </c>
      <c r="AI58" s="374" t="str">
        <f t="shared" si="9"/>
        <v/>
      </c>
      <c r="AJ58" s="374" t="str" cm="1">
        <f t="array" aca="1" ref="AJ58" ca="1">IFERROR(INDEX($AI$14:$AI$99,SMALL(IF($AI$14:$AI$99&lt;&gt;"",ROW($AI$14:$AI$99)-ROW(INDIRECT("$AI$13"))+1),ROW(INDIRECT("A" &amp; AB58 ) ))),"")</f>
        <v/>
      </c>
    </row>
    <row r="59" spans="28:36" ht="20.100000000000001" customHeight="1" x14ac:dyDescent="0.45">
      <c r="AB59" s="318">
        <f t="shared" si="5"/>
        <v>46</v>
      </c>
      <c r="AC59" s="374" t="str">
        <f t="shared" si="6"/>
        <v/>
      </c>
      <c r="AD59" s="374" t="str" cm="1">
        <f t="array" aca="1" ref="AD59" ca="1">IFERROR(INDEX($AC$14:$AC$99,SMALL(IF($AC$14:$AC$99&lt;&gt;"",ROW($AC$14:$AC$99)-ROW(INDIRECT("$AC$13"))+1),ROW(INDIRECT("A" &amp; AB59 ) ))),"")</f>
        <v/>
      </c>
      <c r="AE59" s="374" t="str">
        <f t="shared" si="7"/>
        <v/>
      </c>
      <c r="AF59" s="374" t="str" cm="1">
        <f t="array" aca="1" ref="AF59" ca="1">IFERROR(INDEX($AE$14:$AE$99,SMALL(IF($AE$14:$AE$99&lt;&gt;"",ROW($AE$14:$AE$99)-ROW(INDIRECT("$AE$13"))+1),ROW(INDIRECT("A" &amp; AB59 ) ))),"")</f>
        <v/>
      </c>
      <c r="AG59" s="374" t="str">
        <f t="shared" si="8"/>
        <v/>
      </c>
      <c r="AH59" s="374" t="str" cm="1">
        <f t="array" aca="1" ref="AH59" ca="1">IFERROR(INDEX($AG$14:$AG$99,SMALL(IF($AG$14:$AG$99&lt;&gt;"",ROW($AG$14:$AG$99)-ROW(INDIRECT("$AG$13"))+1),ROW(INDIRECT("A" &amp; AB59 ) ))),"")</f>
        <v/>
      </c>
      <c r="AI59" s="374" t="str">
        <f t="shared" si="9"/>
        <v/>
      </c>
      <c r="AJ59" s="374" t="str" cm="1">
        <f t="array" aca="1" ref="AJ59" ca="1">IFERROR(INDEX($AI$14:$AI$99,SMALL(IF($AI$14:$AI$99&lt;&gt;"",ROW($AI$14:$AI$99)-ROW(INDIRECT("$AI$13"))+1),ROW(INDIRECT("A" &amp; AB59 ) ))),"")</f>
        <v/>
      </c>
    </row>
    <row r="60" spans="28:36" ht="20.100000000000001" customHeight="1" x14ac:dyDescent="0.45">
      <c r="AB60" s="318">
        <f t="shared" si="5"/>
        <v>47</v>
      </c>
      <c r="AC60" s="374" t="str">
        <f t="shared" si="6"/>
        <v/>
      </c>
      <c r="AD60" s="374" t="str" cm="1">
        <f t="array" aca="1" ref="AD60" ca="1">IFERROR(INDEX($AC$14:$AC$99,SMALL(IF($AC$14:$AC$99&lt;&gt;"",ROW($AC$14:$AC$99)-ROW(INDIRECT("$AC$13"))+1),ROW(INDIRECT("A" &amp; AB60 ) ))),"")</f>
        <v/>
      </c>
      <c r="AE60" s="374" t="str">
        <f t="shared" si="7"/>
        <v/>
      </c>
      <c r="AF60" s="374" t="str" cm="1">
        <f t="array" aca="1" ref="AF60" ca="1">IFERROR(INDEX($AE$14:$AE$99,SMALL(IF($AE$14:$AE$99&lt;&gt;"",ROW($AE$14:$AE$99)-ROW(INDIRECT("$AE$13"))+1),ROW(INDIRECT("A" &amp; AB60 ) ))),"")</f>
        <v/>
      </c>
      <c r="AG60" s="374" t="str">
        <f t="shared" si="8"/>
        <v/>
      </c>
      <c r="AH60" s="374" t="str" cm="1">
        <f t="array" aca="1" ref="AH60" ca="1">IFERROR(INDEX($AG$14:$AG$99,SMALL(IF($AG$14:$AG$99&lt;&gt;"",ROW($AG$14:$AG$99)-ROW(INDIRECT("$AG$13"))+1),ROW(INDIRECT("A" &amp; AB60 ) ))),"")</f>
        <v/>
      </c>
      <c r="AI60" s="374" t="str">
        <f t="shared" si="9"/>
        <v/>
      </c>
      <c r="AJ60" s="374" t="str" cm="1">
        <f t="array" aca="1" ref="AJ60" ca="1">IFERROR(INDEX($AI$14:$AI$99,SMALL(IF($AI$14:$AI$99&lt;&gt;"",ROW($AI$14:$AI$99)-ROW(INDIRECT("$AI$13"))+1),ROW(INDIRECT("A" &amp; AB60 ) ))),"")</f>
        <v/>
      </c>
    </row>
    <row r="61" spans="28:36" ht="20.100000000000001" customHeight="1" x14ac:dyDescent="0.45">
      <c r="AB61" s="318">
        <f t="shared" si="5"/>
        <v>48</v>
      </c>
      <c r="AC61" s="374" t="str">
        <f t="shared" si="6"/>
        <v/>
      </c>
      <c r="AD61" s="374" t="str" cm="1">
        <f t="array" aca="1" ref="AD61" ca="1">IFERROR(INDEX($AC$14:$AC$99,SMALL(IF($AC$14:$AC$99&lt;&gt;"",ROW($AC$14:$AC$99)-ROW(INDIRECT("$AC$13"))+1),ROW(INDIRECT("A" &amp; AB61 ) ))),"")</f>
        <v/>
      </c>
      <c r="AE61" s="374" t="str">
        <f t="shared" si="7"/>
        <v/>
      </c>
      <c r="AF61" s="374" t="str" cm="1">
        <f t="array" aca="1" ref="AF61" ca="1">IFERROR(INDEX($AE$14:$AE$99,SMALL(IF($AE$14:$AE$99&lt;&gt;"",ROW($AE$14:$AE$99)-ROW(INDIRECT("$AE$13"))+1),ROW(INDIRECT("A" &amp; AB61 ) ))),"")</f>
        <v/>
      </c>
      <c r="AG61" s="374" t="str">
        <f t="shared" si="8"/>
        <v/>
      </c>
      <c r="AH61" s="374" t="str" cm="1">
        <f t="array" aca="1" ref="AH61" ca="1">IFERROR(INDEX($AG$14:$AG$99,SMALL(IF($AG$14:$AG$99&lt;&gt;"",ROW($AG$14:$AG$99)-ROW(INDIRECT("$AG$13"))+1),ROW(INDIRECT("A" &amp; AB61 ) ))),"")</f>
        <v/>
      </c>
      <c r="AI61" s="374" t="str">
        <f t="shared" si="9"/>
        <v/>
      </c>
      <c r="AJ61" s="374" t="str" cm="1">
        <f t="array" aca="1" ref="AJ61" ca="1">IFERROR(INDEX($AI$14:$AI$99,SMALL(IF($AI$14:$AI$99&lt;&gt;"",ROW($AI$14:$AI$99)-ROW(INDIRECT("$AI$13"))+1),ROW(INDIRECT("A" &amp; AB61 ) ))),"")</f>
        <v/>
      </c>
    </row>
    <row r="62" spans="28:36" ht="20.100000000000001" customHeight="1" x14ac:dyDescent="0.45">
      <c r="AB62" s="318">
        <f t="shared" si="5"/>
        <v>49</v>
      </c>
      <c r="AC62" s="374" t="str">
        <f t="shared" si="6"/>
        <v/>
      </c>
      <c r="AD62" s="374" t="str" cm="1">
        <f t="array" aca="1" ref="AD62" ca="1">IFERROR(INDEX($AC$14:$AC$99,SMALL(IF($AC$14:$AC$99&lt;&gt;"",ROW($AC$14:$AC$99)-ROW(INDIRECT("$AC$13"))+1),ROW(INDIRECT("A" &amp; AB62 ) ))),"")</f>
        <v/>
      </c>
      <c r="AE62" s="374" t="str">
        <f t="shared" si="7"/>
        <v/>
      </c>
      <c r="AF62" s="374" t="str" cm="1">
        <f t="array" aca="1" ref="AF62" ca="1">IFERROR(INDEX($AE$14:$AE$99,SMALL(IF($AE$14:$AE$99&lt;&gt;"",ROW($AE$14:$AE$99)-ROW(INDIRECT("$AE$13"))+1),ROW(INDIRECT("A" &amp; AB62 ) ))),"")</f>
        <v/>
      </c>
      <c r="AG62" s="374" t="str">
        <f t="shared" si="8"/>
        <v/>
      </c>
      <c r="AH62" s="374" t="str" cm="1">
        <f t="array" aca="1" ref="AH62" ca="1">IFERROR(INDEX($AG$14:$AG$99,SMALL(IF($AG$14:$AG$99&lt;&gt;"",ROW($AG$14:$AG$99)-ROW(INDIRECT("$AG$13"))+1),ROW(INDIRECT("A" &amp; AB62 ) ))),"")</f>
        <v/>
      </c>
      <c r="AI62" s="374" t="str">
        <f t="shared" si="9"/>
        <v/>
      </c>
      <c r="AJ62" s="374" t="str" cm="1">
        <f t="array" aca="1" ref="AJ62" ca="1">IFERROR(INDEX($AI$14:$AI$99,SMALL(IF($AI$14:$AI$99&lt;&gt;"",ROW($AI$14:$AI$99)-ROW(INDIRECT("$AI$13"))+1),ROW(INDIRECT("A" &amp; AB62 ) ))),"")</f>
        <v/>
      </c>
    </row>
    <row r="63" spans="28:36" ht="20.100000000000001" customHeight="1" x14ac:dyDescent="0.45">
      <c r="AB63" s="318">
        <f t="shared" si="5"/>
        <v>50</v>
      </c>
      <c r="AC63" s="374" t="str">
        <f t="shared" si="6"/>
        <v/>
      </c>
      <c r="AD63" s="374" t="str" cm="1">
        <f t="array" aca="1" ref="AD63" ca="1">IFERROR(INDEX($AC$14:$AC$99,SMALL(IF($AC$14:$AC$99&lt;&gt;"",ROW($AC$14:$AC$99)-ROW(INDIRECT("$AC$13"))+1),ROW(INDIRECT("A" &amp; AB63 ) ))),"")</f>
        <v/>
      </c>
      <c r="AE63" s="374" t="str">
        <f t="shared" si="7"/>
        <v/>
      </c>
      <c r="AF63" s="374" t="str" cm="1">
        <f t="array" aca="1" ref="AF63" ca="1">IFERROR(INDEX($AE$14:$AE$99,SMALL(IF($AE$14:$AE$99&lt;&gt;"",ROW($AE$14:$AE$99)-ROW(INDIRECT("$AE$13"))+1),ROW(INDIRECT("A" &amp; AB63 ) ))),"")</f>
        <v/>
      </c>
      <c r="AG63" s="374" t="str">
        <f t="shared" si="8"/>
        <v/>
      </c>
      <c r="AH63" s="374" t="str" cm="1">
        <f t="array" aca="1" ref="AH63" ca="1">IFERROR(INDEX($AG$14:$AG$99,SMALL(IF($AG$14:$AG$99&lt;&gt;"",ROW($AG$14:$AG$99)-ROW(INDIRECT("$AG$13"))+1),ROW(INDIRECT("A" &amp; AB63 ) ))),"")</f>
        <v/>
      </c>
      <c r="AI63" s="374" t="str">
        <f t="shared" si="9"/>
        <v/>
      </c>
      <c r="AJ63" s="374" t="str" cm="1">
        <f t="array" aca="1" ref="AJ63" ca="1">IFERROR(INDEX($AI$14:$AI$99,SMALL(IF($AI$14:$AI$99&lt;&gt;"",ROW($AI$14:$AI$99)-ROW(INDIRECT("$AI$13"))+1),ROW(INDIRECT("A" &amp; AB63 ) ))),"")</f>
        <v/>
      </c>
    </row>
    <row r="64" spans="28:36" ht="20.100000000000001" customHeight="1" x14ac:dyDescent="0.45">
      <c r="AB64" s="318">
        <f t="shared" si="5"/>
        <v>51</v>
      </c>
      <c r="AC64" s="374" t="str">
        <f t="shared" si="6"/>
        <v/>
      </c>
      <c r="AD64" s="374" t="str" cm="1">
        <f t="array" aca="1" ref="AD64" ca="1">IFERROR(INDEX($AC$14:$AC$99,SMALL(IF($AC$14:$AC$99&lt;&gt;"",ROW($AC$14:$AC$99)-ROW(INDIRECT("$AC$13"))+1),ROW(INDIRECT("A" &amp; AB64 ) ))),"")</f>
        <v/>
      </c>
      <c r="AE64" s="374" t="str">
        <f t="shared" si="7"/>
        <v/>
      </c>
      <c r="AF64" s="374" t="str" cm="1">
        <f t="array" aca="1" ref="AF64" ca="1">IFERROR(INDEX($AE$14:$AE$99,SMALL(IF($AE$14:$AE$99&lt;&gt;"",ROW($AE$14:$AE$99)-ROW(INDIRECT("$AE$13"))+1),ROW(INDIRECT("A" &amp; AB64 ) ))),"")</f>
        <v/>
      </c>
      <c r="AG64" s="374" t="str">
        <f t="shared" si="8"/>
        <v/>
      </c>
      <c r="AH64" s="374" t="str" cm="1">
        <f t="array" aca="1" ref="AH64" ca="1">IFERROR(INDEX($AG$14:$AG$99,SMALL(IF($AG$14:$AG$99&lt;&gt;"",ROW($AG$14:$AG$99)-ROW(INDIRECT("$AG$13"))+1),ROW(INDIRECT("A" &amp; AB64 ) ))),"")</f>
        <v/>
      </c>
      <c r="AI64" s="374" t="str">
        <f t="shared" si="9"/>
        <v/>
      </c>
      <c r="AJ64" s="374" t="str" cm="1">
        <f t="array" aca="1" ref="AJ64" ca="1">IFERROR(INDEX($AI$14:$AI$99,SMALL(IF($AI$14:$AI$99&lt;&gt;"",ROW($AI$14:$AI$99)-ROW(INDIRECT("$AI$13"))+1),ROW(INDIRECT("A" &amp; AB64 ) ))),"")</f>
        <v/>
      </c>
    </row>
    <row r="65" spans="28:36" ht="20.100000000000001" customHeight="1" x14ac:dyDescent="0.45">
      <c r="AB65" s="318">
        <f t="shared" si="5"/>
        <v>52</v>
      </c>
      <c r="AC65" s="374" t="str">
        <f t="shared" si="6"/>
        <v/>
      </c>
      <c r="AD65" s="374" t="str" cm="1">
        <f t="array" aca="1" ref="AD65" ca="1">IFERROR(INDEX($AC$14:$AC$99,SMALL(IF($AC$14:$AC$99&lt;&gt;"",ROW($AC$14:$AC$99)-ROW(INDIRECT("$AC$13"))+1),ROW(INDIRECT("A" &amp; AB65 ) ))),"")</f>
        <v/>
      </c>
      <c r="AE65" s="374" t="str">
        <f t="shared" si="7"/>
        <v/>
      </c>
      <c r="AF65" s="374" t="str" cm="1">
        <f t="array" aca="1" ref="AF65" ca="1">IFERROR(INDEX($AE$14:$AE$99,SMALL(IF($AE$14:$AE$99&lt;&gt;"",ROW($AE$14:$AE$99)-ROW(INDIRECT("$AE$13"))+1),ROW(INDIRECT("A" &amp; AB65 ) ))),"")</f>
        <v/>
      </c>
      <c r="AG65" s="374" t="str">
        <f t="shared" si="8"/>
        <v/>
      </c>
      <c r="AH65" s="374" t="str" cm="1">
        <f t="array" aca="1" ref="AH65" ca="1">IFERROR(INDEX($AG$14:$AG$99,SMALL(IF($AG$14:$AG$99&lt;&gt;"",ROW($AG$14:$AG$99)-ROW(INDIRECT("$AG$13"))+1),ROW(INDIRECT("A" &amp; AB65 ) ))),"")</f>
        <v/>
      </c>
      <c r="AI65" s="374" t="str">
        <f t="shared" si="9"/>
        <v/>
      </c>
      <c r="AJ65" s="374" t="str" cm="1">
        <f t="array" aca="1" ref="AJ65" ca="1">IFERROR(INDEX($AI$14:$AI$99,SMALL(IF($AI$14:$AI$99&lt;&gt;"",ROW($AI$14:$AI$99)-ROW(INDIRECT("$AI$13"))+1),ROW(INDIRECT("A" &amp; AB65 ) ))),"")</f>
        <v/>
      </c>
    </row>
    <row r="66" spans="28:36" ht="20.100000000000001" customHeight="1" x14ac:dyDescent="0.45">
      <c r="AB66" s="318">
        <f t="shared" si="5"/>
        <v>53</v>
      </c>
      <c r="AC66" s="374" t="str">
        <f t="shared" si="6"/>
        <v/>
      </c>
      <c r="AD66" s="374" t="str" cm="1">
        <f t="array" aca="1" ref="AD66" ca="1">IFERROR(INDEX($AC$14:$AC$99,SMALL(IF($AC$14:$AC$99&lt;&gt;"",ROW($AC$14:$AC$99)-ROW(INDIRECT("$AC$13"))+1),ROW(INDIRECT("A" &amp; AB66 ) ))),"")</f>
        <v/>
      </c>
      <c r="AE66" s="374" t="str">
        <f t="shared" si="7"/>
        <v/>
      </c>
      <c r="AF66" s="374" t="str" cm="1">
        <f t="array" aca="1" ref="AF66" ca="1">IFERROR(INDEX($AE$14:$AE$99,SMALL(IF($AE$14:$AE$99&lt;&gt;"",ROW($AE$14:$AE$99)-ROW(INDIRECT("$AE$13"))+1),ROW(INDIRECT("A" &amp; AB66 ) ))),"")</f>
        <v/>
      </c>
      <c r="AG66" s="374" t="str">
        <f t="shared" si="8"/>
        <v/>
      </c>
      <c r="AH66" s="374" t="str" cm="1">
        <f t="array" aca="1" ref="AH66" ca="1">IFERROR(INDEX($AG$14:$AG$99,SMALL(IF($AG$14:$AG$99&lt;&gt;"",ROW($AG$14:$AG$99)-ROW(INDIRECT("$AG$13"))+1),ROW(INDIRECT("A" &amp; AB66 ) ))),"")</f>
        <v/>
      </c>
      <c r="AI66" s="374" t="str">
        <f t="shared" si="9"/>
        <v/>
      </c>
      <c r="AJ66" s="374" t="str" cm="1">
        <f t="array" aca="1" ref="AJ66" ca="1">IFERROR(INDEX($AI$14:$AI$99,SMALL(IF($AI$14:$AI$99&lt;&gt;"",ROW($AI$14:$AI$99)-ROW(INDIRECT("$AI$13"))+1),ROW(INDIRECT("A" &amp; AB66 ) ))),"")</f>
        <v/>
      </c>
    </row>
    <row r="67" spans="28:36" ht="20.100000000000001" customHeight="1" x14ac:dyDescent="0.45">
      <c r="AB67" s="318">
        <f t="shared" si="5"/>
        <v>54</v>
      </c>
      <c r="AC67" s="374" t="str">
        <f t="shared" si="6"/>
        <v/>
      </c>
      <c r="AD67" s="374" t="str" cm="1">
        <f t="array" aca="1" ref="AD67" ca="1">IFERROR(INDEX($AC$14:$AC$99,SMALL(IF($AC$14:$AC$99&lt;&gt;"",ROW($AC$14:$AC$99)-ROW(INDIRECT("$AC$13"))+1),ROW(INDIRECT("A" &amp; AB67 ) ))),"")</f>
        <v/>
      </c>
      <c r="AE67" s="374" t="str">
        <f t="shared" si="7"/>
        <v/>
      </c>
      <c r="AF67" s="374" t="str" cm="1">
        <f t="array" aca="1" ref="AF67" ca="1">IFERROR(INDEX($AE$14:$AE$99,SMALL(IF($AE$14:$AE$99&lt;&gt;"",ROW($AE$14:$AE$99)-ROW(INDIRECT("$AE$13"))+1),ROW(INDIRECT("A" &amp; AB67 ) ))),"")</f>
        <v/>
      </c>
      <c r="AG67" s="374" t="str">
        <f t="shared" si="8"/>
        <v/>
      </c>
      <c r="AH67" s="374" t="str" cm="1">
        <f t="array" aca="1" ref="AH67" ca="1">IFERROR(INDEX($AG$14:$AG$99,SMALL(IF($AG$14:$AG$99&lt;&gt;"",ROW($AG$14:$AG$99)-ROW(INDIRECT("$AG$13"))+1),ROW(INDIRECT("A" &amp; AB67 ) ))),"")</f>
        <v/>
      </c>
      <c r="AI67" s="374" t="str">
        <f t="shared" si="9"/>
        <v/>
      </c>
      <c r="AJ67" s="374" t="str" cm="1">
        <f t="array" aca="1" ref="AJ67" ca="1">IFERROR(INDEX($AI$14:$AI$99,SMALL(IF($AI$14:$AI$99&lt;&gt;"",ROW($AI$14:$AI$99)-ROW(INDIRECT("$AI$13"))+1),ROW(INDIRECT("A" &amp; AB67 ) ))),"")</f>
        <v/>
      </c>
    </row>
    <row r="68" spans="28:36" ht="20.100000000000001" customHeight="1" x14ac:dyDescent="0.45">
      <c r="AB68" s="318">
        <f t="shared" si="5"/>
        <v>55</v>
      </c>
      <c r="AC68" s="374" t="str">
        <f t="shared" si="6"/>
        <v/>
      </c>
      <c r="AD68" s="374" t="str" cm="1">
        <f t="array" aca="1" ref="AD68" ca="1">IFERROR(INDEX($AC$14:$AC$99,SMALL(IF($AC$14:$AC$99&lt;&gt;"",ROW($AC$14:$AC$99)-ROW(INDIRECT("$AC$13"))+1),ROW(INDIRECT("A" &amp; AB68 ) ))),"")</f>
        <v/>
      </c>
      <c r="AE68" s="374" t="str">
        <f t="shared" si="7"/>
        <v/>
      </c>
      <c r="AF68" s="374" t="str" cm="1">
        <f t="array" aca="1" ref="AF68" ca="1">IFERROR(INDEX($AE$14:$AE$99,SMALL(IF($AE$14:$AE$99&lt;&gt;"",ROW($AE$14:$AE$99)-ROW(INDIRECT("$AE$13"))+1),ROW(INDIRECT("A" &amp; AB68 ) ))),"")</f>
        <v/>
      </c>
      <c r="AG68" s="374" t="str">
        <f t="shared" si="8"/>
        <v/>
      </c>
      <c r="AH68" s="374" t="str" cm="1">
        <f t="array" aca="1" ref="AH68" ca="1">IFERROR(INDEX($AG$14:$AG$99,SMALL(IF($AG$14:$AG$99&lt;&gt;"",ROW($AG$14:$AG$99)-ROW(INDIRECT("$AG$13"))+1),ROW(INDIRECT("A" &amp; AB68 ) ))),"")</f>
        <v/>
      </c>
      <c r="AI68" s="374" t="str">
        <f t="shared" si="9"/>
        <v/>
      </c>
      <c r="AJ68" s="374" t="str" cm="1">
        <f t="array" aca="1" ref="AJ68" ca="1">IFERROR(INDEX($AI$14:$AI$99,SMALL(IF($AI$14:$AI$99&lt;&gt;"",ROW($AI$14:$AI$99)-ROW(INDIRECT("$AI$13"))+1),ROW(INDIRECT("A" &amp; AB68 ) ))),"")</f>
        <v/>
      </c>
    </row>
    <row r="69" spans="28:36" ht="20.100000000000001" customHeight="1" x14ac:dyDescent="0.45">
      <c r="AB69" s="318">
        <f t="shared" si="5"/>
        <v>56</v>
      </c>
      <c r="AC69" s="374" t="str">
        <f t="shared" si="6"/>
        <v/>
      </c>
      <c r="AD69" s="374" t="str" cm="1">
        <f t="array" aca="1" ref="AD69" ca="1">IFERROR(INDEX($AC$14:$AC$99,SMALL(IF($AC$14:$AC$99&lt;&gt;"",ROW($AC$14:$AC$99)-ROW(INDIRECT("$AC$13"))+1),ROW(INDIRECT("A" &amp; AB69 ) ))),"")</f>
        <v/>
      </c>
      <c r="AE69" s="374" t="str">
        <f t="shared" si="7"/>
        <v/>
      </c>
      <c r="AF69" s="374" t="str" cm="1">
        <f t="array" aca="1" ref="AF69" ca="1">IFERROR(INDEX($AE$14:$AE$99,SMALL(IF($AE$14:$AE$99&lt;&gt;"",ROW($AE$14:$AE$99)-ROW(INDIRECT("$AE$13"))+1),ROW(INDIRECT("A" &amp; AB69 ) ))),"")</f>
        <v/>
      </c>
      <c r="AG69" s="374" t="str">
        <f t="shared" si="8"/>
        <v/>
      </c>
      <c r="AH69" s="374" t="str" cm="1">
        <f t="array" aca="1" ref="AH69" ca="1">IFERROR(INDEX($AG$14:$AG$99,SMALL(IF($AG$14:$AG$99&lt;&gt;"",ROW($AG$14:$AG$99)-ROW(INDIRECT("$AG$13"))+1),ROW(INDIRECT("A" &amp; AB69 ) ))),"")</f>
        <v/>
      </c>
      <c r="AI69" s="374" t="str">
        <f t="shared" si="9"/>
        <v/>
      </c>
      <c r="AJ69" s="374" t="str" cm="1">
        <f t="array" aca="1" ref="AJ69" ca="1">IFERROR(INDEX($AI$14:$AI$99,SMALL(IF($AI$14:$AI$99&lt;&gt;"",ROW($AI$14:$AI$99)-ROW(INDIRECT("$AI$13"))+1),ROW(INDIRECT("A" &amp; AB69 ) ))),"")</f>
        <v/>
      </c>
    </row>
    <row r="70" spans="28:36" ht="20.100000000000001" customHeight="1" x14ac:dyDescent="0.45">
      <c r="AB70" s="318">
        <f t="shared" ref="AB70:AB91" si="10">ROW(A70)- $AD$2 +1</f>
        <v>57</v>
      </c>
      <c r="AC70" s="374" t="str">
        <f t="shared" si="6"/>
        <v/>
      </c>
      <c r="AD70" s="374" t="str" cm="1">
        <f t="array" aca="1" ref="AD70" ca="1">IFERROR(INDEX($AC$14:$AC$99,SMALL(IF($AC$14:$AC$99&lt;&gt;"",ROW($AC$14:$AC$99)-ROW(INDIRECT("$AC$13"))+1),ROW(INDIRECT("A" &amp; AB70 ) ))),"")</f>
        <v/>
      </c>
      <c r="AE70" s="374" t="str">
        <f t="shared" si="7"/>
        <v/>
      </c>
      <c r="AF70" s="374" t="str" cm="1">
        <f t="array" aca="1" ref="AF70" ca="1">IFERROR(INDEX($AE$14:$AE$99,SMALL(IF($AE$14:$AE$99&lt;&gt;"",ROW($AE$14:$AE$99)-ROW(INDIRECT("$AE$13"))+1),ROW(INDIRECT("A" &amp; AB70 ) ))),"")</f>
        <v/>
      </c>
      <c r="AG70" s="374" t="str">
        <f t="shared" si="8"/>
        <v/>
      </c>
      <c r="AH70" s="374" t="str" cm="1">
        <f t="array" aca="1" ref="AH70" ca="1">IFERROR(INDEX($AG$14:$AG$99,SMALL(IF($AG$14:$AG$99&lt;&gt;"",ROW($AG$14:$AG$99)-ROW(INDIRECT("$AG$13"))+1),ROW(INDIRECT("A" &amp; AB70 ) ))),"")</f>
        <v/>
      </c>
      <c r="AI70" s="374" t="str">
        <f t="shared" si="9"/>
        <v/>
      </c>
      <c r="AJ70" s="374" t="str" cm="1">
        <f t="array" aca="1" ref="AJ70" ca="1">IFERROR(INDEX($AI$14:$AI$99,SMALL(IF($AI$14:$AI$99&lt;&gt;"",ROW($AI$14:$AI$99)-ROW(INDIRECT("$AI$13"))+1),ROW(INDIRECT("A" &amp; AB70 ) ))),"")</f>
        <v/>
      </c>
    </row>
    <row r="71" spans="28:36" ht="20.100000000000001" customHeight="1" x14ac:dyDescent="0.45">
      <c r="AB71" s="318">
        <f t="shared" si="10"/>
        <v>58</v>
      </c>
      <c r="AC71" s="374" t="str">
        <f t="shared" si="6"/>
        <v/>
      </c>
      <c r="AD71" s="374" t="str" cm="1">
        <f t="array" aca="1" ref="AD71" ca="1">IFERROR(INDEX($AC$14:$AC$99,SMALL(IF($AC$14:$AC$99&lt;&gt;"",ROW($AC$14:$AC$99)-ROW(INDIRECT("$AC$13"))+1),ROW(INDIRECT("A" &amp; AB71 ) ))),"")</f>
        <v/>
      </c>
      <c r="AE71" s="374" t="str">
        <f t="shared" si="7"/>
        <v/>
      </c>
      <c r="AF71" s="374" t="str" cm="1">
        <f t="array" aca="1" ref="AF71" ca="1">IFERROR(INDEX($AE$14:$AE$99,SMALL(IF($AE$14:$AE$99&lt;&gt;"",ROW($AE$14:$AE$99)-ROW(INDIRECT("$AE$13"))+1),ROW(INDIRECT("A" &amp; AB71 ) ))),"")</f>
        <v/>
      </c>
      <c r="AG71" s="374" t="str">
        <f t="shared" si="8"/>
        <v/>
      </c>
      <c r="AH71" s="374" t="str" cm="1">
        <f t="array" aca="1" ref="AH71" ca="1">IFERROR(INDEX($AG$14:$AG$99,SMALL(IF($AG$14:$AG$99&lt;&gt;"",ROW($AG$14:$AG$99)-ROW(INDIRECT("$AG$13"))+1),ROW(INDIRECT("A" &amp; AB71 ) ))),"")</f>
        <v/>
      </c>
      <c r="AI71" s="374" t="str">
        <f t="shared" si="9"/>
        <v/>
      </c>
      <c r="AJ71" s="374" t="str" cm="1">
        <f t="array" aca="1" ref="AJ71" ca="1">IFERROR(INDEX($AI$14:$AI$99,SMALL(IF($AI$14:$AI$99&lt;&gt;"",ROW($AI$14:$AI$99)-ROW(INDIRECT("$AI$13"))+1),ROW(INDIRECT("A" &amp; AB71 ) ))),"")</f>
        <v/>
      </c>
    </row>
    <row r="72" spans="28:36" ht="20.100000000000001" customHeight="1" x14ac:dyDescent="0.45">
      <c r="AB72" s="318">
        <f t="shared" si="10"/>
        <v>59</v>
      </c>
      <c r="AC72" s="374" t="str">
        <f t="shared" si="6"/>
        <v/>
      </c>
      <c r="AD72" s="374" t="str" cm="1">
        <f t="array" aca="1" ref="AD72" ca="1">IFERROR(INDEX($AC$14:$AC$99,SMALL(IF($AC$14:$AC$99&lt;&gt;"",ROW($AC$14:$AC$99)-ROW(INDIRECT("$AC$13"))+1),ROW(INDIRECT("A" &amp; AB72 ) ))),"")</f>
        <v/>
      </c>
      <c r="AE72" s="374" t="str">
        <f t="shared" si="7"/>
        <v/>
      </c>
      <c r="AF72" s="374" t="str" cm="1">
        <f t="array" aca="1" ref="AF72" ca="1">IFERROR(INDEX($AE$14:$AE$99,SMALL(IF($AE$14:$AE$99&lt;&gt;"",ROW($AE$14:$AE$99)-ROW(INDIRECT("$AE$13"))+1),ROW(INDIRECT("A" &amp; AB72 ) ))),"")</f>
        <v/>
      </c>
      <c r="AG72" s="374" t="str">
        <f t="shared" si="8"/>
        <v/>
      </c>
      <c r="AH72" s="374" t="str" cm="1">
        <f t="array" aca="1" ref="AH72" ca="1">IFERROR(INDEX($AG$14:$AG$99,SMALL(IF($AG$14:$AG$99&lt;&gt;"",ROW($AG$14:$AG$99)-ROW(INDIRECT("$AG$13"))+1),ROW(INDIRECT("A" &amp; AB72 ) ))),"")</f>
        <v/>
      </c>
      <c r="AI72" s="374" t="str">
        <f t="shared" si="9"/>
        <v/>
      </c>
      <c r="AJ72" s="374" t="str" cm="1">
        <f t="array" aca="1" ref="AJ72" ca="1">IFERROR(INDEX($AI$14:$AI$99,SMALL(IF($AI$14:$AI$99&lt;&gt;"",ROW($AI$14:$AI$99)-ROW(INDIRECT("$AI$13"))+1),ROW(INDIRECT("A" &amp; AB72 ) ))),"")</f>
        <v/>
      </c>
    </row>
    <row r="73" spans="28:36" ht="20.100000000000001" customHeight="1" x14ac:dyDescent="0.45">
      <c r="AB73" s="318">
        <f t="shared" si="10"/>
        <v>60</v>
      </c>
      <c r="AC73" s="374" t="str">
        <f t="shared" si="6"/>
        <v/>
      </c>
      <c r="AD73" s="374" t="str" cm="1">
        <f t="array" aca="1" ref="AD73" ca="1">IFERROR(INDEX($AC$14:$AC$99,SMALL(IF($AC$14:$AC$99&lt;&gt;"",ROW($AC$14:$AC$99)-ROW(INDIRECT("$AC$13"))+1),ROW(INDIRECT("A" &amp; AB73 ) ))),"")</f>
        <v/>
      </c>
      <c r="AE73" s="374" t="str">
        <f t="shared" si="7"/>
        <v/>
      </c>
      <c r="AF73" s="374" t="str" cm="1">
        <f t="array" aca="1" ref="AF73" ca="1">IFERROR(INDEX($AE$14:$AE$99,SMALL(IF($AE$14:$AE$99&lt;&gt;"",ROW($AE$14:$AE$99)-ROW(INDIRECT("$AE$13"))+1),ROW(INDIRECT("A" &amp; AB73 ) ))),"")</f>
        <v/>
      </c>
      <c r="AG73" s="374" t="str">
        <f t="shared" si="8"/>
        <v/>
      </c>
      <c r="AH73" s="374" t="str" cm="1">
        <f t="array" aca="1" ref="AH73" ca="1">IFERROR(INDEX($AG$14:$AG$99,SMALL(IF($AG$14:$AG$99&lt;&gt;"",ROW($AG$14:$AG$99)-ROW(INDIRECT("$AG$13"))+1),ROW(INDIRECT("A" &amp; AB73 ) ))),"")</f>
        <v/>
      </c>
      <c r="AI73" s="374" t="str">
        <f t="shared" si="9"/>
        <v/>
      </c>
      <c r="AJ73" s="374" t="str" cm="1">
        <f t="array" aca="1" ref="AJ73" ca="1">IFERROR(INDEX($AI$14:$AI$99,SMALL(IF($AI$14:$AI$99&lt;&gt;"",ROW($AI$14:$AI$99)-ROW(INDIRECT("$AI$13"))+1),ROW(INDIRECT("A" &amp; AB73 ) ))),"")</f>
        <v/>
      </c>
    </row>
    <row r="74" spans="28:36" ht="20.100000000000001" customHeight="1" x14ac:dyDescent="0.45">
      <c r="AB74" s="318">
        <f t="shared" si="10"/>
        <v>61</v>
      </c>
      <c r="AC74" s="374" t="str">
        <f t="shared" ref="AC74:AC91" si="11">IF(AND($E74="Oui",$M74="Préleveur"),$F74,"")</f>
        <v/>
      </c>
      <c r="AD74" s="374" t="str" cm="1">
        <f t="array" aca="1" ref="AD74" ca="1">IFERROR(INDEX($AC$14:$AC$99,SMALL(IF($AC$14:$AC$99&lt;&gt;"",ROW($AC$14:$AC$99)-ROW(INDIRECT("$AC$13"))+1),ROW(INDIRECT("A" &amp; AB74 ) ))),"")</f>
        <v/>
      </c>
      <c r="AE74" s="374" t="str">
        <f t="shared" ref="AE74:AE91" si="12">IF(AND($E74="Oui",LEFT($M74,10) ="Débitmètre"),$F74,"")</f>
        <v/>
      </c>
      <c r="AF74" s="374" t="str" cm="1">
        <f t="array" aca="1" ref="AF74" ca="1">IFERROR(INDEX($AE$14:$AE$99,SMALL(IF($AE$14:$AE$99&lt;&gt;"",ROW($AE$14:$AE$99)-ROW(INDIRECT("$AE$13"))+1),ROW(INDIRECT("A" &amp; AB74 ) ))),"")</f>
        <v/>
      </c>
      <c r="AG74" s="374" t="str">
        <f t="shared" ref="AG74:AG91" si="13">IF(AND($E74="Oui",LEFT($M74,5) ="Sonde"),$F74,"")</f>
        <v/>
      </c>
      <c r="AH74" s="374" t="str" cm="1">
        <f t="array" aca="1" ref="AH74" ca="1">IFERROR(INDEX($AG$14:$AG$99,SMALL(IF($AG$14:$AG$99&lt;&gt;"",ROW($AG$14:$AG$99)-ROW(INDIRECT("$AG$13"))+1),ROW(INDIRECT("A" &amp; AB74 ) ))),"")</f>
        <v/>
      </c>
      <c r="AI74" s="374" t="str">
        <f t="shared" ref="AI74:AI91" si="14">IF(AND($E74="Oui", $F74 &lt;&gt; "", $M74 = ""),$F74,"")</f>
        <v/>
      </c>
      <c r="AJ74" s="374" t="str" cm="1">
        <f t="array" aca="1" ref="AJ74" ca="1">IFERROR(INDEX($AI$14:$AI$99,SMALL(IF($AI$14:$AI$99&lt;&gt;"",ROW($AI$14:$AI$99)-ROW(INDIRECT("$AI$13"))+1),ROW(INDIRECT("A" &amp; AB74 ) ))),"")</f>
        <v/>
      </c>
    </row>
    <row r="75" spans="28:36" ht="20.100000000000001" customHeight="1" x14ac:dyDescent="0.45">
      <c r="AB75" s="318">
        <f t="shared" si="10"/>
        <v>62</v>
      </c>
      <c r="AC75" s="374" t="str">
        <f t="shared" si="11"/>
        <v/>
      </c>
      <c r="AD75" s="374" t="str" cm="1">
        <f t="array" aca="1" ref="AD75" ca="1">IFERROR(INDEX($AC$14:$AC$99,SMALL(IF($AC$14:$AC$99&lt;&gt;"",ROW($AC$14:$AC$99)-ROW(INDIRECT("$AC$13"))+1),ROW(INDIRECT("A" &amp; AB75 ) ))),"")</f>
        <v/>
      </c>
      <c r="AE75" s="374" t="str">
        <f t="shared" si="12"/>
        <v/>
      </c>
      <c r="AF75" s="374" t="str" cm="1">
        <f t="array" aca="1" ref="AF75" ca="1">IFERROR(INDEX($AE$14:$AE$99,SMALL(IF($AE$14:$AE$99&lt;&gt;"",ROW($AE$14:$AE$99)-ROW(INDIRECT("$AE$13"))+1),ROW(INDIRECT("A" &amp; AB75 ) ))),"")</f>
        <v/>
      </c>
      <c r="AG75" s="374" t="str">
        <f t="shared" si="13"/>
        <v/>
      </c>
      <c r="AH75" s="374" t="str" cm="1">
        <f t="array" aca="1" ref="AH75" ca="1">IFERROR(INDEX($AG$14:$AG$99,SMALL(IF($AG$14:$AG$99&lt;&gt;"",ROW($AG$14:$AG$99)-ROW(INDIRECT("$AG$13"))+1),ROW(INDIRECT("A" &amp; AB75 ) ))),"")</f>
        <v/>
      </c>
      <c r="AI75" s="374" t="str">
        <f t="shared" si="14"/>
        <v/>
      </c>
      <c r="AJ75" s="374" t="str" cm="1">
        <f t="array" aca="1" ref="AJ75" ca="1">IFERROR(INDEX($AI$14:$AI$99,SMALL(IF($AI$14:$AI$99&lt;&gt;"",ROW($AI$14:$AI$99)-ROW(INDIRECT("$AI$13"))+1),ROW(INDIRECT("A" &amp; AB75 ) ))),"")</f>
        <v/>
      </c>
    </row>
    <row r="76" spans="28:36" ht="20.100000000000001" customHeight="1" x14ac:dyDescent="0.45">
      <c r="AB76" s="318">
        <f t="shared" si="10"/>
        <v>63</v>
      </c>
      <c r="AC76" s="374" t="str">
        <f t="shared" si="11"/>
        <v/>
      </c>
      <c r="AD76" s="374" t="str" cm="1">
        <f t="array" aca="1" ref="AD76" ca="1">IFERROR(INDEX($AC$14:$AC$99,SMALL(IF($AC$14:$AC$99&lt;&gt;"",ROW($AC$14:$AC$99)-ROW(INDIRECT("$AC$13"))+1),ROW(INDIRECT("A" &amp; AB76 ) ))),"")</f>
        <v/>
      </c>
      <c r="AE76" s="374" t="str">
        <f t="shared" si="12"/>
        <v/>
      </c>
      <c r="AF76" s="374" t="str" cm="1">
        <f t="array" aca="1" ref="AF76" ca="1">IFERROR(INDEX($AE$14:$AE$99,SMALL(IF($AE$14:$AE$99&lt;&gt;"",ROW($AE$14:$AE$99)-ROW(INDIRECT("$AE$13"))+1),ROW(INDIRECT("A" &amp; AB76 ) ))),"")</f>
        <v/>
      </c>
      <c r="AG76" s="374" t="str">
        <f t="shared" si="13"/>
        <v/>
      </c>
      <c r="AH76" s="374" t="str" cm="1">
        <f t="array" aca="1" ref="AH76" ca="1">IFERROR(INDEX($AG$14:$AG$99,SMALL(IF($AG$14:$AG$99&lt;&gt;"",ROW($AG$14:$AG$99)-ROW(INDIRECT("$AG$13"))+1),ROW(INDIRECT("A" &amp; AB76 ) ))),"")</f>
        <v/>
      </c>
      <c r="AI76" s="374" t="str">
        <f t="shared" si="14"/>
        <v/>
      </c>
      <c r="AJ76" s="374" t="str" cm="1">
        <f t="array" aca="1" ref="AJ76" ca="1">IFERROR(INDEX($AI$14:$AI$99,SMALL(IF($AI$14:$AI$99&lt;&gt;"",ROW($AI$14:$AI$99)-ROW(INDIRECT("$AI$13"))+1),ROW(INDIRECT("A" &amp; AB76 ) ))),"")</f>
        <v/>
      </c>
    </row>
    <row r="77" spans="28:36" ht="20.100000000000001" customHeight="1" x14ac:dyDescent="0.45">
      <c r="AB77" s="318">
        <f t="shared" si="10"/>
        <v>64</v>
      </c>
      <c r="AC77" s="374" t="str">
        <f t="shared" si="11"/>
        <v/>
      </c>
      <c r="AD77" s="374" t="str" cm="1">
        <f t="array" aca="1" ref="AD77" ca="1">IFERROR(INDEX($AC$14:$AC$99,SMALL(IF($AC$14:$AC$99&lt;&gt;"",ROW($AC$14:$AC$99)-ROW(INDIRECT("$AC$13"))+1),ROW(INDIRECT("A" &amp; AB77 ) ))),"")</f>
        <v/>
      </c>
      <c r="AE77" s="374" t="str">
        <f t="shared" si="12"/>
        <v/>
      </c>
      <c r="AF77" s="374" t="str" cm="1">
        <f t="array" aca="1" ref="AF77" ca="1">IFERROR(INDEX($AE$14:$AE$99,SMALL(IF($AE$14:$AE$99&lt;&gt;"",ROW($AE$14:$AE$99)-ROW(INDIRECT("$AE$13"))+1),ROW(INDIRECT("A" &amp; AB77 ) ))),"")</f>
        <v/>
      </c>
      <c r="AG77" s="374" t="str">
        <f t="shared" si="13"/>
        <v/>
      </c>
      <c r="AH77" s="374" t="str" cm="1">
        <f t="array" aca="1" ref="AH77" ca="1">IFERROR(INDEX($AG$14:$AG$99,SMALL(IF($AG$14:$AG$99&lt;&gt;"",ROW($AG$14:$AG$99)-ROW(INDIRECT("$AG$13"))+1),ROW(INDIRECT("A" &amp; AB77 ) ))),"")</f>
        <v/>
      </c>
      <c r="AI77" s="374" t="str">
        <f t="shared" si="14"/>
        <v/>
      </c>
      <c r="AJ77" s="374" t="str" cm="1">
        <f t="array" aca="1" ref="AJ77" ca="1">IFERROR(INDEX($AI$14:$AI$99,SMALL(IF($AI$14:$AI$99&lt;&gt;"",ROW($AI$14:$AI$99)-ROW(INDIRECT("$AI$13"))+1),ROW(INDIRECT("A" &amp; AB77 ) ))),"")</f>
        <v/>
      </c>
    </row>
    <row r="78" spans="28:36" ht="20.100000000000001" customHeight="1" x14ac:dyDescent="0.45">
      <c r="AB78" s="318">
        <f t="shared" si="10"/>
        <v>65</v>
      </c>
      <c r="AC78" s="374" t="str">
        <f t="shared" si="11"/>
        <v/>
      </c>
      <c r="AD78" s="374" t="str" cm="1">
        <f t="array" aca="1" ref="AD78" ca="1">IFERROR(INDEX($AC$14:$AC$99,SMALL(IF($AC$14:$AC$99&lt;&gt;"",ROW($AC$14:$AC$99)-ROW(INDIRECT("$AC$13"))+1),ROW(INDIRECT("A" &amp; AB78 ) ))),"")</f>
        <v/>
      </c>
      <c r="AE78" s="374" t="str">
        <f t="shared" si="12"/>
        <v/>
      </c>
      <c r="AF78" s="374" t="str" cm="1">
        <f t="array" aca="1" ref="AF78" ca="1">IFERROR(INDEX($AE$14:$AE$99,SMALL(IF($AE$14:$AE$99&lt;&gt;"",ROW($AE$14:$AE$99)-ROW(INDIRECT("$AE$13"))+1),ROW(INDIRECT("A" &amp; AB78 ) ))),"")</f>
        <v/>
      </c>
      <c r="AG78" s="374" t="str">
        <f t="shared" si="13"/>
        <v/>
      </c>
      <c r="AH78" s="374" t="str" cm="1">
        <f t="array" aca="1" ref="AH78" ca="1">IFERROR(INDEX($AG$14:$AG$99,SMALL(IF($AG$14:$AG$99&lt;&gt;"",ROW($AG$14:$AG$99)-ROW(INDIRECT("$AG$13"))+1),ROW(INDIRECT("A" &amp; AB78 ) ))),"")</f>
        <v/>
      </c>
      <c r="AI78" s="374" t="str">
        <f t="shared" si="14"/>
        <v/>
      </c>
      <c r="AJ78" s="374" t="str" cm="1">
        <f t="array" aca="1" ref="AJ78" ca="1">IFERROR(INDEX($AI$14:$AI$99,SMALL(IF($AI$14:$AI$99&lt;&gt;"",ROW($AI$14:$AI$99)-ROW(INDIRECT("$AI$13"))+1),ROW(INDIRECT("A" &amp; AB78 ) ))),"")</f>
        <v/>
      </c>
    </row>
    <row r="79" spans="28:36" ht="20.100000000000001" customHeight="1" x14ac:dyDescent="0.45">
      <c r="AB79" s="318">
        <f t="shared" si="10"/>
        <v>66</v>
      </c>
      <c r="AC79" s="374" t="str">
        <f t="shared" si="11"/>
        <v/>
      </c>
      <c r="AD79" s="374" t="str" cm="1">
        <f t="array" aca="1" ref="AD79" ca="1">IFERROR(INDEX($AC$14:$AC$99,SMALL(IF($AC$14:$AC$99&lt;&gt;"",ROW($AC$14:$AC$99)-ROW(INDIRECT("$AC$13"))+1),ROW(INDIRECT("A" &amp; AB79 ) ))),"")</f>
        <v/>
      </c>
      <c r="AE79" s="374" t="str">
        <f t="shared" si="12"/>
        <v/>
      </c>
      <c r="AF79" s="374" t="str" cm="1">
        <f t="array" aca="1" ref="AF79" ca="1">IFERROR(INDEX($AE$14:$AE$99,SMALL(IF($AE$14:$AE$99&lt;&gt;"",ROW($AE$14:$AE$99)-ROW(INDIRECT("$AE$13"))+1),ROW(INDIRECT("A" &amp; AB79 ) ))),"")</f>
        <v/>
      </c>
      <c r="AG79" s="374" t="str">
        <f t="shared" si="13"/>
        <v/>
      </c>
      <c r="AH79" s="374" t="str" cm="1">
        <f t="array" aca="1" ref="AH79" ca="1">IFERROR(INDEX($AG$14:$AG$99,SMALL(IF($AG$14:$AG$99&lt;&gt;"",ROW($AG$14:$AG$99)-ROW(INDIRECT("$AG$13"))+1),ROW(INDIRECT("A" &amp; AB79 ) ))),"")</f>
        <v/>
      </c>
      <c r="AI79" s="374" t="str">
        <f t="shared" si="14"/>
        <v/>
      </c>
      <c r="AJ79" s="374" t="str" cm="1">
        <f t="array" aca="1" ref="AJ79" ca="1">IFERROR(INDEX($AI$14:$AI$99,SMALL(IF($AI$14:$AI$99&lt;&gt;"",ROW($AI$14:$AI$99)-ROW(INDIRECT("$AI$13"))+1),ROW(INDIRECT("A" &amp; AB79 ) ))),"")</f>
        <v/>
      </c>
    </row>
    <row r="80" spans="28:36" ht="20.100000000000001" customHeight="1" x14ac:dyDescent="0.45">
      <c r="AB80" s="318">
        <f t="shared" si="10"/>
        <v>67</v>
      </c>
      <c r="AC80" s="374" t="str">
        <f t="shared" si="11"/>
        <v/>
      </c>
      <c r="AD80" s="374" t="str" cm="1">
        <f t="array" aca="1" ref="AD80" ca="1">IFERROR(INDEX($AC$14:$AC$99,SMALL(IF($AC$14:$AC$99&lt;&gt;"",ROW($AC$14:$AC$99)-ROW(INDIRECT("$AC$13"))+1),ROW(INDIRECT("A" &amp; AB80 ) ))),"")</f>
        <v/>
      </c>
      <c r="AE80" s="374" t="str">
        <f t="shared" si="12"/>
        <v/>
      </c>
      <c r="AF80" s="374" t="str" cm="1">
        <f t="array" aca="1" ref="AF80" ca="1">IFERROR(INDEX($AE$14:$AE$99,SMALL(IF($AE$14:$AE$99&lt;&gt;"",ROW($AE$14:$AE$99)-ROW(INDIRECT("$AE$13"))+1),ROW(INDIRECT("A" &amp; AB80 ) ))),"")</f>
        <v/>
      </c>
      <c r="AG80" s="374" t="str">
        <f t="shared" si="13"/>
        <v/>
      </c>
      <c r="AH80" s="374" t="str" cm="1">
        <f t="array" aca="1" ref="AH80" ca="1">IFERROR(INDEX($AG$14:$AG$99,SMALL(IF($AG$14:$AG$99&lt;&gt;"",ROW($AG$14:$AG$99)-ROW(INDIRECT("$AG$13"))+1),ROW(INDIRECT("A" &amp; AB80 ) ))),"")</f>
        <v/>
      </c>
      <c r="AI80" s="374" t="str">
        <f t="shared" si="14"/>
        <v/>
      </c>
      <c r="AJ80" s="374" t="str" cm="1">
        <f t="array" aca="1" ref="AJ80" ca="1">IFERROR(INDEX($AI$14:$AI$99,SMALL(IF($AI$14:$AI$99&lt;&gt;"",ROW($AI$14:$AI$99)-ROW(INDIRECT("$AI$13"))+1),ROW(INDIRECT("A" &amp; AB80 ) ))),"")</f>
        <v/>
      </c>
    </row>
    <row r="81" spans="28:36" ht="20.100000000000001" customHeight="1" x14ac:dyDescent="0.45">
      <c r="AB81" s="318">
        <f t="shared" si="10"/>
        <v>68</v>
      </c>
      <c r="AC81" s="374" t="str">
        <f t="shared" si="11"/>
        <v/>
      </c>
      <c r="AD81" s="374" t="str" cm="1">
        <f t="array" aca="1" ref="AD81" ca="1">IFERROR(INDEX($AC$14:$AC$99,SMALL(IF($AC$14:$AC$99&lt;&gt;"",ROW($AC$14:$AC$99)-ROW(INDIRECT("$AC$13"))+1),ROW(INDIRECT("A" &amp; AB81 ) ))),"")</f>
        <v/>
      </c>
      <c r="AE81" s="374" t="str">
        <f t="shared" si="12"/>
        <v/>
      </c>
      <c r="AF81" s="374" t="str" cm="1">
        <f t="array" aca="1" ref="AF81" ca="1">IFERROR(INDEX($AE$14:$AE$99,SMALL(IF($AE$14:$AE$99&lt;&gt;"",ROW($AE$14:$AE$99)-ROW(INDIRECT("$AE$13"))+1),ROW(INDIRECT("A" &amp; AB81 ) ))),"")</f>
        <v/>
      </c>
      <c r="AG81" s="374" t="str">
        <f t="shared" si="13"/>
        <v/>
      </c>
      <c r="AH81" s="374" t="str" cm="1">
        <f t="array" aca="1" ref="AH81" ca="1">IFERROR(INDEX($AG$14:$AG$99,SMALL(IF($AG$14:$AG$99&lt;&gt;"",ROW($AG$14:$AG$99)-ROW(INDIRECT("$AG$13"))+1),ROW(INDIRECT("A" &amp; AB81 ) ))),"")</f>
        <v/>
      </c>
      <c r="AI81" s="374" t="str">
        <f t="shared" si="14"/>
        <v/>
      </c>
      <c r="AJ81" s="374" t="str" cm="1">
        <f t="array" aca="1" ref="AJ81" ca="1">IFERROR(INDEX($AI$14:$AI$99,SMALL(IF($AI$14:$AI$99&lt;&gt;"",ROW($AI$14:$AI$99)-ROW(INDIRECT("$AI$13"))+1),ROW(INDIRECT("A" &amp; AB81 ) ))),"")</f>
        <v/>
      </c>
    </row>
    <row r="82" spans="28:36" ht="20.100000000000001" customHeight="1" x14ac:dyDescent="0.45">
      <c r="AB82" s="318">
        <f t="shared" si="10"/>
        <v>69</v>
      </c>
      <c r="AC82" s="374" t="str">
        <f t="shared" si="11"/>
        <v/>
      </c>
      <c r="AD82" s="374" t="str" cm="1">
        <f t="array" aca="1" ref="AD82" ca="1">IFERROR(INDEX($AC$14:$AC$99,SMALL(IF($AC$14:$AC$99&lt;&gt;"",ROW($AC$14:$AC$99)-ROW(INDIRECT("$AC$13"))+1),ROW(INDIRECT("A" &amp; AB82 ) ))),"")</f>
        <v/>
      </c>
      <c r="AE82" s="374" t="str">
        <f t="shared" si="12"/>
        <v/>
      </c>
      <c r="AF82" s="374" t="str" cm="1">
        <f t="array" aca="1" ref="AF82" ca="1">IFERROR(INDEX($AE$14:$AE$99,SMALL(IF($AE$14:$AE$99&lt;&gt;"",ROW($AE$14:$AE$99)-ROW(INDIRECT("$AE$13"))+1),ROW(INDIRECT("A" &amp; AB82 ) ))),"")</f>
        <v/>
      </c>
      <c r="AG82" s="374" t="str">
        <f t="shared" si="13"/>
        <v/>
      </c>
      <c r="AH82" s="374" t="str" cm="1">
        <f t="array" aca="1" ref="AH82" ca="1">IFERROR(INDEX($AG$14:$AG$99,SMALL(IF($AG$14:$AG$99&lt;&gt;"",ROW($AG$14:$AG$99)-ROW(INDIRECT("$AG$13"))+1),ROW(INDIRECT("A" &amp; AB82 ) ))),"")</f>
        <v/>
      </c>
      <c r="AI82" s="374" t="str">
        <f t="shared" si="14"/>
        <v/>
      </c>
      <c r="AJ82" s="374" t="str" cm="1">
        <f t="array" aca="1" ref="AJ82" ca="1">IFERROR(INDEX($AI$14:$AI$99,SMALL(IF($AI$14:$AI$99&lt;&gt;"",ROW($AI$14:$AI$99)-ROW(INDIRECT("$AI$13"))+1),ROW(INDIRECT("A" &amp; AB82 ) ))),"")</f>
        <v/>
      </c>
    </row>
    <row r="83" spans="28:36" ht="20.100000000000001" customHeight="1" x14ac:dyDescent="0.45">
      <c r="AB83" s="318">
        <f t="shared" si="10"/>
        <v>70</v>
      </c>
      <c r="AC83" s="374" t="str">
        <f t="shared" si="11"/>
        <v/>
      </c>
      <c r="AD83" s="374" t="str" cm="1">
        <f t="array" aca="1" ref="AD83" ca="1">IFERROR(INDEX($AC$14:$AC$99,SMALL(IF($AC$14:$AC$99&lt;&gt;"",ROW($AC$14:$AC$99)-ROW(INDIRECT("$AC$13"))+1),ROW(INDIRECT("A" &amp; AB83 ) ))),"")</f>
        <v/>
      </c>
      <c r="AE83" s="374" t="str">
        <f t="shared" si="12"/>
        <v/>
      </c>
      <c r="AF83" s="374" t="str" cm="1">
        <f t="array" aca="1" ref="AF83" ca="1">IFERROR(INDEX($AE$14:$AE$99,SMALL(IF($AE$14:$AE$99&lt;&gt;"",ROW($AE$14:$AE$99)-ROW(INDIRECT("$AE$13"))+1),ROW(INDIRECT("A" &amp; AB83 ) ))),"")</f>
        <v/>
      </c>
      <c r="AG83" s="374" t="str">
        <f t="shared" si="13"/>
        <v/>
      </c>
      <c r="AH83" s="374" t="str" cm="1">
        <f t="array" aca="1" ref="AH83" ca="1">IFERROR(INDEX($AG$14:$AG$99,SMALL(IF($AG$14:$AG$99&lt;&gt;"",ROW($AG$14:$AG$99)-ROW(INDIRECT("$AG$13"))+1),ROW(INDIRECT("A" &amp; AB83 ) ))),"")</f>
        <v/>
      </c>
      <c r="AI83" s="374" t="str">
        <f t="shared" si="14"/>
        <v/>
      </c>
      <c r="AJ83" s="374" t="str" cm="1">
        <f t="array" aca="1" ref="AJ83" ca="1">IFERROR(INDEX($AI$14:$AI$99,SMALL(IF($AI$14:$AI$99&lt;&gt;"",ROW($AI$14:$AI$99)-ROW(INDIRECT("$AI$13"))+1),ROW(INDIRECT("A" &amp; AB83 ) ))),"")</f>
        <v/>
      </c>
    </row>
    <row r="84" spans="28:36" ht="20.100000000000001" customHeight="1" x14ac:dyDescent="0.45">
      <c r="AB84" s="318">
        <f t="shared" si="10"/>
        <v>71</v>
      </c>
      <c r="AC84" s="374" t="str">
        <f t="shared" si="11"/>
        <v/>
      </c>
      <c r="AD84" s="374" t="str" cm="1">
        <f t="array" aca="1" ref="AD84" ca="1">IFERROR(INDEX($AC$14:$AC$99,SMALL(IF($AC$14:$AC$99&lt;&gt;"",ROW($AC$14:$AC$99)-ROW(INDIRECT("$AC$13"))+1),ROW(INDIRECT("A" &amp; AB84 ) ))),"")</f>
        <v/>
      </c>
      <c r="AE84" s="374" t="str">
        <f t="shared" si="12"/>
        <v/>
      </c>
      <c r="AF84" s="374" t="str" cm="1">
        <f t="array" aca="1" ref="AF84" ca="1">IFERROR(INDEX($AE$14:$AE$99,SMALL(IF($AE$14:$AE$99&lt;&gt;"",ROW($AE$14:$AE$99)-ROW(INDIRECT("$AE$13"))+1),ROW(INDIRECT("A" &amp; AB84 ) ))),"")</f>
        <v/>
      </c>
      <c r="AG84" s="374" t="str">
        <f t="shared" si="13"/>
        <v/>
      </c>
      <c r="AH84" s="374" t="str" cm="1">
        <f t="array" aca="1" ref="AH84" ca="1">IFERROR(INDEX($AG$14:$AG$99,SMALL(IF($AG$14:$AG$99&lt;&gt;"",ROW($AG$14:$AG$99)-ROW(INDIRECT("$AG$13"))+1),ROW(INDIRECT("A" &amp; AB84 ) ))),"")</f>
        <v/>
      </c>
      <c r="AI84" s="374" t="str">
        <f t="shared" si="14"/>
        <v/>
      </c>
      <c r="AJ84" s="374" t="str" cm="1">
        <f t="array" aca="1" ref="AJ84" ca="1">IFERROR(INDEX($AI$14:$AI$99,SMALL(IF($AI$14:$AI$99&lt;&gt;"",ROW($AI$14:$AI$99)-ROW(INDIRECT("$AI$13"))+1),ROW(INDIRECT("A" &amp; AB84 ) ))),"")</f>
        <v/>
      </c>
    </row>
    <row r="85" spans="28:36" ht="20.100000000000001" customHeight="1" x14ac:dyDescent="0.45">
      <c r="AB85" s="318">
        <f t="shared" si="10"/>
        <v>72</v>
      </c>
      <c r="AC85" s="374" t="str">
        <f t="shared" si="11"/>
        <v/>
      </c>
      <c r="AD85" s="374" t="str" cm="1">
        <f t="array" aca="1" ref="AD85" ca="1">IFERROR(INDEX($AC$14:$AC$99,SMALL(IF($AC$14:$AC$99&lt;&gt;"",ROW($AC$14:$AC$99)-ROW(INDIRECT("$AC$13"))+1),ROW(INDIRECT("A" &amp; AB85 ) ))),"")</f>
        <v/>
      </c>
      <c r="AE85" s="374" t="str">
        <f t="shared" si="12"/>
        <v/>
      </c>
      <c r="AF85" s="374" t="str" cm="1">
        <f t="array" aca="1" ref="AF85" ca="1">IFERROR(INDEX($AE$14:$AE$99,SMALL(IF($AE$14:$AE$99&lt;&gt;"",ROW($AE$14:$AE$99)-ROW(INDIRECT("$AE$13"))+1),ROW(INDIRECT("A" &amp; AB85 ) ))),"")</f>
        <v/>
      </c>
      <c r="AG85" s="374" t="str">
        <f t="shared" si="13"/>
        <v/>
      </c>
      <c r="AH85" s="374" t="str" cm="1">
        <f t="array" aca="1" ref="AH85" ca="1">IFERROR(INDEX($AG$14:$AG$99,SMALL(IF($AG$14:$AG$99&lt;&gt;"",ROW($AG$14:$AG$99)-ROW(INDIRECT("$AG$13"))+1),ROW(INDIRECT("A" &amp; AB85 ) ))),"")</f>
        <v/>
      </c>
      <c r="AI85" s="374" t="str">
        <f t="shared" si="14"/>
        <v/>
      </c>
      <c r="AJ85" s="374" t="str" cm="1">
        <f t="array" aca="1" ref="AJ85" ca="1">IFERROR(INDEX($AI$14:$AI$99,SMALL(IF($AI$14:$AI$99&lt;&gt;"",ROW($AI$14:$AI$99)-ROW(INDIRECT("$AI$13"))+1),ROW(INDIRECT("A" &amp; AB85 ) ))),"")</f>
        <v/>
      </c>
    </row>
    <row r="86" spans="28:36" ht="20.100000000000001" customHeight="1" x14ac:dyDescent="0.45">
      <c r="AB86" s="318">
        <f t="shared" si="10"/>
        <v>73</v>
      </c>
      <c r="AC86" s="374" t="str">
        <f t="shared" si="11"/>
        <v/>
      </c>
      <c r="AD86" s="374" t="str" cm="1">
        <f t="array" aca="1" ref="AD86" ca="1">IFERROR(INDEX($AC$14:$AC$99,SMALL(IF($AC$14:$AC$99&lt;&gt;"",ROW($AC$14:$AC$99)-ROW(INDIRECT("$AC$13"))+1),ROW(INDIRECT("A" &amp; AB86 ) ))),"")</f>
        <v/>
      </c>
      <c r="AE86" s="374" t="str">
        <f t="shared" si="12"/>
        <v/>
      </c>
      <c r="AF86" s="374" t="str" cm="1">
        <f t="array" aca="1" ref="AF86" ca="1">IFERROR(INDEX($AE$14:$AE$99,SMALL(IF($AE$14:$AE$99&lt;&gt;"",ROW($AE$14:$AE$99)-ROW(INDIRECT("$AE$13"))+1),ROW(INDIRECT("A" &amp; AB86 ) ))),"")</f>
        <v/>
      </c>
      <c r="AG86" s="374" t="str">
        <f t="shared" si="13"/>
        <v/>
      </c>
      <c r="AH86" s="374" t="str" cm="1">
        <f t="array" aca="1" ref="AH86" ca="1">IFERROR(INDEX($AG$14:$AG$99,SMALL(IF($AG$14:$AG$99&lt;&gt;"",ROW($AG$14:$AG$99)-ROW(INDIRECT("$AG$13"))+1),ROW(INDIRECT("A" &amp; AB86 ) ))),"")</f>
        <v/>
      </c>
      <c r="AI86" s="374" t="str">
        <f t="shared" si="14"/>
        <v/>
      </c>
      <c r="AJ86" s="374" t="str" cm="1">
        <f t="array" aca="1" ref="AJ86" ca="1">IFERROR(INDEX($AI$14:$AI$99,SMALL(IF($AI$14:$AI$99&lt;&gt;"",ROW($AI$14:$AI$99)-ROW(INDIRECT("$AI$13"))+1),ROW(INDIRECT("A" &amp; AB86 ) ))),"")</f>
        <v/>
      </c>
    </row>
    <row r="87" spans="28:36" ht="20.100000000000001" customHeight="1" x14ac:dyDescent="0.45">
      <c r="AB87" s="318">
        <f t="shared" si="10"/>
        <v>74</v>
      </c>
      <c r="AC87" s="374" t="str">
        <f t="shared" si="11"/>
        <v/>
      </c>
      <c r="AD87" s="374" t="str" cm="1">
        <f t="array" aca="1" ref="AD87" ca="1">IFERROR(INDEX($AC$14:$AC$99,SMALL(IF($AC$14:$AC$99&lt;&gt;"",ROW($AC$14:$AC$99)-ROW(INDIRECT("$AC$13"))+1),ROW(INDIRECT("A" &amp; AB87 ) ))),"")</f>
        <v/>
      </c>
      <c r="AE87" s="374" t="str">
        <f t="shared" si="12"/>
        <v/>
      </c>
      <c r="AF87" s="374" t="str" cm="1">
        <f t="array" aca="1" ref="AF87" ca="1">IFERROR(INDEX($AE$14:$AE$99,SMALL(IF($AE$14:$AE$99&lt;&gt;"",ROW($AE$14:$AE$99)-ROW(INDIRECT("$AE$13"))+1),ROW(INDIRECT("A" &amp; AB87 ) ))),"")</f>
        <v/>
      </c>
      <c r="AG87" s="374" t="str">
        <f t="shared" si="13"/>
        <v/>
      </c>
      <c r="AH87" s="374" t="str" cm="1">
        <f t="array" aca="1" ref="AH87" ca="1">IFERROR(INDEX($AG$14:$AG$99,SMALL(IF($AG$14:$AG$99&lt;&gt;"",ROW($AG$14:$AG$99)-ROW(INDIRECT("$AG$13"))+1),ROW(INDIRECT("A" &amp; AB87 ) ))),"")</f>
        <v/>
      </c>
      <c r="AI87" s="374" t="str">
        <f t="shared" si="14"/>
        <v/>
      </c>
      <c r="AJ87" s="374" t="str" cm="1">
        <f t="array" aca="1" ref="AJ87" ca="1">IFERROR(INDEX($AI$14:$AI$99,SMALL(IF($AI$14:$AI$99&lt;&gt;"",ROW($AI$14:$AI$99)-ROW(INDIRECT("$AI$13"))+1),ROW(INDIRECT("A" &amp; AB87 ) ))),"")</f>
        <v/>
      </c>
    </row>
    <row r="88" spans="28:36" ht="20.100000000000001" customHeight="1" x14ac:dyDescent="0.45">
      <c r="AB88" s="318">
        <f t="shared" si="10"/>
        <v>75</v>
      </c>
      <c r="AC88" s="374" t="str">
        <f t="shared" si="11"/>
        <v/>
      </c>
      <c r="AD88" s="374" t="str" cm="1">
        <f t="array" aca="1" ref="AD88" ca="1">IFERROR(INDEX($AC$14:$AC$99,SMALL(IF($AC$14:$AC$99&lt;&gt;"",ROW($AC$14:$AC$99)-ROW(INDIRECT("$AC$13"))+1),ROW(INDIRECT("A" &amp; AB88 ) ))),"")</f>
        <v/>
      </c>
      <c r="AE88" s="374" t="str">
        <f t="shared" si="12"/>
        <v/>
      </c>
      <c r="AF88" s="374" t="str" cm="1">
        <f t="array" aca="1" ref="AF88" ca="1">IFERROR(INDEX($AE$14:$AE$99,SMALL(IF($AE$14:$AE$99&lt;&gt;"",ROW($AE$14:$AE$99)-ROW(INDIRECT("$AE$13"))+1),ROW(INDIRECT("A" &amp; AB88 ) ))),"")</f>
        <v/>
      </c>
      <c r="AG88" s="374" t="str">
        <f t="shared" si="13"/>
        <v/>
      </c>
      <c r="AH88" s="374" t="str" cm="1">
        <f t="array" aca="1" ref="AH88" ca="1">IFERROR(INDEX($AG$14:$AG$99,SMALL(IF($AG$14:$AG$99&lt;&gt;"",ROW($AG$14:$AG$99)-ROW(INDIRECT("$AG$13"))+1),ROW(INDIRECT("A" &amp; AB88 ) ))),"")</f>
        <v/>
      </c>
      <c r="AI88" s="374" t="str">
        <f t="shared" si="14"/>
        <v/>
      </c>
      <c r="AJ88" s="374" t="str" cm="1">
        <f t="array" aca="1" ref="AJ88" ca="1">IFERROR(INDEX($AI$14:$AI$99,SMALL(IF($AI$14:$AI$99&lt;&gt;"",ROW($AI$14:$AI$99)-ROW(INDIRECT("$AI$13"))+1),ROW(INDIRECT("A" &amp; AB88 ) ))),"")</f>
        <v/>
      </c>
    </row>
    <row r="89" spans="28:36" ht="20.100000000000001" customHeight="1" x14ac:dyDescent="0.45">
      <c r="AB89" s="318">
        <f t="shared" si="10"/>
        <v>76</v>
      </c>
      <c r="AC89" s="374" t="str">
        <f t="shared" si="11"/>
        <v/>
      </c>
      <c r="AD89" s="374" t="str" cm="1">
        <f t="array" aca="1" ref="AD89" ca="1">IFERROR(INDEX($AC$14:$AC$99,SMALL(IF($AC$14:$AC$99&lt;&gt;"",ROW($AC$14:$AC$99)-ROW(INDIRECT("$AC$13"))+1),ROW(INDIRECT("A" &amp; AB89 ) ))),"")</f>
        <v/>
      </c>
      <c r="AE89" s="374" t="str">
        <f t="shared" si="12"/>
        <v/>
      </c>
      <c r="AF89" s="374" t="str" cm="1">
        <f t="array" aca="1" ref="AF89" ca="1">IFERROR(INDEX($AE$14:$AE$99,SMALL(IF($AE$14:$AE$99&lt;&gt;"",ROW($AE$14:$AE$99)-ROW(INDIRECT("$AE$13"))+1),ROW(INDIRECT("A" &amp; AB89 ) ))),"")</f>
        <v/>
      </c>
      <c r="AG89" s="374" t="str">
        <f t="shared" si="13"/>
        <v/>
      </c>
      <c r="AH89" s="374" t="str" cm="1">
        <f t="array" aca="1" ref="AH89" ca="1">IFERROR(INDEX($AG$14:$AG$99,SMALL(IF($AG$14:$AG$99&lt;&gt;"",ROW($AG$14:$AG$99)-ROW(INDIRECT("$AG$13"))+1),ROW(INDIRECT("A" &amp; AB89 ) ))),"")</f>
        <v/>
      </c>
      <c r="AI89" s="374" t="str">
        <f t="shared" si="14"/>
        <v/>
      </c>
      <c r="AJ89" s="374" t="str" cm="1">
        <f t="array" aca="1" ref="AJ89" ca="1">IFERROR(INDEX($AI$14:$AI$99,SMALL(IF($AI$14:$AI$99&lt;&gt;"",ROW($AI$14:$AI$99)-ROW(INDIRECT("$AI$13"))+1),ROW(INDIRECT("A" &amp; AB89 ) ))),"")</f>
        <v/>
      </c>
    </row>
    <row r="90" spans="28:36" ht="20.100000000000001" customHeight="1" x14ac:dyDescent="0.45">
      <c r="AB90" s="318">
        <f t="shared" si="10"/>
        <v>77</v>
      </c>
      <c r="AC90" s="374" t="str">
        <f t="shared" si="11"/>
        <v/>
      </c>
      <c r="AD90" s="374" t="str" cm="1">
        <f t="array" aca="1" ref="AD90" ca="1">IFERROR(INDEX($AC$14:$AC$99,SMALL(IF($AC$14:$AC$99&lt;&gt;"",ROW($AC$14:$AC$99)-ROW(INDIRECT("$AC$13"))+1),ROW(INDIRECT("A" &amp; AB90 ) ))),"")</f>
        <v/>
      </c>
      <c r="AE90" s="374" t="str">
        <f t="shared" si="12"/>
        <v/>
      </c>
      <c r="AF90" s="374" t="str" cm="1">
        <f t="array" aca="1" ref="AF90" ca="1">IFERROR(INDEX($AE$14:$AE$99,SMALL(IF($AE$14:$AE$99&lt;&gt;"",ROW($AE$14:$AE$99)-ROW(INDIRECT("$AE$13"))+1),ROW(INDIRECT("A" &amp; AB90 ) ))),"")</f>
        <v/>
      </c>
      <c r="AG90" s="374" t="str">
        <f t="shared" si="13"/>
        <v/>
      </c>
      <c r="AH90" s="374" t="str" cm="1">
        <f t="array" aca="1" ref="AH90" ca="1">IFERROR(INDEX($AG$14:$AG$99,SMALL(IF($AG$14:$AG$99&lt;&gt;"",ROW($AG$14:$AG$99)-ROW(INDIRECT("$AG$13"))+1),ROW(INDIRECT("A" &amp; AB90 ) ))),"")</f>
        <v/>
      </c>
      <c r="AI90" s="374" t="str">
        <f t="shared" si="14"/>
        <v/>
      </c>
      <c r="AJ90" s="374" t="str" cm="1">
        <f t="array" aca="1" ref="AJ90" ca="1">IFERROR(INDEX($AI$14:$AI$99,SMALL(IF($AI$14:$AI$99&lt;&gt;"",ROW($AI$14:$AI$99)-ROW(INDIRECT("$AI$13"))+1),ROW(INDIRECT("A" &amp; AB90 ) ))),"")</f>
        <v/>
      </c>
    </row>
    <row r="91" spans="28:36" ht="20.100000000000001" customHeight="1" x14ac:dyDescent="0.45">
      <c r="AB91" s="318">
        <f t="shared" si="10"/>
        <v>78</v>
      </c>
      <c r="AC91" s="374" t="str">
        <f t="shared" si="11"/>
        <v/>
      </c>
      <c r="AD91" s="374" t="str" cm="1">
        <f t="array" aca="1" ref="AD91" ca="1">IFERROR(INDEX($AC$14:$AC$99,SMALL(IF($AC$14:$AC$99&lt;&gt;"",ROW($AC$14:$AC$99)-ROW(INDIRECT("$AC$13"))+1),ROW(INDIRECT("A" &amp; AB91 ) ))),"")</f>
        <v/>
      </c>
      <c r="AE91" s="374" t="str">
        <f t="shared" si="12"/>
        <v/>
      </c>
      <c r="AF91" s="374" t="str" cm="1">
        <f t="array" aca="1" ref="AF91" ca="1">IFERROR(INDEX($AE$14:$AE$99,SMALL(IF($AE$14:$AE$99&lt;&gt;"",ROW($AE$14:$AE$99)-ROW(INDIRECT("$AE$13"))+1),ROW(INDIRECT("A" &amp; AB91 ) ))),"")</f>
        <v/>
      </c>
      <c r="AG91" s="374" t="str">
        <f t="shared" si="13"/>
        <v/>
      </c>
      <c r="AH91" s="374" t="str" cm="1">
        <f t="array" aca="1" ref="AH91" ca="1">IFERROR(INDEX($AG$14:$AG$99,SMALL(IF($AG$14:$AG$99&lt;&gt;"",ROW($AG$14:$AG$99)-ROW(INDIRECT("$AG$13"))+1),ROW(INDIRECT("A" &amp; AB91 ) ))),"")</f>
        <v/>
      </c>
      <c r="AI91" s="374" t="str">
        <f t="shared" si="14"/>
        <v/>
      </c>
      <c r="AJ91" s="374" t="str" cm="1">
        <f t="array" aca="1" ref="AJ91" ca="1">IFERROR(INDEX($AI$14:$AI$99,SMALL(IF($AI$14:$AI$99&lt;&gt;"",ROW($AI$14:$AI$99)-ROW(INDIRECT("$AI$13"))+1),ROW(INDIRECT("A" &amp; AB91 ) ))),"")</f>
        <v/>
      </c>
    </row>
    <row r="92" spans="28:36" ht="20.100000000000001" customHeight="1" x14ac:dyDescent="0.45">
      <c r="AI92" s="374" t="str">
        <f t="shared" ref="AI92" si="15">IF(AND($E92="Oui", $M92 &lt;&gt; "", $M92 = ""),$F92,"")</f>
        <v/>
      </c>
      <c r="AJ92" s="374" t="str" cm="1">
        <f t="array" aca="1" ref="AJ92" ca="1">IFERROR(INDEX($AI$14:$AI$99,SMALL(IF($AI$14:$AI$99&lt;&gt;"",ROW($AI$14:$AI$99)-ROW(INDIRECT("$AI$13"))+1),ROW(INDIRECT("A" &amp; AB92 ) ))),"")</f>
        <v/>
      </c>
    </row>
  </sheetData>
  <autoFilter ref="E33:Q33" xr:uid="{00000000-0009-0000-0000-000007000000}">
    <filterColumn colId="1" showButton="0"/>
    <filterColumn colId="6" showButton="0"/>
    <filterColumn colId="8" showButton="0"/>
    <filterColumn colId="10" showButton="0"/>
    <filterColumn colId="11" showButton="0"/>
  </autoFilter>
  <mergeCells count="69">
    <mergeCell ref="K44:T44"/>
    <mergeCell ref="N6:P6"/>
    <mergeCell ref="C8:V8"/>
    <mergeCell ref="H7:I7"/>
    <mergeCell ref="D7:E7"/>
    <mergeCell ref="F7:G7"/>
    <mergeCell ref="J7:K7"/>
    <mergeCell ref="L6:M6"/>
    <mergeCell ref="Q6:R6"/>
    <mergeCell ref="K33:L33"/>
    <mergeCell ref="U6:V6"/>
    <mergeCell ref="M33:N33"/>
    <mergeCell ref="K35:T35"/>
    <mergeCell ref="K36:T37"/>
    <mergeCell ref="K16:T17"/>
    <mergeCell ref="K15:T15"/>
    <mergeCell ref="C5:E5"/>
    <mergeCell ref="C6:E6"/>
    <mergeCell ref="F5:H5"/>
    <mergeCell ref="F6:H6"/>
    <mergeCell ref="F33:G33"/>
    <mergeCell ref="C29:V29"/>
    <mergeCell ref="F22:G22"/>
    <mergeCell ref="K24:T24"/>
    <mergeCell ref="K25:T25"/>
    <mergeCell ref="E24:G24"/>
    <mergeCell ref="O33:Q33"/>
    <mergeCell ref="U5:V5"/>
    <mergeCell ref="N5:P5"/>
    <mergeCell ref="Q5:R5"/>
    <mergeCell ref="L5:M5"/>
    <mergeCell ref="H12:Q12"/>
    <mergeCell ref="K45:T45"/>
    <mergeCell ref="E35:G35"/>
    <mergeCell ref="F42:G42"/>
    <mergeCell ref="AG13:AH13"/>
    <mergeCell ref="AI13:AJ13"/>
    <mergeCell ref="AE13:AF13"/>
    <mergeCell ref="Q13:R13"/>
    <mergeCell ref="E15:G15"/>
    <mergeCell ref="AC13:AD13"/>
    <mergeCell ref="M13:N13"/>
    <mergeCell ref="O13:P13"/>
    <mergeCell ref="K13:L13"/>
    <mergeCell ref="F13:G13"/>
    <mergeCell ref="S13:T13"/>
    <mergeCell ref="R33:T33"/>
    <mergeCell ref="E44:G44"/>
    <mergeCell ref="C2:V2"/>
    <mergeCell ref="N4:P4"/>
    <mergeCell ref="N3:P3"/>
    <mergeCell ref="Q3:R3"/>
    <mergeCell ref="Q4:R4"/>
    <mergeCell ref="U3:V3"/>
    <mergeCell ref="L3:M3"/>
    <mergeCell ref="L4:M4"/>
    <mergeCell ref="C3:E3"/>
    <mergeCell ref="C4:E4"/>
    <mergeCell ref="F3:H3"/>
    <mergeCell ref="F4:H4"/>
    <mergeCell ref="I3:K3"/>
    <mergeCell ref="I4:K4"/>
    <mergeCell ref="U4:V4"/>
    <mergeCell ref="S3:T3"/>
    <mergeCell ref="S4:T4"/>
    <mergeCell ref="S5:T5"/>
    <mergeCell ref="S6:T6"/>
    <mergeCell ref="I5:K5"/>
    <mergeCell ref="I6:K6"/>
  </mergeCells>
  <phoneticPr fontId="13" type="noConversion"/>
  <conditionalFormatting sqref="E18:E21 D28 D45:F45 D46:E46">
    <cfRule type="cellIs" dxfId="52" priority="37" operator="equal">
      <formula>"Non"</formula>
    </cfRule>
    <cfRule type="cellIs" dxfId="51" priority="38" operator="equal">
      <formula>"Oui"</formula>
    </cfRule>
  </conditionalFormatting>
  <conditionalFormatting sqref="E22">
    <cfRule type="cellIs" dxfId="50" priority="99" stopIfTrue="1" operator="equal">
      <formula>"Non"</formula>
    </cfRule>
    <cfRule type="cellIs" dxfId="49" priority="100" stopIfTrue="1" operator="equal">
      <formula>"Oui"</formula>
    </cfRule>
  </conditionalFormatting>
  <conditionalFormatting sqref="E24">
    <cfRule type="cellIs" dxfId="48" priority="83" stopIfTrue="1" operator="equal">
      <formula>"Non"</formula>
    </cfRule>
    <cfRule type="cellIs" dxfId="47" priority="84" stopIfTrue="1" operator="equal">
      <formula>"Oui"</formula>
    </cfRule>
  </conditionalFormatting>
  <conditionalFormatting sqref="E42">
    <cfRule type="cellIs" dxfId="46" priority="101" stopIfTrue="1" operator="equal">
      <formula>"Non"</formula>
    </cfRule>
    <cfRule type="cellIs" dxfId="45" priority="102" stopIfTrue="1" operator="equal">
      <formula>"Oui"</formula>
    </cfRule>
  </conditionalFormatting>
  <dataValidations count="5">
    <dataValidation type="list" allowBlank="1" showInputMessage="1" showErrorMessage="1" sqref="K48" xr:uid="{00000000-0002-0000-0700-000000000000}">
      <formula1>LISTE_1</formula1>
    </dataValidation>
    <dataValidation allowBlank="1" showInputMessage="1" showErrorMessage="1" promptTitle="Double click" prompt="Pour utiliser cette fonction, faites un double click sur la cellule" sqref="E24:G24 E44 E15 E38 E35" xr:uid="{00000000-0002-0000-0700-000002000000}"/>
    <dataValidation allowBlank="1" showInputMessage="1" showErrorMessage="1" promptTitle="Champ obligatoire" prompt="La saisie du pluviomètre de référence est obligatoire" sqref="Q13:R13" xr:uid="{B1EB909C-DD9A-4529-AB67-D930E53B681D}"/>
    <dataValidation type="list" allowBlank="1" showInputMessage="1" showErrorMessage="1" sqref="Q5:R5" xr:uid="{639DDD7E-E771-4E66-9B9C-CE276F3F695A}">
      <formula1>Type_reseau</formula1>
    </dataValidation>
    <dataValidation allowBlank="1" showInputMessage="1" showErrorMessage="1" prompt="Attention, le code du point noté dans le MAS, le fichier SANDRE et la grille de cotation doivent être identiques" sqref="J13 J33" xr:uid="{997C1E12-5B4E-48B6-85C1-CEA80CCD3C38}"/>
  </dataValidations>
  <pageMargins left="0.7" right="0.7" top="0.75" bottom="0.75" header="0.3" footer="0.3"/>
  <pageSetup paperSize="9" orientation="portrait" horizont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AF9C7-DFAB-4C92-B14C-B04174A8506D}">
  <sheetPr codeName="Feuil1">
    <tabColor theme="9"/>
  </sheetPr>
  <dimension ref="B1:AB79"/>
  <sheetViews>
    <sheetView topLeftCell="C7" zoomScaleNormal="100" workbookViewId="0">
      <selection activeCell="O24" sqref="O24:Y24"/>
    </sheetView>
  </sheetViews>
  <sheetFormatPr baseColWidth="10" defaultColWidth="11.41015625" defaultRowHeight="20.100000000000001" customHeight="1" outlineLevelRow="1" x14ac:dyDescent="0.4"/>
  <cols>
    <col min="1" max="2" width="2.703125" style="315" customWidth="1"/>
    <col min="3" max="4" width="10.703125" style="315" customWidth="1"/>
    <col min="5" max="5" width="11.76171875" style="315" customWidth="1"/>
    <col min="6" max="6" width="10.703125" style="315" customWidth="1"/>
    <col min="7" max="7" width="13.64453125" style="315" customWidth="1"/>
    <col min="8" max="9" width="12.29296875" style="315" customWidth="1"/>
    <col min="10" max="10" width="20.9375" style="315" customWidth="1"/>
    <col min="11" max="11" width="16.52734375" style="315" customWidth="1"/>
    <col min="12" max="23" width="7.64453125" style="315" customWidth="1"/>
    <col min="24" max="24" width="12.05859375" style="315" customWidth="1"/>
    <col min="25" max="27" width="10.703125" style="315" customWidth="1"/>
    <col min="28" max="29" width="2.703125" style="315" customWidth="1"/>
    <col min="30" max="33" width="11.41015625" style="315"/>
    <col min="34" max="35" width="16.41015625" style="315" customWidth="1"/>
    <col min="36" max="36" width="18.1171875" style="315" customWidth="1"/>
    <col min="37" max="37" width="16.41015625" style="315" customWidth="1"/>
    <col min="38" max="41" width="12.703125" style="315" customWidth="1"/>
    <col min="42" max="16384" width="11.41015625" style="315"/>
  </cols>
  <sheetData>
    <row r="1" spans="2:28" ht="9.9499999999999993" customHeight="1" thickBot="1" x14ac:dyDescent="0.45">
      <c r="B1" s="329"/>
      <c r="C1" s="330"/>
      <c r="D1" s="330"/>
      <c r="E1" s="330"/>
      <c r="F1" s="330"/>
      <c r="G1" s="330"/>
      <c r="H1" s="330"/>
      <c r="I1" s="330"/>
      <c r="J1" s="330"/>
      <c r="K1" s="330"/>
      <c r="L1" s="330"/>
      <c r="M1" s="330"/>
      <c r="N1" s="330"/>
      <c r="O1" s="330"/>
      <c r="P1" s="330"/>
      <c r="Q1" s="330"/>
      <c r="R1" s="330"/>
      <c r="S1" s="330"/>
      <c r="T1" s="330"/>
      <c r="U1" s="330"/>
      <c r="V1" s="330"/>
      <c r="W1" s="330"/>
      <c r="X1" s="330"/>
      <c r="Y1" s="330"/>
      <c r="Z1" s="330"/>
      <c r="AA1" s="330"/>
      <c r="AB1" s="331"/>
    </row>
    <row r="2" spans="2:28" ht="66.95" customHeight="1" thickTop="1" x14ac:dyDescent="0.4">
      <c r="B2" s="332"/>
      <c r="C2" s="484" t="s">
        <v>386</v>
      </c>
      <c r="D2" s="485"/>
      <c r="E2" s="485"/>
      <c r="F2" s="485"/>
      <c r="G2" s="485"/>
      <c r="H2" s="485"/>
      <c r="I2" s="485"/>
      <c r="J2" s="485"/>
      <c r="K2" s="485"/>
      <c r="L2" s="485"/>
      <c r="M2" s="485"/>
      <c r="N2" s="485"/>
      <c r="O2" s="485"/>
      <c r="P2" s="485"/>
      <c r="Q2" s="485"/>
      <c r="R2" s="485"/>
      <c r="S2" s="485"/>
      <c r="T2" s="485"/>
      <c r="U2" s="485"/>
      <c r="V2" s="485"/>
      <c r="W2" s="485"/>
      <c r="X2" s="485"/>
      <c r="Y2" s="485"/>
      <c r="Z2" s="485"/>
      <c r="AA2" s="486"/>
      <c r="AB2" s="327"/>
    </row>
    <row r="3" spans="2:28" ht="20.100000000000001" customHeight="1" x14ac:dyDescent="0.4">
      <c r="B3" s="332"/>
      <c r="C3" s="660" t="s">
        <v>387</v>
      </c>
      <c r="D3" s="566"/>
      <c r="E3" s="566"/>
      <c r="F3" s="562" t="str">
        <f>IF(ISBLANK(Descriptif!F3),"",Descriptif!F3)</f>
        <v>BARJAC (30)</v>
      </c>
      <c r="G3" s="563"/>
      <c r="H3" s="563"/>
      <c r="I3" s="558" t="s">
        <v>396</v>
      </c>
      <c r="J3" s="559"/>
      <c r="K3" s="562" t="str">
        <f>IF(ISBLANK(Descriptif!L3),"",Descriptif!L3)</f>
        <v>BARJAC (30)</v>
      </c>
      <c r="L3" s="563"/>
      <c r="M3" s="558" t="s">
        <v>393</v>
      </c>
      <c r="N3" s="566"/>
      <c r="O3" s="566"/>
      <c r="P3" s="559"/>
      <c r="Q3" s="568" t="str">
        <f>IF(ISBLANK(Descriptif!Q3),"",Descriptif!Q3)</f>
        <v>sys</v>
      </c>
      <c r="R3" s="569"/>
      <c r="S3" s="569"/>
      <c r="T3" s="569"/>
      <c r="U3" s="569"/>
      <c r="V3" s="558" t="s">
        <v>385</v>
      </c>
      <c r="W3" s="566"/>
      <c r="X3" s="559"/>
      <c r="Y3" s="562" t="str">
        <f>IF(ISBLANK(Descriptif!U3),"",Descriptif!U3)</f>
        <v>CEREG Ingénierie</v>
      </c>
      <c r="Z3" s="563"/>
      <c r="AA3" s="659"/>
      <c r="AB3" s="327"/>
    </row>
    <row r="4" spans="2:28" ht="20.100000000000001" customHeight="1" x14ac:dyDescent="0.4">
      <c r="B4" s="332"/>
      <c r="C4" s="660" t="s">
        <v>388</v>
      </c>
      <c r="D4" s="566"/>
      <c r="E4" s="566"/>
      <c r="F4" s="562" t="str">
        <f>IF(ISBLANK(Descriptif!F4),"",Descriptif!F4)</f>
        <v>eee</v>
      </c>
      <c r="G4" s="563"/>
      <c r="H4" s="563"/>
      <c r="I4" s="558" t="s">
        <v>390</v>
      </c>
      <c r="J4" s="559"/>
      <c r="K4" s="562" t="str">
        <f>IF(ISBLANK(Descriptif!L4),"",Descriptif!L4)</f>
        <v>060930290002</v>
      </c>
      <c r="L4" s="563"/>
      <c r="M4" s="558" t="s">
        <v>394</v>
      </c>
      <c r="N4" s="566"/>
      <c r="O4" s="566"/>
      <c r="P4" s="559"/>
      <c r="Q4" s="568" t="str">
        <f>IF(ISBLANK(Descriptif!Q4),"",Descriptif!Q4)</f>
        <v>yyy</v>
      </c>
      <c r="R4" s="569"/>
      <c r="S4" s="569"/>
      <c r="T4" s="569"/>
      <c r="U4" s="569"/>
      <c r="V4" s="593" t="s">
        <v>525</v>
      </c>
      <c r="W4" s="594"/>
      <c r="X4" s="595"/>
      <c r="Y4" s="562" t="str">
        <f>IF(ISBLANK(Descriptif!U4),"",Descriptif!U4)</f>
        <v>control</v>
      </c>
      <c r="Z4" s="563"/>
      <c r="AA4" s="659"/>
      <c r="AB4" s="327"/>
    </row>
    <row r="5" spans="2:28" ht="20.100000000000001" customHeight="1" x14ac:dyDescent="0.4">
      <c r="B5" s="332"/>
      <c r="C5" s="660" t="s">
        <v>389</v>
      </c>
      <c r="D5" s="566"/>
      <c r="E5" s="566"/>
      <c r="F5" s="562" t="str">
        <f>IF(ISBLANK(Descriptif!F5),"",Descriptif!F5)</f>
        <v>Commune de Barjac</v>
      </c>
      <c r="G5" s="563"/>
      <c r="H5" s="563"/>
      <c r="I5" s="558" t="s">
        <v>528</v>
      </c>
      <c r="J5" s="559"/>
      <c r="K5" s="562" t="str">
        <f>IF(ISBLANK(Descriptif!L5),"",Descriptif!L5)</f>
        <v>Boues activée faible charge</v>
      </c>
      <c r="L5" s="563"/>
      <c r="M5" s="558" t="s">
        <v>524</v>
      </c>
      <c r="N5" s="566"/>
      <c r="O5" s="566"/>
      <c r="P5" s="559"/>
      <c r="Q5" s="568" t="str">
        <f>IF(ISBLANK(Descriptif!Q5),"",Descriptif!Q5)</f>
        <v>Mixte</v>
      </c>
      <c r="R5" s="569"/>
      <c r="S5" s="569"/>
      <c r="T5" s="569"/>
      <c r="U5" s="569"/>
      <c r="V5" s="558" t="s">
        <v>526</v>
      </c>
      <c r="W5" s="566"/>
      <c r="X5" s="559"/>
      <c r="Y5" s="692">
        <f>IF(ISBLANK(Descriptif!U5),"",Descriptif!U5)</f>
        <v>46006</v>
      </c>
      <c r="Z5" s="693"/>
      <c r="AA5" s="694"/>
      <c r="AB5" s="327"/>
    </row>
    <row r="6" spans="2:28" ht="20.100000000000001" customHeight="1" thickBot="1" x14ac:dyDescent="0.45">
      <c r="B6" s="332"/>
      <c r="C6" s="695" t="s">
        <v>392</v>
      </c>
      <c r="D6" s="567"/>
      <c r="E6" s="567"/>
      <c r="F6" s="564" t="str">
        <f>IF(ISBLANK(Descriptif!F6),"",Descriptif!F6)</f>
        <v>Regie</v>
      </c>
      <c r="G6" s="565"/>
      <c r="H6" s="565"/>
      <c r="I6" s="560" t="s">
        <v>391</v>
      </c>
      <c r="J6" s="561"/>
      <c r="K6" s="564" t="str">
        <f>IF(ISBLANK(Descriptif!L6),"",Descriptif!L6)</f>
        <v>5 000 EH</v>
      </c>
      <c r="L6" s="565"/>
      <c r="M6" s="560" t="s">
        <v>395</v>
      </c>
      <c r="N6" s="567"/>
      <c r="O6" s="567"/>
      <c r="P6" s="561"/>
      <c r="Q6" s="564" t="str">
        <f>IF(ISBLANK(Descriptif!Q6),"",Descriptif!Q6)</f>
        <v>exp r</v>
      </c>
      <c r="R6" s="565"/>
      <c r="S6" s="565"/>
      <c r="T6" s="565"/>
      <c r="U6" s="570"/>
      <c r="V6" s="542" t="s">
        <v>527</v>
      </c>
      <c r="W6" s="543"/>
      <c r="X6" s="544"/>
      <c r="Y6" s="689" t="str">
        <f>IF(ISBLANK(Descriptif!U6),"",Descriptif!U6)</f>
        <v>pluie</v>
      </c>
      <c r="Z6" s="690"/>
      <c r="AA6" s="691"/>
      <c r="AB6" s="327"/>
    </row>
    <row r="7" spans="2:28" ht="20.100000000000001" customHeight="1" thickTop="1" thickBot="1" x14ac:dyDescent="0.45">
      <c r="B7" s="332"/>
      <c r="C7" s="333"/>
      <c r="D7" s="333"/>
      <c r="E7" s="333"/>
      <c r="F7" s="333"/>
      <c r="G7" s="333"/>
      <c r="H7" s="333"/>
      <c r="I7" s="333"/>
      <c r="J7" s="333"/>
      <c r="K7" s="333"/>
      <c r="L7" s="333"/>
      <c r="M7" s="333"/>
      <c r="N7" s="333"/>
      <c r="O7" s="333"/>
      <c r="P7" s="333"/>
      <c r="Q7" s="333"/>
      <c r="R7" s="333"/>
      <c r="S7" s="333"/>
      <c r="T7" s="333"/>
      <c r="U7" s="333"/>
      <c r="V7" s="333"/>
      <c r="W7" s="333"/>
      <c r="X7" s="333"/>
      <c r="Y7" s="333"/>
      <c r="Z7" s="333"/>
      <c r="AA7" s="333"/>
      <c r="AB7" s="327"/>
    </row>
    <row r="8" spans="2:28" ht="20.100000000000001" customHeight="1" thickTop="1" thickBot="1" x14ac:dyDescent="0.45">
      <c r="B8" s="332"/>
      <c r="C8" s="513" t="s">
        <v>460</v>
      </c>
      <c r="D8" s="514"/>
      <c r="E8" s="514"/>
      <c r="F8" s="514"/>
      <c r="G8" s="514"/>
      <c r="H8" s="514"/>
      <c r="I8" s="514"/>
      <c r="J8" s="514"/>
      <c r="K8" s="514"/>
      <c r="L8" s="514"/>
      <c r="M8" s="514"/>
      <c r="N8" s="514"/>
      <c r="O8" s="514"/>
      <c r="P8" s="514"/>
      <c r="Q8" s="514"/>
      <c r="R8" s="514"/>
      <c r="S8" s="514"/>
      <c r="T8" s="514"/>
      <c r="U8" s="514"/>
      <c r="V8" s="514"/>
      <c r="W8" s="514"/>
      <c r="X8" s="514"/>
      <c r="Y8" s="514"/>
      <c r="Z8" s="514"/>
      <c r="AA8" s="515"/>
      <c r="AB8" s="321"/>
    </row>
    <row r="9" spans="2:28" ht="20.100000000000001" customHeight="1" outlineLevel="1" thickTop="1" thickBot="1" x14ac:dyDescent="0.45">
      <c r="B9" s="332"/>
      <c r="C9" s="361"/>
      <c r="D9" s="333"/>
      <c r="E9" s="333"/>
      <c r="F9" s="333"/>
      <c r="G9" s="333"/>
      <c r="H9" s="333"/>
      <c r="I9" s="333"/>
      <c r="J9" s="333"/>
      <c r="K9" s="333"/>
      <c r="L9" s="333"/>
      <c r="M9" s="333"/>
      <c r="N9" s="333"/>
      <c r="O9" s="333"/>
      <c r="P9" s="333"/>
      <c r="Q9" s="333"/>
      <c r="R9" s="333"/>
      <c r="S9" s="333"/>
      <c r="T9" s="333"/>
      <c r="U9" s="333"/>
      <c r="V9" s="333"/>
      <c r="W9" s="333"/>
      <c r="X9" s="333"/>
      <c r="Y9" s="333"/>
      <c r="Z9" s="333"/>
      <c r="AA9" s="362"/>
      <c r="AB9" s="327"/>
    </row>
    <row r="10" spans="2:28" ht="20.100000000000001" customHeight="1" outlineLevel="1" thickBot="1" x14ac:dyDescent="0.45">
      <c r="B10" s="332"/>
      <c r="C10" s="361"/>
      <c r="D10" s="596" t="s">
        <v>461</v>
      </c>
      <c r="E10" s="597"/>
      <c r="F10" s="368"/>
      <c r="G10" s="465"/>
      <c r="H10" s="368"/>
      <c r="I10" s="368"/>
      <c r="J10" s="368"/>
      <c r="K10" s="368"/>
      <c r="L10" s="368"/>
      <c r="M10" s="368"/>
      <c r="N10" s="368"/>
      <c r="O10" s="368"/>
      <c r="P10" s="368"/>
      <c r="Q10" s="368"/>
      <c r="R10" s="368"/>
      <c r="S10" s="368"/>
      <c r="T10" s="368"/>
      <c r="U10" s="368"/>
      <c r="V10" s="368"/>
      <c r="W10" s="368"/>
      <c r="X10" s="368"/>
      <c r="Y10" s="352"/>
      <c r="Z10" s="364"/>
      <c r="AA10" s="362"/>
      <c r="AB10" s="321"/>
    </row>
    <row r="11" spans="2:28" ht="20.100000000000001" customHeight="1" outlineLevel="1" thickBot="1" x14ac:dyDescent="0.45">
      <c r="B11" s="332"/>
      <c r="C11" s="361"/>
      <c r="D11" s="598"/>
      <c r="E11" s="599"/>
      <c r="F11" s="333"/>
      <c r="G11" s="682" t="s">
        <v>1</v>
      </c>
      <c r="H11" s="683"/>
      <c r="I11" s="683"/>
      <c r="J11" s="391" t="s">
        <v>35</v>
      </c>
      <c r="K11" s="370"/>
      <c r="L11" s="684" t="s">
        <v>5</v>
      </c>
      <c r="M11" s="685"/>
      <c r="N11" s="685"/>
      <c r="O11" s="686"/>
      <c r="P11" s="687" t="s">
        <v>35</v>
      </c>
      <c r="Q11" s="688"/>
      <c r="R11" s="369"/>
      <c r="S11" s="369"/>
      <c r="T11" s="684" t="s">
        <v>12</v>
      </c>
      <c r="U11" s="685"/>
      <c r="V11" s="685"/>
      <c r="W11" s="685"/>
      <c r="X11" s="685"/>
      <c r="Y11" s="391" t="s">
        <v>35</v>
      </c>
      <c r="Z11" s="365"/>
      <c r="AA11" s="362"/>
      <c r="AB11" s="327"/>
    </row>
    <row r="12" spans="2:28" ht="20.100000000000001" customHeight="1" outlineLevel="1" thickBot="1" x14ac:dyDescent="0.45">
      <c r="B12" s="332"/>
      <c r="C12" s="361"/>
      <c r="D12" s="598"/>
      <c r="E12" s="599"/>
      <c r="F12" s="333"/>
      <c r="G12" s="579" t="s">
        <v>2</v>
      </c>
      <c r="H12" s="580"/>
      <c r="I12" s="696"/>
      <c r="J12" s="392" t="str">
        <f ca="1">Recap_equipements!E62</f>
        <v/>
      </c>
      <c r="K12" s="370"/>
      <c r="L12" s="579" t="s">
        <v>7</v>
      </c>
      <c r="M12" s="580"/>
      <c r="N12" s="580"/>
      <c r="O12" s="581"/>
      <c r="P12" s="575" t="str">
        <f ca="1">Recap_equipements!E74</f>
        <v/>
      </c>
      <c r="Q12" s="576"/>
      <c r="R12" s="370"/>
      <c r="S12" s="370"/>
      <c r="T12" s="579" t="s">
        <v>13</v>
      </c>
      <c r="U12" s="580"/>
      <c r="V12" s="580"/>
      <c r="W12" s="580"/>
      <c r="X12" s="581"/>
      <c r="Y12" s="413" t="str">
        <f ca="1">Recap_equipements!E86</f>
        <v/>
      </c>
      <c r="Z12" s="365"/>
      <c r="AA12" s="362"/>
      <c r="AB12" s="327"/>
    </row>
    <row r="13" spans="2:28" ht="20.100000000000001" customHeight="1" outlineLevel="1" x14ac:dyDescent="0.4">
      <c r="B13" s="332"/>
      <c r="C13" s="361"/>
      <c r="D13" s="598"/>
      <c r="E13" s="599"/>
      <c r="F13" s="333"/>
      <c r="G13" s="582" t="s">
        <v>493</v>
      </c>
      <c r="H13" s="583"/>
      <c r="I13" s="584"/>
      <c r="J13" s="404" t="str">
        <f ca="1">IF(Recap_equipements!F64&lt;&gt;"",Recap_equipements!F64,"")</f>
        <v/>
      </c>
      <c r="K13" s="370"/>
      <c r="L13" s="582" t="s">
        <v>493</v>
      </c>
      <c r="M13" s="583"/>
      <c r="N13" s="583"/>
      <c r="O13" s="584"/>
      <c r="P13" s="697" t="str">
        <f ca="1">Recap_equipements!F76</f>
        <v/>
      </c>
      <c r="Q13" s="698"/>
      <c r="R13" s="370"/>
      <c r="S13" s="370"/>
      <c r="T13" s="699" t="s">
        <v>493</v>
      </c>
      <c r="U13" s="700"/>
      <c r="V13" s="700"/>
      <c r="W13" s="700"/>
      <c r="X13" s="701"/>
      <c r="Y13" s="412" t="str">
        <f ca="1">Recap_equipements!F88</f>
        <v/>
      </c>
      <c r="Z13" s="365"/>
      <c r="AA13" s="362"/>
      <c r="AB13" s="327"/>
    </row>
    <row r="14" spans="2:28" ht="20.100000000000001" customHeight="1" outlineLevel="1" x14ac:dyDescent="0.4">
      <c r="B14" s="332"/>
      <c r="C14" s="361"/>
      <c r="D14" s="598"/>
      <c r="E14" s="599"/>
      <c r="F14" s="333"/>
      <c r="G14" s="585" t="s">
        <v>320</v>
      </c>
      <c r="H14" s="586"/>
      <c r="I14" s="587"/>
      <c r="J14" s="405" t="str">
        <f ca="1">IF(Recap_equipements!F65&lt;&gt;"",Recap_equipements!F65,"")</f>
        <v/>
      </c>
      <c r="K14" s="370"/>
      <c r="L14" s="585" t="s">
        <v>320</v>
      </c>
      <c r="M14" s="586"/>
      <c r="N14" s="586"/>
      <c r="O14" s="587"/>
      <c r="P14" s="708" t="str">
        <f ca="1">Recap_equipements!F77</f>
        <v/>
      </c>
      <c r="Q14" s="709"/>
      <c r="R14" s="370"/>
      <c r="S14" s="370"/>
      <c r="T14" s="702" t="s">
        <v>320</v>
      </c>
      <c r="U14" s="703"/>
      <c r="V14" s="703"/>
      <c r="W14" s="703"/>
      <c r="X14" s="704"/>
      <c r="Y14" s="407" t="str">
        <f ca="1">Recap_equipements!F89</f>
        <v/>
      </c>
      <c r="Z14" s="365"/>
      <c r="AA14" s="362"/>
      <c r="AB14" s="327"/>
    </row>
    <row r="15" spans="2:28" ht="20.100000000000001" customHeight="1" outlineLevel="1" thickBot="1" x14ac:dyDescent="0.45">
      <c r="B15" s="332"/>
      <c r="C15" s="361"/>
      <c r="D15" s="598"/>
      <c r="E15" s="599"/>
      <c r="F15" s="333"/>
      <c r="G15" s="588" t="s">
        <v>482</v>
      </c>
      <c r="H15" s="589"/>
      <c r="I15" s="590"/>
      <c r="J15" s="404" t="str">
        <f ca="1">IF(Recap_equipements!F66&lt;&gt;"",Recap_equipements!F66,"")</f>
        <v/>
      </c>
      <c r="K15" s="370"/>
      <c r="L15" s="588" t="s">
        <v>482</v>
      </c>
      <c r="M15" s="589"/>
      <c r="N15" s="589"/>
      <c r="O15" s="590"/>
      <c r="P15" s="591" t="str">
        <f ca="1">Recap_equipements!F78</f>
        <v/>
      </c>
      <c r="Q15" s="592"/>
      <c r="R15" s="370"/>
      <c r="S15" s="370"/>
      <c r="T15" s="705" t="s">
        <v>482</v>
      </c>
      <c r="U15" s="706"/>
      <c r="V15" s="706"/>
      <c r="W15" s="706"/>
      <c r="X15" s="707"/>
      <c r="Y15" s="408" t="str">
        <f>Recap_equipements!F90</f>
        <v/>
      </c>
      <c r="Z15" s="365"/>
      <c r="AA15" s="362"/>
      <c r="AB15" s="327"/>
    </row>
    <row r="16" spans="2:28" ht="20.100000000000001" customHeight="1" outlineLevel="1" thickBot="1" x14ac:dyDescent="0.45">
      <c r="B16" s="332"/>
      <c r="C16" s="361"/>
      <c r="D16" s="598"/>
      <c r="E16" s="599"/>
      <c r="F16" s="333"/>
      <c r="G16" s="579" t="s">
        <v>3</v>
      </c>
      <c r="H16" s="580"/>
      <c r="I16" s="581"/>
      <c r="J16" s="402" t="str">
        <f ca="1">Recap_equipements!E68</f>
        <v/>
      </c>
      <c r="K16" s="370"/>
      <c r="L16" s="579" t="s">
        <v>8</v>
      </c>
      <c r="M16" s="580"/>
      <c r="N16" s="580"/>
      <c r="O16" s="581"/>
      <c r="P16" s="577" t="str">
        <f ca="1">Recap_equipements!E80</f>
        <v/>
      </c>
      <c r="Q16" s="578"/>
      <c r="R16" s="370"/>
      <c r="S16" s="370"/>
      <c r="T16" s="579" t="s">
        <v>14</v>
      </c>
      <c r="U16" s="580"/>
      <c r="V16" s="580"/>
      <c r="W16" s="580"/>
      <c r="X16" s="581"/>
      <c r="Y16" s="403" t="str">
        <f ca="1">Recap_equipements!E92</f>
        <v/>
      </c>
      <c r="Z16" s="365"/>
      <c r="AA16" s="362"/>
      <c r="AB16" s="327"/>
    </row>
    <row r="17" spans="2:28" ht="20.100000000000001" customHeight="1" outlineLevel="1" x14ac:dyDescent="0.4">
      <c r="B17" s="332"/>
      <c r="C17" s="361"/>
      <c r="D17" s="598"/>
      <c r="E17" s="599"/>
      <c r="F17" s="333"/>
      <c r="G17" s="582" t="s">
        <v>493</v>
      </c>
      <c r="H17" s="583"/>
      <c r="I17" s="584"/>
      <c r="J17" s="404" t="str">
        <f ca="1">IF(Recap_equipements!F70&lt;&gt;"",Recap_equipements!F70,"")</f>
        <v/>
      </c>
      <c r="K17" s="370"/>
      <c r="L17" s="582" t="s">
        <v>493</v>
      </c>
      <c r="M17" s="583"/>
      <c r="N17" s="583"/>
      <c r="O17" s="584"/>
      <c r="P17" s="572" t="str">
        <f ca="1">Recap_equipements!F82</f>
        <v/>
      </c>
      <c r="Q17" s="573"/>
      <c r="R17" s="370"/>
      <c r="S17" s="370"/>
      <c r="T17" s="699" t="s">
        <v>493</v>
      </c>
      <c r="U17" s="700"/>
      <c r="V17" s="700"/>
      <c r="W17" s="700"/>
      <c r="X17" s="701"/>
      <c r="Y17" s="409" t="str">
        <f ca="1">Recap_equipements!F94</f>
        <v/>
      </c>
      <c r="Z17" s="365"/>
      <c r="AA17" s="362"/>
      <c r="AB17" s="327"/>
    </row>
    <row r="18" spans="2:28" ht="20.100000000000001" customHeight="1" outlineLevel="1" x14ac:dyDescent="0.4">
      <c r="B18" s="332"/>
      <c r="C18" s="361"/>
      <c r="D18" s="598"/>
      <c r="E18" s="599"/>
      <c r="F18" s="333"/>
      <c r="G18" s="585" t="s">
        <v>320</v>
      </c>
      <c r="H18" s="586"/>
      <c r="I18" s="587"/>
      <c r="J18" s="406" t="str">
        <f ca="1">IF(Recap_equipements!F71&lt;&gt;"",Recap_equipements!F71,"")</f>
        <v/>
      </c>
      <c r="K18" s="370"/>
      <c r="L18" s="585" t="s">
        <v>320</v>
      </c>
      <c r="M18" s="586"/>
      <c r="N18" s="586"/>
      <c r="O18" s="587"/>
      <c r="P18" s="547" t="str">
        <f ca="1">Recap_equipements!F83</f>
        <v/>
      </c>
      <c r="Q18" s="574"/>
      <c r="R18" s="370"/>
      <c r="S18" s="370"/>
      <c r="T18" s="702" t="s">
        <v>320</v>
      </c>
      <c r="U18" s="703"/>
      <c r="V18" s="703"/>
      <c r="W18" s="703"/>
      <c r="X18" s="704"/>
      <c r="Y18" s="410" t="str">
        <f ca="1">Recap_equipements!F95</f>
        <v/>
      </c>
      <c r="Z18" s="365"/>
      <c r="AA18" s="362"/>
      <c r="AB18" s="327"/>
    </row>
    <row r="19" spans="2:28" ht="20.100000000000001" customHeight="1" outlineLevel="1" thickBot="1" x14ac:dyDescent="0.45">
      <c r="B19" s="332"/>
      <c r="C19" s="361"/>
      <c r="D19" s="598"/>
      <c r="E19" s="599"/>
      <c r="F19" s="333"/>
      <c r="G19" s="588" t="s">
        <v>482</v>
      </c>
      <c r="H19" s="589"/>
      <c r="I19" s="590"/>
      <c r="J19" s="401" t="str">
        <f ca="1">IF(Recap_equipements!F72&lt;&gt;"",Recap_equipements!F72,"")</f>
        <v/>
      </c>
      <c r="K19" s="370"/>
      <c r="L19" s="588" t="s">
        <v>482</v>
      </c>
      <c r="M19" s="589"/>
      <c r="N19" s="589"/>
      <c r="O19" s="590"/>
      <c r="P19" s="604" t="str">
        <f ca="1">Recap_equipements!F84</f>
        <v/>
      </c>
      <c r="Q19" s="605"/>
      <c r="R19" s="370"/>
      <c r="S19" s="370"/>
      <c r="T19" s="705" t="s">
        <v>482</v>
      </c>
      <c r="U19" s="706"/>
      <c r="V19" s="706"/>
      <c r="W19" s="706"/>
      <c r="X19" s="707"/>
      <c r="Y19" s="411" t="str">
        <f ca="1">Recap_equipements!F96</f>
        <v/>
      </c>
      <c r="Z19" s="365"/>
      <c r="AA19" s="362"/>
      <c r="AB19" s="327"/>
    </row>
    <row r="20" spans="2:28" ht="20.100000000000001" customHeight="1" outlineLevel="1" x14ac:dyDescent="0.4">
      <c r="B20" s="332"/>
      <c r="C20" s="361"/>
      <c r="D20" s="598"/>
      <c r="E20" s="599"/>
      <c r="F20" s="333"/>
      <c r="G20" s="370"/>
      <c r="H20" s="370"/>
      <c r="I20" s="370"/>
      <c r="J20" s="370"/>
      <c r="K20" s="370"/>
      <c r="L20" s="370"/>
      <c r="M20" s="370"/>
      <c r="N20" s="370"/>
      <c r="O20" s="370"/>
      <c r="P20" s="370"/>
      <c r="Q20" s="370"/>
      <c r="R20" s="370"/>
      <c r="S20" s="370"/>
      <c r="T20" s="370"/>
      <c r="U20" s="370"/>
      <c r="V20" s="370"/>
      <c r="W20" s="370"/>
      <c r="X20" s="370"/>
      <c r="Y20" s="370"/>
      <c r="Z20" s="365"/>
      <c r="AA20" s="362"/>
      <c r="AB20" s="327"/>
    </row>
    <row r="21" spans="2:28" ht="20.100000000000001" customHeight="1" outlineLevel="1" thickBot="1" x14ac:dyDescent="0.45">
      <c r="B21" s="332"/>
      <c r="C21" s="361"/>
      <c r="D21" s="600"/>
      <c r="E21" s="601"/>
      <c r="F21" s="367"/>
      <c r="G21" s="367"/>
      <c r="H21" s="549" t="s">
        <v>106</v>
      </c>
      <c r="I21" s="549"/>
      <c r="J21" s="367"/>
      <c r="K21" s="550" t="s">
        <v>115</v>
      </c>
      <c r="L21" s="550"/>
      <c r="M21" s="367"/>
      <c r="N21" s="367"/>
      <c r="O21" s="551" t="s">
        <v>67</v>
      </c>
      <c r="P21" s="551"/>
      <c r="Q21" s="551"/>
      <c r="R21" s="367"/>
      <c r="S21" s="367"/>
      <c r="T21" s="367"/>
      <c r="U21" s="367"/>
      <c r="V21" s="367"/>
      <c r="W21" s="367"/>
      <c r="X21" s="367"/>
      <c r="Y21" s="367"/>
      <c r="Z21" s="366"/>
      <c r="AA21" s="362"/>
      <c r="AB21" s="327"/>
    </row>
    <row r="22" spans="2:28" ht="20.100000000000001" customHeight="1" outlineLevel="1" thickBot="1" x14ac:dyDescent="0.45">
      <c r="B22" s="332"/>
      <c r="C22" s="361"/>
      <c r="D22" s="333"/>
      <c r="E22" s="333"/>
      <c r="F22" s="333"/>
      <c r="G22" s="333"/>
      <c r="H22" s="333"/>
      <c r="I22" s="333"/>
      <c r="J22" s="333"/>
      <c r="K22" s="333"/>
      <c r="L22" s="333"/>
      <c r="M22" s="333"/>
      <c r="N22" s="333"/>
      <c r="O22" s="333"/>
      <c r="P22" s="333"/>
      <c r="Q22" s="333"/>
      <c r="R22" s="333"/>
      <c r="S22" s="333"/>
      <c r="T22" s="333"/>
      <c r="U22" s="333"/>
      <c r="V22" s="333"/>
      <c r="W22" s="333"/>
      <c r="X22" s="333"/>
      <c r="Y22" s="333"/>
      <c r="Z22" s="333"/>
      <c r="AA22" s="362"/>
      <c r="AB22" s="327"/>
    </row>
    <row r="23" spans="2:28" ht="20.100000000000001" customHeight="1" outlineLevel="1" x14ac:dyDescent="0.55000000000000004">
      <c r="B23" s="332"/>
      <c r="C23" s="361"/>
      <c r="D23" s="596" t="s">
        <v>0</v>
      </c>
      <c r="E23" s="597"/>
      <c r="F23" s="368"/>
      <c r="G23" s="368"/>
      <c r="H23" s="368"/>
      <c r="I23" s="368"/>
      <c r="J23" s="368"/>
      <c r="K23" s="368"/>
      <c r="L23" s="368"/>
      <c r="M23" s="368"/>
      <c r="N23" s="368"/>
      <c r="O23" s="436" t="s">
        <v>462</v>
      </c>
      <c r="P23" s="436"/>
      <c r="Q23" s="436"/>
      <c r="R23" s="437"/>
      <c r="S23" s="437"/>
      <c r="T23" s="437"/>
      <c r="U23" s="437"/>
      <c r="V23" s="437"/>
      <c r="W23" s="437"/>
      <c r="X23" s="437"/>
      <c r="Y23" s="437"/>
      <c r="Z23" s="364"/>
      <c r="AA23" s="362"/>
      <c r="AB23" s="327"/>
    </row>
    <row r="24" spans="2:28" ht="20.100000000000001" customHeight="1" outlineLevel="1" x14ac:dyDescent="0.4">
      <c r="B24" s="332"/>
      <c r="C24" s="361"/>
      <c r="D24" s="598"/>
      <c r="E24" s="599"/>
      <c r="F24" s="333"/>
      <c r="G24" s="602" t="s">
        <v>556</v>
      </c>
      <c r="H24" s="603"/>
      <c r="I24" s="603"/>
      <c r="J24" s="603"/>
      <c r="K24" s="444" t="str">
        <f>IF(Qualité!L10&lt;&gt;"",Qualité!L10,"Non contrôlé")</f>
        <v>Oui</v>
      </c>
      <c r="L24" s="571" t="s">
        <v>501</v>
      </c>
      <c r="M24" s="571"/>
      <c r="N24" s="571"/>
      <c r="O24" s="614" t="str">
        <f>IF(Qualité!M10&lt;&gt;"",Qualité!M10,"")</f>
        <v/>
      </c>
      <c r="P24" s="615"/>
      <c r="Q24" s="615"/>
      <c r="R24" s="615"/>
      <c r="S24" s="615"/>
      <c r="T24" s="615"/>
      <c r="U24" s="615"/>
      <c r="V24" s="615"/>
      <c r="W24" s="615"/>
      <c r="X24" s="615"/>
      <c r="Y24" s="616"/>
      <c r="Z24" s="365"/>
      <c r="AA24" s="362"/>
      <c r="AB24" s="327"/>
    </row>
    <row r="25" spans="2:28" ht="20.100000000000001" customHeight="1" outlineLevel="1" x14ac:dyDescent="0.4">
      <c r="B25" s="332"/>
      <c r="C25" s="361"/>
      <c r="D25" s="598"/>
      <c r="E25" s="599"/>
      <c r="F25" s="333"/>
      <c r="G25" s="602" t="s">
        <v>557</v>
      </c>
      <c r="H25" s="603"/>
      <c r="I25" s="603"/>
      <c r="J25" s="603"/>
      <c r="K25" s="445" t="str">
        <f>IF(Qualité!L29&lt;&gt;"",Qualité!L29,"Non contrôlé")</f>
        <v>Non</v>
      </c>
      <c r="L25" s="633">
        <f>IF(Qualité!L29="Non",0.9,1)</f>
        <v>0.9</v>
      </c>
      <c r="M25" s="633"/>
      <c r="N25" s="633"/>
      <c r="O25" s="617" t="str">
        <f>IF(Qualité!D32&lt;&gt;"",Qualité!D32,"")</f>
        <v>Le système Qualité mis en œuvre est performant.</v>
      </c>
      <c r="P25" s="618"/>
      <c r="Q25" s="618"/>
      <c r="R25" s="618"/>
      <c r="S25" s="618"/>
      <c r="T25" s="618"/>
      <c r="U25" s="618"/>
      <c r="V25" s="618"/>
      <c r="W25" s="618"/>
      <c r="X25" s="618"/>
      <c r="Y25" s="619"/>
      <c r="Z25" s="365"/>
      <c r="AA25" s="362"/>
      <c r="AB25" s="327"/>
    </row>
    <row r="26" spans="2:28" ht="20.100000000000001" customHeight="1" outlineLevel="1" thickBot="1" x14ac:dyDescent="0.45">
      <c r="B26" s="332"/>
      <c r="C26" s="361"/>
      <c r="D26" s="600"/>
      <c r="E26" s="601"/>
      <c r="F26" s="367"/>
      <c r="G26" s="367"/>
      <c r="H26" s="367"/>
      <c r="I26" s="367"/>
      <c r="J26" s="367"/>
      <c r="K26" s="367"/>
      <c r="L26" s="367"/>
      <c r="M26" s="367"/>
      <c r="N26" s="367"/>
      <c r="O26" s="367"/>
      <c r="P26" s="367"/>
      <c r="Q26" s="367"/>
      <c r="R26" s="367"/>
      <c r="S26" s="367"/>
      <c r="T26" s="367"/>
      <c r="U26" s="367"/>
      <c r="V26" s="367"/>
      <c r="W26" s="367"/>
      <c r="X26" s="367"/>
      <c r="Y26" s="367"/>
      <c r="Z26" s="366"/>
      <c r="AA26" s="362"/>
      <c r="AB26" s="327"/>
    </row>
    <row r="27" spans="2:28" ht="20.100000000000001" customHeight="1" outlineLevel="1" thickBot="1" x14ac:dyDescent="0.45">
      <c r="B27" s="332"/>
      <c r="C27" s="361"/>
      <c r="D27" s="333"/>
      <c r="E27" s="333"/>
      <c r="F27" s="333"/>
      <c r="G27" s="333"/>
      <c r="H27" s="333"/>
      <c r="I27" s="333"/>
      <c r="J27" s="333"/>
      <c r="K27" s="333"/>
      <c r="L27" s="333"/>
      <c r="M27" s="333"/>
      <c r="N27" s="333"/>
      <c r="O27" s="333"/>
      <c r="P27" s="333"/>
      <c r="Q27" s="333"/>
      <c r="R27" s="333"/>
      <c r="S27" s="333"/>
      <c r="T27" s="333"/>
      <c r="U27" s="333"/>
      <c r="V27" s="333"/>
      <c r="W27" s="333"/>
      <c r="X27" s="333"/>
      <c r="Y27" s="333"/>
      <c r="Z27" s="333"/>
      <c r="AA27" s="362"/>
      <c r="AB27" s="327"/>
    </row>
    <row r="28" spans="2:28" ht="20.100000000000001" customHeight="1" outlineLevel="1" x14ac:dyDescent="0.4">
      <c r="B28" s="332"/>
      <c r="C28" s="361"/>
      <c r="D28" s="596" t="s">
        <v>4</v>
      </c>
      <c r="E28" s="597"/>
      <c r="F28" s="368"/>
      <c r="G28" s="368"/>
      <c r="H28" s="368"/>
      <c r="I28" s="368"/>
      <c r="J28" s="368"/>
      <c r="K28" s="368"/>
      <c r="L28" s="368"/>
      <c r="M28" s="368"/>
      <c r="N28" s="368"/>
      <c r="O28" s="368"/>
      <c r="P28" s="368"/>
      <c r="Q28" s="368"/>
      <c r="R28" s="368"/>
      <c r="S28" s="368"/>
      <c r="T28" s="368"/>
      <c r="U28" s="368"/>
      <c r="V28" s="368"/>
      <c r="W28" s="368"/>
      <c r="X28" s="368"/>
      <c r="Y28" s="368"/>
      <c r="Z28" s="364"/>
      <c r="AA28" s="362"/>
      <c r="AB28" s="327"/>
    </row>
    <row r="29" spans="2:28" ht="20.100000000000001" customHeight="1" outlineLevel="1" x14ac:dyDescent="0.55000000000000004">
      <c r="B29" s="332"/>
      <c r="C29" s="361"/>
      <c r="D29" s="598"/>
      <c r="E29" s="599"/>
      <c r="F29" s="333"/>
      <c r="G29" s="333"/>
      <c r="H29" s="333"/>
      <c r="I29" s="333"/>
      <c r="J29" s="333"/>
      <c r="K29" s="608" t="s">
        <v>520</v>
      </c>
      <c r="L29" s="609"/>
      <c r="M29" s="418"/>
      <c r="N29" s="333"/>
      <c r="O29" s="434" t="s">
        <v>462</v>
      </c>
      <c r="P29" s="435"/>
      <c r="Q29" s="435"/>
      <c r="R29" s="435"/>
      <c r="S29" s="435"/>
      <c r="T29" s="435"/>
      <c r="U29" s="435"/>
      <c r="V29" s="435"/>
      <c r="W29" s="435"/>
      <c r="X29" s="435"/>
      <c r="Y29" s="435"/>
      <c r="Z29" s="365"/>
      <c r="AA29" s="362"/>
      <c r="AB29" s="327"/>
    </row>
    <row r="30" spans="2:28" ht="20.100000000000001" customHeight="1" outlineLevel="1" x14ac:dyDescent="0.4">
      <c r="B30" s="332"/>
      <c r="C30" s="361"/>
      <c r="D30" s="598"/>
      <c r="E30" s="599"/>
      <c r="F30" s="333"/>
      <c r="G30" s="620" t="s">
        <v>6</v>
      </c>
      <c r="H30" s="621"/>
      <c r="I30" s="622" t="s">
        <v>467</v>
      </c>
      <c r="J30" s="623"/>
      <c r="K30" s="606">
        <f>IF(Analytique!N11&lt;&gt;"",Analytique!N11,"")</f>
        <v>0</v>
      </c>
      <c r="L30" s="607"/>
      <c r="M30" s="418"/>
      <c r="N30" s="333"/>
      <c r="O30" s="624" t="str">
        <f>IF(Analytique!D17&lt;&gt;"",Analytique!D17,"")</f>
        <v/>
      </c>
      <c r="P30" s="625"/>
      <c r="Q30" s="625"/>
      <c r="R30" s="625"/>
      <c r="S30" s="625"/>
      <c r="T30" s="625"/>
      <c r="U30" s="625"/>
      <c r="V30" s="625"/>
      <c r="W30" s="625"/>
      <c r="X30" s="625"/>
      <c r="Y30" s="626"/>
      <c r="Z30" s="365"/>
      <c r="AA30" s="362"/>
      <c r="AB30" s="327"/>
    </row>
    <row r="31" spans="2:28" ht="20.100000000000001" customHeight="1" outlineLevel="1" x14ac:dyDescent="0.4">
      <c r="B31" s="332"/>
      <c r="C31" s="361"/>
      <c r="D31" s="598"/>
      <c r="E31" s="599"/>
      <c r="F31" s="333"/>
      <c r="G31" s="634" t="s">
        <v>463</v>
      </c>
      <c r="H31" s="635"/>
      <c r="I31" s="612" t="s">
        <v>464</v>
      </c>
      <c r="J31" s="613"/>
      <c r="K31" s="606">
        <f>IF(Analytique!N12&lt;&gt;"",Analytique!N12,"")</f>
        <v>0</v>
      </c>
      <c r="L31" s="607"/>
      <c r="M31" s="333"/>
      <c r="N31" s="333"/>
      <c r="O31" s="627"/>
      <c r="P31" s="628"/>
      <c r="Q31" s="628"/>
      <c r="R31" s="628"/>
      <c r="S31" s="628"/>
      <c r="T31" s="628"/>
      <c r="U31" s="628"/>
      <c r="V31" s="628"/>
      <c r="W31" s="628"/>
      <c r="X31" s="628"/>
      <c r="Y31" s="629"/>
      <c r="Z31" s="365"/>
      <c r="AA31" s="362"/>
      <c r="AB31" s="327"/>
    </row>
    <row r="32" spans="2:28" ht="20.100000000000001" customHeight="1" outlineLevel="1" x14ac:dyDescent="0.4">
      <c r="B32" s="332"/>
      <c r="C32" s="361"/>
      <c r="D32" s="598"/>
      <c r="E32" s="599"/>
      <c r="F32" s="333"/>
      <c r="G32" s="636"/>
      <c r="H32" s="637"/>
      <c r="I32" s="610" t="s">
        <v>465</v>
      </c>
      <c r="J32" s="611"/>
      <c r="K32" s="606">
        <f>IF(Analytique!N13&lt;&gt;"",Analytique!N13,"")</f>
        <v>0</v>
      </c>
      <c r="L32" s="607"/>
      <c r="M32" s="333"/>
      <c r="N32" s="333"/>
      <c r="O32" s="627"/>
      <c r="P32" s="628"/>
      <c r="Q32" s="628"/>
      <c r="R32" s="628"/>
      <c r="S32" s="628"/>
      <c r="T32" s="628"/>
      <c r="U32" s="628"/>
      <c r="V32" s="628"/>
      <c r="W32" s="628"/>
      <c r="X32" s="628"/>
      <c r="Y32" s="629"/>
      <c r="Z32" s="365"/>
      <c r="AA32" s="362"/>
      <c r="AB32" s="327"/>
    </row>
    <row r="33" spans="2:28" ht="20.100000000000001" customHeight="1" outlineLevel="1" x14ac:dyDescent="0.4">
      <c r="B33" s="332"/>
      <c r="C33" s="361"/>
      <c r="D33" s="598"/>
      <c r="E33" s="599"/>
      <c r="F33" s="333"/>
      <c r="G33" s="636"/>
      <c r="H33" s="637"/>
      <c r="I33" s="610" t="s">
        <v>466</v>
      </c>
      <c r="J33" s="611"/>
      <c r="K33" s="606">
        <f>IF(Analytique!N14&lt;&gt;"",Analytique!N14,"")</f>
        <v>0</v>
      </c>
      <c r="L33" s="607"/>
      <c r="M33" s="333"/>
      <c r="N33" s="333"/>
      <c r="O33" s="630"/>
      <c r="P33" s="631"/>
      <c r="Q33" s="631"/>
      <c r="R33" s="631"/>
      <c r="S33" s="631"/>
      <c r="T33" s="631"/>
      <c r="U33" s="631"/>
      <c r="V33" s="631"/>
      <c r="W33" s="631"/>
      <c r="X33" s="631"/>
      <c r="Y33" s="632"/>
      <c r="Z33" s="365"/>
      <c r="AA33" s="362"/>
      <c r="AB33" s="327"/>
    </row>
    <row r="34" spans="2:28" ht="20.100000000000001" customHeight="1" outlineLevel="1" x14ac:dyDescent="0.4">
      <c r="B34" s="332"/>
      <c r="C34" s="361"/>
      <c r="D34" s="598"/>
      <c r="E34" s="599"/>
      <c r="F34" s="333"/>
      <c r="G34" s="636"/>
      <c r="H34" s="637"/>
      <c r="I34" s="638" t="s">
        <v>543</v>
      </c>
      <c r="J34" s="639"/>
      <c r="K34" s="640">
        <f>IF(Analytique!Q28&lt;&gt;"",Analytique!Q28,"")</f>
        <v>0</v>
      </c>
      <c r="L34" s="641"/>
      <c r="M34" s="333"/>
      <c r="N34" s="333"/>
      <c r="O34" s="624" t="str">
        <f>IF(Analytique!D34&lt;&gt;"",Analytique!D34,"")</f>
        <v/>
      </c>
      <c r="P34" s="625"/>
      <c r="Q34" s="625"/>
      <c r="R34" s="625"/>
      <c r="S34" s="625"/>
      <c r="T34" s="625"/>
      <c r="U34" s="625"/>
      <c r="V34" s="625"/>
      <c r="W34" s="625"/>
      <c r="X34" s="625"/>
      <c r="Y34" s="626"/>
      <c r="Z34" s="365"/>
      <c r="AA34" s="362"/>
      <c r="AB34" s="327"/>
    </row>
    <row r="35" spans="2:28" ht="20.100000000000001" customHeight="1" outlineLevel="1" x14ac:dyDescent="0.4">
      <c r="B35" s="332"/>
      <c r="C35" s="361"/>
      <c r="D35" s="598"/>
      <c r="E35" s="599"/>
      <c r="F35" s="333"/>
      <c r="G35" s="552" t="s">
        <v>521</v>
      </c>
      <c r="H35" s="553"/>
      <c r="I35" s="553"/>
      <c r="J35" s="554"/>
      <c r="K35" s="642">
        <f>IF(Analytique!J31&lt;&gt;"",Analytique!J31,"")</f>
        <v>0</v>
      </c>
      <c r="L35" s="643"/>
      <c r="M35" s="333"/>
      <c r="N35" s="333"/>
      <c r="O35" s="627"/>
      <c r="P35" s="628"/>
      <c r="Q35" s="628"/>
      <c r="R35" s="628"/>
      <c r="S35" s="628"/>
      <c r="T35" s="628"/>
      <c r="U35" s="628"/>
      <c r="V35" s="628"/>
      <c r="W35" s="628"/>
      <c r="X35" s="628"/>
      <c r="Y35" s="629"/>
      <c r="Z35" s="365"/>
      <c r="AA35" s="362"/>
      <c r="AB35" s="327"/>
    </row>
    <row r="36" spans="2:28" ht="20.100000000000001" customHeight="1" outlineLevel="1" x14ac:dyDescent="0.4">
      <c r="B36" s="332"/>
      <c r="C36" s="361"/>
      <c r="D36" s="598"/>
      <c r="E36" s="599"/>
      <c r="F36" s="333"/>
      <c r="G36" s="555"/>
      <c r="H36" s="556"/>
      <c r="I36" s="556"/>
      <c r="J36" s="557"/>
      <c r="K36" s="644"/>
      <c r="L36" s="645"/>
      <c r="M36" s="333"/>
      <c r="N36" s="333"/>
      <c r="O36" s="630"/>
      <c r="P36" s="631"/>
      <c r="Q36" s="631"/>
      <c r="R36" s="631"/>
      <c r="S36" s="631"/>
      <c r="T36" s="631"/>
      <c r="U36" s="631"/>
      <c r="V36" s="631"/>
      <c r="W36" s="631"/>
      <c r="X36" s="631"/>
      <c r="Y36" s="632"/>
      <c r="Z36" s="365"/>
      <c r="AA36" s="362"/>
      <c r="AB36" s="327"/>
    </row>
    <row r="37" spans="2:28" ht="20.100000000000001" customHeight="1" outlineLevel="1" thickBot="1" x14ac:dyDescent="0.45">
      <c r="B37" s="332"/>
      <c r="C37" s="361"/>
      <c r="D37" s="600"/>
      <c r="E37" s="601"/>
      <c r="F37" s="367"/>
      <c r="G37" s="367"/>
      <c r="H37" s="367"/>
      <c r="I37" s="367"/>
      <c r="J37" s="367"/>
      <c r="K37" s="367"/>
      <c r="L37" s="367"/>
      <c r="M37" s="367"/>
      <c r="N37" s="367"/>
      <c r="O37" s="367"/>
      <c r="P37" s="367"/>
      <c r="Q37" s="367"/>
      <c r="R37" s="367"/>
      <c r="S37" s="367"/>
      <c r="T37" s="367"/>
      <c r="U37" s="367"/>
      <c r="V37" s="367"/>
      <c r="W37" s="367"/>
      <c r="X37" s="367"/>
      <c r="Y37" s="353"/>
      <c r="Z37" s="366"/>
      <c r="AA37" s="362"/>
      <c r="AB37" s="327"/>
    </row>
    <row r="38" spans="2:28" ht="20.100000000000001" customHeight="1" outlineLevel="1" thickBot="1" x14ac:dyDescent="0.45">
      <c r="B38" s="332"/>
      <c r="C38" s="361"/>
      <c r="D38" s="333"/>
      <c r="E38" s="333"/>
      <c r="F38" s="333"/>
      <c r="G38" s="333"/>
      <c r="H38" s="333"/>
      <c r="I38" s="333"/>
      <c r="J38" s="333"/>
      <c r="K38" s="333"/>
      <c r="L38" s="333"/>
      <c r="M38" s="333"/>
      <c r="N38" s="333"/>
      <c r="O38" s="333"/>
      <c r="P38" s="333"/>
      <c r="Q38" s="333"/>
      <c r="R38" s="333"/>
      <c r="S38" s="333"/>
      <c r="T38" s="333"/>
      <c r="U38" s="333"/>
      <c r="V38" s="333"/>
      <c r="W38" s="333"/>
      <c r="X38" s="333"/>
      <c r="Y38" s="312"/>
      <c r="Z38" s="333"/>
      <c r="AA38" s="362"/>
      <c r="AB38" s="327"/>
    </row>
    <row r="39" spans="2:28" ht="20.100000000000001" customHeight="1" outlineLevel="1" x14ac:dyDescent="0.4">
      <c r="B39" s="332"/>
      <c r="C39" s="361"/>
      <c r="D39" s="596" t="s">
        <v>15</v>
      </c>
      <c r="E39" s="597"/>
      <c r="F39" s="368"/>
      <c r="G39" s="368"/>
      <c r="H39" s="368"/>
      <c r="I39" s="368"/>
      <c r="J39" s="368"/>
      <c r="K39" s="368"/>
      <c r="L39" s="368"/>
      <c r="M39" s="368"/>
      <c r="N39" s="368"/>
      <c r="O39" s="368"/>
      <c r="P39" s="368"/>
      <c r="Q39" s="368"/>
      <c r="R39" s="368"/>
      <c r="S39" s="368"/>
      <c r="T39" s="368"/>
      <c r="U39" s="368"/>
      <c r="V39" s="368"/>
      <c r="W39" s="368"/>
      <c r="X39" s="368"/>
      <c r="Y39" s="352"/>
      <c r="Z39" s="364"/>
      <c r="AA39" s="362"/>
      <c r="AB39" s="327"/>
    </row>
    <row r="40" spans="2:28" ht="20.100000000000001" customHeight="1" outlineLevel="1" x14ac:dyDescent="0.4">
      <c r="B40" s="332"/>
      <c r="C40" s="361"/>
      <c r="D40" s="598"/>
      <c r="E40" s="599"/>
      <c r="F40" s="333"/>
      <c r="G40" s="333"/>
      <c r="H40" s="333"/>
      <c r="I40" s="333"/>
      <c r="J40" s="333"/>
      <c r="K40" s="664" t="s">
        <v>35</v>
      </c>
      <c r="L40" s="664"/>
      <c r="M40" s="664" t="s">
        <v>558</v>
      </c>
      <c r="N40" s="664"/>
      <c r="O40" s="664"/>
      <c r="P40" s="664"/>
      <c r="Q40" s="664"/>
      <c r="R40" s="664"/>
      <c r="S40" s="664"/>
      <c r="T40" s="664"/>
      <c r="U40" s="664"/>
      <c r="V40" s="664"/>
      <c r="W40" s="664"/>
      <c r="X40" s="664"/>
      <c r="Y40" s="664"/>
      <c r="Z40" s="365"/>
      <c r="AA40" s="362"/>
      <c r="AB40" s="327"/>
    </row>
    <row r="41" spans="2:28" ht="20.100000000000001" customHeight="1" outlineLevel="1" x14ac:dyDescent="0.4">
      <c r="B41" s="332"/>
      <c r="C41" s="361"/>
      <c r="D41" s="598"/>
      <c r="E41" s="599"/>
      <c r="F41" s="333"/>
      <c r="G41" s="646" t="s">
        <v>16</v>
      </c>
      <c r="H41" s="647"/>
      <c r="I41" s="648" t="str" cm="1">
        <f t="array" aca="1" ref="I41" ca="1">IFERROR(INDEX(Equipements!$L$16:$L$72,SMALL(IF(Equipements!$J$16:$J$72="Sonde de température",ROW(Equipements!$J$16:$J$72)-ROW(Equipements!$J$16)+1),ROW(1:1))),"")</f>
        <v/>
      </c>
      <c r="J41" s="649"/>
      <c r="K41" s="650" t="str" cm="1">
        <f t="array" aca="1" ref="K41" ca="1">IFERROR(INDEX(Equipements!$P$16:$P$72,SMALL(IF(Equipements!$J$16:$J$72="Sonde de température",ROW(Equipements!$J$16:$J$72)-ROW(Equipements!$J$16)+1),ROW(1:1))),"")</f>
        <v/>
      </c>
      <c r="L41" s="650"/>
      <c r="M41" s="667" t="str" cm="1">
        <f t="array" aca="1" ref="M41" ca="1">IFERROR(INDEX(Equipements!$V$16:$V$72,SMALL(IF(Equipements!$J$16:$J$72="Sonde de température",ROW(Equipements!$J$16:$J$72)-ROW(Equipements!$J$16)+1),ROW(1:1))),"")</f>
        <v/>
      </c>
      <c r="N41" s="667"/>
      <c r="O41" s="667"/>
      <c r="P41" s="667"/>
      <c r="Q41" s="667"/>
      <c r="R41" s="667"/>
      <c r="S41" s="667"/>
      <c r="T41" s="667"/>
      <c r="U41" s="667"/>
      <c r="V41" s="667"/>
      <c r="W41" s="667"/>
      <c r="X41" s="667"/>
      <c r="Y41" s="667"/>
      <c r="Z41" s="365"/>
      <c r="AA41" s="362"/>
      <c r="AB41" s="327"/>
    </row>
    <row r="42" spans="2:28" ht="20.100000000000001" customHeight="1" outlineLevel="1" x14ac:dyDescent="0.4">
      <c r="B42" s="332"/>
      <c r="C42" s="361"/>
      <c r="D42" s="598"/>
      <c r="E42" s="599"/>
      <c r="F42" s="333"/>
      <c r="G42" s="646"/>
      <c r="H42" s="647"/>
      <c r="I42" s="648" t="str" cm="1">
        <f t="array" aca="1" ref="I42" ca="1">IFERROR(INDEX(Equipements!$L$16:$L$72,SMALL(IF(Equipements!$J$16:$J$72="Sonde de température",ROW(Equipements!$J$16:$J$72)-ROW(Equipements!$J$16)+1),ROW(2:2))),"")</f>
        <v/>
      </c>
      <c r="J42" s="649"/>
      <c r="K42" s="650" t="str" cm="1">
        <f t="array" aca="1" ref="K42" ca="1">IFERROR(INDEX(Equipements!$R$16:$R$72,SMALL(IF(Equipements!$J$16:$J$72="Sonde de température",ROW(Equipements!$J$16:$J$72)-ROW(Equipements!$J$16)+1),ROW(2:2))),"")</f>
        <v/>
      </c>
      <c r="L42" s="650"/>
      <c r="M42" s="667" t="str" cm="1">
        <f t="array" aca="1" ref="M42" ca="1">IFERROR(INDEX(Equipements!$V$16:$V$72,SMALL(IF(Equipements!$J$16:$J$72="Sonde de température",ROW(Equipements!$J$16:$J$72)-ROW(Equipements!$J$16)+1),ROW(2:2))),"")</f>
        <v/>
      </c>
      <c r="N42" s="667"/>
      <c r="O42" s="667"/>
      <c r="P42" s="667"/>
      <c r="Q42" s="667"/>
      <c r="R42" s="667"/>
      <c r="S42" s="667"/>
      <c r="T42" s="667"/>
      <c r="U42" s="667"/>
      <c r="V42" s="667"/>
      <c r="W42" s="667"/>
      <c r="X42" s="667"/>
      <c r="Y42" s="667"/>
      <c r="Z42" s="365"/>
      <c r="AA42" s="362"/>
      <c r="AB42" s="327"/>
    </row>
    <row r="43" spans="2:28" ht="20.100000000000001" customHeight="1" outlineLevel="1" x14ac:dyDescent="0.4">
      <c r="B43" s="332"/>
      <c r="C43" s="361"/>
      <c r="D43" s="598"/>
      <c r="E43" s="599"/>
      <c r="F43" s="333"/>
      <c r="G43" s="646"/>
      <c r="H43" s="647"/>
      <c r="I43" s="665" t="str" cm="1">
        <f t="array" aca="1" ref="I43" ca="1">IFERROR(INDEX(Equipements!$L$16:$L$72,SMALL(IF(Equipements!$J$16:$J$72="Sonde de température",ROW(Equipements!$J$16:$J$72)-ROW(Equipements!$J$16)+1),ROW(3:3))),"")</f>
        <v/>
      </c>
      <c r="J43" s="666"/>
      <c r="K43" s="650" t="str" cm="1">
        <f t="array" aca="1" ref="K43" ca="1">IFERROR(INDEX(Equipements!$R$16:$R$72,SMALL(IF(Equipements!$J$16:$J$72="Sonde de température",ROW(Equipements!$J$16:$J$72)-ROW(Equipements!$J$16)+1),ROW(3:3))),"")</f>
        <v/>
      </c>
      <c r="L43" s="650"/>
      <c r="M43" s="667" t="str" cm="1">
        <f t="array" aca="1" ref="M43" ca="1">IFERROR(INDEX(Equipements!$V$16:$V$72,SMALL(IF(Equipements!$J$16:$J$72="Sonde de température",ROW(Equipements!$J$16:$J$72)-ROW(Equipements!$J$16)+1),ROW(3:3))),"")</f>
        <v/>
      </c>
      <c r="N43" s="667"/>
      <c r="O43" s="667"/>
      <c r="P43" s="667"/>
      <c r="Q43" s="667"/>
      <c r="R43" s="667"/>
      <c r="S43" s="667"/>
      <c r="T43" s="667"/>
      <c r="U43" s="667"/>
      <c r="V43" s="667"/>
      <c r="W43" s="667"/>
      <c r="X43" s="667"/>
      <c r="Y43" s="667"/>
      <c r="Z43" s="365"/>
      <c r="AA43" s="362"/>
      <c r="AB43" s="327"/>
    </row>
    <row r="44" spans="2:28" ht="20.100000000000001" customHeight="1" outlineLevel="1" x14ac:dyDescent="0.4">
      <c r="B44" s="332"/>
      <c r="C44" s="361"/>
      <c r="D44" s="598"/>
      <c r="E44" s="599"/>
      <c r="F44" s="333"/>
      <c r="G44" s="333"/>
      <c r="H44" s="333"/>
      <c r="I44" s="333"/>
      <c r="J44" s="333"/>
      <c r="K44" s="333"/>
      <c r="L44" s="333"/>
      <c r="M44" s="333"/>
      <c r="N44" s="333"/>
      <c r="O44" s="333"/>
      <c r="P44" s="371"/>
      <c r="Q44" s="371"/>
      <c r="R44" s="371"/>
      <c r="S44" s="371"/>
      <c r="T44" s="372"/>
      <c r="U44" s="372"/>
      <c r="V44" s="372"/>
      <c r="W44" s="372"/>
      <c r="X44" s="370"/>
      <c r="Y44" s="370"/>
      <c r="Z44" s="365"/>
      <c r="AA44" s="362"/>
      <c r="AB44" s="327"/>
    </row>
    <row r="45" spans="2:28" ht="20.100000000000001" customHeight="1" outlineLevel="1" x14ac:dyDescent="0.4">
      <c r="B45" s="332"/>
      <c r="C45" s="361"/>
      <c r="D45" s="598"/>
      <c r="E45" s="599"/>
      <c r="F45" s="333"/>
      <c r="G45" s="333"/>
      <c r="H45" s="333"/>
      <c r="I45" s="333"/>
      <c r="J45" s="333"/>
      <c r="K45" s="664" t="s">
        <v>35</v>
      </c>
      <c r="L45" s="664"/>
      <c r="M45" s="664" t="s">
        <v>558</v>
      </c>
      <c r="N45" s="664"/>
      <c r="O45" s="664"/>
      <c r="P45" s="664"/>
      <c r="Q45" s="664"/>
      <c r="R45" s="664"/>
      <c r="S45" s="664"/>
      <c r="T45" s="664"/>
      <c r="U45" s="664"/>
      <c r="V45" s="664"/>
      <c r="W45" s="664"/>
      <c r="X45" s="664"/>
      <c r="Y45" s="664"/>
      <c r="Z45" s="365"/>
      <c r="AA45" s="362"/>
      <c r="AB45" s="327"/>
    </row>
    <row r="46" spans="2:28" ht="20.100000000000001" customHeight="1" outlineLevel="1" x14ac:dyDescent="0.4">
      <c r="B46" s="332"/>
      <c r="C46" s="361"/>
      <c r="D46" s="598"/>
      <c r="E46" s="599"/>
      <c r="F46" s="333"/>
      <c r="G46" s="651" t="s">
        <v>17</v>
      </c>
      <c r="H46" s="652"/>
      <c r="I46" s="657" t="str" cm="1">
        <f t="array" aca="1" ref="I46" ca="1">IFERROR(INDEX(Equipements!$L$16:$L$72,SMALL(IF(Equipements!$J$16:$J$72="Pluviomètre",ROW(Equipements!$J$16:$J$72)-ROW(Equipements!$J$16)+1),ROW(1:1))),"")</f>
        <v/>
      </c>
      <c r="J46" s="658"/>
      <c r="K46" s="650" t="str" cm="1">
        <f t="array" aca="1" ref="K46" ca="1">IFERROR(INDEX(Equipements!$P$16:$P$72,SMALL(IF(Equipements!$J$16:$J$72="Pluviomètre",ROW(Equipements!$J$16:$J$72)-ROW(Equipements!$J$16)+1),ROW(1:1))),"")</f>
        <v/>
      </c>
      <c r="L46" s="650"/>
      <c r="M46" s="667" t="str" cm="1">
        <f t="array" aca="1" ref="M46" ca="1">IFERROR(INDEX(Equipements!$V$16:$V$72,SMALL(IF(Equipements!$J$16:$J$72="Pluviomètre",ROW(Equipements!$J$16:$J$72)-ROW(Equipements!$J$16)+1),ROW(1:1))),"")</f>
        <v/>
      </c>
      <c r="N46" s="667"/>
      <c r="O46" s="667"/>
      <c r="P46" s="667"/>
      <c r="Q46" s="667"/>
      <c r="R46" s="667"/>
      <c r="S46" s="667"/>
      <c r="T46" s="667"/>
      <c r="U46" s="667"/>
      <c r="V46" s="667"/>
      <c r="W46" s="667"/>
      <c r="X46" s="667"/>
      <c r="Y46" s="667"/>
      <c r="Z46" s="365"/>
      <c r="AA46" s="362"/>
      <c r="AB46" s="327"/>
    </row>
    <row r="47" spans="2:28" ht="20.100000000000001" customHeight="1" outlineLevel="1" x14ac:dyDescent="0.4">
      <c r="B47" s="332"/>
      <c r="C47" s="361"/>
      <c r="D47" s="598"/>
      <c r="E47" s="599"/>
      <c r="F47" s="333"/>
      <c r="G47" s="653"/>
      <c r="H47" s="654"/>
      <c r="I47" s="657" t="str" cm="1">
        <f t="array" aca="1" ref="I47" ca="1">IFERROR(INDEX(Equipements!$L$16:$L$72,SMALL(IF(Equipements!$J$16:$J$72="Pluviomètre",ROW(Equipements!$J$16:$J$72)-ROW(Equipements!$J$16)+1),ROW(2:2))),"")</f>
        <v/>
      </c>
      <c r="J47" s="658"/>
      <c r="K47" s="650" t="str" cm="1">
        <f t="array" aca="1" ref="K47" ca="1">IFERROR(INDEX(Equipements!$P$16:$P$72,SMALL(IF(Equipements!$J$16:$J$72="Pluviomètre",ROW(Equipements!$J$16:$J$72)-ROW(Equipements!$J$16)+1),ROW(2:2))),"")</f>
        <v/>
      </c>
      <c r="L47" s="650"/>
      <c r="M47" s="667" t="str" cm="1">
        <f t="array" aca="1" ref="M47" ca="1">IFERROR(INDEX(Equipements!$V$16:$V$72,SMALL(IF(Equipements!$J$16:$J$72="Pluviomètre",ROW(Equipements!$J$16:$J$72)-ROW(Equipements!$J$16)+1),ROW(2:2))),"")</f>
        <v/>
      </c>
      <c r="N47" s="667"/>
      <c r="O47" s="667"/>
      <c r="P47" s="667"/>
      <c r="Q47" s="667"/>
      <c r="R47" s="667"/>
      <c r="S47" s="667"/>
      <c r="T47" s="667"/>
      <c r="U47" s="667"/>
      <c r="V47" s="667"/>
      <c r="W47" s="667"/>
      <c r="X47" s="667"/>
      <c r="Y47" s="667"/>
      <c r="Z47" s="365"/>
      <c r="AA47" s="362"/>
      <c r="AB47" s="327"/>
    </row>
    <row r="48" spans="2:28" ht="20.100000000000001" customHeight="1" outlineLevel="1" x14ac:dyDescent="0.4">
      <c r="B48" s="332"/>
      <c r="C48" s="361"/>
      <c r="D48" s="598"/>
      <c r="E48" s="599"/>
      <c r="F48" s="333"/>
      <c r="G48" s="655"/>
      <c r="H48" s="656"/>
      <c r="I48" s="657" t="str" cm="1">
        <f t="array" aca="1" ref="I48" ca="1">IFERROR(INDEX(Equipements!$L$16:$L$72,SMALL(IF(Equipements!$J$16:$J$72="Pluviomètre",ROW(Equipements!$J$16:$J$72)-ROW(Equipements!$J$16)+1),ROW(3:3))),"")</f>
        <v/>
      </c>
      <c r="J48" s="658"/>
      <c r="K48" s="650" t="str" cm="1">
        <f t="array" aca="1" ref="K48" ca="1">IFERROR(INDEX(Equipements!$P$16:$P$72,SMALL(IF(Equipements!$J$16:$J$72="Pluviomètre",ROW(Equipements!$J$16:$J$72)-ROW(Equipements!$J$16)+1),ROW(3:3))),"")</f>
        <v/>
      </c>
      <c r="L48" s="650"/>
      <c r="M48" s="667" t="str" cm="1">
        <f t="array" aca="1" ref="M48" ca="1">IFERROR(INDEX(Equipements!$V$16:$V$72,SMALL(IF(Equipements!$J$16:$J$72="Pluviomètre",ROW(Equipements!$J$16:$J$72)-ROW(Equipements!$J$16)+1),ROW(3:3))),"")</f>
        <v/>
      </c>
      <c r="N48" s="667"/>
      <c r="O48" s="667"/>
      <c r="P48" s="667"/>
      <c r="Q48" s="667"/>
      <c r="R48" s="667"/>
      <c r="S48" s="667"/>
      <c r="T48" s="667"/>
      <c r="U48" s="667"/>
      <c r="V48" s="667"/>
      <c r="W48" s="667"/>
      <c r="X48" s="667"/>
      <c r="Y48" s="667"/>
      <c r="Z48" s="365"/>
      <c r="AA48" s="362"/>
      <c r="AB48" s="327"/>
    </row>
    <row r="49" spans="2:28" ht="20.100000000000001" customHeight="1" outlineLevel="1" thickBot="1" x14ac:dyDescent="0.45">
      <c r="B49" s="332"/>
      <c r="C49" s="361"/>
      <c r="D49" s="600"/>
      <c r="E49" s="601"/>
      <c r="F49" s="367"/>
      <c r="G49" s="367"/>
      <c r="H49" s="367"/>
      <c r="I49" s="367"/>
      <c r="J49" s="367"/>
      <c r="K49" s="367"/>
      <c r="L49" s="367"/>
      <c r="M49" s="367"/>
      <c r="N49" s="367"/>
      <c r="O49" s="367"/>
      <c r="P49" s="367"/>
      <c r="Q49" s="367"/>
      <c r="R49" s="367"/>
      <c r="S49" s="367"/>
      <c r="T49" s="367"/>
      <c r="U49" s="367"/>
      <c r="V49" s="367"/>
      <c r="W49" s="367"/>
      <c r="X49" s="367"/>
      <c r="Y49" s="367"/>
      <c r="Z49" s="366"/>
      <c r="AA49" s="362"/>
      <c r="AB49" s="327"/>
    </row>
    <row r="50" spans="2:28" ht="20.100000000000001" customHeight="1" outlineLevel="1" thickBot="1" x14ac:dyDescent="0.45">
      <c r="B50" s="332"/>
      <c r="C50" s="361"/>
      <c r="D50" s="373"/>
      <c r="E50" s="373"/>
      <c r="F50" s="333"/>
      <c r="G50" s="333"/>
      <c r="H50" s="333"/>
      <c r="I50" s="333"/>
      <c r="J50" s="333"/>
      <c r="K50" s="333"/>
      <c r="L50" s="333"/>
      <c r="M50" s="333"/>
      <c r="N50" s="333"/>
      <c r="O50" s="333"/>
      <c r="P50" s="333"/>
      <c r="Q50" s="333"/>
      <c r="R50" s="333"/>
      <c r="S50" s="333"/>
      <c r="T50" s="333"/>
      <c r="U50" s="333"/>
      <c r="V50" s="333"/>
      <c r="W50" s="333"/>
      <c r="X50" s="333"/>
      <c r="Y50" s="333"/>
      <c r="Z50" s="333"/>
      <c r="AA50" s="362"/>
      <c r="AB50" s="327"/>
    </row>
    <row r="51" spans="2:28" ht="20.100000000000001" customHeight="1" outlineLevel="1" x14ac:dyDescent="0.4">
      <c r="B51" s="332"/>
      <c r="C51" s="361"/>
      <c r="D51" s="596" t="s">
        <v>18</v>
      </c>
      <c r="E51" s="597"/>
      <c r="F51" s="671"/>
      <c r="G51" s="672"/>
      <c r="H51" s="672"/>
      <c r="I51" s="672"/>
      <c r="J51" s="672"/>
      <c r="K51" s="672"/>
      <c r="L51" s="672"/>
      <c r="M51" s="672"/>
      <c r="N51" s="672"/>
      <c r="O51" s="672"/>
      <c r="P51" s="672"/>
      <c r="Q51" s="672"/>
      <c r="R51" s="672"/>
      <c r="S51" s="672"/>
      <c r="T51" s="672"/>
      <c r="U51" s="672"/>
      <c r="V51" s="672"/>
      <c r="W51" s="672"/>
      <c r="X51" s="672"/>
      <c r="Y51" s="672"/>
      <c r="Z51" s="673"/>
      <c r="AA51" s="351"/>
      <c r="AB51" s="327"/>
    </row>
    <row r="52" spans="2:28" ht="20.100000000000001" customHeight="1" outlineLevel="1" x14ac:dyDescent="0.4">
      <c r="B52" s="332"/>
      <c r="C52" s="361"/>
      <c r="D52" s="598"/>
      <c r="E52" s="599"/>
      <c r="F52" s="674"/>
      <c r="G52" s="675"/>
      <c r="H52" s="675"/>
      <c r="I52" s="675"/>
      <c r="J52" s="675"/>
      <c r="K52" s="675"/>
      <c r="L52" s="675"/>
      <c r="M52" s="675"/>
      <c r="N52" s="675"/>
      <c r="O52" s="675"/>
      <c r="P52" s="675"/>
      <c r="Q52" s="675"/>
      <c r="R52" s="675"/>
      <c r="S52" s="675"/>
      <c r="T52" s="675"/>
      <c r="U52" s="675"/>
      <c r="V52" s="675"/>
      <c r="W52" s="675"/>
      <c r="X52" s="675"/>
      <c r="Y52" s="675"/>
      <c r="Z52" s="676"/>
      <c r="AA52" s="362"/>
      <c r="AB52" s="327"/>
    </row>
    <row r="53" spans="2:28" ht="20.100000000000001" customHeight="1" outlineLevel="1" x14ac:dyDescent="0.4">
      <c r="B53" s="332"/>
      <c r="C53" s="361"/>
      <c r="D53" s="598"/>
      <c r="E53" s="599"/>
      <c r="F53" s="674"/>
      <c r="G53" s="675"/>
      <c r="H53" s="675"/>
      <c r="I53" s="675"/>
      <c r="J53" s="675"/>
      <c r="K53" s="675"/>
      <c r="L53" s="675"/>
      <c r="M53" s="675"/>
      <c r="N53" s="675"/>
      <c r="O53" s="675"/>
      <c r="P53" s="675"/>
      <c r="Q53" s="675"/>
      <c r="R53" s="675"/>
      <c r="S53" s="675"/>
      <c r="T53" s="675"/>
      <c r="U53" s="675"/>
      <c r="V53" s="675"/>
      <c r="W53" s="675"/>
      <c r="X53" s="675"/>
      <c r="Y53" s="675"/>
      <c r="Z53" s="676"/>
      <c r="AA53" s="362"/>
      <c r="AB53" s="327"/>
    </row>
    <row r="54" spans="2:28" ht="20.100000000000001" customHeight="1" outlineLevel="1" thickBot="1" x14ac:dyDescent="0.45">
      <c r="B54" s="332"/>
      <c r="C54" s="350"/>
      <c r="D54" s="600"/>
      <c r="E54" s="601"/>
      <c r="F54" s="677"/>
      <c r="G54" s="678"/>
      <c r="H54" s="678"/>
      <c r="I54" s="678"/>
      <c r="J54" s="678"/>
      <c r="K54" s="678"/>
      <c r="L54" s="678"/>
      <c r="M54" s="678"/>
      <c r="N54" s="678"/>
      <c r="O54" s="678"/>
      <c r="P54" s="678"/>
      <c r="Q54" s="678"/>
      <c r="R54" s="678"/>
      <c r="S54" s="678"/>
      <c r="T54" s="678"/>
      <c r="U54" s="678"/>
      <c r="V54" s="678"/>
      <c r="W54" s="678"/>
      <c r="X54" s="678"/>
      <c r="Y54" s="678"/>
      <c r="Z54" s="679"/>
      <c r="AA54" s="362"/>
      <c r="AB54" s="327"/>
    </row>
    <row r="55" spans="2:28" ht="20.100000000000001" customHeight="1" outlineLevel="1" thickBot="1" x14ac:dyDescent="0.45">
      <c r="B55" s="332"/>
      <c r="C55" s="358"/>
      <c r="D55" s="363"/>
      <c r="E55" s="363"/>
      <c r="F55" s="363"/>
      <c r="G55" s="363"/>
      <c r="H55" s="363"/>
      <c r="I55" s="363"/>
      <c r="J55" s="363"/>
      <c r="K55" s="363"/>
      <c r="L55" s="363"/>
      <c r="M55" s="363"/>
      <c r="N55" s="363"/>
      <c r="O55" s="363"/>
      <c r="P55" s="363"/>
      <c r="Q55" s="363"/>
      <c r="R55" s="363"/>
      <c r="S55" s="363"/>
      <c r="T55" s="363"/>
      <c r="U55" s="363"/>
      <c r="V55" s="363"/>
      <c r="W55" s="363"/>
      <c r="X55" s="363"/>
      <c r="Y55" s="363"/>
      <c r="Z55" s="363"/>
      <c r="AA55" s="360"/>
      <c r="AB55" s="327"/>
    </row>
    <row r="56" spans="2:28" ht="9.9499999999999993" customHeight="1" thickTop="1" thickBot="1" x14ac:dyDescent="0.45">
      <c r="B56" s="332"/>
      <c r="C56" s="333"/>
      <c r="D56" s="333"/>
      <c r="E56" s="333"/>
      <c r="F56" s="333"/>
      <c r="G56" s="333"/>
      <c r="H56" s="333"/>
      <c r="I56" s="333"/>
      <c r="J56" s="333"/>
      <c r="K56" s="333"/>
      <c r="L56" s="333"/>
      <c r="M56" s="333"/>
      <c r="N56" s="333"/>
      <c r="O56" s="333"/>
      <c r="P56" s="333"/>
      <c r="Q56" s="333"/>
      <c r="R56" s="333"/>
      <c r="S56" s="333"/>
      <c r="T56" s="333"/>
      <c r="U56" s="333"/>
      <c r="V56" s="333"/>
      <c r="W56" s="333"/>
      <c r="X56" s="333"/>
      <c r="Y56" s="333"/>
      <c r="Z56" s="333"/>
      <c r="AA56" s="333"/>
      <c r="AB56" s="327"/>
    </row>
    <row r="57" spans="2:28" ht="20.100000000000001" customHeight="1" thickTop="1" thickBot="1" x14ac:dyDescent="0.45">
      <c r="B57" s="349"/>
      <c r="C57" s="513" t="s">
        <v>468</v>
      </c>
      <c r="D57" s="514"/>
      <c r="E57" s="514"/>
      <c r="F57" s="514"/>
      <c r="G57" s="514"/>
      <c r="H57" s="514"/>
      <c r="I57" s="514"/>
      <c r="J57" s="514"/>
      <c r="K57" s="514"/>
      <c r="L57" s="514"/>
      <c r="M57" s="514"/>
      <c r="N57" s="514"/>
      <c r="O57" s="514"/>
      <c r="P57" s="514"/>
      <c r="Q57" s="514"/>
      <c r="R57" s="514"/>
      <c r="S57" s="514"/>
      <c r="T57" s="514"/>
      <c r="U57" s="514"/>
      <c r="V57" s="514"/>
      <c r="W57" s="514"/>
      <c r="X57" s="514"/>
      <c r="Y57" s="514"/>
      <c r="Z57" s="514"/>
      <c r="AA57" s="515"/>
      <c r="AB57" s="321"/>
    </row>
    <row r="58" spans="2:28" ht="20.100000000000001" customHeight="1" outlineLevel="1" thickTop="1" x14ac:dyDescent="0.4">
      <c r="B58" s="332"/>
      <c r="C58" s="361"/>
      <c r="D58" s="333"/>
      <c r="E58" s="333"/>
      <c r="F58" s="333"/>
      <c r="G58" s="333"/>
      <c r="H58" s="333"/>
      <c r="I58" s="333"/>
      <c r="J58" s="333"/>
      <c r="K58" s="333"/>
      <c r="L58" s="333"/>
      <c r="M58" s="333"/>
      <c r="N58" s="333"/>
      <c r="O58" s="333"/>
      <c r="P58" s="333"/>
      <c r="Q58" s="333"/>
      <c r="R58" s="333"/>
      <c r="S58" s="333"/>
      <c r="T58" s="333"/>
      <c r="U58" s="333"/>
      <c r="V58" s="333"/>
      <c r="W58" s="333"/>
      <c r="X58" s="333"/>
      <c r="Y58" s="333"/>
      <c r="Z58" s="333"/>
      <c r="AA58" s="362"/>
      <c r="AB58" s="327"/>
    </row>
    <row r="59" spans="2:28" ht="20.100000000000001" customHeight="1" outlineLevel="1" x14ac:dyDescent="0.4">
      <c r="B59" s="332"/>
      <c r="C59" s="361"/>
      <c r="D59" s="668" t="s">
        <v>19</v>
      </c>
      <c r="E59" s="669"/>
      <c r="F59" s="669"/>
      <c r="G59" s="669"/>
      <c r="H59" s="669"/>
      <c r="I59" s="669"/>
      <c r="J59" s="670"/>
      <c r="K59" s="712" t="s">
        <v>469</v>
      </c>
      <c r="L59" s="668" t="s">
        <v>296</v>
      </c>
      <c r="M59" s="669"/>
      <c r="N59" s="669"/>
      <c r="O59" s="669"/>
      <c r="P59" s="669"/>
      <c r="Q59" s="669"/>
      <c r="R59" s="669"/>
      <c r="S59" s="669"/>
      <c r="T59" s="669"/>
      <c r="U59" s="670"/>
      <c r="V59" s="333"/>
      <c r="W59" s="333"/>
      <c r="X59" s="333"/>
      <c r="Y59" s="333"/>
      <c r="Z59" s="333"/>
      <c r="AA59" s="362"/>
      <c r="AB59" s="327"/>
    </row>
    <row r="60" spans="2:28" ht="20.100000000000001" customHeight="1" outlineLevel="1" x14ac:dyDescent="0.4">
      <c r="B60" s="332"/>
      <c r="C60" s="361"/>
      <c r="D60" s="680" t="s">
        <v>21</v>
      </c>
      <c r="E60" s="681"/>
      <c r="F60" s="356" t="s">
        <v>470</v>
      </c>
      <c r="G60" s="450" t="s">
        <v>560</v>
      </c>
      <c r="H60" s="716" t="s">
        <v>471</v>
      </c>
      <c r="I60" s="717"/>
      <c r="J60" s="450" t="s">
        <v>481</v>
      </c>
      <c r="K60" s="713"/>
      <c r="L60" s="446">
        <v>1</v>
      </c>
      <c r="M60" s="356">
        <v>2</v>
      </c>
      <c r="N60" s="356">
        <v>3</v>
      </c>
      <c r="O60" s="356">
        <v>4</v>
      </c>
      <c r="P60" s="356">
        <v>5</v>
      </c>
      <c r="Q60" s="356">
        <v>6</v>
      </c>
      <c r="R60" s="356">
        <v>7</v>
      </c>
      <c r="S60" s="356">
        <v>8</v>
      </c>
      <c r="T60" s="356">
        <v>9</v>
      </c>
      <c r="U60" s="357">
        <v>10</v>
      </c>
      <c r="V60" s="333"/>
      <c r="W60" s="333"/>
      <c r="X60" s="333"/>
      <c r="Y60" s="333"/>
      <c r="Z60" s="333"/>
      <c r="AA60" s="362"/>
      <c r="AB60" s="327"/>
    </row>
    <row r="61" spans="2:28" ht="20.100000000000001" customHeight="1" outlineLevel="1" x14ac:dyDescent="0.4">
      <c r="B61" s="332"/>
      <c r="C61" s="361"/>
      <c r="D61" s="714" t="str">
        <f ca="1">Equipements!H16</f>
        <v/>
      </c>
      <c r="E61" s="715"/>
      <c r="F61" s="354" t="str">
        <f ca="1">Equipements!I16</f>
        <v/>
      </c>
      <c r="G61" s="457" t="str">
        <f ca="1">Equipements!M16</f>
        <v/>
      </c>
      <c r="H61" s="547" t="str">
        <f ca="1">Equipements!J16</f>
        <v/>
      </c>
      <c r="I61" s="548"/>
      <c r="J61" s="451" t="str">
        <f ca="1">Equipements!K16</f>
        <v/>
      </c>
      <c r="K61" s="447" t="str">
        <f ca="1">Equipements!P16</f>
        <v/>
      </c>
      <c r="L61" s="448" t="str">
        <f ca="1">IF(Equipements!Y16&lt;&gt;"",Equipements!AK16,"")</f>
        <v/>
      </c>
      <c r="M61" s="448" t="str">
        <f ca="1">IF(Equipements!Z16&lt;&gt;"",Equipements!AL16,"")</f>
        <v/>
      </c>
      <c r="N61" s="448" t="str">
        <f ca="1">IF(Equipements!AA16&lt;&gt;"",Equipements!AM16,"")</f>
        <v/>
      </c>
      <c r="O61" s="448" t="str">
        <f ca="1">IF(Equipements!AB16&lt;&gt;"",Equipements!AN16,"")</f>
        <v/>
      </c>
      <c r="P61" s="448" t="str">
        <f ca="1">IF(Equipements!AC16&lt;&gt;"",Equipements!AO16,"")</f>
        <v/>
      </c>
      <c r="Q61" s="448" t="str">
        <f ca="1">IF(Equipements!AD16&lt;&gt;"",Equipements!AP16,"")</f>
        <v/>
      </c>
      <c r="R61" s="448" t="str">
        <f ca="1">IF(Equipements!AE16&lt;&gt;"",Equipements!AQ16,"")</f>
        <v/>
      </c>
      <c r="S61" s="448" t="str">
        <f ca="1">IF(Equipements!AF16&lt;&gt;"",Equipements!AR16,"")</f>
        <v/>
      </c>
      <c r="T61" s="448" t="str">
        <f ca="1">IF(Equipements!AG16&lt;&gt;"",Equipements!AS16,"")</f>
        <v/>
      </c>
      <c r="U61" s="458" t="str">
        <f ca="1">IF(Equipements!AH16&lt;&gt;"",Equipements!AT16,"")</f>
        <v/>
      </c>
      <c r="V61" s="333"/>
      <c r="W61" s="333"/>
      <c r="X61" s="333"/>
      <c r="Y61" s="333"/>
      <c r="Z61" s="333"/>
      <c r="AA61" s="362"/>
      <c r="AB61" s="327"/>
    </row>
    <row r="62" spans="2:28" ht="20.100000000000001" customHeight="1" outlineLevel="1" x14ac:dyDescent="0.4">
      <c r="B62" s="332"/>
      <c r="C62" s="361"/>
      <c r="D62" s="545" t="str">
        <f ca="1">Equipements!H17</f>
        <v/>
      </c>
      <c r="E62" s="546"/>
      <c r="F62" s="354" t="str">
        <f ca="1">Equipements!I17</f>
        <v/>
      </c>
      <c r="G62" s="457" t="str">
        <f ca="1">Equipements!M17</f>
        <v/>
      </c>
      <c r="H62" s="547" t="str">
        <f ca="1">Equipements!J17</f>
        <v/>
      </c>
      <c r="I62" s="548"/>
      <c r="J62" s="451" t="str">
        <f ca="1">Equipements!K17</f>
        <v/>
      </c>
      <c r="K62" s="447" t="str">
        <f ca="1">Equipements!P17</f>
        <v/>
      </c>
      <c r="L62" s="448" t="str">
        <f ca="1">IF(Equipements!Y17&lt;&gt;"",Equipements!AK17,"")</f>
        <v/>
      </c>
      <c r="M62" s="448" t="str">
        <f ca="1">IF(Equipements!Z17&lt;&gt;"",Equipements!AL17,"")</f>
        <v/>
      </c>
      <c r="N62" s="448" t="str">
        <f ca="1">IF(Equipements!AA17&lt;&gt;"",Equipements!AM17,"")</f>
        <v/>
      </c>
      <c r="O62" s="448" t="str">
        <f ca="1">IF(Equipements!AB17&lt;&gt;"",Equipements!AN17,"")</f>
        <v/>
      </c>
      <c r="P62" s="448" t="str">
        <f ca="1">IF(Equipements!AC17&lt;&gt;"",Equipements!AO17,"")</f>
        <v/>
      </c>
      <c r="Q62" s="448" t="str">
        <f ca="1">IF(Equipements!AD17&lt;&gt;"",Equipements!AP17,"")</f>
        <v/>
      </c>
      <c r="R62" s="448" t="str">
        <f ca="1">IF(Equipements!AE17&lt;&gt;"",Equipements!AQ17,"")</f>
        <v/>
      </c>
      <c r="S62" s="448" t="str">
        <f ca="1">IF(Equipements!AF17&lt;&gt;"",Equipements!AR17,"")</f>
        <v/>
      </c>
      <c r="T62" s="448" t="str">
        <f ca="1">IF(Equipements!AG17&lt;&gt;"",Equipements!AS17,"")</f>
        <v/>
      </c>
      <c r="U62" s="458" t="str">
        <f ca="1">IF(Equipements!AH17&lt;&gt;"",Equipements!AT17,"")</f>
        <v/>
      </c>
      <c r="V62" s="333"/>
      <c r="W62" s="333"/>
      <c r="X62" s="333"/>
      <c r="Y62" s="333"/>
      <c r="Z62" s="333"/>
      <c r="AA62" s="362"/>
      <c r="AB62" s="327"/>
    </row>
    <row r="63" spans="2:28" ht="20.100000000000001" customHeight="1" outlineLevel="1" x14ac:dyDescent="0.4">
      <c r="B63" s="332"/>
      <c r="C63" s="361"/>
      <c r="D63" s="545" t="str">
        <f ca="1">Equipements!H18</f>
        <v/>
      </c>
      <c r="E63" s="546"/>
      <c r="F63" s="354" t="str">
        <f ca="1">Equipements!I18</f>
        <v/>
      </c>
      <c r="G63" s="457" t="str">
        <f ca="1">Equipements!M18</f>
        <v/>
      </c>
      <c r="H63" s="547" t="str">
        <f ca="1">Equipements!J18</f>
        <v/>
      </c>
      <c r="I63" s="548"/>
      <c r="J63" s="451" t="str">
        <f ca="1">Equipements!K18</f>
        <v/>
      </c>
      <c r="K63" s="447" t="str">
        <f ca="1">Equipements!P18</f>
        <v/>
      </c>
      <c r="L63" s="448" t="str">
        <f ca="1">IF(Equipements!Y18&lt;&gt;"",Equipements!AK18,"")</f>
        <v/>
      </c>
      <c r="M63" s="448" t="str">
        <f ca="1">IF(Equipements!Z18&lt;&gt;"",Equipements!AL18,"")</f>
        <v/>
      </c>
      <c r="N63" s="448" t="str">
        <f ca="1">IF(Equipements!AA18&lt;&gt;"",Equipements!AM18,"")</f>
        <v/>
      </c>
      <c r="O63" s="448" t="str">
        <f ca="1">IF(Equipements!AB18&lt;&gt;"",Equipements!AN18,"")</f>
        <v/>
      </c>
      <c r="P63" s="448" t="str">
        <f ca="1">IF(Equipements!AC18&lt;&gt;"",Equipements!AO18,"")</f>
        <v/>
      </c>
      <c r="Q63" s="448" t="str">
        <f ca="1">IF(Equipements!AD18&lt;&gt;"",Equipements!AP18,"")</f>
        <v/>
      </c>
      <c r="R63" s="448" t="str">
        <f ca="1">IF(Equipements!AE18&lt;&gt;"",Equipements!AQ18,"")</f>
        <v/>
      </c>
      <c r="S63" s="448" t="str">
        <f ca="1">IF(Equipements!AF18&lt;&gt;"",Equipements!AR18,"")</f>
        <v/>
      </c>
      <c r="T63" s="448" t="str">
        <f ca="1">IF(Equipements!AG18&lt;&gt;"",Equipements!AS18,"")</f>
        <v/>
      </c>
      <c r="U63" s="458" t="str">
        <f ca="1">IF(Equipements!AH18&lt;&gt;"",Equipements!AT18,"")</f>
        <v/>
      </c>
      <c r="V63" s="333"/>
      <c r="W63" s="333"/>
      <c r="X63" s="333"/>
      <c r="Y63" s="333"/>
      <c r="Z63" s="333"/>
      <c r="AA63" s="362"/>
      <c r="AB63" s="327"/>
    </row>
    <row r="64" spans="2:28" ht="20.100000000000001" customHeight="1" outlineLevel="1" x14ac:dyDescent="0.4">
      <c r="B64" s="332"/>
      <c r="C64" s="361"/>
      <c r="D64" s="545" t="str">
        <f ca="1">Equipements!H19</f>
        <v/>
      </c>
      <c r="E64" s="546"/>
      <c r="F64" s="354" t="str">
        <f ca="1">Equipements!I19</f>
        <v/>
      </c>
      <c r="G64" s="457" t="str">
        <f ca="1">Equipements!M19</f>
        <v/>
      </c>
      <c r="H64" s="547" t="str">
        <f ca="1">Equipements!J19</f>
        <v/>
      </c>
      <c r="I64" s="548"/>
      <c r="J64" s="451" t="str">
        <f ca="1">Equipements!K19</f>
        <v/>
      </c>
      <c r="K64" s="447" t="str">
        <f ca="1">Equipements!P19</f>
        <v/>
      </c>
      <c r="L64" s="448" t="str">
        <f ca="1">IF(Equipements!Y19&lt;&gt;"",Equipements!AK19,"")</f>
        <v/>
      </c>
      <c r="M64" s="448" t="str">
        <f ca="1">IF(Equipements!Z19&lt;&gt;"",Equipements!AL19,"")</f>
        <v/>
      </c>
      <c r="N64" s="448" t="str">
        <f ca="1">IF(Equipements!AA19&lt;&gt;"",Equipements!AM19,"")</f>
        <v/>
      </c>
      <c r="O64" s="448" t="str">
        <f ca="1">IF(Equipements!AB19&lt;&gt;"",Equipements!AN19,"")</f>
        <v/>
      </c>
      <c r="P64" s="448" t="str">
        <f ca="1">IF(Equipements!AC19&lt;&gt;"",Equipements!AO19,"")</f>
        <v/>
      </c>
      <c r="Q64" s="448" t="str">
        <f ca="1">IF(Equipements!AD19&lt;&gt;"",Equipements!AP19,"")</f>
        <v/>
      </c>
      <c r="R64" s="448" t="str">
        <f ca="1">IF(Equipements!AE19&lt;&gt;"",Equipements!AQ19,"")</f>
        <v/>
      </c>
      <c r="S64" s="448" t="str">
        <f ca="1">IF(Equipements!AF19&lt;&gt;"",Equipements!AR19,"")</f>
        <v/>
      </c>
      <c r="T64" s="448" t="str">
        <f ca="1">IF(Equipements!AG19&lt;&gt;"",Equipements!AS19,"")</f>
        <v/>
      </c>
      <c r="U64" s="458" t="str">
        <f ca="1">IF(Equipements!AH19&lt;&gt;"",Equipements!AT19,"")</f>
        <v/>
      </c>
      <c r="V64" s="333"/>
      <c r="W64" s="333"/>
      <c r="X64" s="333"/>
      <c r="Y64" s="333"/>
      <c r="Z64" s="333"/>
      <c r="AA64" s="362"/>
      <c r="AB64" s="327"/>
    </row>
    <row r="65" spans="2:28" ht="20.100000000000001" customHeight="1" outlineLevel="1" x14ac:dyDescent="0.4">
      <c r="B65" s="332"/>
      <c r="C65" s="361"/>
      <c r="D65" s="545" t="str">
        <f ca="1">Equipements!H20</f>
        <v/>
      </c>
      <c r="E65" s="546"/>
      <c r="F65" s="354" t="str">
        <f ca="1">Equipements!I20</f>
        <v/>
      </c>
      <c r="G65" s="457" t="str">
        <f ca="1">Equipements!M20</f>
        <v/>
      </c>
      <c r="H65" s="547" t="str">
        <f ca="1">Equipements!J20</f>
        <v/>
      </c>
      <c r="I65" s="548"/>
      <c r="J65" s="451" t="str">
        <f ca="1">Equipements!K20</f>
        <v/>
      </c>
      <c r="K65" s="447" t="str">
        <f ca="1">Equipements!P20</f>
        <v/>
      </c>
      <c r="L65" s="448" t="str">
        <f ca="1">IF(Equipements!Y20&lt;&gt;"",Equipements!AK20,"")</f>
        <v/>
      </c>
      <c r="M65" s="448" t="str">
        <f ca="1">IF(Equipements!Z20&lt;&gt;"",Equipements!AL20,"")</f>
        <v/>
      </c>
      <c r="N65" s="448" t="str">
        <f ca="1">IF(Equipements!AA20&lt;&gt;"",Equipements!AM20,"")</f>
        <v/>
      </c>
      <c r="O65" s="448" t="str">
        <f ca="1">IF(Equipements!AB20&lt;&gt;"",Equipements!AN20,"")</f>
        <v/>
      </c>
      <c r="P65" s="448" t="str">
        <f ca="1">IF(Equipements!AC20&lt;&gt;"",Equipements!AO20,"")</f>
        <v/>
      </c>
      <c r="Q65" s="448" t="str">
        <f ca="1">IF(Equipements!AD20&lt;&gt;"",Equipements!AP20,"")</f>
        <v/>
      </c>
      <c r="R65" s="448" t="str">
        <f ca="1">IF(Equipements!AE20&lt;&gt;"",Equipements!AQ20,"")</f>
        <v/>
      </c>
      <c r="S65" s="448" t="str">
        <f ca="1">IF(Equipements!AF20&lt;&gt;"",Equipements!AR20,"")</f>
        <v/>
      </c>
      <c r="T65" s="448" t="str">
        <f ca="1">IF(Equipements!AG20&lt;&gt;"",Equipements!AS20,"")</f>
        <v/>
      </c>
      <c r="U65" s="458" t="str">
        <f ca="1">IF(Equipements!AH20&lt;&gt;"",Equipements!AT20,"")</f>
        <v/>
      </c>
      <c r="V65" s="333"/>
      <c r="W65" s="333"/>
      <c r="X65" s="333"/>
      <c r="Y65" s="333"/>
      <c r="Z65" s="333"/>
      <c r="AA65" s="362"/>
      <c r="AB65" s="327"/>
    </row>
    <row r="66" spans="2:28" ht="20.100000000000001" customHeight="1" outlineLevel="1" x14ac:dyDescent="0.4">
      <c r="B66" s="332"/>
      <c r="C66" s="361"/>
      <c r="D66" s="545" t="str">
        <f ca="1">Equipements!H21</f>
        <v/>
      </c>
      <c r="E66" s="546"/>
      <c r="F66" s="354" t="str">
        <f ca="1">Equipements!I21</f>
        <v/>
      </c>
      <c r="G66" s="457" t="str">
        <f ca="1">Equipements!M21</f>
        <v/>
      </c>
      <c r="H66" s="547" t="str">
        <f ca="1">Equipements!J21</f>
        <v/>
      </c>
      <c r="I66" s="548"/>
      <c r="J66" s="451" t="str">
        <f ca="1">Equipements!K21</f>
        <v/>
      </c>
      <c r="K66" s="447" t="str">
        <f ca="1">Equipements!P21</f>
        <v/>
      </c>
      <c r="L66" s="448" t="str">
        <f ca="1">IF(Equipements!Y21&lt;&gt;"",Equipements!AK21,"")</f>
        <v/>
      </c>
      <c r="M66" s="448" t="str">
        <f ca="1">IF(Equipements!Z21&lt;&gt;"",Equipements!AL21,"")</f>
        <v/>
      </c>
      <c r="N66" s="448" t="str">
        <f ca="1">IF(Equipements!AA21&lt;&gt;"",Equipements!AM21,"")</f>
        <v/>
      </c>
      <c r="O66" s="448" t="str">
        <f ca="1">IF(Equipements!AB21&lt;&gt;"",Equipements!AN21,"")</f>
        <v/>
      </c>
      <c r="P66" s="448" t="str">
        <f ca="1">IF(Equipements!AC21&lt;&gt;"",Equipements!AO21,"")</f>
        <v/>
      </c>
      <c r="Q66" s="448" t="str">
        <f ca="1">IF(Equipements!AD21&lt;&gt;"",Equipements!AP21,"")</f>
        <v/>
      </c>
      <c r="R66" s="448" t="str">
        <f ca="1">IF(Equipements!AE21&lt;&gt;"",Equipements!AQ21,"")</f>
        <v/>
      </c>
      <c r="S66" s="448" t="str">
        <f ca="1">IF(Equipements!AF21&lt;&gt;"",Equipements!AR21,"")</f>
        <v/>
      </c>
      <c r="T66" s="448" t="str">
        <f ca="1">IF(Equipements!AG21&lt;&gt;"",Equipements!AS21,"")</f>
        <v/>
      </c>
      <c r="U66" s="458" t="str">
        <f ca="1">IF(Equipements!AH21&lt;&gt;"",Equipements!AT21,"")</f>
        <v/>
      </c>
      <c r="V66" s="333"/>
      <c r="W66" s="333"/>
      <c r="X66" s="333"/>
      <c r="Y66" s="333"/>
      <c r="Z66" s="333"/>
      <c r="AA66" s="362"/>
      <c r="AB66" s="327"/>
    </row>
    <row r="67" spans="2:28" ht="20.100000000000001" customHeight="1" outlineLevel="1" x14ac:dyDescent="0.4">
      <c r="B67" s="332"/>
      <c r="C67" s="361"/>
      <c r="D67" s="545" t="str">
        <f ca="1">Equipements!H22</f>
        <v/>
      </c>
      <c r="E67" s="546"/>
      <c r="F67" s="354" t="str">
        <f ca="1">Equipements!I22</f>
        <v/>
      </c>
      <c r="G67" s="457" t="str">
        <f ca="1">Equipements!M22</f>
        <v/>
      </c>
      <c r="H67" s="547" t="str">
        <f ca="1">Equipements!J22</f>
        <v/>
      </c>
      <c r="I67" s="548"/>
      <c r="J67" s="451" t="str">
        <f ca="1">Equipements!K22</f>
        <v/>
      </c>
      <c r="K67" s="447" t="str">
        <f ca="1">Equipements!P22</f>
        <v/>
      </c>
      <c r="L67" s="448" t="str">
        <f ca="1">IF(Equipements!Y22&lt;&gt;"",Equipements!AK22,"")</f>
        <v/>
      </c>
      <c r="M67" s="448" t="str">
        <f ca="1">IF(Equipements!Z22&lt;&gt;"",Equipements!AL22,"")</f>
        <v/>
      </c>
      <c r="N67" s="448" t="str">
        <f ca="1">IF(Equipements!AA22&lt;&gt;"",Equipements!AM22,"")</f>
        <v/>
      </c>
      <c r="O67" s="448" t="str">
        <f ca="1">IF(Equipements!AB22&lt;&gt;"",Equipements!AN22,"")</f>
        <v/>
      </c>
      <c r="P67" s="448" t="str">
        <f ca="1">IF(Equipements!AC22&lt;&gt;"",Equipements!AO22,"")</f>
        <v/>
      </c>
      <c r="Q67" s="448" t="str">
        <f ca="1">IF(Equipements!AD22&lt;&gt;"",Equipements!AP22,"")</f>
        <v/>
      </c>
      <c r="R67" s="448" t="str">
        <f ca="1">IF(Equipements!AE22&lt;&gt;"",Equipements!AQ22,"")</f>
        <v/>
      </c>
      <c r="S67" s="448" t="str">
        <f ca="1">IF(Equipements!AF22&lt;&gt;"",Equipements!AR22,"")</f>
        <v/>
      </c>
      <c r="T67" s="448" t="str">
        <f ca="1">IF(Equipements!AG22&lt;&gt;"",Equipements!AS22,"")</f>
        <v/>
      </c>
      <c r="U67" s="458" t="str">
        <f ca="1">IF(Equipements!AH22&lt;&gt;"",Equipements!AT22,"")</f>
        <v/>
      </c>
      <c r="V67" s="333"/>
      <c r="W67" s="333"/>
      <c r="X67" s="333"/>
      <c r="Y67" s="333"/>
      <c r="Z67" s="333"/>
      <c r="AA67" s="362"/>
      <c r="AB67" s="327"/>
    </row>
    <row r="68" spans="2:28" ht="20.100000000000001" customHeight="1" outlineLevel="1" x14ac:dyDescent="0.4">
      <c r="B68" s="332"/>
      <c r="C68" s="361"/>
      <c r="D68" s="545" t="str">
        <f ca="1">Equipements!H23</f>
        <v/>
      </c>
      <c r="E68" s="546"/>
      <c r="F68" s="354" t="str">
        <f ca="1">Equipements!I23</f>
        <v/>
      </c>
      <c r="G68" s="457" t="str">
        <f ca="1">Equipements!M23</f>
        <v/>
      </c>
      <c r="H68" s="547" t="str">
        <f ca="1">Equipements!J23</f>
        <v/>
      </c>
      <c r="I68" s="548"/>
      <c r="J68" s="451" t="str">
        <f ca="1">Equipements!K23</f>
        <v/>
      </c>
      <c r="K68" s="447" t="str">
        <f ca="1">Equipements!P23</f>
        <v/>
      </c>
      <c r="L68" s="448" t="str">
        <f ca="1">IF(Equipements!Y23&lt;&gt;"",Equipements!AK23,"")</f>
        <v/>
      </c>
      <c r="M68" s="448" t="str">
        <f ca="1">IF(Equipements!Z23&lt;&gt;"",Equipements!AL23,"")</f>
        <v/>
      </c>
      <c r="N68" s="448" t="str">
        <f ca="1">IF(Equipements!AA23&lt;&gt;"",Equipements!AM23,"")</f>
        <v/>
      </c>
      <c r="O68" s="448" t="str">
        <f ca="1">IF(Equipements!AB23&lt;&gt;"",Equipements!AN23,"")</f>
        <v/>
      </c>
      <c r="P68" s="448" t="str">
        <f ca="1">IF(Equipements!AC23&lt;&gt;"",Equipements!AO23,"")</f>
        <v/>
      </c>
      <c r="Q68" s="448" t="str">
        <f ca="1">IF(Equipements!AD23&lt;&gt;"",Equipements!AP23,"")</f>
        <v/>
      </c>
      <c r="R68" s="448" t="str">
        <f ca="1">IF(Equipements!AE23&lt;&gt;"",Equipements!AQ23,"")</f>
        <v/>
      </c>
      <c r="S68" s="448" t="str">
        <f ca="1">IF(Equipements!AF23&lt;&gt;"",Equipements!AR23,"")</f>
        <v/>
      </c>
      <c r="T68" s="448" t="str">
        <f ca="1">IF(Equipements!AG23&lt;&gt;"",Equipements!AS23,"")</f>
        <v/>
      </c>
      <c r="U68" s="458" t="str">
        <f ca="1">IF(Equipements!AH23&lt;&gt;"",Equipements!AT23,"")</f>
        <v/>
      </c>
      <c r="V68" s="333"/>
      <c r="W68" s="333"/>
      <c r="X68" s="333"/>
      <c r="Y68" s="333"/>
      <c r="Z68" s="333"/>
      <c r="AA68" s="362"/>
      <c r="AB68" s="327"/>
    </row>
    <row r="69" spans="2:28" ht="20.100000000000001" customHeight="1" outlineLevel="1" x14ac:dyDescent="0.4">
      <c r="B69" s="332"/>
      <c r="C69" s="361"/>
      <c r="D69" s="545" t="str">
        <f ca="1">Equipements!H24</f>
        <v/>
      </c>
      <c r="E69" s="546"/>
      <c r="F69" s="354" t="str">
        <f ca="1">Equipements!I24</f>
        <v/>
      </c>
      <c r="G69" s="457" t="str">
        <f ca="1">Equipements!M24</f>
        <v/>
      </c>
      <c r="H69" s="547" t="str">
        <f ca="1">Equipements!J24</f>
        <v/>
      </c>
      <c r="I69" s="548"/>
      <c r="J69" s="451" t="str">
        <f ca="1">Equipements!K24</f>
        <v/>
      </c>
      <c r="K69" s="447" t="str">
        <f ca="1">Equipements!P24</f>
        <v/>
      </c>
      <c r="L69" s="448" t="str">
        <f ca="1">IF(Equipements!Y24&lt;&gt;"",Equipements!AK24,"")</f>
        <v/>
      </c>
      <c r="M69" s="448" t="str">
        <f ca="1">IF(Equipements!Z24&lt;&gt;"",Equipements!AL24,"")</f>
        <v/>
      </c>
      <c r="N69" s="448" t="str">
        <f ca="1">IF(Equipements!AA24&lt;&gt;"",Equipements!AM24,"")</f>
        <v/>
      </c>
      <c r="O69" s="448" t="str">
        <f ca="1">IF(Equipements!AB24&lt;&gt;"",Equipements!AN24,"")</f>
        <v/>
      </c>
      <c r="P69" s="448" t="str">
        <f ca="1">IF(Equipements!AC24&lt;&gt;"",Equipements!AO24,"")</f>
        <v/>
      </c>
      <c r="Q69" s="448" t="str">
        <f ca="1">IF(Equipements!AD24&lt;&gt;"",Equipements!AP24,"")</f>
        <v/>
      </c>
      <c r="R69" s="448" t="str">
        <f ca="1">IF(Equipements!AE24&lt;&gt;"",Equipements!AQ24,"")</f>
        <v/>
      </c>
      <c r="S69" s="448" t="str">
        <f ca="1">IF(Equipements!AF24&lt;&gt;"",Equipements!AR24,"")</f>
        <v/>
      </c>
      <c r="T69" s="448" t="str">
        <f ca="1">IF(Equipements!AG24&lt;&gt;"",Equipements!AS24,"")</f>
        <v/>
      </c>
      <c r="U69" s="458" t="str">
        <f ca="1">IF(Equipements!AH24&lt;&gt;"",Equipements!AT24,"")</f>
        <v/>
      </c>
      <c r="V69" s="333"/>
      <c r="W69" s="333"/>
      <c r="X69" s="333"/>
      <c r="Y69" s="333"/>
      <c r="Z69" s="333"/>
      <c r="AA69" s="362"/>
      <c r="AB69" s="327"/>
    </row>
    <row r="70" spans="2:28" ht="20.100000000000001" customHeight="1" outlineLevel="1" x14ac:dyDescent="0.4">
      <c r="B70" s="332"/>
      <c r="C70" s="361"/>
      <c r="D70" s="545" t="str">
        <f ca="1">Equipements!H25</f>
        <v/>
      </c>
      <c r="E70" s="546"/>
      <c r="F70" s="354" t="str">
        <f ca="1">Equipements!I25</f>
        <v/>
      </c>
      <c r="G70" s="457" t="str">
        <f ca="1">Equipements!M25</f>
        <v/>
      </c>
      <c r="H70" s="547" t="str">
        <f ca="1">Equipements!J25</f>
        <v/>
      </c>
      <c r="I70" s="548"/>
      <c r="J70" s="451" t="str">
        <f ca="1">Equipements!K25</f>
        <v/>
      </c>
      <c r="K70" s="447" t="str">
        <f ca="1">Equipements!P25</f>
        <v/>
      </c>
      <c r="L70" s="448" t="str">
        <f ca="1">IF(Equipements!Y25&lt;&gt;"",Equipements!AK25,"")</f>
        <v/>
      </c>
      <c r="M70" s="448" t="str">
        <f ca="1">IF(Equipements!Z25&lt;&gt;"",Equipements!AL25,"")</f>
        <v/>
      </c>
      <c r="N70" s="448" t="str">
        <f ca="1">IF(Equipements!AA25&lt;&gt;"",Equipements!AM25,"")</f>
        <v/>
      </c>
      <c r="O70" s="448" t="str">
        <f ca="1">IF(Equipements!AB25&lt;&gt;"",Equipements!AN25,"")</f>
        <v/>
      </c>
      <c r="P70" s="448" t="str">
        <f ca="1">IF(Equipements!AC25&lt;&gt;"",Equipements!AO25,"")</f>
        <v/>
      </c>
      <c r="Q70" s="448" t="str">
        <f ca="1">IF(Equipements!AD25&lt;&gt;"",Equipements!AP25,"")</f>
        <v/>
      </c>
      <c r="R70" s="448" t="str">
        <f ca="1">IF(Equipements!AE25&lt;&gt;"",Equipements!AQ25,"")</f>
        <v/>
      </c>
      <c r="S70" s="448" t="str">
        <f ca="1">IF(Equipements!AF25&lt;&gt;"",Equipements!AR25,"")</f>
        <v/>
      </c>
      <c r="T70" s="448" t="str">
        <f ca="1">IF(Equipements!AG25&lt;&gt;"",Equipements!AS25,"")</f>
        <v/>
      </c>
      <c r="U70" s="458" t="str">
        <f ca="1">IF(Equipements!AH25&lt;&gt;"",Equipements!AT25,"")</f>
        <v/>
      </c>
      <c r="V70" s="333"/>
      <c r="W70" s="333"/>
      <c r="X70" s="333"/>
      <c r="Y70" s="333"/>
      <c r="Z70" s="333"/>
      <c r="AA70" s="362"/>
      <c r="AB70" s="327"/>
    </row>
    <row r="71" spans="2:28" ht="20.100000000000001" customHeight="1" outlineLevel="1" x14ac:dyDescent="0.4">
      <c r="B71" s="332"/>
      <c r="C71" s="361"/>
      <c r="D71" s="545" t="str">
        <f ca="1">Equipements!H26</f>
        <v/>
      </c>
      <c r="E71" s="546"/>
      <c r="F71" s="354" t="str">
        <f ca="1">Equipements!I26</f>
        <v/>
      </c>
      <c r="G71" s="457" t="str">
        <f ca="1">Equipements!M26</f>
        <v/>
      </c>
      <c r="H71" s="547" t="str">
        <f ca="1">Equipements!J26</f>
        <v/>
      </c>
      <c r="I71" s="548"/>
      <c r="J71" s="451" t="str">
        <f ca="1">Equipements!K26</f>
        <v/>
      </c>
      <c r="K71" s="447" t="str">
        <f ca="1">Equipements!P26</f>
        <v/>
      </c>
      <c r="L71" s="448" t="str">
        <f ca="1">IF(Equipements!Y26&lt;&gt;"",Equipements!AK26,"")</f>
        <v/>
      </c>
      <c r="M71" s="448" t="str">
        <f ca="1">IF(Equipements!Z26&lt;&gt;"",Equipements!AL26,"")</f>
        <v/>
      </c>
      <c r="N71" s="448" t="str">
        <f ca="1">IF(Equipements!AA26&lt;&gt;"",Equipements!AM26,"")</f>
        <v/>
      </c>
      <c r="O71" s="448" t="str">
        <f ca="1">IF(Equipements!AB26&lt;&gt;"",Equipements!AN26,"")</f>
        <v/>
      </c>
      <c r="P71" s="448" t="str">
        <f ca="1">IF(Equipements!AC26&lt;&gt;"",Equipements!AO26,"")</f>
        <v/>
      </c>
      <c r="Q71" s="448" t="str">
        <f ca="1">IF(Equipements!AD26&lt;&gt;"",Equipements!AP26,"")</f>
        <v/>
      </c>
      <c r="R71" s="448" t="str">
        <f ca="1">IF(Equipements!AE26&lt;&gt;"",Equipements!AQ26,"")</f>
        <v/>
      </c>
      <c r="S71" s="448" t="str">
        <f ca="1">IF(Equipements!AF26&lt;&gt;"",Equipements!AR26,"")</f>
        <v/>
      </c>
      <c r="T71" s="448" t="str">
        <f ca="1">IF(Equipements!AG26&lt;&gt;"",Equipements!AS26,"")</f>
        <v/>
      </c>
      <c r="U71" s="458" t="str">
        <f ca="1">IF(Equipements!AH26&lt;&gt;"",Equipements!AT26,"")</f>
        <v/>
      </c>
      <c r="V71" s="333"/>
      <c r="W71" s="333"/>
      <c r="X71" s="333"/>
      <c r="Y71" s="333"/>
      <c r="Z71" s="333"/>
      <c r="AA71" s="362"/>
      <c r="AB71" s="327"/>
    </row>
    <row r="72" spans="2:28" ht="20.100000000000001" customHeight="1" outlineLevel="1" x14ac:dyDescent="0.4">
      <c r="B72" s="332"/>
      <c r="C72" s="361"/>
      <c r="D72" s="545" t="str">
        <f ca="1">Equipements!H27</f>
        <v/>
      </c>
      <c r="E72" s="546"/>
      <c r="F72" s="354" t="str">
        <f ca="1">Equipements!I27</f>
        <v/>
      </c>
      <c r="G72" s="457" t="str">
        <f ca="1">Equipements!M27</f>
        <v/>
      </c>
      <c r="H72" s="547" t="str">
        <f ca="1">Equipements!J27</f>
        <v/>
      </c>
      <c r="I72" s="548"/>
      <c r="J72" s="451" t="str">
        <f ca="1">Equipements!K27</f>
        <v/>
      </c>
      <c r="K72" s="447" t="str">
        <f ca="1">Equipements!P27</f>
        <v/>
      </c>
      <c r="L72" s="448" t="str">
        <f ca="1">IF(Equipements!Y27&lt;&gt;"",Equipements!AK27,"")</f>
        <v/>
      </c>
      <c r="M72" s="448" t="str">
        <f ca="1">IF(Equipements!Z27&lt;&gt;"",Equipements!AL27,"")</f>
        <v/>
      </c>
      <c r="N72" s="448" t="str">
        <f ca="1">IF(Equipements!AA27&lt;&gt;"",Equipements!AM27,"")</f>
        <v/>
      </c>
      <c r="O72" s="448" t="str">
        <f ca="1">IF(Equipements!AB27&lt;&gt;"",Equipements!AN27,"")</f>
        <v/>
      </c>
      <c r="P72" s="448" t="str">
        <f ca="1">IF(Equipements!AC27&lt;&gt;"",Equipements!AO27,"")</f>
        <v/>
      </c>
      <c r="Q72" s="448" t="str">
        <f ca="1">IF(Equipements!AD27&lt;&gt;"",Equipements!AP27,"")</f>
        <v/>
      </c>
      <c r="R72" s="448" t="str">
        <f ca="1">IF(Equipements!AE27&lt;&gt;"",Equipements!AQ27,"")</f>
        <v/>
      </c>
      <c r="S72" s="448" t="str">
        <f ca="1">IF(Equipements!AF27&lt;&gt;"",Equipements!AR27,"")</f>
        <v/>
      </c>
      <c r="T72" s="448" t="str">
        <f ca="1">IF(Equipements!AG27&lt;&gt;"",Equipements!AS27,"")</f>
        <v/>
      </c>
      <c r="U72" s="458" t="str">
        <f ca="1">IF(Equipements!AH27&lt;&gt;"",Equipements!AT27,"")</f>
        <v/>
      </c>
      <c r="V72" s="333"/>
      <c r="W72" s="333"/>
      <c r="X72" s="333"/>
      <c r="Y72" s="333"/>
      <c r="Z72" s="333"/>
      <c r="AA72" s="362"/>
      <c r="AB72" s="327"/>
    </row>
    <row r="73" spans="2:28" ht="20.100000000000001" customHeight="1" outlineLevel="1" x14ac:dyDescent="0.4">
      <c r="B73" s="332"/>
      <c r="C73" s="361"/>
      <c r="D73" s="545" t="str">
        <f ca="1">Equipements!H28</f>
        <v/>
      </c>
      <c r="E73" s="546"/>
      <c r="F73" s="354" t="str">
        <f ca="1">Equipements!I28</f>
        <v/>
      </c>
      <c r="G73" s="457" t="str">
        <f ca="1">Equipements!M28</f>
        <v/>
      </c>
      <c r="H73" s="547" t="str">
        <f ca="1">Equipements!J28</f>
        <v/>
      </c>
      <c r="I73" s="548"/>
      <c r="J73" s="451" t="str">
        <f ca="1">Equipements!K28</f>
        <v/>
      </c>
      <c r="K73" s="447" t="str">
        <f ca="1">Equipements!P28</f>
        <v/>
      </c>
      <c r="L73" s="448" t="str">
        <f ca="1">IF(Equipements!Y28&lt;&gt;"",Equipements!AK28,"")</f>
        <v/>
      </c>
      <c r="M73" s="448" t="str">
        <f ca="1">IF(Equipements!Z28&lt;&gt;"",Equipements!AL28,"")</f>
        <v/>
      </c>
      <c r="N73" s="448" t="str">
        <f ca="1">IF(Equipements!AA28&lt;&gt;"",Equipements!AM28,"")</f>
        <v/>
      </c>
      <c r="O73" s="448" t="str">
        <f ca="1">IF(Equipements!AB28&lt;&gt;"",Equipements!AN28,"")</f>
        <v/>
      </c>
      <c r="P73" s="448" t="str">
        <f ca="1">IF(Equipements!AC28&lt;&gt;"",Equipements!AO28,"")</f>
        <v/>
      </c>
      <c r="Q73" s="448" t="str">
        <f ca="1">IF(Equipements!AD28&lt;&gt;"",Equipements!AP28,"")</f>
        <v/>
      </c>
      <c r="R73" s="448" t="str">
        <f ca="1">IF(Equipements!AE28&lt;&gt;"",Equipements!AQ28,"")</f>
        <v/>
      </c>
      <c r="S73" s="448" t="str">
        <f ca="1">IF(Equipements!AF28&lt;&gt;"",Equipements!AR28,"")</f>
        <v/>
      </c>
      <c r="T73" s="448" t="str">
        <f ca="1">IF(Equipements!AG28&lt;&gt;"",Equipements!AS28,"")</f>
        <v/>
      </c>
      <c r="U73" s="458" t="str">
        <f ca="1">IF(Equipements!AH28&lt;&gt;"",Equipements!AT28,"")</f>
        <v/>
      </c>
      <c r="V73" s="333"/>
      <c r="W73" s="333"/>
      <c r="X73" s="333"/>
      <c r="Y73" s="333"/>
      <c r="Z73" s="333"/>
      <c r="AA73" s="362"/>
      <c r="AB73" s="327"/>
    </row>
    <row r="74" spans="2:28" ht="20.100000000000001" customHeight="1" outlineLevel="1" x14ac:dyDescent="0.4">
      <c r="B74" s="332"/>
      <c r="C74" s="361"/>
      <c r="D74" s="545" t="str">
        <f ca="1">Equipements!H29</f>
        <v/>
      </c>
      <c r="E74" s="546"/>
      <c r="F74" s="354" t="str">
        <f ca="1">Equipements!I29</f>
        <v/>
      </c>
      <c r="G74" s="457" t="str">
        <f ca="1">Equipements!M29</f>
        <v/>
      </c>
      <c r="H74" s="547" t="str">
        <f ca="1">Equipements!J29</f>
        <v/>
      </c>
      <c r="I74" s="548"/>
      <c r="J74" s="451" t="str">
        <f ca="1">Equipements!K29</f>
        <v/>
      </c>
      <c r="K74" s="447" t="str">
        <f ca="1">Equipements!P29</f>
        <v/>
      </c>
      <c r="L74" s="448" t="str">
        <f ca="1">IF(Equipements!Y29&lt;&gt;"",Equipements!AK29,"")</f>
        <v/>
      </c>
      <c r="M74" s="448" t="str">
        <f ca="1">IF(Equipements!Z29&lt;&gt;"",Equipements!AL29,"")</f>
        <v/>
      </c>
      <c r="N74" s="448" t="str">
        <f ca="1">IF(Equipements!AA29&lt;&gt;"",Equipements!AM29,"")</f>
        <v/>
      </c>
      <c r="O74" s="448" t="str">
        <f ca="1">IF(Equipements!AB29&lt;&gt;"",Equipements!AN29,"")</f>
        <v/>
      </c>
      <c r="P74" s="448" t="str">
        <f ca="1">IF(Equipements!AC29&lt;&gt;"",Equipements!AO29,"")</f>
        <v/>
      </c>
      <c r="Q74" s="448" t="str">
        <f ca="1">IF(Equipements!AD29&lt;&gt;"",Equipements!AP29,"")</f>
        <v/>
      </c>
      <c r="R74" s="448" t="str">
        <f ca="1">IF(Equipements!AE29&lt;&gt;"",Equipements!AQ29,"")</f>
        <v/>
      </c>
      <c r="S74" s="448" t="str">
        <f ca="1">IF(Equipements!AF29&lt;&gt;"",Equipements!AR29,"")</f>
        <v/>
      </c>
      <c r="T74" s="448" t="str">
        <f ca="1">IF(Equipements!AG29&lt;&gt;"",Equipements!AS29,"")</f>
        <v/>
      </c>
      <c r="U74" s="458" t="str">
        <f ca="1">IF(Equipements!AH29&lt;&gt;"",Equipements!AT29,"")</f>
        <v/>
      </c>
      <c r="V74" s="333"/>
      <c r="W74" s="333"/>
      <c r="X74" s="333"/>
      <c r="Y74" s="333"/>
      <c r="Z74" s="333"/>
      <c r="AA74" s="362"/>
      <c r="AB74" s="327"/>
    </row>
    <row r="75" spans="2:28" ht="20.100000000000001" customHeight="1" outlineLevel="1" x14ac:dyDescent="0.4">
      <c r="B75" s="332"/>
      <c r="C75" s="361"/>
      <c r="D75" s="545" t="str">
        <f ca="1">Equipements!H30</f>
        <v/>
      </c>
      <c r="E75" s="546"/>
      <c r="F75" s="354" t="str">
        <f ca="1">Equipements!I30</f>
        <v/>
      </c>
      <c r="G75" s="457" t="str">
        <f ca="1">Equipements!M30</f>
        <v/>
      </c>
      <c r="H75" s="547" t="str">
        <f ca="1">Equipements!J30</f>
        <v/>
      </c>
      <c r="I75" s="548"/>
      <c r="J75" s="451" t="str">
        <f ca="1">Equipements!K30</f>
        <v/>
      </c>
      <c r="K75" s="447" t="str">
        <f ca="1">Equipements!P30</f>
        <v/>
      </c>
      <c r="L75" s="448" t="str">
        <f ca="1">IF(Equipements!Y30&lt;&gt;"",Equipements!AK30,"")</f>
        <v/>
      </c>
      <c r="M75" s="448" t="str">
        <f ca="1">IF(Equipements!Z30&lt;&gt;"",Equipements!AL30,"")</f>
        <v/>
      </c>
      <c r="N75" s="448" t="str">
        <f ca="1">IF(Equipements!AA30&lt;&gt;"",Equipements!AM30,"")</f>
        <v/>
      </c>
      <c r="O75" s="448" t="str">
        <f ca="1">IF(Equipements!AB30&lt;&gt;"",Equipements!AN30,"")</f>
        <v/>
      </c>
      <c r="P75" s="448" t="str">
        <f ca="1">IF(Equipements!AC30&lt;&gt;"",Equipements!AO30,"")</f>
        <v/>
      </c>
      <c r="Q75" s="448" t="str">
        <f ca="1">IF(Equipements!AD30&lt;&gt;"",Equipements!AP30,"")</f>
        <v/>
      </c>
      <c r="R75" s="448" t="str">
        <f ca="1">IF(Equipements!AE30&lt;&gt;"",Equipements!AQ30,"")</f>
        <v/>
      </c>
      <c r="S75" s="448" t="str">
        <f ca="1">IF(Equipements!AF30&lt;&gt;"",Equipements!AR30,"")</f>
        <v/>
      </c>
      <c r="T75" s="448" t="str">
        <f ca="1">IF(Equipements!AG30&lt;&gt;"",Equipements!AS30,"")</f>
        <v/>
      </c>
      <c r="U75" s="458" t="str">
        <f ca="1">IF(Equipements!AH30&lt;&gt;"",Equipements!AT30,"")</f>
        <v/>
      </c>
      <c r="V75" s="333"/>
      <c r="W75" s="333"/>
      <c r="X75" s="333"/>
      <c r="Y75" s="333"/>
      <c r="Z75" s="333"/>
      <c r="AA75" s="362"/>
      <c r="AB75" s="327"/>
    </row>
    <row r="76" spans="2:28" ht="20.100000000000001" customHeight="1" outlineLevel="1" x14ac:dyDescent="0.4">
      <c r="B76" s="332"/>
      <c r="C76" s="361"/>
      <c r="D76" s="545" t="str">
        <f ca="1">Equipements!H27</f>
        <v/>
      </c>
      <c r="E76" s="546"/>
      <c r="F76" s="354" t="str">
        <f ca="1">Equipements!I27</f>
        <v/>
      </c>
      <c r="G76" s="457" t="str">
        <f ca="1">Equipements!M27</f>
        <v/>
      </c>
      <c r="H76" s="547" t="str">
        <f ca="1">Equipements!J27</f>
        <v/>
      </c>
      <c r="I76" s="548"/>
      <c r="J76" s="451" t="str">
        <f ca="1">Equipements!K27</f>
        <v/>
      </c>
      <c r="K76" s="447" t="str">
        <f ca="1">Equipements!P27</f>
        <v/>
      </c>
      <c r="L76" s="448" t="str">
        <f ca="1">IF(Equipements!Y27&lt;&gt;"",Equipements!AK27,"")</f>
        <v/>
      </c>
      <c r="M76" s="448" t="str">
        <f ca="1">IF(Equipements!Z27&lt;&gt;"",Equipements!AL27,"")</f>
        <v/>
      </c>
      <c r="N76" s="448" t="str">
        <f ca="1">IF(Equipements!AA27&lt;&gt;"",Equipements!AM27,"")</f>
        <v/>
      </c>
      <c r="O76" s="448" t="str">
        <f ca="1">IF(Equipements!AB27&lt;&gt;"",Equipements!AN27,"")</f>
        <v/>
      </c>
      <c r="P76" s="448" t="str">
        <f ca="1">IF(Equipements!AC27&lt;&gt;"",Equipements!AO27,"")</f>
        <v/>
      </c>
      <c r="Q76" s="448" t="str">
        <f ca="1">IF(Equipements!AD27&lt;&gt;"",Equipements!AP27,"")</f>
        <v/>
      </c>
      <c r="R76" s="448" t="str">
        <f ca="1">IF(Equipements!AE27&lt;&gt;"",Equipements!AQ27,"")</f>
        <v/>
      </c>
      <c r="S76" s="448" t="str">
        <f ca="1">IF(Equipements!AF27&lt;&gt;"",Equipements!AR27,"")</f>
        <v/>
      </c>
      <c r="T76" s="448" t="str">
        <f ca="1">IF(Equipements!AG27&lt;&gt;"",Equipements!AS27,"")</f>
        <v/>
      </c>
      <c r="U76" s="458" t="str">
        <f ca="1">IF(Equipements!AH27&lt;&gt;"",Equipements!AT27,"")</f>
        <v/>
      </c>
      <c r="V76" s="333"/>
      <c r="W76" s="333"/>
      <c r="X76" s="333"/>
      <c r="Y76" s="333"/>
      <c r="Z76" s="333"/>
      <c r="AA76" s="362"/>
      <c r="AB76" s="327"/>
    </row>
    <row r="77" spans="2:28" ht="20.100000000000001" customHeight="1" outlineLevel="1" x14ac:dyDescent="0.4">
      <c r="B77" s="332"/>
      <c r="C77" s="361"/>
      <c r="D77" s="662" t="str">
        <f ca="1">Equipements!H28</f>
        <v/>
      </c>
      <c r="E77" s="663"/>
      <c r="F77" s="355" t="str">
        <f ca="1">Equipements!I28</f>
        <v/>
      </c>
      <c r="G77" s="459" t="str">
        <f ca="1">Equipements!M28</f>
        <v/>
      </c>
      <c r="H77" s="710" t="str">
        <f ca="1">Equipements!J28</f>
        <v/>
      </c>
      <c r="I77" s="711"/>
      <c r="J77" s="460" t="str">
        <f ca="1">Equipements!K28</f>
        <v/>
      </c>
      <c r="K77" s="449" t="str">
        <f ca="1">Equipements!P28</f>
        <v/>
      </c>
      <c r="L77" s="461" t="str">
        <f ca="1">IF(Equipements!Y28&lt;&gt;"",Equipements!AK28,"")</f>
        <v/>
      </c>
      <c r="M77" s="461" t="str">
        <f ca="1">IF(Equipements!Z28&lt;&gt;"",Equipements!AL28,"")</f>
        <v/>
      </c>
      <c r="N77" s="461" t="str">
        <f ca="1">IF(Equipements!AA28&lt;&gt;"",Equipements!AM28,"")</f>
        <v/>
      </c>
      <c r="O77" s="461" t="str">
        <f ca="1">IF(Equipements!AB28&lt;&gt;"",Equipements!AN28,"")</f>
        <v/>
      </c>
      <c r="P77" s="461" t="str">
        <f ca="1">IF(Equipements!AC28&lt;&gt;"",Equipements!AO28,"")</f>
        <v/>
      </c>
      <c r="Q77" s="461" t="str">
        <f ca="1">IF(Equipements!AD28&lt;&gt;"",Equipements!AP28,"")</f>
        <v/>
      </c>
      <c r="R77" s="461" t="str">
        <f ca="1">IF(Equipements!AE28&lt;&gt;"",Equipements!AQ28,"")</f>
        <v/>
      </c>
      <c r="S77" s="461" t="str">
        <f ca="1">IF(Equipements!AF28&lt;&gt;"",Equipements!AR28,"")</f>
        <v/>
      </c>
      <c r="T77" s="461" t="str">
        <f ca="1">IF(Equipements!AG28&lt;&gt;"",Equipements!AS28,"")</f>
        <v/>
      </c>
      <c r="U77" s="462" t="str">
        <f ca="1">IF(Equipements!AH28&lt;&gt;"",Equipements!AT28,"")</f>
        <v/>
      </c>
      <c r="V77" s="333"/>
      <c r="W77" s="333"/>
      <c r="X77" s="333"/>
      <c r="Y77" s="333"/>
      <c r="Z77" s="333"/>
      <c r="AA77" s="362"/>
      <c r="AB77" s="327"/>
    </row>
    <row r="78" spans="2:28" ht="20.100000000000001" customHeight="1" outlineLevel="1" thickBot="1" x14ac:dyDescent="0.45">
      <c r="B78" s="332"/>
      <c r="C78" s="358"/>
      <c r="D78" s="359"/>
      <c r="E78" s="359"/>
      <c r="F78" s="359"/>
      <c r="G78" s="359"/>
      <c r="H78" s="359"/>
      <c r="I78" s="359"/>
      <c r="J78" s="359"/>
      <c r="K78" s="359"/>
      <c r="L78" s="359"/>
      <c r="M78" s="359"/>
      <c r="N78" s="359"/>
      <c r="O78" s="359"/>
      <c r="P78" s="359"/>
      <c r="Q78" s="359"/>
      <c r="R78" s="359"/>
      <c r="S78" s="359"/>
      <c r="T78" s="359"/>
      <c r="U78" s="359"/>
      <c r="V78" s="359"/>
      <c r="W78" s="359"/>
      <c r="X78" s="661"/>
      <c r="Y78" s="661"/>
      <c r="Z78" s="661"/>
      <c r="AA78" s="360"/>
      <c r="AB78" s="327"/>
    </row>
    <row r="79" spans="2:28" ht="9.9499999999999993" customHeight="1" thickTop="1" x14ac:dyDescent="0.4">
      <c r="B79" s="323"/>
      <c r="C79" s="324"/>
      <c r="D79" s="324"/>
      <c r="E79" s="324"/>
      <c r="F79" s="324"/>
      <c r="G79" s="324"/>
      <c r="H79" s="324"/>
      <c r="I79" s="324"/>
      <c r="J79" s="324"/>
      <c r="K79" s="324"/>
      <c r="L79" s="324"/>
      <c r="M79" s="324"/>
      <c r="N79" s="324"/>
      <c r="O79" s="324"/>
      <c r="P79" s="324"/>
      <c r="Q79" s="324"/>
      <c r="R79" s="324"/>
      <c r="S79" s="324"/>
      <c r="T79" s="324"/>
      <c r="U79" s="324"/>
      <c r="V79" s="324"/>
      <c r="W79" s="324"/>
      <c r="X79" s="324"/>
      <c r="Y79" s="324"/>
      <c r="Z79" s="324"/>
      <c r="AA79" s="324"/>
      <c r="AB79" s="325"/>
    </row>
  </sheetData>
  <mergeCells count="167">
    <mergeCell ref="H76:I76"/>
    <mergeCell ref="H77:I77"/>
    <mergeCell ref="K59:K60"/>
    <mergeCell ref="D67:E67"/>
    <mergeCell ref="D62:E62"/>
    <mergeCell ref="D63:E63"/>
    <mergeCell ref="D64:E64"/>
    <mergeCell ref="D65:E65"/>
    <mergeCell ref="D61:E61"/>
    <mergeCell ref="H60:I60"/>
    <mergeCell ref="H61:I61"/>
    <mergeCell ref="H62:I62"/>
    <mergeCell ref="D66:E66"/>
    <mergeCell ref="D59:J59"/>
    <mergeCell ref="H63:I63"/>
    <mergeCell ref="H64:I64"/>
    <mergeCell ref="H65:I65"/>
    <mergeCell ref="H66:I66"/>
    <mergeCell ref="H67:I67"/>
    <mergeCell ref="H68:I68"/>
    <mergeCell ref="H69:I69"/>
    <mergeCell ref="H70:I70"/>
    <mergeCell ref="T19:X19"/>
    <mergeCell ref="K45:L45"/>
    <mergeCell ref="K46:L46"/>
    <mergeCell ref="K47:L47"/>
    <mergeCell ref="K48:L48"/>
    <mergeCell ref="O34:Y36"/>
    <mergeCell ref="M42:Y42"/>
    <mergeCell ref="P14:Q14"/>
    <mergeCell ref="H71:I71"/>
    <mergeCell ref="P11:Q11"/>
    <mergeCell ref="T11:X11"/>
    <mergeCell ref="Y6:AA6"/>
    <mergeCell ref="Y5:AA5"/>
    <mergeCell ref="C6:E6"/>
    <mergeCell ref="C5:E5"/>
    <mergeCell ref="F5:H5"/>
    <mergeCell ref="G19:I19"/>
    <mergeCell ref="L19:O19"/>
    <mergeCell ref="F6:H6"/>
    <mergeCell ref="G12:I12"/>
    <mergeCell ref="G13:I13"/>
    <mergeCell ref="G14:I14"/>
    <mergeCell ref="G15:I15"/>
    <mergeCell ref="G16:I16"/>
    <mergeCell ref="G17:I17"/>
    <mergeCell ref="G18:I18"/>
    <mergeCell ref="P13:Q13"/>
    <mergeCell ref="T13:X13"/>
    <mergeCell ref="T14:X14"/>
    <mergeCell ref="T15:X15"/>
    <mergeCell ref="T16:X16"/>
    <mergeCell ref="T17:X17"/>
    <mergeCell ref="T18:X18"/>
    <mergeCell ref="X78:Z78"/>
    <mergeCell ref="D76:E76"/>
    <mergeCell ref="D77:E77"/>
    <mergeCell ref="D68:E68"/>
    <mergeCell ref="D71:E71"/>
    <mergeCell ref="D69:E69"/>
    <mergeCell ref="D70:E70"/>
    <mergeCell ref="K40:L40"/>
    <mergeCell ref="I43:J43"/>
    <mergeCell ref="K43:L43"/>
    <mergeCell ref="I42:J42"/>
    <mergeCell ref="K42:L42"/>
    <mergeCell ref="M43:Y43"/>
    <mergeCell ref="M45:Y45"/>
    <mergeCell ref="M46:Y46"/>
    <mergeCell ref="M47:Y47"/>
    <mergeCell ref="M48:Y48"/>
    <mergeCell ref="L59:U59"/>
    <mergeCell ref="D51:E54"/>
    <mergeCell ref="F51:Z54"/>
    <mergeCell ref="C57:AA57"/>
    <mergeCell ref="D60:E60"/>
    <mergeCell ref="M40:Y40"/>
    <mergeCell ref="M41:Y41"/>
    <mergeCell ref="C2:AA2"/>
    <mergeCell ref="Y3:AA3"/>
    <mergeCell ref="C3:E3"/>
    <mergeCell ref="C4:E4"/>
    <mergeCell ref="F3:H3"/>
    <mergeCell ref="F4:H4"/>
    <mergeCell ref="I3:J3"/>
    <mergeCell ref="I4:J4"/>
    <mergeCell ref="K3:L3"/>
    <mergeCell ref="K4:L4"/>
    <mergeCell ref="M3:P3"/>
    <mergeCell ref="M4:P4"/>
    <mergeCell ref="V3:X3"/>
    <mergeCell ref="Q3:U3"/>
    <mergeCell ref="Q4:U4"/>
    <mergeCell ref="Y4:AA4"/>
    <mergeCell ref="V4:X4"/>
    <mergeCell ref="D23:E26"/>
    <mergeCell ref="G24:J24"/>
    <mergeCell ref="G25:J25"/>
    <mergeCell ref="P19:Q19"/>
    <mergeCell ref="K32:L32"/>
    <mergeCell ref="K29:L29"/>
    <mergeCell ref="I33:J33"/>
    <mergeCell ref="K33:L33"/>
    <mergeCell ref="I31:J31"/>
    <mergeCell ref="K31:L31"/>
    <mergeCell ref="O24:Y24"/>
    <mergeCell ref="O25:Y25"/>
    <mergeCell ref="I32:J32"/>
    <mergeCell ref="G30:H30"/>
    <mergeCell ref="I30:J30"/>
    <mergeCell ref="K30:L30"/>
    <mergeCell ref="O30:Y33"/>
    <mergeCell ref="L25:N25"/>
    <mergeCell ref="G31:H34"/>
    <mergeCell ref="D28:E37"/>
    <mergeCell ref="I34:J34"/>
    <mergeCell ref="K34:L34"/>
    <mergeCell ref="K35:L36"/>
    <mergeCell ref="I5:J5"/>
    <mergeCell ref="I6:J6"/>
    <mergeCell ref="K5:L5"/>
    <mergeCell ref="K6:L6"/>
    <mergeCell ref="M5:P5"/>
    <mergeCell ref="M6:P6"/>
    <mergeCell ref="Q5:U5"/>
    <mergeCell ref="Q6:U6"/>
    <mergeCell ref="L24:N24"/>
    <mergeCell ref="P17:Q17"/>
    <mergeCell ref="P18:Q18"/>
    <mergeCell ref="P12:Q12"/>
    <mergeCell ref="P16:Q16"/>
    <mergeCell ref="L12:O12"/>
    <mergeCell ref="L13:O13"/>
    <mergeCell ref="L14:O14"/>
    <mergeCell ref="L15:O15"/>
    <mergeCell ref="L16:O16"/>
    <mergeCell ref="L17:O17"/>
    <mergeCell ref="L18:O18"/>
    <mergeCell ref="P15:Q15"/>
    <mergeCell ref="T12:X12"/>
    <mergeCell ref="V5:X5"/>
    <mergeCell ref="C8:AA8"/>
    <mergeCell ref="V6:X6"/>
    <mergeCell ref="D72:E72"/>
    <mergeCell ref="H72:I72"/>
    <mergeCell ref="D73:E73"/>
    <mergeCell ref="H73:I73"/>
    <mergeCell ref="D74:E74"/>
    <mergeCell ref="H74:I74"/>
    <mergeCell ref="D75:E75"/>
    <mergeCell ref="H75:I75"/>
    <mergeCell ref="H21:I21"/>
    <mergeCell ref="K21:L21"/>
    <mergeCell ref="O21:Q21"/>
    <mergeCell ref="G35:J36"/>
    <mergeCell ref="D39:E49"/>
    <mergeCell ref="G41:H43"/>
    <mergeCell ref="I41:J41"/>
    <mergeCell ref="K41:L41"/>
    <mergeCell ref="G46:H48"/>
    <mergeCell ref="I46:J46"/>
    <mergeCell ref="I47:J47"/>
    <mergeCell ref="I48:J48"/>
    <mergeCell ref="D10:E21"/>
    <mergeCell ref="G11:I11"/>
    <mergeCell ref="L11:O11"/>
  </mergeCells>
  <conditionalFormatting sqref="K24:K25">
    <cfRule type="cellIs" dxfId="44" priority="8" operator="equal">
      <formula>"Oui"</formula>
    </cfRule>
    <cfRule type="cellIs" dxfId="43" priority="9" operator="equal">
      <formula>"Non"</formula>
    </cfRule>
  </conditionalFormatting>
  <conditionalFormatting sqref="K34:K35">
    <cfRule type="cellIs" dxfId="42" priority="19" operator="greaterThan">
      <formula>99</formula>
    </cfRule>
    <cfRule type="cellIs" dxfId="41" priority="20" operator="between">
      <formula>70.1</formula>
      <formula>99</formula>
    </cfRule>
    <cfRule type="cellIs" dxfId="40" priority="21" operator="greaterThanOrEqual">
      <formula>70</formula>
    </cfRule>
  </conditionalFormatting>
  <conditionalFormatting sqref="K41:K43">
    <cfRule type="cellIs" dxfId="39" priority="13" operator="greaterThan">
      <formula>99</formula>
    </cfRule>
    <cfRule type="cellIs" dxfId="38" priority="14" operator="between">
      <formula>70</formula>
      <formula>99</formula>
    </cfRule>
    <cfRule type="cellIs" dxfId="37" priority="15" operator="lessThan">
      <formula>70</formula>
    </cfRule>
  </conditionalFormatting>
  <conditionalFormatting sqref="K46:K48">
    <cfRule type="cellIs" dxfId="36" priority="1" operator="greaterThan">
      <formula>99</formula>
    </cfRule>
    <cfRule type="cellIs" dxfId="35" priority="2" operator="between">
      <formula>70</formula>
      <formula>99</formula>
    </cfRule>
    <cfRule type="cellIs" dxfId="34" priority="3" operator="lessThan">
      <formula>70</formula>
    </cfRule>
  </conditionalFormatting>
  <conditionalFormatting sqref="K61:K77">
    <cfRule type="cellIs" dxfId="33" priority="16" operator="greaterThan">
      <formula>99</formula>
    </cfRule>
    <cfRule type="cellIs" dxfId="32" priority="17" operator="between">
      <formula>70.1</formula>
      <formula>99</formula>
    </cfRule>
    <cfRule type="cellIs" dxfId="31" priority="18" operator="lessThanOrEqual">
      <formula>70</formula>
    </cfRule>
  </conditionalFormatting>
  <conditionalFormatting sqref="K30:L33">
    <cfRule type="containsText" dxfId="30" priority="36" operator="containsText" text="0,1">
      <formula>NOT(ISERROR(SEARCH("0,1",K30)))</formula>
    </cfRule>
    <cfRule type="containsText" dxfId="29" priority="37" operator="containsText" text="0">
      <formula>NOT(ISERROR(SEARCH("0",K30)))</formula>
    </cfRule>
  </conditionalFormatting>
  <conditionalFormatting sqref="L25">
    <cfRule type="cellIs" dxfId="28" priority="4" operator="lessThan">
      <formula>1</formula>
    </cfRule>
    <cfRule type="cellIs" dxfId="27" priority="5" operator="equal">
      <formula>1</formula>
    </cfRule>
  </conditionalFormatting>
  <conditionalFormatting sqref="L61:U77">
    <cfRule type="cellIs" dxfId="26" priority="6" operator="equal">
      <formula>0</formula>
    </cfRule>
    <cfRule type="cellIs" dxfId="25" priority="7" operator="greaterThan">
      <formula>0</formula>
    </cfRule>
  </conditionalFormatting>
  <conditionalFormatting sqref="P12:Q12 J12:J19 Y12:Y19 P13:P15 P16:Q16 P17:P19">
    <cfRule type="cellIs" dxfId="24" priority="38" operator="greaterThan">
      <formula>99</formula>
    </cfRule>
    <cfRule type="cellIs" dxfId="23" priority="39" operator="between">
      <formula>70.1</formula>
      <formula>99</formula>
    </cfRule>
    <cfRule type="cellIs" dxfId="22" priority="40" operator="lessThanOrEqual">
      <formula>70</formula>
    </cfRule>
  </conditionalFormatting>
  <dataValidations count="6">
    <dataValidation type="list" allowBlank="1" showDropDown="1" showInputMessage="1" showErrorMessage="1" sqref="K25" xr:uid="{89175763-9742-48D1-A2DC-B6142B4032EA}">
      <formula1>LISTE_2</formula1>
    </dataValidation>
    <dataValidation type="list" allowBlank="1" showDropDown="1" showInputMessage="1" showErrorMessage="1" sqref="K24" xr:uid="{FBDF92D5-49EC-497A-B064-3B6AA935D569}">
      <formula1>LISTE_3</formula1>
    </dataValidation>
    <dataValidation allowBlank="1" showInputMessage="1" showErrorMessage="1" promptTitle="Information sur le calcul" prompt="Moyenne des scores des débitmètres du point" sqref="J13 J17 Y17 Y13 P17:Q17 P13:Q13" xr:uid="{2030949C-0E44-4AED-A1E4-904A639C888F}"/>
    <dataValidation allowBlank="1" showInputMessage="1" showErrorMessage="1" promptTitle="Information sur le calcul" prompt="Moyenne des moyennes des scores du point par type d'équipement * coef qualité" sqref="J12 J16 P12:Q12 P16:Q16 Y16 Y12" xr:uid="{AE1E78F1-060F-4BC5-B46B-4A0BC0C8D1A8}"/>
    <dataValidation allowBlank="1" showInputMessage="1" showErrorMessage="1" promptTitle="Information sur le calcul" prompt="Moyenne des scores des préleveurs du point" sqref="J14 Y18 Y14 P18:Q18 P14:Q14 J18" xr:uid="{E50E1A4C-1AD5-4BC1-BB8A-479E5EF20B60}"/>
    <dataValidation allowBlank="1" showInputMessage="1" showErrorMessage="1" promptTitle="Information sur le calcul" prompt="Moyenne des scores des analyses du point" sqref="J15 P19:Q19 Y15 Y19 P15:Q15 J19" xr:uid="{A1DDA13B-2E80-4504-8364-531AD6CA4C6E}"/>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8">
    <tabColor theme="9" tint="0.59999389629810485"/>
  </sheetPr>
  <dimension ref="A1:AC283"/>
  <sheetViews>
    <sheetView zoomScaleNormal="100" workbookViewId="0">
      <selection activeCell="M21" sqref="M21:Q28"/>
    </sheetView>
  </sheetViews>
  <sheetFormatPr baseColWidth="10" defaultColWidth="10.87890625" defaultRowHeight="12.7" x14ac:dyDescent="0.4"/>
  <cols>
    <col min="1" max="1" width="1.41015625" style="139" customWidth="1"/>
    <col min="2" max="2" width="2" style="139" customWidth="1"/>
    <col min="3" max="3" width="5.5859375" style="139" customWidth="1"/>
    <col min="4" max="4" width="14.29296875" style="140" customWidth="1"/>
    <col min="5" max="7" width="14.29296875" style="139" customWidth="1"/>
    <col min="8" max="8" width="14.29296875" style="140" customWidth="1"/>
    <col min="9" max="10" width="14.29296875" style="139" customWidth="1"/>
    <col min="11" max="11" width="17.87890625" style="139" customWidth="1"/>
    <col min="12" max="18" width="14.29296875" style="317" customWidth="1"/>
    <col min="19" max="19" width="2.1171875" style="139" customWidth="1"/>
    <col min="20" max="20" width="10.87890625" style="469"/>
    <col min="21" max="28" width="10.87890625" style="468"/>
    <col min="29" max="29" width="10.87890625" style="322"/>
    <col min="30" max="16384" width="10.87890625" style="139"/>
  </cols>
  <sheetData>
    <row r="1" spans="1:21" ht="9.75" customHeight="1" thickBot="1" x14ac:dyDescent="0.45">
      <c r="A1" s="315"/>
      <c r="B1" s="329"/>
      <c r="C1" s="330"/>
      <c r="D1" s="330"/>
      <c r="E1" s="330"/>
      <c r="F1" s="330"/>
      <c r="G1" s="330"/>
      <c r="H1" s="330"/>
      <c r="I1" s="330"/>
      <c r="J1" s="330"/>
      <c r="K1" s="330"/>
      <c r="L1" s="330"/>
      <c r="M1" s="330"/>
      <c r="N1" s="330"/>
      <c r="O1" s="330"/>
      <c r="P1" s="330"/>
      <c r="Q1" s="330"/>
      <c r="R1" s="330"/>
      <c r="S1" s="331"/>
      <c r="T1" s="464"/>
      <c r="U1" s="464"/>
    </row>
    <row r="2" spans="1:21" ht="38.1" customHeight="1" thickTop="1" x14ac:dyDescent="0.4">
      <c r="A2" s="315"/>
      <c r="B2" s="332"/>
      <c r="C2" s="735" t="s">
        <v>433</v>
      </c>
      <c r="D2" s="485"/>
      <c r="E2" s="485"/>
      <c r="F2" s="485"/>
      <c r="G2" s="485"/>
      <c r="H2" s="485"/>
      <c r="I2" s="485"/>
      <c r="J2" s="485"/>
      <c r="K2" s="485"/>
      <c r="L2" s="485"/>
      <c r="M2" s="485"/>
      <c r="N2" s="485"/>
      <c r="O2" s="485"/>
      <c r="P2" s="485"/>
      <c r="Q2" s="485"/>
      <c r="R2" s="486"/>
      <c r="S2" s="327"/>
      <c r="T2" s="464"/>
      <c r="U2" s="464"/>
    </row>
    <row r="3" spans="1:21" ht="18.95" customHeight="1" x14ac:dyDescent="0.4">
      <c r="A3" s="315"/>
      <c r="B3" s="332"/>
      <c r="C3" s="660" t="s">
        <v>387</v>
      </c>
      <c r="D3" s="566"/>
      <c r="E3" s="566"/>
      <c r="F3" s="559"/>
      <c r="G3" s="491" t="str">
        <f>IF(ISBLANK(Descriptif!F3),"",Descriptif!F3)</f>
        <v>BARJAC (30)</v>
      </c>
      <c r="H3" s="492"/>
      <c r="I3" s="492"/>
      <c r="J3" s="731"/>
      <c r="K3" s="732" t="s">
        <v>555</v>
      </c>
      <c r="L3" s="733"/>
      <c r="M3" s="733"/>
      <c r="N3" s="734"/>
      <c r="O3" s="562" t="str">
        <f>IF(ISBLANK(Descriptif!Q3),"",Descriptif!Q3)</f>
        <v>sys</v>
      </c>
      <c r="P3" s="563"/>
      <c r="Q3" s="563"/>
      <c r="R3" s="659"/>
      <c r="S3" s="327"/>
      <c r="T3" s="464"/>
      <c r="U3" s="464"/>
    </row>
    <row r="4" spans="1:21" ht="18.95" customHeight="1" x14ac:dyDescent="0.4">
      <c r="A4" s="315"/>
      <c r="B4" s="332"/>
      <c r="C4" s="660" t="s">
        <v>388</v>
      </c>
      <c r="D4" s="566"/>
      <c r="E4" s="566"/>
      <c r="F4" s="559"/>
      <c r="G4" s="491" t="str">
        <f>IF(ISBLANK(Descriptif!F4),"",Descriptif!F4)</f>
        <v>eee</v>
      </c>
      <c r="H4" s="492"/>
      <c r="I4" s="492"/>
      <c r="J4" s="731"/>
      <c r="K4" s="732" t="s">
        <v>394</v>
      </c>
      <c r="L4" s="733"/>
      <c r="M4" s="733"/>
      <c r="N4" s="734"/>
      <c r="O4" s="562" t="str">
        <f>IF(ISBLANK(Descriptif!Q4),"",Descriptif!Q4)</f>
        <v>yyy</v>
      </c>
      <c r="P4" s="563"/>
      <c r="Q4" s="563"/>
      <c r="R4" s="659"/>
      <c r="S4" s="327"/>
      <c r="T4" s="464"/>
      <c r="U4" s="464"/>
    </row>
    <row r="5" spans="1:21" ht="18.95" customHeight="1" x14ac:dyDescent="0.4">
      <c r="A5" s="315"/>
      <c r="B5" s="332"/>
      <c r="C5" s="660" t="s">
        <v>389</v>
      </c>
      <c r="D5" s="566"/>
      <c r="E5" s="566"/>
      <c r="F5" s="559"/>
      <c r="G5" s="491" t="str">
        <f>IF(ISBLANK(Descriptif!F5),"",Descriptif!F5)</f>
        <v>Commune de Barjac</v>
      </c>
      <c r="H5" s="492"/>
      <c r="I5" s="492"/>
      <c r="J5" s="731"/>
      <c r="K5" s="732" t="s">
        <v>554</v>
      </c>
      <c r="L5" s="733"/>
      <c r="M5" s="733"/>
      <c r="N5" s="734"/>
      <c r="O5" s="562" t="str">
        <f>IF(ISBLANK(Descriptif!Q6),"",Descriptif!Q6)</f>
        <v>exp r</v>
      </c>
      <c r="P5" s="563"/>
      <c r="Q5" s="563"/>
      <c r="R5" s="659"/>
      <c r="S5" s="327"/>
      <c r="T5" s="464"/>
      <c r="U5" s="464"/>
    </row>
    <row r="6" spans="1:21" ht="18.95" customHeight="1" thickBot="1" x14ac:dyDescent="0.45">
      <c r="A6" s="315"/>
      <c r="B6" s="332"/>
      <c r="C6" s="695" t="s">
        <v>553</v>
      </c>
      <c r="D6" s="567"/>
      <c r="E6" s="567"/>
      <c r="F6" s="561"/>
      <c r="G6" s="564" t="str">
        <f>IF(ISBLANK(Descriptif!F6),"",Descriptif!F6)</f>
        <v>Regie</v>
      </c>
      <c r="H6" s="565"/>
      <c r="I6" s="565"/>
      <c r="J6" s="724"/>
      <c r="K6" s="725" t="s">
        <v>385</v>
      </c>
      <c r="L6" s="725"/>
      <c r="M6" s="725"/>
      <c r="N6" s="726"/>
      <c r="O6" s="564" t="str">
        <f>IF(ISBLANK(Descriptif!U3),"",Descriptif!U3)</f>
        <v>CEREG Ingénierie</v>
      </c>
      <c r="P6" s="565"/>
      <c r="Q6" s="565"/>
      <c r="R6" s="727"/>
      <c r="S6" s="327"/>
      <c r="T6" s="464"/>
      <c r="U6" s="464"/>
    </row>
    <row r="7" spans="1:21" ht="13.7" thickTop="1" thickBot="1" x14ac:dyDescent="0.45">
      <c r="A7" s="315"/>
      <c r="B7" s="332"/>
      <c r="C7" s="333"/>
      <c r="D7" s="333"/>
      <c r="E7" s="333"/>
      <c r="F7" s="333"/>
      <c r="G7" s="333"/>
      <c r="H7" s="333"/>
      <c r="I7" s="333"/>
      <c r="J7" s="333"/>
      <c r="K7" s="333"/>
      <c r="L7" s="333"/>
      <c r="M7" s="333"/>
      <c r="N7" s="333"/>
      <c r="O7" s="333"/>
      <c r="P7" s="333"/>
      <c r="Q7" s="333"/>
      <c r="R7" s="333"/>
      <c r="S7" s="327"/>
      <c r="T7" s="464"/>
      <c r="U7" s="464"/>
    </row>
    <row r="8" spans="1:21" ht="24" thickTop="1" thickBot="1" x14ac:dyDescent="0.45">
      <c r="A8" s="315"/>
      <c r="B8" s="332"/>
      <c r="C8" s="728" t="s">
        <v>451</v>
      </c>
      <c r="D8" s="729"/>
      <c r="E8" s="729"/>
      <c r="F8" s="729"/>
      <c r="G8" s="729"/>
      <c r="H8" s="729"/>
      <c r="I8" s="729"/>
      <c r="J8" s="729"/>
      <c r="K8" s="729"/>
      <c r="L8" s="729"/>
      <c r="M8" s="729"/>
      <c r="N8" s="729"/>
      <c r="O8" s="729"/>
      <c r="P8" s="729"/>
      <c r="Q8" s="729"/>
      <c r="R8" s="730"/>
      <c r="S8" s="321"/>
      <c r="T8" s="464"/>
      <c r="U8" s="464"/>
    </row>
    <row r="9" spans="1:21" ht="13.7" thickTop="1" thickBot="1" x14ac:dyDescent="0.45">
      <c r="A9" s="315"/>
      <c r="B9" s="332"/>
      <c r="C9" s="334"/>
      <c r="D9" s="333"/>
      <c r="E9" s="333"/>
      <c r="F9" s="333"/>
      <c r="G9" s="333"/>
      <c r="H9" s="333"/>
      <c r="I9" s="333"/>
      <c r="J9" s="333"/>
      <c r="K9" s="333"/>
      <c r="L9" s="333"/>
      <c r="M9" s="333"/>
      <c r="N9" s="333"/>
      <c r="O9" s="333"/>
      <c r="P9" s="333"/>
      <c r="Q9" s="333"/>
      <c r="R9" s="326"/>
      <c r="S9" s="327"/>
      <c r="T9" s="464"/>
      <c r="U9" s="464"/>
    </row>
    <row r="10" spans="1:21" ht="27.95" customHeight="1" thickBot="1" x14ac:dyDescent="0.45">
      <c r="A10" s="315"/>
      <c r="B10" s="332"/>
      <c r="C10" s="313"/>
      <c r="D10" s="423">
        <v>1</v>
      </c>
      <c r="E10" s="718" t="s">
        <v>452</v>
      </c>
      <c r="F10" s="719"/>
      <c r="G10" s="719"/>
      <c r="H10" s="719"/>
      <c r="I10" s="719"/>
      <c r="J10" s="719"/>
      <c r="K10" s="720"/>
      <c r="L10" s="422" t="s">
        <v>64</v>
      </c>
      <c r="M10" s="721"/>
      <c r="N10" s="722"/>
      <c r="O10" s="722"/>
      <c r="P10" s="722"/>
      <c r="Q10" s="723"/>
      <c r="R10" s="326"/>
      <c r="S10" s="327"/>
      <c r="T10" s="464"/>
      <c r="U10" s="464"/>
    </row>
    <row r="11" spans="1:21" ht="13" x14ac:dyDescent="0.4">
      <c r="A11" s="315"/>
      <c r="B11" s="332"/>
      <c r="C11" s="334"/>
      <c r="D11" s="333"/>
      <c r="E11" s="333"/>
      <c r="F11" s="333"/>
      <c r="G11" s="333"/>
      <c r="H11" s="333"/>
      <c r="I11" s="333"/>
      <c r="J11" s="333"/>
      <c r="K11" s="333"/>
      <c r="L11" s="333"/>
      <c r="M11" s="333"/>
      <c r="N11" s="333"/>
      <c r="O11" s="333"/>
      <c r="P11" s="333"/>
      <c r="Q11" s="333"/>
      <c r="R11" s="326"/>
      <c r="S11" s="327"/>
      <c r="T11" s="464"/>
      <c r="U11" s="464"/>
    </row>
    <row r="12" spans="1:21" ht="15.7" x14ac:dyDescent="0.4">
      <c r="A12" s="315"/>
      <c r="B12" s="332"/>
      <c r="C12" s="334"/>
      <c r="D12" s="335" t="s">
        <v>403</v>
      </c>
      <c r="E12" s="333"/>
      <c r="F12" s="333"/>
      <c r="G12" s="333"/>
      <c r="H12" s="333"/>
      <c r="I12" s="333"/>
      <c r="J12" s="333"/>
      <c r="K12" s="333"/>
      <c r="L12" s="333"/>
      <c r="M12" s="333"/>
      <c r="N12" s="333"/>
      <c r="O12" s="333"/>
      <c r="P12" s="333"/>
      <c r="Q12" s="333"/>
      <c r="R12" s="326"/>
      <c r="S12" s="327"/>
      <c r="T12" s="464"/>
      <c r="U12" s="464"/>
    </row>
    <row r="13" spans="1:21" ht="53.7" customHeight="1" x14ac:dyDescent="0.4">
      <c r="A13" s="315"/>
      <c r="B13" s="332"/>
      <c r="C13" s="313"/>
      <c r="D13" s="497" t="s">
        <v>472</v>
      </c>
      <c r="E13" s="498"/>
      <c r="F13" s="498"/>
      <c r="G13" s="498"/>
      <c r="H13" s="498"/>
      <c r="I13" s="498"/>
      <c r="J13" s="498"/>
      <c r="K13" s="498"/>
      <c r="L13" s="498"/>
      <c r="M13" s="498"/>
      <c r="N13" s="498"/>
      <c r="O13" s="498"/>
      <c r="P13" s="498"/>
      <c r="Q13" s="499"/>
      <c r="R13" s="326"/>
      <c r="S13" s="327"/>
      <c r="T13" s="464"/>
      <c r="U13" s="464"/>
    </row>
    <row r="14" spans="1:21" ht="18.350000000000001" customHeight="1" x14ac:dyDescent="0.4">
      <c r="A14" s="315"/>
      <c r="B14" s="332"/>
      <c r="C14" s="334"/>
      <c r="D14" s="470"/>
      <c r="E14" s="470"/>
      <c r="F14" s="470"/>
      <c r="G14" s="470"/>
      <c r="H14" s="470"/>
      <c r="I14" s="470"/>
      <c r="J14" s="470"/>
      <c r="K14" s="470"/>
      <c r="L14" s="470"/>
      <c r="M14" s="470"/>
      <c r="N14" s="470"/>
      <c r="O14" s="470"/>
      <c r="P14" s="470"/>
      <c r="Q14" s="470"/>
      <c r="R14" s="326"/>
      <c r="S14" s="327"/>
      <c r="T14" s="464"/>
      <c r="U14" s="464"/>
    </row>
    <row r="15" spans="1:21" ht="53.7" customHeight="1" x14ac:dyDescent="0.4">
      <c r="A15" s="315"/>
      <c r="B15" s="332"/>
      <c r="C15" s="334"/>
      <c r="D15" s="741" t="s">
        <v>570</v>
      </c>
      <c r="E15" s="741"/>
      <c r="F15" s="741"/>
      <c r="G15" s="741"/>
      <c r="H15" s="741"/>
      <c r="I15" s="741"/>
      <c r="J15" s="741"/>
      <c r="K15" s="741"/>
      <c r="L15" s="741"/>
      <c r="M15" s="741"/>
      <c r="N15" s="741"/>
      <c r="O15" s="741"/>
      <c r="P15" s="741"/>
      <c r="Q15" s="741"/>
      <c r="R15" s="326"/>
      <c r="S15" s="327"/>
      <c r="T15" s="464"/>
      <c r="U15" s="464"/>
    </row>
    <row r="16" spans="1:21" ht="110.7" customHeight="1" x14ac:dyDescent="0.4">
      <c r="A16" s="315"/>
      <c r="B16" s="332"/>
      <c r="C16" s="313"/>
      <c r="D16" s="741"/>
      <c r="E16" s="741"/>
      <c r="F16" s="741"/>
      <c r="G16" s="741"/>
      <c r="H16" s="741"/>
      <c r="I16" s="741"/>
      <c r="J16" s="741"/>
      <c r="K16" s="741"/>
      <c r="L16" s="741"/>
      <c r="M16" s="741"/>
      <c r="N16" s="741"/>
      <c r="O16" s="741"/>
      <c r="P16" s="741"/>
      <c r="Q16" s="741"/>
      <c r="R16" s="326"/>
      <c r="S16" s="327"/>
      <c r="T16" s="464"/>
      <c r="U16" s="464"/>
    </row>
    <row r="17" spans="1:21" ht="13.35" thickBot="1" x14ac:dyDescent="0.45">
      <c r="A17" s="315"/>
      <c r="B17" s="332"/>
      <c r="C17" s="336"/>
      <c r="D17" s="337"/>
      <c r="E17" s="337"/>
      <c r="F17" s="337"/>
      <c r="G17" s="337"/>
      <c r="H17" s="337"/>
      <c r="I17" s="337"/>
      <c r="J17" s="337"/>
      <c r="K17" s="337"/>
      <c r="L17" s="337"/>
      <c r="M17" s="337"/>
      <c r="N17" s="337"/>
      <c r="O17" s="337"/>
      <c r="P17" s="337"/>
      <c r="Q17" s="337"/>
      <c r="R17" s="328"/>
      <c r="S17" s="327"/>
      <c r="T17" s="464"/>
      <c r="U17" s="464"/>
    </row>
    <row r="18" spans="1:21" ht="13.7" thickTop="1" thickBot="1" x14ac:dyDescent="0.45">
      <c r="A18" s="315"/>
      <c r="B18" s="332"/>
      <c r="C18" s="333"/>
      <c r="D18" s="333"/>
      <c r="E18" s="333"/>
      <c r="F18" s="333"/>
      <c r="G18" s="333"/>
      <c r="H18" s="333"/>
      <c r="I18" s="333"/>
      <c r="J18" s="333"/>
      <c r="K18" s="333"/>
      <c r="L18" s="333"/>
      <c r="M18" s="333"/>
      <c r="N18" s="333"/>
      <c r="O18" s="333"/>
      <c r="P18" s="333"/>
      <c r="Q18" s="333"/>
      <c r="R18" s="333"/>
      <c r="S18" s="327"/>
      <c r="T18" s="464"/>
      <c r="U18" s="464"/>
    </row>
    <row r="19" spans="1:21" ht="24" thickTop="1" thickBot="1" x14ac:dyDescent="0.45">
      <c r="A19" s="315"/>
      <c r="B19" s="332"/>
      <c r="C19" s="728" t="s">
        <v>459</v>
      </c>
      <c r="D19" s="729"/>
      <c r="E19" s="729"/>
      <c r="F19" s="729"/>
      <c r="G19" s="729"/>
      <c r="H19" s="729"/>
      <c r="I19" s="729"/>
      <c r="J19" s="729"/>
      <c r="K19" s="729"/>
      <c r="L19" s="729"/>
      <c r="M19" s="729"/>
      <c r="N19" s="729"/>
      <c r="O19" s="729"/>
      <c r="P19" s="729"/>
      <c r="Q19" s="729"/>
      <c r="R19" s="730"/>
      <c r="S19" s="321"/>
      <c r="T19" s="464"/>
      <c r="U19" s="464"/>
    </row>
    <row r="20" spans="1:21" ht="13.7" thickTop="1" thickBot="1" x14ac:dyDescent="0.45">
      <c r="A20" s="315"/>
      <c r="B20" s="332"/>
      <c r="C20" s="334"/>
      <c r="D20" s="333"/>
      <c r="E20" s="333"/>
      <c r="F20" s="333"/>
      <c r="G20" s="333"/>
      <c r="H20" s="333"/>
      <c r="I20" s="333"/>
      <c r="J20" s="333"/>
      <c r="K20" s="333"/>
      <c r="L20" s="333"/>
      <c r="M20" s="333"/>
      <c r="N20" s="333"/>
      <c r="O20" s="333"/>
      <c r="P20" s="333"/>
      <c r="Q20" s="333"/>
      <c r="R20" s="326"/>
      <c r="S20" s="327"/>
      <c r="T20" s="464"/>
      <c r="U20" s="464"/>
    </row>
    <row r="21" spans="1:21" ht="26.1" customHeight="1" x14ac:dyDescent="0.4">
      <c r="A21" s="315"/>
      <c r="B21" s="332"/>
      <c r="C21" s="334"/>
      <c r="D21" s="440">
        <v>2</v>
      </c>
      <c r="E21" s="742" t="s">
        <v>533</v>
      </c>
      <c r="F21" s="743"/>
      <c r="G21" s="743"/>
      <c r="H21" s="743"/>
      <c r="I21" s="743"/>
      <c r="J21" s="743"/>
      <c r="K21" s="744"/>
      <c r="L21" s="441" t="s">
        <v>64</v>
      </c>
      <c r="M21" s="745"/>
      <c r="N21" s="745"/>
      <c r="O21" s="745"/>
      <c r="P21" s="745"/>
      <c r="Q21" s="746"/>
      <c r="R21" s="326"/>
      <c r="S21" s="327"/>
      <c r="T21" s="464"/>
      <c r="U21" s="464"/>
    </row>
    <row r="22" spans="1:21" ht="26.1" customHeight="1" x14ac:dyDescent="0.4">
      <c r="A22" s="315"/>
      <c r="B22" s="332"/>
      <c r="C22" s="334"/>
      <c r="D22" s="442">
        <v>3</v>
      </c>
      <c r="E22" s="736" t="s">
        <v>534</v>
      </c>
      <c r="F22" s="737"/>
      <c r="G22" s="737"/>
      <c r="H22" s="737"/>
      <c r="I22" s="737"/>
      <c r="J22" s="737"/>
      <c r="K22" s="738"/>
      <c r="L22" s="420" t="s">
        <v>64</v>
      </c>
      <c r="M22" s="739"/>
      <c r="N22" s="739"/>
      <c r="O22" s="739"/>
      <c r="P22" s="739"/>
      <c r="Q22" s="740"/>
      <c r="R22" s="326"/>
      <c r="S22" s="327"/>
      <c r="T22" s="464"/>
      <c r="U22" s="464"/>
    </row>
    <row r="23" spans="1:21" ht="26.1" customHeight="1" x14ac:dyDescent="0.4">
      <c r="A23" s="315"/>
      <c r="B23" s="332"/>
      <c r="C23" s="334"/>
      <c r="D23" s="442">
        <v>4</v>
      </c>
      <c r="E23" s="736" t="s">
        <v>535</v>
      </c>
      <c r="F23" s="737"/>
      <c r="G23" s="737"/>
      <c r="H23" s="737"/>
      <c r="I23" s="737"/>
      <c r="J23" s="737"/>
      <c r="K23" s="738"/>
      <c r="L23" s="420" t="s">
        <v>64</v>
      </c>
      <c r="M23" s="739"/>
      <c r="N23" s="739"/>
      <c r="O23" s="739"/>
      <c r="P23" s="739"/>
      <c r="Q23" s="740"/>
      <c r="R23" s="326"/>
      <c r="S23" s="327"/>
      <c r="T23" s="464"/>
      <c r="U23" s="464"/>
    </row>
    <row r="24" spans="1:21" ht="26.1" customHeight="1" x14ac:dyDescent="0.4">
      <c r="A24" s="315"/>
      <c r="B24" s="332"/>
      <c r="C24" s="334"/>
      <c r="D24" s="442">
        <v>5</v>
      </c>
      <c r="E24" s="736" t="s">
        <v>536</v>
      </c>
      <c r="F24" s="737"/>
      <c r="G24" s="737"/>
      <c r="H24" s="737"/>
      <c r="I24" s="737"/>
      <c r="J24" s="737"/>
      <c r="K24" s="738"/>
      <c r="L24" s="420" t="s">
        <v>64</v>
      </c>
      <c r="M24" s="739"/>
      <c r="N24" s="739"/>
      <c r="O24" s="739"/>
      <c r="P24" s="739"/>
      <c r="Q24" s="740"/>
      <c r="R24" s="326"/>
      <c r="S24" s="327"/>
      <c r="T24" s="464"/>
      <c r="U24" s="464"/>
    </row>
    <row r="25" spans="1:21" ht="26.1" customHeight="1" x14ac:dyDescent="0.4">
      <c r="A25" s="315"/>
      <c r="B25" s="332"/>
      <c r="C25" s="334"/>
      <c r="D25" s="442">
        <v>6</v>
      </c>
      <c r="E25" s="736" t="s">
        <v>537</v>
      </c>
      <c r="F25" s="737"/>
      <c r="G25" s="737"/>
      <c r="H25" s="737"/>
      <c r="I25" s="737"/>
      <c r="J25" s="737"/>
      <c r="K25" s="738"/>
      <c r="L25" s="420" t="s">
        <v>64</v>
      </c>
      <c r="M25" s="739"/>
      <c r="N25" s="739"/>
      <c r="O25" s="739"/>
      <c r="P25" s="739"/>
      <c r="Q25" s="740"/>
      <c r="R25" s="326"/>
      <c r="S25" s="327"/>
      <c r="T25" s="464"/>
      <c r="U25" s="464"/>
    </row>
    <row r="26" spans="1:21" ht="26.1" customHeight="1" x14ac:dyDescent="0.4">
      <c r="A26" s="315"/>
      <c r="B26" s="332"/>
      <c r="C26" s="334"/>
      <c r="D26" s="442">
        <v>7</v>
      </c>
      <c r="E26" s="736" t="s">
        <v>538</v>
      </c>
      <c r="F26" s="737"/>
      <c r="G26" s="737"/>
      <c r="H26" s="737"/>
      <c r="I26" s="737"/>
      <c r="J26" s="737"/>
      <c r="K26" s="738"/>
      <c r="L26" s="420" t="s">
        <v>64</v>
      </c>
      <c r="M26" s="739"/>
      <c r="N26" s="739"/>
      <c r="O26" s="739"/>
      <c r="P26" s="739"/>
      <c r="Q26" s="740"/>
      <c r="R26" s="326"/>
      <c r="S26" s="327"/>
      <c r="T26" s="464"/>
      <c r="U26" s="464"/>
    </row>
    <row r="27" spans="1:21" ht="26.1" customHeight="1" x14ac:dyDescent="0.4">
      <c r="A27" s="315"/>
      <c r="B27" s="332"/>
      <c r="C27" s="334"/>
      <c r="D27" s="442">
        <v>8</v>
      </c>
      <c r="E27" s="736" t="s">
        <v>539</v>
      </c>
      <c r="F27" s="737"/>
      <c r="G27" s="737"/>
      <c r="H27" s="737"/>
      <c r="I27" s="737"/>
      <c r="J27" s="737"/>
      <c r="K27" s="738"/>
      <c r="L27" s="420" t="s">
        <v>64</v>
      </c>
      <c r="M27" s="747"/>
      <c r="N27" s="748"/>
      <c r="O27" s="748"/>
      <c r="P27" s="748"/>
      <c r="Q27" s="749"/>
      <c r="R27" s="326"/>
      <c r="S27" s="327"/>
      <c r="T27" s="464"/>
      <c r="U27" s="464"/>
    </row>
    <row r="28" spans="1:21" ht="26.1" customHeight="1" thickBot="1" x14ac:dyDescent="0.45">
      <c r="A28" s="315"/>
      <c r="B28" s="332"/>
      <c r="C28" s="334"/>
      <c r="D28" s="443">
        <v>9</v>
      </c>
      <c r="E28" s="750" t="s">
        <v>540</v>
      </c>
      <c r="F28" s="751"/>
      <c r="G28" s="751"/>
      <c r="H28" s="751"/>
      <c r="I28" s="751"/>
      <c r="J28" s="751"/>
      <c r="K28" s="752"/>
      <c r="L28" s="421" t="s">
        <v>111</v>
      </c>
      <c r="M28" s="753"/>
      <c r="N28" s="754"/>
      <c r="O28" s="754"/>
      <c r="P28" s="754"/>
      <c r="Q28" s="755"/>
      <c r="R28" s="326"/>
      <c r="S28" s="327"/>
      <c r="T28" s="464"/>
      <c r="U28" s="464"/>
    </row>
    <row r="29" spans="1:21" ht="26.1" customHeight="1" thickBot="1" x14ac:dyDescent="0.45">
      <c r="A29" s="315"/>
      <c r="B29" s="332"/>
      <c r="C29" s="334"/>
      <c r="D29" s="419">
        <v>10</v>
      </c>
      <c r="E29" s="756" t="s">
        <v>541</v>
      </c>
      <c r="F29" s="757"/>
      <c r="G29" s="757"/>
      <c r="H29" s="757"/>
      <c r="I29" s="757"/>
      <c r="J29" s="757"/>
      <c r="K29" s="758"/>
      <c r="L29" s="422" t="str">
        <f>IF(COUNTIF(L21:L28,"Non")&gt;0,"Non","Oui")</f>
        <v>Non</v>
      </c>
      <c r="M29" s="759"/>
      <c r="N29" s="760"/>
      <c r="O29" s="760"/>
      <c r="P29" s="760"/>
      <c r="Q29" s="761"/>
      <c r="R29" s="326"/>
      <c r="S29" s="327"/>
      <c r="T29" s="464"/>
      <c r="U29" s="464"/>
    </row>
    <row r="30" spans="1:21" ht="13" x14ac:dyDescent="0.4">
      <c r="A30" s="315"/>
      <c r="B30" s="332"/>
      <c r="C30" s="334"/>
      <c r="D30" s="333"/>
      <c r="E30" s="333"/>
      <c r="F30" s="333"/>
      <c r="G30" s="333"/>
      <c r="H30" s="333"/>
      <c r="I30" s="333"/>
      <c r="J30" s="333"/>
      <c r="K30" s="333"/>
      <c r="L30" s="333"/>
      <c r="M30" s="333"/>
      <c r="N30" s="333"/>
      <c r="O30" s="333"/>
      <c r="P30" s="333"/>
      <c r="Q30" s="333"/>
      <c r="R30" s="326"/>
      <c r="S30" s="327"/>
      <c r="T30" s="464"/>
      <c r="U30" s="464"/>
    </row>
    <row r="31" spans="1:21" ht="15.7" x14ac:dyDescent="0.4">
      <c r="A31" s="315"/>
      <c r="B31" s="332"/>
      <c r="C31" s="334"/>
      <c r="D31" s="335" t="s">
        <v>403</v>
      </c>
      <c r="E31" s="333"/>
      <c r="F31" s="333"/>
      <c r="G31" s="333"/>
      <c r="H31" s="333"/>
      <c r="I31" s="333"/>
      <c r="J31" s="333"/>
      <c r="K31" s="333"/>
      <c r="L31" s="333"/>
      <c r="M31" s="333"/>
      <c r="N31" s="333"/>
      <c r="O31" s="333"/>
      <c r="P31" s="333"/>
      <c r="Q31" s="333"/>
      <c r="R31" s="326"/>
      <c r="S31" s="327"/>
      <c r="T31" s="464"/>
      <c r="U31" s="464"/>
    </row>
    <row r="32" spans="1:21" ht="37.700000000000003" customHeight="1" x14ac:dyDescent="0.4">
      <c r="A32" s="315"/>
      <c r="B32" s="332"/>
      <c r="C32" s="334"/>
      <c r="D32" s="497" t="s">
        <v>478</v>
      </c>
      <c r="E32" s="498"/>
      <c r="F32" s="498"/>
      <c r="G32" s="498"/>
      <c r="H32" s="498"/>
      <c r="I32" s="498"/>
      <c r="J32" s="498"/>
      <c r="K32" s="498"/>
      <c r="L32" s="498"/>
      <c r="M32" s="498"/>
      <c r="N32" s="498"/>
      <c r="O32" s="498"/>
      <c r="P32" s="498"/>
      <c r="Q32" s="499"/>
      <c r="R32" s="326"/>
      <c r="S32" s="327"/>
      <c r="T32" s="464"/>
      <c r="U32" s="464"/>
    </row>
    <row r="33" spans="1:21" ht="13.35" thickBot="1" x14ac:dyDescent="0.45">
      <c r="A33" s="315"/>
      <c r="B33" s="332"/>
      <c r="C33" s="336"/>
      <c r="D33" s="337"/>
      <c r="E33" s="337"/>
      <c r="F33" s="337"/>
      <c r="G33" s="337"/>
      <c r="H33" s="337"/>
      <c r="I33" s="337"/>
      <c r="J33" s="337"/>
      <c r="K33" s="337"/>
      <c r="L33" s="337"/>
      <c r="M33" s="337"/>
      <c r="N33" s="337"/>
      <c r="O33" s="337"/>
      <c r="P33" s="337"/>
      <c r="Q33" s="337"/>
      <c r="R33" s="328"/>
      <c r="S33" s="327"/>
      <c r="T33" s="464"/>
      <c r="U33" s="464"/>
    </row>
    <row r="34" spans="1:21" ht="13.35" thickTop="1" x14ac:dyDescent="0.4">
      <c r="A34" s="315"/>
      <c r="B34" s="332"/>
      <c r="C34" s="333"/>
      <c r="D34" s="333"/>
      <c r="E34" s="333"/>
      <c r="F34" s="333"/>
      <c r="G34" s="333"/>
      <c r="H34" s="333"/>
      <c r="I34" s="333"/>
      <c r="J34" s="333"/>
      <c r="K34" s="333"/>
      <c r="L34" s="333"/>
      <c r="M34" s="333"/>
      <c r="N34" s="333"/>
      <c r="O34" s="333"/>
      <c r="P34" s="333"/>
      <c r="Q34" s="333"/>
      <c r="R34" s="333"/>
      <c r="S34" s="327"/>
      <c r="T34" s="464"/>
      <c r="U34" s="464"/>
    </row>
    <row r="35" spans="1:21" ht="13" x14ac:dyDescent="0.4">
      <c r="A35" s="315"/>
      <c r="B35" s="323"/>
      <c r="C35" s="324"/>
      <c r="D35" s="324"/>
      <c r="E35" s="324"/>
      <c r="F35" s="324"/>
      <c r="G35" s="324"/>
      <c r="H35" s="324"/>
      <c r="I35" s="324"/>
      <c r="J35" s="324"/>
      <c r="K35" s="324"/>
      <c r="L35" s="324"/>
      <c r="M35" s="324"/>
      <c r="N35" s="324"/>
      <c r="O35" s="324"/>
      <c r="P35" s="324"/>
      <c r="Q35" s="324"/>
      <c r="R35" s="324"/>
      <c r="S35" s="325"/>
      <c r="T35" s="464"/>
      <c r="U35" s="464"/>
    </row>
    <row r="36" spans="1:21" ht="13" x14ac:dyDescent="0.4">
      <c r="A36" s="315"/>
      <c r="B36" s="315"/>
      <c r="C36" s="315"/>
      <c r="D36" s="315"/>
      <c r="E36" s="315"/>
      <c r="F36" s="315"/>
      <c r="G36" s="315"/>
      <c r="H36" s="315"/>
      <c r="I36" s="315"/>
      <c r="J36" s="315"/>
      <c r="K36" s="315"/>
      <c r="L36" s="315"/>
      <c r="M36" s="315"/>
      <c r="N36" s="315"/>
      <c r="O36" s="315"/>
      <c r="P36" s="315"/>
      <c r="Q36" s="315"/>
      <c r="R36" s="315"/>
      <c r="S36" s="315"/>
      <c r="T36" s="464"/>
      <c r="U36" s="464"/>
    </row>
    <row r="37" spans="1:21" ht="13" x14ac:dyDescent="0.4">
      <c r="A37" s="315"/>
      <c r="B37" s="315"/>
      <c r="C37" s="315"/>
      <c r="D37" s="315"/>
      <c r="E37" s="315"/>
      <c r="F37" s="315"/>
      <c r="G37" s="315"/>
      <c r="H37" s="315"/>
      <c r="I37" s="315"/>
      <c r="J37" s="315"/>
      <c r="K37" s="315"/>
      <c r="L37" s="315"/>
      <c r="M37" s="315"/>
      <c r="N37" s="315"/>
      <c r="O37" s="315"/>
      <c r="P37" s="315"/>
      <c r="Q37" s="315"/>
      <c r="R37" s="315"/>
      <c r="S37" s="315"/>
      <c r="T37" s="464"/>
      <c r="U37" s="464"/>
    </row>
    <row r="38" spans="1:21" ht="13" x14ac:dyDescent="0.4">
      <c r="A38" s="315"/>
      <c r="B38" s="315"/>
      <c r="C38" s="315"/>
      <c r="D38" s="315"/>
      <c r="E38" s="315"/>
      <c r="F38" s="315"/>
      <c r="G38" s="315"/>
      <c r="H38" s="315"/>
      <c r="I38" s="315"/>
      <c r="J38" s="315"/>
      <c r="K38" s="315"/>
      <c r="L38" s="315"/>
      <c r="M38" s="315"/>
      <c r="N38" s="315"/>
      <c r="O38" s="315"/>
      <c r="P38" s="315"/>
      <c r="Q38" s="315"/>
      <c r="R38" s="315"/>
      <c r="S38" s="315"/>
      <c r="T38" s="464"/>
      <c r="U38" s="464"/>
    </row>
    <row r="39" spans="1:21" ht="13" x14ac:dyDescent="0.4">
      <c r="A39" s="315"/>
      <c r="B39" s="315"/>
      <c r="C39" s="315"/>
      <c r="D39" s="315"/>
      <c r="E39" s="315"/>
      <c r="F39" s="315"/>
      <c r="G39" s="315"/>
      <c r="H39" s="315"/>
      <c r="I39" s="315"/>
      <c r="J39" s="315"/>
      <c r="K39" s="315"/>
      <c r="L39" s="315"/>
      <c r="M39" s="315"/>
      <c r="N39" s="315"/>
      <c r="O39" s="315"/>
      <c r="P39" s="315"/>
      <c r="Q39" s="315"/>
      <c r="R39" s="315"/>
      <c r="S39" s="315"/>
      <c r="T39" s="464"/>
      <c r="U39" s="464"/>
    </row>
    <row r="40" spans="1:21" ht="13" x14ac:dyDescent="0.4">
      <c r="A40" s="315"/>
      <c r="B40" s="315"/>
      <c r="C40" s="315"/>
      <c r="D40" s="315"/>
      <c r="E40" s="315"/>
      <c r="F40" s="315"/>
      <c r="G40" s="315"/>
      <c r="H40" s="315"/>
      <c r="I40" s="315"/>
      <c r="J40" s="315"/>
      <c r="K40" s="315"/>
      <c r="L40" s="315"/>
      <c r="M40" s="315"/>
      <c r="N40" s="315"/>
      <c r="O40" s="315"/>
      <c r="P40" s="315"/>
      <c r="Q40" s="315"/>
      <c r="R40" s="315"/>
      <c r="S40" s="315"/>
      <c r="T40" s="464"/>
      <c r="U40" s="464"/>
    </row>
    <row r="41" spans="1:21" ht="13" x14ac:dyDescent="0.4">
      <c r="A41" s="315"/>
      <c r="B41" s="315"/>
      <c r="C41" s="315"/>
      <c r="D41" s="315"/>
      <c r="E41" s="315"/>
      <c r="F41" s="315"/>
      <c r="G41" s="315"/>
      <c r="H41" s="315"/>
      <c r="I41" s="315"/>
      <c r="J41" s="315"/>
      <c r="K41" s="315"/>
      <c r="L41" s="315"/>
      <c r="M41" s="315"/>
      <c r="N41" s="315"/>
      <c r="O41" s="315"/>
      <c r="P41" s="315"/>
      <c r="Q41" s="315"/>
      <c r="R41" s="315"/>
      <c r="S41" s="315"/>
      <c r="T41" s="464"/>
      <c r="U41" s="464"/>
    </row>
    <row r="42" spans="1:21" ht="13" x14ac:dyDescent="0.4">
      <c r="A42" s="315"/>
      <c r="B42" s="315"/>
      <c r="C42" s="315"/>
      <c r="D42" s="315"/>
      <c r="E42" s="315"/>
      <c r="F42" s="315"/>
      <c r="G42" s="315"/>
      <c r="H42" s="315"/>
      <c r="I42" s="315"/>
      <c r="J42" s="315"/>
      <c r="K42" s="315"/>
      <c r="L42" s="315"/>
      <c r="M42" s="315"/>
      <c r="N42" s="315"/>
      <c r="O42" s="315"/>
      <c r="P42" s="315"/>
      <c r="Q42" s="315"/>
      <c r="R42" s="315"/>
      <c r="S42" s="315"/>
      <c r="T42" s="464"/>
      <c r="U42" s="464"/>
    </row>
    <row r="43" spans="1:21" ht="13" x14ac:dyDescent="0.4">
      <c r="A43" s="315"/>
      <c r="B43" s="315"/>
      <c r="C43" s="315"/>
      <c r="D43" s="315"/>
      <c r="E43" s="315"/>
      <c r="F43" s="315"/>
      <c r="G43" s="315"/>
      <c r="H43" s="315"/>
      <c r="I43" s="315"/>
      <c r="J43" s="315"/>
      <c r="K43" s="315"/>
      <c r="L43" s="315"/>
      <c r="M43" s="315"/>
      <c r="N43" s="315"/>
      <c r="O43" s="315"/>
      <c r="P43" s="315"/>
      <c r="Q43" s="315"/>
      <c r="R43" s="315"/>
      <c r="S43" s="315"/>
      <c r="T43" s="464"/>
      <c r="U43" s="464"/>
    </row>
    <row r="44" spans="1:21" ht="13" x14ac:dyDescent="0.4">
      <c r="A44" s="315"/>
      <c r="B44" s="315"/>
      <c r="C44" s="315"/>
      <c r="D44" s="315"/>
      <c r="E44" s="315"/>
      <c r="F44" s="315"/>
      <c r="G44" s="315"/>
      <c r="H44" s="315"/>
      <c r="I44" s="315"/>
      <c r="J44" s="315"/>
      <c r="K44" s="315"/>
      <c r="L44" s="315"/>
      <c r="M44" s="315"/>
      <c r="N44" s="315"/>
      <c r="O44" s="315"/>
      <c r="P44" s="315"/>
      <c r="Q44" s="315"/>
      <c r="R44" s="315"/>
      <c r="S44" s="315"/>
      <c r="T44" s="464"/>
      <c r="U44" s="464"/>
    </row>
    <row r="45" spans="1:21" ht="13" x14ac:dyDescent="0.4">
      <c r="A45" s="315"/>
      <c r="B45" s="315"/>
      <c r="C45" s="315"/>
      <c r="D45" s="315"/>
      <c r="E45" s="315"/>
      <c r="F45" s="315"/>
      <c r="G45" s="315"/>
      <c r="H45" s="315"/>
      <c r="I45" s="315"/>
      <c r="J45" s="315"/>
      <c r="K45" s="315"/>
      <c r="L45" s="315"/>
      <c r="M45" s="315"/>
      <c r="N45" s="315"/>
      <c r="O45" s="315"/>
      <c r="P45" s="315"/>
      <c r="Q45" s="315"/>
      <c r="R45" s="315"/>
      <c r="S45" s="315"/>
      <c r="T45" s="464"/>
      <c r="U45" s="464"/>
    </row>
    <row r="46" spans="1:21" ht="13" x14ac:dyDescent="0.4">
      <c r="A46" s="315"/>
      <c r="B46" s="315"/>
      <c r="C46" s="315"/>
      <c r="D46" s="315"/>
      <c r="E46" s="315"/>
      <c r="F46" s="315"/>
      <c r="G46" s="315"/>
      <c r="H46" s="315"/>
      <c r="I46" s="315"/>
      <c r="J46" s="315"/>
      <c r="K46" s="315"/>
      <c r="L46" s="315"/>
      <c r="M46" s="315"/>
      <c r="N46" s="315"/>
      <c r="O46" s="315"/>
      <c r="P46" s="315"/>
      <c r="Q46" s="315"/>
      <c r="R46" s="315"/>
      <c r="S46" s="315"/>
      <c r="T46" s="464"/>
      <c r="U46" s="464"/>
    </row>
    <row r="47" spans="1:21" ht="13" x14ac:dyDescent="0.4">
      <c r="A47" s="315"/>
      <c r="B47" s="315"/>
      <c r="C47" s="315"/>
      <c r="D47" s="315"/>
      <c r="E47" s="315"/>
      <c r="F47" s="315"/>
      <c r="G47" s="315"/>
      <c r="H47" s="315"/>
      <c r="I47" s="315"/>
      <c r="J47" s="315"/>
      <c r="K47" s="315"/>
      <c r="L47" s="315"/>
      <c r="M47" s="315"/>
      <c r="N47" s="315"/>
      <c r="O47" s="315"/>
      <c r="P47" s="315"/>
      <c r="Q47" s="315"/>
      <c r="R47" s="315"/>
      <c r="S47" s="315"/>
      <c r="T47" s="464"/>
      <c r="U47" s="464"/>
    </row>
    <row r="48" spans="1:21" ht="13" x14ac:dyDescent="0.4">
      <c r="A48" s="315"/>
      <c r="B48" s="315"/>
      <c r="C48" s="315"/>
      <c r="D48" s="315"/>
      <c r="E48" s="315"/>
      <c r="F48" s="315"/>
      <c r="G48" s="315"/>
      <c r="H48" s="315"/>
      <c r="I48" s="315"/>
      <c r="J48" s="315"/>
      <c r="K48" s="315"/>
      <c r="L48" s="315"/>
      <c r="M48" s="315"/>
      <c r="N48" s="315"/>
      <c r="O48" s="315"/>
      <c r="P48" s="315"/>
      <c r="Q48" s="315"/>
      <c r="R48" s="315"/>
      <c r="S48" s="315"/>
      <c r="T48" s="464"/>
      <c r="U48" s="464"/>
    </row>
    <row r="49" spans="1:21" ht="13" x14ac:dyDescent="0.4">
      <c r="A49" s="315"/>
      <c r="B49" s="315"/>
      <c r="C49" s="315"/>
      <c r="D49" s="315"/>
      <c r="E49" s="315"/>
      <c r="F49" s="315"/>
      <c r="G49" s="315"/>
      <c r="H49" s="315"/>
      <c r="I49" s="315"/>
      <c r="J49" s="315"/>
      <c r="K49" s="315"/>
      <c r="L49" s="315"/>
      <c r="M49" s="315"/>
      <c r="N49" s="315"/>
      <c r="O49" s="315"/>
      <c r="P49" s="315"/>
      <c r="Q49" s="315"/>
      <c r="R49" s="315"/>
      <c r="S49" s="315"/>
      <c r="T49" s="464"/>
      <c r="U49" s="464"/>
    </row>
    <row r="50" spans="1:21" ht="13" x14ac:dyDescent="0.4">
      <c r="A50" s="315"/>
      <c r="B50" s="315"/>
      <c r="C50" s="315"/>
      <c r="D50" s="315"/>
      <c r="E50" s="315"/>
      <c r="F50" s="315"/>
      <c r="G50" s="315"/>
      <c r="H50" s="315"/>
      <c r="I50" s="315"/>
      <c r="J50" s="315"/>
      <c r="K50" s="315"/>
      <c r="L50" s="315"/>
      <c r="M50" s="315"/>
      <c r="N50" s="315"/>
      <c r="O50" s="315"/>
      <c r="P50" s="315"/>
      <c r="Q50" s="315"/>
      <c r="R50" s="315"/>
      <c r="S50" s="315"/>
      <c r="T50" s="464"/>
      <c r="U50" s="464"/>
    </row>
    <row r="51" spans="1:21" ht="13" x14ac:dyDescent="0.4">
      <c r="A51" s="315"/>
      <c r="B51" s="315"/>
      <c r="C51" s="315"/>
      <c r="D51" s="315"/>
      <c r="E51" s="315"/>
      <c r="F51" s="315"/>
      <c r="G51" s="315"/>
      <c r="H51" s="315"/>
      <c r="I51" s="315"/>
      <c r="J51" s="315"/>
      <c r="K51" s="315"/>
      <c r="L51" s="315"/>
      <c r="M51" s="315"/>
      <c r="N51" s="315"/>
      <c r="O51" s="315"/>
      <c r="P51" s="315"/>
      <c r="Q51" s="315"/>
      <c r="R51" s="315"/>
      <c r="S51" s="315"/>
      <c r="T51" s="464"/>
      <c r="U51" s="464"/>
    </row>
    <row r="52" spans="1:21" ht="13" x14ac:dyDescent="0.4">
      <c r="A52" s="315"/>
      <c r="B52" s="315"/>
      <c r="C52" s="315"/>
      <c r="D52" s="315"/>
      <c r="E52" s="315"/>
      <c r="F52" s="315"/>
      <c r="G52" s="315"/>
      <c r="H52" s="315"/>
      <c r="I52" s="315"/>
      <c r="J52" s="315"/>
      <c r="K52" s="315"/>
      <c r="L52" s="315"/>
      <c r="M52" s="315"/>
      <c r="N52" s="315"/>
      <c r="O52" s="315"/>
      <c r="P52" s="315"/>
      <c r="Q52" s="315"/>
      <c r="R52" s="315"/>
      <c r="S52" s="315"/>
      <c r="T52" s="464"/>
      <c r="U52" s="464"/>
    </row>
    <row r="53" spans="1:21" ht="13" x14ac:dyDescent="0.4">
      <c r="A53" s="315"/>
      <c r="B53" s="315"/>
      <c r="C53" s="315"/>
      <c r="D53" s="315"/>
      <c r="E53" s="315"/>
      <c r="F53" s="315"/>
      <c r="G53" s="315"/>
      <c r="H53" s="315"/>
      <c r="I53" s="315"/>
      <c r="J53" s="315"/>
      <c r="K53" s="315"/>
      <c r="L53" s="315"/>
      <c r="M53" s="315"/>
      <c r="N53" s="315"/>
      <c r="O53" s="315"/>
      <c r="P53" s="315"/>
      <c r="Q53" s="315"/>
      <c r="R53" s="315"/>
      <c r="S53" s="315"/>
      <c r="T53" s="464"/>
      <c r="U53" s="464"/>
    </row>
    <row r="54" spans="1:21" ht="13" x14ac:dyDescent="0.4">
      <c r="A54" s="315"/>
      <c r="B54" s="315"/>
      <c r="C54" s="315"/>
      <c r="D54" s="315"/>
      <c r="E54" s="315"/>
      <c r="F54" s="315"/>
      <c r="G54" s="315"/>
      <c r="H54" s="315"/>
      <c r="I54" s="315"/>
      <c r="J54" s="315"/>
      <c r="K54" s="315"/>
      <c r="L54" s="315"/>
      <c r="M54" s="315"/>
      <c r="N54" s="315"/>
      <c r="O54" s="315"/>
      <c r="P54" s="315"/>
      <c r="Q54" s="315"/>
      <c r="R54" s="315"/>
      <c r="S54" s="315"/>
      <c r="T54" s="464"/>
      <c r="U54" s="464"/>
    </row>
    <row r="55" spans="1:21" ht="13" x14ac:dyDescent="0.4">
      <c r="A55" s="315"/>
      <c r="B55" s="315"/>
      <c r="C55" s="315"/>
      <c r="D55" s="315"/>
      <c r="E55" s="315"/>
      <c r="F55" s="315"/>
      <c r="G55" s="315"/>
      <c r="H55" s="315"/>
      <c r="I55" s="315"/>
      <c r="J55" s="315"/>
      <c r="K55" s="315"/>
      <c r="L55" s="315"/>
      <c r="M55" s="315"/>
      <c r="N55" s="315"/>
      <c r="O55" s="315"/>
      <c r="P55" s="315"/>
      <c r="Q55" s="315"/>
      <c r="R55" s="315"/>
      <c r="S55" s="315"/>
      <c r="T55" s="464"/>
      <c r="U55" s="464"/>
    </row>
    <row r="56" spans="1:21" ht="13" x14ac:dyDescent="0.4">
      <c r="A56" s="315"/>
      <c r="B56" s="315"/>
      <c r="C56" s="315"/>
      <c r="D56" s="315"/>
      <c r="E56" s="315"/>
      <c r="F56" s="315"/>
      <c r="G56" s="315"/>
      <c r="H56" s="315"/>
      <c r="I56" s="315"/>
      <c r="J56" s="315"/>
      <c r="K56" s="315"/>
      <c r="L56" s="315"/>
      <c r="M56" s="315"/>
      <c r="N56" s="315"/>
      <c r="O56" s="315"/>
      <c r="P56" s="315"/>
      <c r="Q56" s="315"/>
      <c r="R56" s="315"/>
      <c r="S56" s="315"/>
      <c r="T56" s="464"/>
      <c r="U56" s="464"/>
    </row>
    <row r="57" spans="1:21" ht="13" x14ac:dyDescent="0.4">
      <c r="A57" s="315"/>
      <c r="B57" s="315"/>
      <c r="C57" s="315"/>
      <c r="D57" s="315"/>
      <c r="E57" s="315"/>
      <c r="F57" s="315"/>
      <c r="G57" s="315"/>
      <c r="H57" s="315"/>
      <c r="I57" s="315"/>
      <c r="J57" s="315"/>
      <c r="K57" s="315"/>
      <c r="L57" s="315"/>
      <c r="M57" s="315"/>
      <c r="N57" s="315"/>
      <c r="O57" s="315"/>
      <c r="P57" s="315"/>
      <c r="Q57" s="315"/>
      <c r="R57" s="315"/>
      <c r="S57" s="315"/>
      <c r="T57" s="464"/>
      <c r="U57" s="464"/>
    </row>
    <row r="58" spans="1:21" ht="13" x14ac:dyDescent="0.4">
      <c r="A58" s="315"/>
      <c r="B58" s="315"/>
      <c r="C58" s="315"/>
      <c r="D58" s="315"/>
      <c r="E58" s="315"/>
      <c r="F58" s="315"/>
      <c r="G58" s="315"/>
      <c r="H58" s="315"/>
      <c r="I58" s="315"/>
      <c r="J58" s="315"/>
      <c r="K58" s="315"/>
      <c r="L58" s="315"/>
      <c r="M58" s="315"/>
      <c r="N58" s="315"/>
      <c r="O58" s="315"/>
      <c r="P58" s="315"/>
      <c r="Q58" s="315"/>
      <c r="R58" s="315"/>
      <c r="S58" s="315"/>
      <c r="T58" s="464"/>
      <c r="U58" s="464"/>
    </row>
    <row r="59" spans="1:21" ht="13" x14ac:dyDescent="0.4">
      <c r="A59" s="315"/>
      <c r="B59" s="315"/>
      <c r="C59" s="315"/>
      <c r="D59" s="315"/>
      <c r="E59" s="315"/>
      <c r="F59" s="315"/>
      <c r="G59" s="315"/>
      <c r="H59" s="315"/>
      <c r="I59" s="315"/>
      <c r="J59" s="315"/>
      <c r="K59" s="315"/>
      <c r="L59" s="315"/>
      <c r="M59" s="315"/>
      <c r="N59" s="315"/>
      <c r="O59" s="315"/>
      <c r="P59" s="315"/>
      <c r="Q59" s="315"/>
      <c r="R59" s="315"/>
      <c r="S59" s="315"/>
      <c r="T59" s="464"/>
      <c r="U59" s="464"/>
    </row>
    <row r="60" spans="1:21" ht="13" x14ac:dyDescent="0.4">
      <c r="A60" s="315"/>
      <c r="B60" s="315"/>
      <c r="C60" s="315"/>
      <c r="D60" s="315"/>
      <c r="E60" s="315"/>
      <c r="F60" s="315"/>
      <c r="G60" s="315"/>
      <c r="H60" s="315"/>
      <c r="I60" s="315"/>
      <c r="J60" s="315"/>
      <c r="K60" s="315"/>
      <c r="L60" s="315"/>
      <c r="M60" s="315"/>
      <c r="N60" s="315"/>
      <c r="O60" s="315"/>
      <c r="P60" s="315"/>
      <c r="Q60" s="315"/>
      <c r="R60" s="315"/>
      <c r="S60" s="315"/>
      <c r="T60" s="464"/>
      <c r="U60" s="464"/>
    </row>
    <row r="61" spans="1:21" ht="13" x14ac:dyDescent="0.4">
      <c r="A61" s="315"/>
      <c r="B61" s="315"/>
      <c r="C61" s="315"/>
      <c r="D61" s="315"/>
      <c r="E61" s="315"/>
      <c r="F61" s="315"/>
      <c r="G61" s="315"/>
      <c r="H61" s="315"/>
      <c r="I61" s="315"/>
      <c r="J61" s="315"/>
      <c r="K61" s="315"/>
      <c r="L61" s="315"/>
      <c r="M61" s="315"/>
      <c r="N61" s="315"/>
      <c r="O61" s="315"/>
      <c r="P61" s="315"/>
      <c r="Q61" s="315"/>
      <c r="R61" s="315"/>
      <c r="S61" s="315"/>
      <c r="T61" s="464"/>
      <c r="U61" s="464"/>
    </row>
    <row r="62" spans="1:21" ht="13" x14ac:dyDescent="0.4">
      <c r="A62" s="315"/>
      <c r="B62" s="315"/>
      <c r="C62" s="315"/>
      <c r="D62" s="315"/>
      <c r="E62" s="315"/>
      <c r="F62" s="315"/>
      <c r="G62" s="315"/>
      <c r="H62" s="315"/>
      <c r="I62" s="315"/>
      <c r="J62" s="315"/>
      <c r="K62" s="315"/>
      <c r="L62" s="315"/>
      <c r="M62" s="315"/>
      <c r="N62" s="315"/>
      <c r="O62" s="315"/>
      <c r="P62" s="315"/>
      <c r="Q62" s="315"/>
      <c r="R62" s="315"/>
      <c r="S62" s="315"/>
      <c r="T62" s="464"/>
      <c r="U62" s="464"/>
    </row>
    <row r="63" spans="1:21" ht="13" x14ac:dyDescent="0.4">
      <c r="A63" s="315"/>
      <c r="B63" s="315"/>
      <c r="C63" s="315"/>
      <c r="D63" s="315"/>
      <c r="E63" s="315"/>
      <c r="F63" s="315"/>
      <c r="G63" s="315"/>
      <c r="H63" s="315"/>
      <c r="I63" s="315"/>
      <c r="J63" s="315"/>
      <c r="K63" s="315"/>
      <c r="L63" s="315"/>
      <c r="M63" s="315"/>
      <c r="N63" s="315"/>
      <c r="O63" s="315"/>
      <c r="P63" s="315"/>
      <c r="Q63" s="315"/>
      <c r="R63" s="315"/>
      <c r="S63" s="315"/>
      <c r="T63" s="464"/>
      <c r="U63" s="464"/>
    </row>
    <row r="64" spans="1:21" ht="13" x14ac:dyDescent="0.4">
      <c r="A64" s="315"/>
      <c r="B64" s="315"/>
      <c r="C64" s="315"/>
      <c r="D64" s="315"/>
      <c r="E64" s="315"/>
      <c r="F64" s="315"/>
      <c r="G64" s="315"/>
      <c r="H64" s="315"/>
      <c r="I64" s="315"/>
      <c r="J64" s="315"/>
      <c r="K64" s="315"/>
      <c r="L64" s="315"/>
      <c r="M64" s="315"/>
      <c r="N64" s="315"/>
      <c r="O64" s="315"/>
      <c r="P64" s="315"/>
      <c r="Q64" s="315"/>
      <c r="R64" s="315"/>
      <c r="S64" s="315"/>
      <c r="T64" s="464"/>
      <c r="U64" s="464"/>
    </row>
    <row r="65" spans="1:21" ht="13" x14ac:dyDescent="0.4">
      <c r="A65" s="315"/>
      <c r="B65" s="315"/>
      <c r="C65" s="315"/>
      <c r="D65" s="315"/>
      <c r="E65" s="315"/>
      <c r="F65" s="315"/>
      <c r="G65" s="315"/>
      <c r="H65" s="315"/>
      <c r="I65" s="315"/>
      <c r="J65" s="315"/>
      <c r="K65" s="315"/>
      <c r="L65" s="315"/>
      <c r="M65" s="315"/>
      <c r="N65" s="315"/>
      <c r="O65" s="315"/>
      <c r="P65" s="315"/>
      <c r="Q65" s="315"/>
      <c r="R65" s="315"/>
      <c r="S65" s="315"/>
      <c r="T65" s="464"/>
      <c r="U65" s="464"/>
    </row>
    <row r="66" spans="1:21" ht="13" x14ac:dyDescent="0.4">
      <c r="A66" s="315"/>
      <c r="B66" s="315"/>
      <c r="C66" s="315"/>
      <c r="D66" s="315"/>
      <c r="E66" s="315"/>
      <c r="F66" s="315"/>
      <c r="G66" s="315"/>
      <c r="H66" s="315"/>
      <c r="I66" s="315"/>
      <c r="J66" s="315"/>
      <c r="K66" s="315"/>
      <c r="L66" s="315"/>
      <c r="M66" s="315"/>
      <c r="N66" s="315"/>
      <c r="O66" s="315"/>
      <c r="P66" s="315"/>
      <c r="Q66" s="315"/>
      <c r="R66" s="315"/>
      <c r="S66" s="315"/>
      <c r="T66" s="464"/>
      <c r="U66" s="464"/>
    </row>
    <row r="67" spans="1:21" ht="13" x14ac:dyDescent="0.4">
      <c r="A67" s="315"/>
      <c r="B67" s="315"/>
      <c r="C67" s="315"/>
      <c r="D67" s="315"/>
      <c r="E67" s="315"/>
      <c r="F67" s="315"/>
      <c r="G67" s="315"/>
      <c r="H67" s="315"/>
      <c r="I67" s="315"/>
      <c r="J67" s="315"/>
      <c r="K67" s="315"/>
      <c r="L67" s="315"/>
      <c r="M67" s="315"/>
      <c r="N67" s="315"/>
      <c r="O67" s="315"/>
      <c r="P67" s="315"/>
      <c r="Q67" s="315"/>
      <c r="R67" s="315"/>
      <c r="S67" s="315"/>
      <c r="T67" s="464"/>
      <c r="U67" s="464"/>
    </row>
    <row r="68" spans="1:21" ht="13" x14ac:dyDescent="0.4">
      <c r="A68" s="315"/>
      <c r="B68" s="315"/>
      <c r="C68" s="315"/>
      <c r="D68" s="315"/>
      <c r="E68" s="315"/>
      <c r="F68" s="315"/>
      <c r="G68" s="315"/>
      <c r="H68" s="315"/>
      <c r="I68" s="315"/>
      <c r="J68" s="315"/>
      <c r="K68" s="315"/>
      <c r="L68" s="315"/>
      <c r="M68" s="315"/>
      <c r="N68" s="315"/>
      <c r="O68" s="315"/>
      <c r="P68" s="315"/>
      <c r="Q68" s="315"/>
      <c r="R68" s="315"/>
      <c r="S68" s="315"/>
      <c r="T68" s="464"/>
      <c r="U68" s="464"/>
    </row>
    <row r="69" spans="1:21" ht="13" x14ac:dyDescent="0.4">
      <c r="A69" s="315"/>
      <c r="B69" s="315"/>
      <c r="C69" s="315"/>
      <c r="D69" s="315"/>
      <c r="E69" s="315"/>
      <c r="F69" s="315"/>
      <c r="G69" s="315"/>
      <c r="H69" s="315"/>
      <c r="I69" s="315"/>
      <c r="J69" s="315"/>
      <c r="K69" s="315"/>
      <c r="L69" s="315"/>
      <c r="M69" s="315"/>
      <c r="N69" s="315"/>
      <c r="O69" s="315"/>
      <c r="P69" s="315"/>
      <c r="Q69" s="315"/>
      <c r="R69" s="315"/>
      <c r="S69" s="315"/>
      <c r="T69" s="464"/>
      <c r="U69" s="464"/>
    </row>
    <row r="70" spans="1:21" ht="13" x14ac:dyDescent="0.4">
      <c r="A70" s="315"/>
      <c r="B70" s="315"/>
      <c r="C70" s="315"/>
      <c r="D70" s="315"/>
      <c r="E70" s="315"/>
      <c r="F70" s="315"/>
      <c r="G70" s="315"/>
      <c r="H70" s="315"/>
      <c r="I70" s="315"/>
      <c r="J70" s="315"/>
      <c r="K70" s="315"/>
      <c r="L70" s="315"/>
      <c r="M70" s="315"/>
      <c r="N70" s="315"/>
      <c r="O70" s="315"/>
      <c r="P70" s="315"/>
      <c r="Q70" s="315"/>
      <c r="R70" s="315"/>
      <c r="S70" s="315"/>
      <c r="T70" s="464"/>
      <c r="U70" s="464"/>
    </row>
    <row r="71" spans="1:21" ht="13" x14ac:dyDescent="0.4">
      <c r="A71" s="315"/>
      <c r="B71" s="315"/>
      <c r="C71" s="315"/>
      <c r="D71" s="315"/>
      <c r="E71" s="315"/>
      <c r="F71" s="315"/>
      <c r="G71" s="315"/>
      <c r="H71" s="315"/>
      <c r="I71" s="315"/>
      <c r="J71" s="315"/>
      <c r="K71" s="315"/>
      <c r="L71" s="315"/>
      <c r="M71" s="315"/>
      <c r="N71" s="315"/>
      <c r="O71" s="315"/>
      <c r="P71" s="315"/>
      <c r="Q71" s="315"/>
      <c r="R71" s="315"/>
      <c r="S71" s="315"/>
      <c r="T71" s="464"/>
      <c r="U71" s="464"/>
    </row>
    <row r="72" spans="1:21" ht="13" x14ac:dyDescent="0.4">
      <c r="A72" s="315"/>
      <c r="B72" s="315"/>
      <c r="C72" s="315"/>
      <c r="D72" s="315"/>
      <c r="E72" s="315"/>
      <c r="F72" s="315"/>
      <c r="G72" s="315"/>
      <c r="H72" s="315"/>
      <c r="I72" s="315"/>
      <c r="J72" s="315"/>
      <c r="K72" s="315"/>
      <c r="L72" s="315"/>
      <c r="M72" s="315"/>
      <c r="N72" s="315"/>
      <c r="O72" s="315"/>
      <c r="P72" s="315"/>
      <c r="Q72" s="315"/>
      <c r="R72" s="315"/>
      <c r="S72" s="315"/>
      <c r="T72" s="464"/>
      <c r="U72" s="464"/>
    </row>
    <row r="73" spans="1:21" ht="13" x14ac:dyDescent="0.4">
      <c r="A73" s="315"/>
      <c r="B73" s="315"/>
      <c r="C73" s="315"/>
      <c r="D73" s="315"/>
      <c r="E73" s="315"/>
      <c r="F73" s="315"/>
      <c r="G73" s="315"/>
      <c r="H73" s="315"/>
      <c r="I73" s="315"/>
      <c r="J73" s="315"/>
      <c r="K73" s="315"/>
      <c r="L73" s="315"/>
      <c r="M73" s="315"/>
      <c r="N73" s="315"/>
      <c r="O73" s="315"/>
      <c r="P73" s="315"/>
      <c r="Q73" s="315"/>
      <c r="R73" s="315"/>
      <c r="S73" s="315"/>
      <c r="T73" s="464"/>
      <c r="U73" s="464"/>
    </row>
    <row r="74" spans="1:21" ht="13" x14ac:dyDescent="0.4">
      <c r="A74" s="315"/>
      <c r="B74" s="315"/>
      <c r="C74" s="315"/>
      <c r="D74" s="315"/>
      <c r="E74" s="315"/>
      <c r="F74" s="315"/>
      <c r="G74" s="315"/>
      <c r="H74" s="315"/>
      <c r="I74" s="315"/>
      <c r="J74" s="315"/>
      <c r="K74" s="315"/>
      <c r="L74" s="315"/>
      <c r="M74" s="315"/>
      <c r="N74" s="315"/>
      <c r="O74" s="315"/>
      <c r="P74" s="315"/>
      <c r="Q74" s="315"/>
      <c r="R74" s="315"/>
      <c r="S74" s="315"/>
      <c r="T74" s="464"/>
      <c r="U74" s="464"/>
    </row>
    <row r="75" spans="1:21" ht="13" x14ac:dyDescent="0.4">
      <c r="A75" s="315"/>
      <c r="B75" s="315"/>
      <c r="C75" s="315"/>
      <c r="D75" s="315"/>
      <c r="E75" s="315"/>
      <c r="F75" s="315"/>
      <c r="G75" s="315"/>
      <c r="H75" s="315"/>
      <c r="I75" s="315"/>
      <c r="J75" s="315"/>
      <c r="K75" s="315"/>
      <c r="L75" s="315"/>
      <c r="M75" s="315"/>
      <c r="N75" s="315"/>
      <c r="O75" s="315"/>
      <c r="P75" s="315"/>
      <c r="Q75" s="315"/>
      <c r="R75" s="315"/>
      <c r="S75" s="315"/>
      <c r="T75" s="464"/>
      <c r="U75" s="464"/>
    </row>
    <row r="76" spans="1:21" ht="13" x14ac:dyDescent="0.4">
      <c r="A76" s="315"/>
      <c r="B76" s="315"/>
      <c r="C76" s="315"/>
      <c r="D76" s="315"/>
      <c r="E76" s="315"/>
      <c r="F76" s="315"/>
      <c r="G76" s="315"/>
      <c r="H76" s="315"/>
      <c r="I76" s="315"/>
      <c r="J76" s="315"/>
      <c r="K76" s="315"/>
      <c r="L76" s="315"/>
      <c r="M76" s="315"/>
      <c r="N76" s="315"/>
      <c r="O76" s="315"/>
      <c r="P76" s="315"/>
      <c r="Q76" s="315"/>
      <c r="R76" s="315"/>
      <c r="S76" s="315"/>
      <c r="T76" s="464"/>
      <c r="U76" s="464"/>
    </row>
    <row r="77" spans="1:21" ht="13" x14ac:dyDescent="0.4">
      <c r="A77" s="315"/>
      <c r="B77" s="315"/>
      <c r="C77" s="315"/>
      <c r="D77" s="315"/>
      <c r="E77" s="315"/>
      <c r="F77" s="315"/>
      <c r="G77" s="315"/>
      <c r="H77" s="315"/>
      <c r="I77" s="315"/>
      <c r="J77" s="315"/>
      <c r="K77" s="315"/>
      <c r="L77" s="315"/>
      <c r="M77" s="315"/>
      <c r="N77" s="315"/>
      <c r="O77" s="315"/>
      <c r="P77" s="315"/>
      <c r="Q77" s="315"/>
      <c r="R77" s="315"/>
      <c r="S77" s="315"/>
      <c r="T77" s="464"/>
      <c r="U77" s="464"/>
    </row>
    <row r="78" spans="1:21" ht="13" x14ac:dyDescent="0.4">
      <c r="A78" s="315"/>
      <c r="B78" s="315"/>
      <c r="C78" s="315"/>
      <c r="D78" s="315"/>
      <c r="E78" s="315"/>
      <c r="F78" s="315"/>
      <c r="G78" s="315"/>
      <c r="H78" s="315"/>
      <c r="I78" s="315"/>
      <c r="J78" s="315"/>
      <c r="K78" s="315"/>
      <c r="L78" s="315"/>
      <c r="M78" s="315"/>
      <c r="N78" s="315"/>
      <c r="O78" s="315"/>
      <c r="P78" s="315"/>
      <c r="Q78" s="315"/>
      <c r="R78" s="315"/>
      <c r="S78" s="315"/>
      <c r="T78" s="464"/>
      <c r="U78" s="464"/>
    </row>
    <row r="79" spans="1:21" ht="13" x14ac:dyDescent="0.4">
      <c r="A79" s="315"/>
      <c r="B79" s="315"/>
      <c r="C79" s="315"/>
      <c r="D79" s="315"/>
      <c r="E79" s="315"/>
      <c r="F79" s="315"/>
      <c r="G79" s="315"/>
      <c r="H79" s="315"/>
      <c r="I79" s="315"/>
      <c r="J79" s="315"/>
      <c r="K79" s="315"/>
      <c r="L79" s="315"/>
      <c r="M79" s="315"/>
      <c r="N79" s="315"/>
      <c r="O79" s="315"/>
      <c r="P79" s="315"/>
      <c r="Q79" s="315"/>
      <c r="R79" s="315"/>
      <c r="S79" s="315"/>
      <c r="T79" s="464"/>
      <c r="U79" s="464"/>
    </row>
    <row r="80" spans="1:21" ht="13" x14ac:dyDescent="0.4">
      <c r="A80" s="315"/>
      <c r="B80" s="315"/>
      <c r="C80" s="315"/>
      <c r="D80" s="315"/>
      <c r="E80" s="315"/>
      <c r="F80" s="315"/>
      <c r="G80" s="315"/>
      <c r="H80" s="315"/>
      <c r="I80" s="315"/>
      <c r="J80" s="315"/>
      <c r="K80" s="315"/>
      <c r="L80" s="315"/>
      <c r="M80" s="315"/>
      <c r="N80" s="315"/>
      <c r="O80" s="315"/>
      <c r="P80" s="315"/>
      <c r="Q80" s="315"/>
      <c r="R80" s="315"/>
      <c r="S80" s="315"/>
      <c r="T80" s="464"/>
      <c r="U80" s="464"/>
    </row>
    <row r="81" spans="1:21" ht="13" x14ac:dyDescent="0.4">
      <c r="A81" s="315"/>
      <c r="B81" s="315"/>
      <c r="C81" s="315"/>
      <c r="D81" s="315"/>
      <c r="E81" s="315"/>
      <c r="F81" s="315"/>
      <c r="G81" s="315"/>
      <c r="H81" s="315"/>
      <c r="I81" s="315"/>
      <c r="J81" s="315"/>
      <c r="K81" s="315"/>
      <c r="L81" s="315"/>
      <c r="M81" s="315"/>
      <c r="N81" s="315"/>
      <c r="O81" s="315"/>
      <c r="P81" s="315"/>
      <c r="Q81" s="315"/>
      <c r="R81" s="315"/>
      <c r="S81" s="315"/>
      <c r="T81" s="464"/>
      <c r="U81" s="464"/>
    </row>
    <row r="82" spans="1:21" ht="13" x14ac:dyDescent="0.4">
      <c r="A82" s="315"/>
      <c r="B82" s="315"/>
      <c r="C82" s="315"/>
      <c r="D82" s="315"/>
      <c r="E82" s="315"/>
      <c r="F82" s="315"/>
      <c r="G82" s="315"/>
      <c r="H82" s="315"/>
      <c r="I82" s="315"/>
      <c r="J82" s="315"/>
      <c r="K82" s="315"/>
      <c r="L82" s="315"/>
      <c r="M82" s="315"/>
      <c r="N82" s="315"/>
      <c r="O82" s="315"/>
      <c r="P82" s="315"/>
      <c r="Q82" s="315"/>
      <c r="R82" s="315"/>
      <c r="S82" s="315"/>
      <c r="T82" s="464"/>
      <c r="U82" s="464"/>
    </row>
    <row r="83" spans="1:21" ht="13" x14ac:dyDescent="0.4">
      <c r="A83" s="315"/>
      <c r="B83" s="315"/>
      <c r="C83" s="315"/>
      <c r="D83" s="315"/>
      <c r="E83" s="315"/>
      <c r="F83" s="315"/>
      <c r="G83" s="315"/>
      <c r="H83" s="315"/>
      <c r="I83" s="315"/>
      <c r="J83" s="315"/>
      <c r="K83" s="315"/>
      <c r="L83" s="315"/>
      <c r="M83" s="315"/>
      <c r="N83" s="315"/>
      <c r="O83" s="315"/>
      <c r="P83" s="315"/>
      <c r="Q83" s="315"/>
      <c r="R83" s="315"/>
      <c r="S83" s="315"/>
      <c r="T83" s="464"/>
      <c r="U83" s="464"/>
    </row>
    <row r="84" spans="1:21" ht="13" x14ac:dyDescent="0.4">
      <c r="A84" s="315"/>
      <c r="B84" s="315"/>
      <c r="C84" s="315"/>
      <c r="D84" s="315"/>
      <c r="E84" s="315"/>
      <c r="F84" s="315"/>
      <c r="G84" s="315"/>
      <c r="H84" s="315"/>
      <c r="I84" s="315"/>
      <c r="J84" s="315"/>
      <c r="K84" s="315"/>
      <c r="L84" s="315"/>
      <c r="M84" s="315"/>
      <c r="N84" s="315"/>
      <c r="O84" s="315"/>
      <c r="P84" s="315"/>
      <c r="Q84" s="315"/>
      <c r="R84" s="315"/>
      <c r="S84" s="315"/>
      <c r="T84" s="464"/>
      <c r="U84" s="464"/>
    </row>
    <row r="85" spans="1:21" ht="13" x14ac:dyDescent="0.4">
      <c r="A85" s="315"/>
      <c r="B85" s="315"/>
      <c r="C85" s="315"/>
      <c r="D85" s="315"/>
      <c r="E85" s="315"/>
      <c r="F85" s="315"/>
      <c r="G85" s="315"/>
      <c r="H85" s="315"/>
      <c r="I85" s="315"/>
      <c r="J85" s="315"/>
      <c r="K85" s="315"/>
      <c r="L85" s="315"/>
      <c r="M85" s="315"/>
      <c r="N85" s="315"/>
      <c r="O85" s="315"/>
      <c r="P85" s="315"/>
      <c r="Q85" s="315"/>
      <c r="R85" s="315"/>
      <c r="S85" s="315"/>
      <c r="T85" s="464"/>
      <c r="U85" s="464"/>
    </row>
    <row r="86" spans="1:21" ht="13" x14ac:dyDescent="0.4">
      <c r="A86" s="315"/>
      <c r="B86" s="315"/>
      <c r="C86" s="315"/>
      <c r="D86" s="315"/>
      <c r="E86" s="315"/>
      <c r="F86" s="315"/>
      <c r="G86" s="315"/>
      <c r="H86" s="315"/>
      <c r="I86" s="315"/>
      <c r="J86" s="315"/>
      <c r="K86" s="315"/>
      <c r="L86" s="315"/>
      <c r="M86" s="315"/>
      <c r="N86" s="315"/>
      <c r="O86" s="315"/>
      <c r="P86" s="315"/>
      <c r="Q86" s="315"/>
      <c r="R86" s="315"/>
      <c r="S86" s="315"/>
      <c r="T86" s="464"/>
      <c r="U86" s="464"/>
    </row>
    <row r="87" spans="1:21" ht="13" x14ac:dyDescent="0.4">
      <c r="A87" s="315"/>
      <c r="B87" s="315"/>
      <c r="C87" s="315"/>
      <c r="D87" s="315"/>
      <c r="E87" s="315"/>
      <c r="F87" s="315"/>
      <c r="G87" s="315"/>
      <c r="H87" s="315"/>
      <c r="I87" s="315"/>
      <c r="J87" s="315"/>
      <c r="K87" s="315"/>
      <c r="L87" s="315"/>
      <c r="M87" s="315"/>
      <c r="N87" s="315"/>
      <c r="O87" s="315"/>
      <c r="P87" s="315"/>
      <c r="Q87" s="315"/>
      <c r="R87" s="315"/>
      <c r="S87" s="315"/>
      <c r="T87" s="464"/>
      <c r="U87" s="464"/>
    </row>
    <row r="88" spans="1:21" ht="13" x14ac:dyDescent="0.4">
      <c r="A88" s="315"/>
      <c r="B88" s="315"/>
      <c r="C88" s="315"/>
      <c r="D88" s="315"/>
      <c r="E88" s="315"/>
      <c r="F88" s="315"/>
      <c r="G88" s="315"/>
      <c r="H88" s="315"/>
      <c r="I88" s="315"/>
      <c r="J88" s="315"/>
      <c r="K88" s="315"/>
      <c r="L88" s="315"/>
      <c r="M88" s="315"/>
      <c r="N88" s="315"/>
      <c r="O88" s="315"/>
      <c r="P88" s="315"/>
      <c r="Q88" s="315"/>
      <c r="R88" s="315"/>
      <c r="S88" s="315"/>
      <c r="T88" s="464"/>
      <c r="U88" s="464"/>
    </row>
    <row r="89" spans="1:21" ht="13" x14ac:dyDescent="0.4">
      <c r="A89" s="315"/>
      <c r="B89" s="315"/>
      <c r="C89" s="315"/>
      <c r="D89" s="315"/>
      <c r="E89" s="315"/>
      <c r="F89" s="315"/>
      <c r="G89" s="315"/>
      <c r="H89" s="315"/>
      <c r="I89" s="315"/>
      <c r="J89" s="315"/>
      <c r="K89" s="315"/>
      <c r="L89" s="315"/>
      <c r="M89" s="315"/>
      <c r="N89" s="315"/>
      <c r="O89" s="315"/>
      <c r="P89" s="315"/>
      <c r="Q89" s="315"/>
      <c r="R89" s="315"/>
      <c r="S89" s="315"/>
      <c r="T89" s="464"/>
      <c r="U89" s="464"/>
    </row>
    <row r="90" spans="1:21" ht="13" x14ac:dyDescent="0.4">
      <c r="A90" s="315"/>
      <c r="B90" s="315"/>
      <c r="C90" s="315"/>
      <c r="D90" s="315"/>
      <c r="E90" s="315"/>
      <c r="F90" s="315"/>
      <c r="G90" s="315"/>
      <c r="H90" s="315"/>
      <c r="I90" s="315"/>
      <c r="J90" s="315"/>
      <c r="K90" s="315"/>
      <c r="L90" s="315"/>
      <c r="M90" s="315"/>
      <c r="N90" s="315"/>
      <c r="O90" s="315"/>
      <c r="P90" s="315"/>
      <c r="Q90" s="315"/>
      <c r="R90" s="315"/>
      <c r="S90" s="315"/>
      <c r="T90" s="464"/>
      <c r="U90" s="464"/>
    </row>
    <row r="91" spans="1:21" ht="13" x14ac:dyDescent="0.4">
      <c r="A91" s="315"/>
      <c r="B91" s="315"/>
      <c r="C91" s="315"/>
      <c r="D91" s="315"/>
      <c r="E91" s="315"/>
      <c r="F91" s="315"/>
      <c r="G91" s="315"/>
      <c r="H91" s="315"/>
      <c r="I91" s="315"/>
      <c r="J91" s="315"/>
      <c r="K91" s="315"/>
      <c r="L91" s="315"/>
      <c r="M91" s="315"/>
      <c r="N91" s="315"/>
      <c r="O91" s="315"/>
      <c r="P91" s="315"/>
      <c r="Q91" s="315"/>
      <c r="R91" s="315"/>
      <c r="S91" s="315"/>
      <c r="T91" s="464"/>
      <c r="U91" s="464"/>
    </row>
    <row r="92" spans="1:21" ht="13" x14ac:dyDescent="0.4">
      <c r="A92" s="315"/>
      <c r="B92" s="315"/>
      <c r="C92" s="315"/>
      <c r="D92" s="315"/>
      <c r="E92" s="315"/>
      <c r="F92" s="315"/>
      <c r="G92" s="315"/>
      <c r="H92" s="315"/>
      <c r="I92" s="315"/>
      <c r="J92" s="315"/>
      <c r="K92" s="315"/>
      <c r="L92" s="315"/>
      <c r="M92" s="315"/>
      <c r="N92" s="315"/>
      <c r="O92" s="315"/>
      <c r="P92" s="315"/>
      <c r="Q92" s="315"/>
      <c r="R92" s="315"/>
      <c r="S92" s="315"/>
      <c r="T92" s="464"/>
      <c r="U92" s="464"/>
    </row>
    <row r="93" spans="1:21" ht="13" x14ac:dyDescent="0.4">
      <c r="A93" s="315"/>
      <c r="B93" s="315"/>
      <c r="C93" s="315"/>
      <c r="D93" s="315"/>
      <c r="E93" s="315"/>
      <c r="F93" s="315"/>
      <c r="G93" s="315"/>
      <c r="H93" s="315"/>
      <c r="I93" s="315"/>
      <c r="J93" s="315"/>
      <c r="K93" s="315"/>
      <c r="L93" s="315"/>
      <c r="M93" s="315"/>
      <c r="N93" s="315"/>
      <c r="O93" s="315"/>
      <c r="P93" s="315"/>
      <c r="Q93" s="315"/>
      <c r="R93" s="315"/>
      <c r="S93" s="315"/>
      <c r="T93" s="464"/>
      <c r="U93" s="464"/>
    </row>
    <row r="94" spans="1:21" ht="13" x14ac:dyDescent="0.4">
      <c r="A94" s="315"/>
      <c r="B94" s="315"/>
      <c r="C94" s="315"/>
      <c r="D94" s="315"/>
      <c r="E94" s="315"/>
      <c r="F94" s="315"/>
      <c r="G94" s="315"/>
      <c r="H94" s="315"/>
      <c r="I94" s="315"/>
      <c r="J94" s="315"/>
      <c r="K94" s="315"/>
      <c r="L94" s="315"/>
      <c r="M94" s="315"/>
      <c r="N94" s="315"/>
      <c r="O94" s="315"/>
      <c r="P94" s="315"/>
      <c r="Q94" s="315"/>
      <c r="R94" s="315"/>
      <c r="S94" s="315"/>
      <c r="T94" s="464"/>
      <c r="U94" s="464"/>
    </row>
    <row r="95" spans="1:21" ht="13" x14ac:dyDescent="0.4">
      <c r="A95" s="315"/>
      <c r="B95" s="315"/>
      <c r="C95" s="315"/>
      <c r="D95" s="315"/>
      <c r="E95" s="315"/>
      <c r="F95" s="315"/>
      <c r="G95" s="315"/>
      <c r="H95" s="315"/>
      <c r="I95" s="315"/>
      <c r="J95" s="315"/>
      <c r="K95" s="315"/>
      <c r="L95" s="315"/>
      <c r="M95" s="315"/>
      <c r="N95" s="315"/>
      <c r="O95" s="315"/>
      <c r="P95" s="315"/>
      <c r="Q95" s="315"/>
      <c r="R95" s="315"/>
      <c r="S95" s="315"/>
      <c r="T95" s="464"/>
      <c r="U95" s="464"/>
    </row>
    <row r="96" spans="1:21" ht="13" x14ac:dyDescent="0.4">
      <c r="A96" s="315"/>
      <c r="B96" s="315"/>
      <c r="C96" s="315"/>
      <c r="D96" s="315"/>
      <c r="E96" s="315"/>
      <c r="F96" s="315"/>
      <c r="G96" s="315"/>
      <c r="H96" s="315"/>
      <c r="I96" s="315"/>
      <c r="J96" s="315"/>
      <c r="K96" s="315"/>
      <c r="L96" s="315"/>
      <c r="M96" s="315"/>
      <c r="N96" s="315"/>
      <c r="O96" s="315"/>
      <c r="P96" s="315"/>
      <c r="Q96" s="315"/>
      <c r="R96" s="315"/>
      <c r="S96" s="315"/>
      <c r="T96" s="464"/>
      <c r="U96" s="464"/>
    </row>
    <row r="97" spans="1:21" ht="13" x14ac:dyDescent="0.4">
      <c r="A97" s="315"/>
      <c r="B97" s="315"/>
      <c r="C97" s="315"/>
      <c r="D97" s="315"/>
      <c r="E97" s="315"/>
      <c r="F97" s="315"/>
      <c r="G97" s="315"/>
      <c r="H97" s="315"/>
      <c r="I97" s="315"/>
      <c r="J97" s="315"/>
      <c r="K97" s="315"/>
      <c r="L97" s="315"/>
      <c r="M97" s="315"/>
      <c r="N97" s="315"/>
      <c r="O97" s="315"/>
      <c r="P97" s="315"/>
      <c r="Q97" s="315"/>
      <c r="R97" s="315"/>
      <c r="S97" s="315"/>
      <c r="T97" s="464"/>
      <c r="U97" s="464"/>
    </row>
    <row r="98" spans="1:21" ht="13" x14ac:dyDescent="0.4">
      <c r="A98" s="315"/>
      <c r="B98" s="315"/>
      <c r="C98" s="315"/>
      <c r="D98" s="315"/>
      <c r="E98" s="315"/>
      <c r="F98" s="315"/>
      <c r="G98" s="315"/>
      <c r="H98" s="315"/>
      <c r="I98" s="315"/>
      <c r="J98" s="315"/>
      <c r="K98" s="315"/>
      <c r="L98" s="315"/>
      <c r="M98" s="315"/>
      <c r="N98" s="315"/>
      <c r="O98" s="315"/>
      <c r="P98" s="315"/>
      <c r="Q98" s="315"/>
      <c r="R98" s="315"/>
      <c r="S98" s="315"/>
      <c r="T98" s="464"/>
      <c r="U98" s="464"/>
    </row>
    <row r="99" spans="1:21" ht="13" x14ac:dyDescent="0.4">
      <c r="A99" s="315"/>
      <c r="B99" s="315"/>
      <c r="C99" s="315"/>
      <c r="D99" s="315"/>
      <c r="E99" s="315"/>
      <c r="F99" s="315"/>
      <c r="G99" s="315"/>
      <c r="H99" s="315"/>
      <c r="I99" s="315"/>
      <c r="J99" s="315"/>
      <c r="K99" s="315"/>
      <c r="L99" s="315"/>
      <c r="M99" s="315"/>
      <c r="N99" s="315"/>
      <c r="O99" s="315"/>
      <c r="P99" s="315"/>
      <c r="Q99" s="315"/>
      <c r="R99" s="315"/>
      <c r="S99" s="315"/>
      <c r="T99" s="464"/>
      <c r="U99" s="464"/>
    </row>
    <row r="100" spans="1:21" ht="13" x14ac:dyDescent="0.4">
      <c r="A100" s="315"/>
      <c r="B100" s="315"/>
      <c r="C100" s="315"/>
      <c r="D100" s="315"/>
      <c r="E100" s="315"/>
      <c r="F100" s="315"/>
      <c r="G100" s="315"/>
      <c r="H100" s="315"/>
      <c r="I100" s="315"/>
      <c r="J100" s="315"/>
      <c r="K100" s="315"/>
      <c r="L100" s="315"/>
      <c r="M100" s="315"/>
      <c r="N100" s="315"/>
      <c r="O100" s="315"/>
      <c r="P100" s="315"/>
      <c r="Q100" s="315"/>
      <c r="R100" s="315"/>
      <c r="S100" s="315"/>
      <c r="T100" s="464"/>
      <c r="U100" s="464"/>
    </row>
    <row r="101" spans="1:21" ht="13" x14ac:dyDescent="0.4">
      <c r="A101" s="315"/>
      <c r="B101" s="315"/>
      <c r="C101" s="315"/>
      <c r="D101" s="315"/>
      <c r="E101" s="315"/>
      <c r="F101" s="315"/>
      <c r="G101" s="315"/>
      <c r="H101" s="315"/>
      <c r="I101" s="315"/>
      <c r="J101" s="315"/>
      <c r="K101" s="315"/>
      <c r="L101" s="315"/>
      <c r="M101" s="315"/>
      <c r="N101" s="315"/>
      <c r="O101" s="315"/>
      <c r="P101" s="315"/>
      <c r="Q101" s="315"/>
      <c r="R101" s="315"/>
      <c r="S101" s="315"/>
      <c r="T101" s="464"/>
      <c r="U101" s="464"/>
    </row>
    <row r="102" spans="1:21" ht="13" x14ac:dyDescent="0.4">
      <c r="A102" s="315"/>
      <c r="B102" s="315"/>
      <c r="C102" s="315"/>
      <c r="D102" s="315"/>
      <c r="E102" s="315"/>
      <c r="F102" s="315"/>
      <c r="G102" s="315"/>
      <c r="H102" s="315"/>
      <c r="I102" s="315"/>
      <c r="J102" s="315"/>
      <c r="K102" s="315"/>
      <c r="L102" s="315"/>
      <c r="M102" s="315"/>
      <c r="N102" s="315"/>
      <c r="O102" s="315"/>
      <c r="P102" s="315"/>
      <c r="Q102" s="315"/>
      <c r="R102" s="315"/>
      <c r="S102" s="315"/>
      <c r="T102" s="464"/>
      <c r="U102" s="464"/>
    </row>
    <row r="103" spans="1:21" ht="13" x14ac:dyDescent="0.4">
      <c r="A103" s="315"/>
      <c r="B103" s="315"/>
      <c r="C103" s="315"/>
      <c r="D103" s="315"/>
      <c r="E103" s="315"/>
      <c r="F103" s="315"/>
      <c r="G103" s="315"/>
      <c r="H103" s="315"/>
      <c r="I103" s="315"/>
      <c r="J103" s="315"/>
      <c r="K103" s="315"/>
      <c r="L103" s="315"/>
      <c r="M103" s="315"/>
      <c r="N103" s="315"/>
      <c r="O103" s="315"/>
      <c r="P103" s="315"/>
      <c r="Q103" s="315"/>
      <c r="R103" s="315"/>
      <c r="S103" s="315"/>
      <c r="T103" s="464"/>
      <c r="U103" s="464"/>
    </row>
    <row r="104" spans="1:21" ht="13" x14ac:dyDescent="0.4">
      <c r="A104" s="315"/>
      <c r="B104" s="315"/>
      <c r="C104" s="315"/>
      <c r="D104" s="315"/>
      <c r="E104" s="315"/>
      <c r="F104" s="315"/>
      <c r="G104" s="315"/>
      <c r="H104" s="315"/>
      <c r="I104" s="315"/>
      <c r="J104" s="315"/>
      <c r="K104" s="315"/>
      <c r="L104" s="315"/>
      <c r="M104" s="315"/>
      <c r="N104" s="315"/>
      <c r="O104" s="315"/>
      <c r="P104" s="315"/>
      <c r="Q104" s="315"/>
      <c r="R104" s="315"/>
      <c r="S104" s="315"/>
      <c r="T104" s="464"/>
      <c r="U104" s="464"/>
    </row>
    <row r="105" spans="1:21" ht="13" x14ac:dyDescent="0.4">
      <c r="A105" s="315"/>
      <c r="B105" s="315"/>
      <c r="C105" s="315"/>
      <c r="D105" s="315"/>
      <c r="E105" s="315"/>
      <c r="F105" s="315"/>
      <c r="G105" s="315"/>
      <c r="H105" s="315"/>
      <c r="I105" s="315"/>
      <c r="J105" s="315"/>
      <c r="K105" s="315"/>
      <c r="L105" s="315"/>
      <c r="M105" s="315"/>
      <c r="N105" s="315"/>
      <c r="O105" s="315"/>
      <c r="P105" s="315"/>
      <c r="Q105" s="315"/>
      <c r="R105" s="315"/>
      <c r="S105" s="315"/>
      <c r="T105" s="464"/>
      <c r="U105" s="464"/>
    </row>
    <row r="106" spans="1:21" ht="13" x14ac:dyDescent="0.4">
      <c r="A106" s="315"/>
      <c r="B106" s="315"/>
      <c r="C106" s="315"/>
      <c r="D106" s="315"/>
      <c r="E106" s="315"/>
      <c r="F106" s="315"/>
      <c r="G106" s="315"/>
      <c r="H106" s="315"/>
      <c r="I106" s="315"/>
      <c r="J106" s="315"/>
      <c r="K106" s="315"/>
      <c r="L106" s="315"/>
      <c r="M106" s="315"/>
      <c r="N106" s="315"/>
      <c r="O106" s="315"/>
      <c r="P106" s="315"/>
      <c r="Q106" s="315"/>
      <c r="R106" s="315"/>
      <c r="S106" s="315"/>
      <c r="T106" s="464"/>
      <c r="U106" s="464"/>
    </row>
    <row r="107" spans="1:21" ht="13" x14ac:dyDescent="0.4">
      <c r="A107" s="315"/>
      <c r="B107" s="315"/>
      <c r="C107" s="315"/>
      <c r="D107" s="315"/>
      <c r="E107" s="315"/>
      <c r="F107" s="315"/>
      <c r="G107" s="315"/>
      <c r="H107" s="315"/>
      <c r="I107" s="315"/>
      <c r="J107" s="315"/>
      <c r="K107" s="315"/>
      <c r="L107" s="315"/>
      <c r="M107" s="315"/>
      <c r="N107" s="315"/>
      <c r="O107" s="315"/>
      <c r="P107" s="315"/>
      <c r="Q107" s="315"/>
      <c r="R107" s="315"/>
      <c r="S107" s="315"/>
      <c r="T107" s="464"/>
      <c r="U107" s="464"/>
    </row>
    <row r="108" spans="1:21" ht="13" x14ac:dyDescent="0.4">
      <c r="A108" s="315"/>
      <c r="B108" s="315"/>
      <c r="C108" s="315"/>
      <c r="D108" s="315"/>
      <c r="E108" s="315"/>
      <c r="F108" s="315"/>
      <c r="G108" s="315"/>
      <c r="H108" s="315"/>
      <c r="I108" s="315"/>
      <c r="J108" s="315"/>
      <c r="K108" s="315"/>
      <c r="L108" s="315"/>
      <c r="M108" s="315"/>
      <c r="N108" s="315"/>
      <c r="O108" s="315"/>
      <c r="P108" s="315"/>
      <c r="Q108" s="315"/>
      <c r="R108" s="315"/>
      <c r="S108" s="315"/>
      <c r="T108" s="464"/>
      <c r="U108" s="464"/>
    </row>
    <row r="109" spans="1:21" ht="13" x14ac:dyDescent="0.4">
      <c r="A109" s="315"/>
      <c r="B109" s="315"/>
      <c r="C109" s="315"/>
      <c r="D109" s="315"/>
      <c r="E109" s="315"/>
      <c r="F109" s="315"/>
      <c r="G109" s="315"/>
      <c r="H109" s="315"/>
      <c r="I109" s="315"/>
      <c r="J109" s="315"/>
      <c r="K109" s="315"/>
      <c r="L109" s="315"/>
      <c r="M109" s="315"/>
      <c r="N109" s="315"/>
      <c r="O109" s="315"/>
      <c r="P109" s="315"/>
      <c r="Q109" s="315"/>
      <c r="R109" s="315"/>
      <c r="S109" s="315"/>
      <c r="T109" s="464"/>
      <c r="U109" s="464"/>
    </row>
    <row r="110" spans="1:21" ht="13" x14ac:dyDescent="0.4">
      <c r="A110" s="315"/>
      <c r="B110" s="315"/>
      <c r="C110" s="315"/>
      <c r="D110" s="315"/>
      <c r="E110" s="315"/>
      <c r="F110" s="315"/>
      <c r="G110" s="315"/>
      <c r="H110" s="315"/>
      <c r="I110" s="315"/>
      <c r="J110" s="315"/>
      <c r="K110" s="315"/>
      <c r="L110" s="315"/>
      <c r="M110" s="315"/>
      <c r="N110" s="315"/>
      <c r="O110" s="315"/>
      <c r="P110" s="315"/>
      <c r="Q110" s="315"/>
      <c r="R110" s="315"/>
      <c r="S110" s="315"/>
      <c r="T110" s="464"/>
      <c r="U110" s="464"/>
    </row>
    <row r="111" spans="1:21" ht="13" x14ac:dyDescent="0.4">
      <c r="A111" s="315"/>
      <c r="B111" s="315"/>
      <c r="C111" s="315"/>
      <c r="D111" s="315"/>
      <c r="E111" s="315"/>
      <c r="F111" s="315"/>
      <c r="G111" s="315"/>
      <c r="H111" s="315"/>
      <c r="I111" s="315"/>
      <c r="J111" s="315"/>
      <c r="K111" s="315"/>
      <c r="L111" s="315"/>
      <c r="M111" s="315"/>
      <c r="N111" s="315"/>
      <c r="O111" s="315"/>
      <c r="P111" s="315"/>
      <c r="Q111" s="315"/>
      <c r="R111" s="315"/>
      <c r="S111" s="315"/>
      <c r="T111" s="464"/>
      <c r="U111" s="464"/>
    </row>
    <row r="112" spans="1:21" ht="13" x14ac:dyDescent="0.4">
      <c r="A112" s="315"/>
      <c r="B112" s="315"/>
      <c r="C112" s="315"/>
      <c r="D112" s="315"/>
      <c r="E112" s="315"/>
      <c r="F112" s="315"/>
      <c r="G112" s="315"/>
      <c r="H112" s="315"/>
      <c r="I112" s="315"/>
      <c r="J112" s="315"/>
      <c r="K112" s="315"/>
      <c r="L112" s="315"/>
      <c r="M112" s="315"/>
      <c r="N112" s="315"/>
      <c r="O112" s="315"/>
      <c r="P112" s="315"/>
      <c r="Q112" s="315"/>
      <c r="R112" s="315"/>
      <c r="S112" s="315"/>
      <c r="T112" s="464"/>
      <c r="U112" s="464"/>
    </row>
    <row r="113" spans="1:21" ht="13" x14ac:dyDescent="0.4">
      <c r="A113" s="315"/>
      <c r="B113" s="315"/>
      <c r="C113" s="315"/>
      <c r="D113" s="315"/>
      <c r="E113" s="315"/>
      <c r="F113" s="315"/>
      <c r="G113" s="315"/>
      <c r="H113" s="315"/>
      <c r="I113" s="315"/>
      <c r="J113" s="315"/>
      <c r="K113" s="315"/>
      <c r="L113" s="315"/>
      <c r="M113" s="315"/>
      <c r="N113" s="315"/>
      <c r="O113" s="315"/>
      <c r="P113" s="315"/>
      <c r="Q113" s="315"/>
      <c r="R113" s="315"/>
      <c r="S113" s="315"/>
      <c r="T113" s="464"/>
      <c r="U113" s="464"/>
    </row>
    <row r="114" spans="1:21" ht="13" x14ac:dyDescent="0.4">
      <c r="A114" s="315"/>
      <c r="B114" s="315"/>
      <c r="C114" s="315"/>
      <c r="D114" s="315"/>
      <c r="E114" s="315"/>
      <c r="F114" s="315"/>
      <c r="G114" s="315"/>
      <c r="H114" s="315"/>
      <c r="I114" s="315"/>
      <c r="J114" s="315"/>
      <c r="K114" s="315"/>
      <c r="L114" s="315"/>
      <c r="M114" s="315"/>
      <c r="N114" s="315"/>
      <c r="O114" s="315"/>
      <c r="P114" s="315"/>
      <c r="Q114" s="315"/>
      <c r="R114" s="315"/>
      <c r="S114" s="315"/>
      <c r="T114" s="464"/>
      <c r="U114" s="464"/>
    </row>
    <row r="115" spans="1:21" ht="13" x14ac:dyDescent="0.4">
      <c r="A115" s="315"/>
      <c r="B115" s="315"/>
      <c r="C115" s="315"/>
      <c r="D115" s="315"/>
      <c r="E115" s="315"/>
      <c r="F115" s="315"/>
      <c r="G115" s="315"/>
      <c r="H115" s="315"/>
      <c r="I115" s="315"/>
      <c r="J115" s="315"/>
      <c r="K115" s="315"/>
      <c r="L115" s="315"/>
      <c r="M115" s="315"/>
      <c r="N115" s="315"/>
      <c r="O115" s="315"/>
      <c r="P115" s="315"/>
      <c r="Q115" s="315"/>
      <c r="R115" s="315"/>
      <c r="S115" s="315"/>
      <c r="T115" s="464"/>
      <c r="U115" s="464"/>
    </row>
    <row r="116" spans="1:21" ht="13" x14ac:dyDescent="0.4">
      <c r="A116" s="315"/>
      <c r="B116" s="315"/>
      <c r="C116" s="315"/>
      <c r="D116" s="315"/>
      <c r="E116" s="315"/>
      <c r="F116" s="315"/>
      <c r="G116" s="315"/>
      <c r="H116" s="315"/>
      <c r="I116" s="315"/>
      <c r="J116" s="315"/>
      <c r="K116" s="315"/>
      <c r="L116" s="315"/>
      <c r="M116" s="315"/>
      <c r="N116" s="315"/>
      <c r="O116" s="315"/>
      <c r="P116" s="315"/>
      <c r="Q116" s="315"/>
      <c r="R116" s="315"/>
      <c r="S116" s="315"/>
      <c r="T116" s="464"/>
      <c r="U116" s="464"/>
    </row>
    <row r="117" spans="1:21" ht="13" x14ac:dyDescent="0.4">
      <c r="A117" s="315"/>
      <c r="B117" s="315"/>
      <c r="C117" s="315"/>
      <c r="D117" s="315"/>
      <c r="E117" s="315"/>
      <c r="F117" s="315"/>
      <c r="G117" s="315"/>
      <c r="H117" s="315"/>
      <c r="I117" s="315"/>
      <c r="J117" s="315"/>
      <c r="K117" s="315"/>
      <c r="L117" s="315"/>
      <c r="M117" s="315"/>
      <c r="N117" s="315"/>
      <c r="O117" s="315"/>
      <c r="P117" s="315"/>
      <c r="Q117" s="315"/>
      <c r="R117" s="315"/>
      <c r="S117" s="315"/>
      <c r="T117" s="464"/>
      <c r="U117" s="464"/>
    </row>
    <row r="118" spans="1:21" ht="13" x14ac:dyDescent="0.4">
      <c r="A118" s="315"/>
      <c r="B118" s="315"/>
      <c r="C118" s="315"/>
      <c r="D118" s="315"/>
      <c r="E118" s="315"/>
      <c r="F118" s="315"/>
      <c r="G118" s="315"/>
      <c r="H118" s="315"/>
      <c r="I118" s="315"/>
      <c r="J118" s="315"/>
      <c r="K118" s="315"/>
      <c r="L118" s="315"/>
      <c r="M118" s="315"/>
      <c r="N118" s="315"/>
      <c r="O118" s="315"/>
      <c r="P118" s="315"/>
      <c r="Q118" s="315"/>
      <c r="R118" s="315"/>
      <c r="S118" s="315"/>
      <c r="T118" s="464"/>
      <c r="U118" s="464"/>
    </row>
    <row r="119" spans="1:21" ht="13" x14ac:dyDescent="0.4">
      <c r="A119" s="315"/>
      <c r="B119" s="315"/>
      <c r="C119" s="315"/>
      <c r="D119" s="315"/>
      <c r="E119" s="315"/>
      <c r="F119" s="315"/>
      <c r="G119" s="315"/>
      <c r="H119" s="315"/>
      <c r="I119" s="315"/>
      <c r="J119" s="315"/>
      <c r="K119" s="315"/>
      <c r="L119" s="315"/>
      <c r="M119" s="315"/>
      <c r="N119" s="315"/>
      <c r="O119" s="315"/>
      <c r="P119" s="315"/>
      <c r="Q119" s="315"/>
      <c r="R119" s="315"/>
      <c r="S119" s="315"/>
      <c r="T119" s="464"/>
      <c r="U119" s="464"/>
    </row>
    <row r="120" spans="1:21" ht="13" x14ac:dyDescent="0.4">
      <c r="A120" s="315"/>
      <c r="B120" s="315"/>
      <c r="C120" s="315"/>
      <c r="D120" s="315"/>
      <c r="E120" s="315"/>
      <c r="F120" s="315"/>
      <c r="G120" s="315"/>
      <c r="H120" s="315"/>
      <c r="I120" s="315"/>
      <c r="J120" s="315"/>
      <c r="K120" s="315"/>
      <c r="L120" s="315"/>
      <c r="M120" s="315"/>
      <c r="N120" s="315"/>
      <c r="O120" s="315"/>
      <c r="P120" s="315"/>
      <c r="Q120" s="315"/>
      <c r="R120" s="315"/>
      <c r="S120" s="315"/>
      <c r="T120" s="464"/>
      <c r="U120" s="464"/>
    </row>
    <row r="121" spans="1:21" ht="13" x14ac:dyDescent="0.4">
      <c r="A121" s="315"/>
      <c r="B121" s="315"/>
      <c r="C121" s="315"/>
      <c r="D121" s="315"/>
      <c r="E121" s="315"/>
      <c r="F121" s="315"/>
      <c r="G121" s="315"/>
      <c r="H121" s="315"/>
      <c r="I121" s="315"/>
      <c r="J121" s="315"/>
      <c r="K121" s="315"/>
      <c r="L121" s="315"/>
      <c r="M121" s="315"/>
      <c r="N121" s="315"/>
      <c r="O121" s="315"/>
      <c r="P121" s="315"/>
      <c r="Q121" s="315"/>
      <c r="R121" s="315"/>
      <c r="S121" s="315"/>
      <c r="T121" s="464"/>
      <c r="U121" s="464"/>
    </row>
    <row r="122" spans="1:21" ht="13" x14ac:dyDescent="0.4">
      <c r="A122" s="315"/>
      <c r="B122" s="315"/>
      <c r="C122" s="315"/>
      <c r="D122" s="315"/>
      <c r="E122" s="315"/>
      <c r="F122" s="315"/>
      <c r="G122" s="315"/>
      <c r="H122" s="315"/>
      <c r="I122" s="315"/>
      <c r="J122" s="315"/>
      <c r="K122" s="315"/>
      <c r="L122" s="315"/>
      <c r="M122" s="315"/>
      <c r="N122" s="315"/>
      <c r="O122" s="315"/>
      <c r="P122" s="315"/>
      <c r="Q122" s="315"/>
      <c r="R122" s="315"/>
      <c r="S122" s="315"/>
      <c r="T122" s="464"/>
      <c r="U122" s="464"/>
    </row>
    <row r="123" spans="1:21" ht="13" x14ac:dyDescent="0.4">
      <c r="A123" s="315"/>
      <c r="B123" s="315"/>
      <c r="C123" s="315"/>
      <c r="D123" s="315"/>
      <c r="E123" s="315"/>
      <c r="F123" s="315"/>
      <c r="G123" s="315"/>
      <c r="H123" s="315"/>
      <c r="I123" s="315"/>
      <c r="J123" s="315"/>
      <c r="K123" s="315"/>
      <c r="L123" s="315"/>
      <c r="M123" s="315"/>
      <c r="N123" s="315"/>
      <c r="O123" s="315"/>
      <c r="P123" s="315"/>
      <c r="Q123" s="315"/>
      <c r="R123" s="315"/>
      <c r="S123" s="315"/>
      <c r="T123" s="464"/>
      <c r="U123" s="464"/>
    </row>
    <row r="124" spans="1:21" ht="13" x14ac:dyDescent="0.4">
      <c r="A124" s="315"/>
      <c r="B124" s="315"/>
      <c r="C124" s="315"/>
      <c r="D124" s="315"/>
      <c r="E124" s="315"/>
      <c r="F124" s="315"/>
      <c r="G124" s="315"/>
      <c r="H124" s="315"/>
      <c r="I124" s="315"/>
      <c r="J124" s="315"/>
      <c r="K124" s="315"/>
      <c r="L124" s="315"/>
      <c r="M124" s="315"/>
      <c r="N124" s="315"/>
      <c r="O124" s="315"/>
      <c r="P124" s="315"/>
      <c r="Q124" s="315"/>
      <c r="R124" s="315"/>
      <c r="S124" s="315"/>
      <c r="T124" s="464"/>
      <c r="U124" s="464"/>
    </row>
    <row r="125" spans="1:21" ht="13" x14ac:dyDescent="0.4">
      <c r="A125" s="315"/>
      <c r="B125" s="315"/>
      <c r="C125" s="315"/>
      <c r="D125" s="315"/>
      <c r="E125" s="315"/>
      <c r="F125" s="315"/>
      <c r="G125" s="315"/>
      <c r="H125" s="315"/>
      <c r="I125" s="315"/>
      <c r="J125" s="315"/>
      <c r="K125" s="315"/>
      <c r="L125" s="315"/>
      <c r="M125" s="315"/>
      <c r="N125" s="315"/>
      <c r="O125" s="315"/>
      <c r="P125" s="315"/>
      <c r="Q125" s="315"/>
      <c r="R125" s="315"/>
      <c r="S125" s="315"/>
      <c r="T125" s="464"/>
      <c r="U125" s="464"/>
    </row>
    <row r="126" spans="1:21" ht="13" x14ac:dyDescent="0.4">
      <c r="A126" s="315"/>
      <c r="B126" s="315"/>
      <c r="C126" s="315"/>
      <c r="D126" s="315"/>
      <c r="E126" s="315"/>
      <c r="F126" s="315"/>
      <c r="G126" s="315"/>
      <c r="H126" s="315"/>
      <c r="I126" s="315"/>
      <c r="J126" s="315"/>
      <c r="K126" s="315"/>
      <c r="L126" s="315"/>
      <c r="M126" s="315"/>
      <c r="N126" s="315"/>
      <c r="O126" s="315"/>
      <c r="P126" s="315"/>
      <c r="Q126" s="315"/>
      <c r="R126" s="315"/>
      <c r="S126" s="315"/>
      <c r="T126" s="464"/>
      <c r="U126" s="464"/>
    </row>
    <row r="127" spans="1:21" ht="13" x14ac:dyDescent="0.4">
      <c r="A127" s="315"/>
      <c r="B127" s="315"/>
      <c r="C127" s="315"/>
      <c r="D127" s="315"/>
      <c r="E127" s="315"/>
      <c r="F127" s="315"/>
      <c r="G127" s="315"/>
      <c r="H127" s="315"/>
      <c r="I127" s="315"/>
      <c r="J127" s="315"/>
      <c r="K127" s="315"/>
      <c r="L127" s="315"/>
      <c r="M127" s="315"/>
      <c r="N127" s="315"/>
      <c r="O127" s="315"/>
      <c r="P127" s="315"/>
      <c r="Q127" s="315"/>
      <c r="R127" s="315"/>
      <c r="S127" s="315"/>
      <c r="T127" s="464"/>
      <c r="U127" s="464"/>
    </row>
    <row r="128" spans="1:21" ht="13" x14ac:dyDescent="0.4">
      <c r="A128" s="315"/>
      <c r="B128" s="315"/>
      <c r="C128" s="315"/>
      <c r="D128" s="315"/>
      <c r="E128" s="315"/>
      <c r="F128" s="315"/>
      <c r="G128" s="315"/>
      <c r="H128" s="315"/>
      <c r="I128" s="315"/>
      <c r="J128" s="315"/>
      <c r="K128" s="315"/>
      <c r="L128" s="315"/>
      <c r="M128" s="315"/>
      <c r="N128" s="315"/>
      <c r="O128" s="315"/>
      <c r="P128" s="315"/>
      <c r="Q128" s="315"/>
      <c r="R128" s="315"/>
      <c r="S128" s="315"/>
      <c r="T128" s="464"/>
      <c r="U128" s="464"/>
    </row>
    <row r="129" spans="1:21" ht="13" x14ac:dyDescent="0.4">
      <c r="A129" s="315"/>
      <c r="B129" s="315"/>
      <c r="C129" s="315"/>
      <c r="D129" s="315"/>
      <c r="E129" s="315"/>
      <c r="F129" s="315"/>
      <c r="G129" s="315"/>
      <c r="H129" s="315"/>
      <c r="I129" s="315"/>
      <c r="J129" s="315"/>
      <c r="K129" s="315"/>
      <c r="L129" s="315"/>
      <c r="M129" s="315"/>
      <c r="N129" s="315"/>
      <c r="O129" s="315"/>
      <c r="P129" s="315"/>
      <c r="Q129" s="315"/>
      <c r="R129" s="315"/>
      <c r="S129" s="315"/>
      <c r="T129" s="464"/>
      <c r="U129" s="464"/>
    </row>
    <row r="130" spans="1:21" ht="13" x14ac:dyDescent="0.4">
      <c r="A130" s="315"/>
      <c r="B130" s="315"/>
      <c r="C130" s="315"/>
      <c r="D130" s="315"/>
      <c r="E130" s="315"/>
      <c r="F130" s="315"/>
      <c r="G130" s="315"/>
      <c r="H130" s="315"/>
      <c r="I130" s="315"/>
      <c r="J130" s="315"/>
      <c r="K130" s="315"/>
      <c r="L130" s="315"/>
      <c r="M130" s="315"/>
      <c r="N130" s="315"/>
      <c r="O130" s="315"/>
      <c r="P130" s="315"/>
      <c r="Q130" s="315"/>
      <c r="R130" s="315"/>
      <c r="S130" s="315"/>
      <c r="T130" s="464"/>
      <c r="U130" s="464"/>
    </row>
    <row r="131" spans="1:21" ht="13" x14ac:dyDescent="0.4">
      <c r="A131" s="315"/>
      <c r="B131" s="315"/>
      <c r="C131" s="315"/>
      <c r="D131" s="315"/>
      <c r="E131" s="315"/>
      <c r="F131" s="315"/>
      <c r="G131" s="315"/>
      <c r="H131" s="315"/>
      <c r="I131" s="315"/>
      <c r="J131" s="315"/>
      <c r="K131" s="315"/>
      <c r="L131" s="315"/>
      <c r="M131" s="315"/>
      <c r="N131" s="315"/>
      <c r="O131" s="315"/>
      <c r="P131" s="315"/>
      <c r="Q131" s="315"/>
      <c r="R131" s="315"/>
      <c r="S131" s="315"/>
      <c r="T131" s="464"/>
      <c r="U131" s="464"/>
    </row>
    <row r="132" spans="1:21" ht="13" x14ac:dyDescent="0.4">
      <c r="A132" s="315"/>
      <c r="B132" s="315"/>
      <c r="C132" s="315"/>
      <c r="D132" s="315"/>
      <c r="E132" s="315"/>
      <c r="F132" s="315"/>
      <c r="G132" s="315"/>
      <c r="H132" s="315"/>
      <c r="I132" s="315"/>
      <c r="J132" s="315"/>
      <c r="K132" s="315"/>
      <c r="L132" s="315"/>
      <c r="M132" s="315"/>
      <c r="N132" s="315"/>
      <c r="O132" s="315"/>
      <c r="P132" s="315"/>
      <c r="Q132" s="315"/>
      <c r="R132" s="315"/>
      <c r="S132" s="315"/>
      <c r="T132" s="464"/>
      <c r="U132" s="464"/>
    </row>
    <row r="133" spans="1:21" ht="13" x14ac:dyDescent="0.4">
      <c r="A133" s="315"/>
      <c r="B133" s="315"/>
      <c r="C133" s="315"/>
      <c r="D133" s="315"/>
      <c r="E133" s="315"/>
      <c r="F133" s="315"/>
      <c r="G133" s="315"/>
      <c r="H133" s="315"/>
      <c r="I133" s="315"/>
      <c r="J133" s="315"/>
      <c r="K133" s="315"/>
      <c r="L133" s="315"/>
      <c r="M133" s="315"/>
      <c r="N133" s="315"/>
      <c r="O133" s="315"/>
      <c r="P133" s="315"/>
      <c r="Q133" s="315"/>
      <c r="R133" s="315"/>
      <c r="S133" s="315"/>
      <c r="T133" s="464"/>
      <c r="U133" s="464"/>
    </row>
    <row r="134" spans="1:21" ht="13" x14ac:dyDescent="0.4">
      <c r="A134" s="315"/>
      <c r="B134" s="315"/>
      <c r="C134" s="315"/>
      <c r="D134" s="315"/>
      <c r="E134" s="315"/>
      <c r="F134" s="315"/>
      <c r="G134" s="315"/>
      <c r="H134" s="315"/>
      <c r="I134" s="315"/>
      <c r="J134" s="315"/>
      <c r="K134" s="315"/>
      <c r="L134" s="315"/>
      <c r="M134" s="315"/>
      <c r="N134" s="315"/>
      <c r="O134" s="315"/>
      <c r="P134" s="315"/>
      <c r="Q134" s="315"/>
      <c r="R134" s="315"/>
      <c r="S134" s="315"/>
      <c r="T134" s="464"/>
      <c r="U134" s="464"/>
    </row>
    <row r="135" spans="1:21" ht="13" x14ac:dyDescent="0.4">
      <c r="A135" s="315"/>
      <c r="B135" s="315"/>
      <c r="C135" s="315"/>
      <c r="D135" s="315"/>
      <c r="E135" s="315"/>
      <c r="F135" s="315"/>
      <c r="G135" s="315"/>
      <c r="H135" s="315"/>
      <c r="I135" s="315"/>
      <c r="J135" s="315"/>
      <c r="K135" s="315"/>
      <c r="L135" s="315"/>
      <c r="M135" s="315"/>
      <c r="N135" s="315"/>
      <c r="O135" s="315"/>
      <c r="P135" s="315"/>
      <c r="Q135" s="315"/>
      <c r="R135" s="315"/>
      <c r="S135" s="315"/>
      <c r="T135" s="464"/>
      <c r="U135" s="464"/>
    </row>
    <row r="136" spans="1:21" ht="13" x14ac:dyDescent="0.4">
      <c r="A136" s="315"/>
      <c r="B136" s="315"/>
      <c r="C136" s="315"/>
      <c r="D136" s="315"/>
      <c r="E136" s="315"/>
      <c r="F136" s="315"/>
      <c r="G136" s="315"/>
      <c r="H136" s="315"/>
      <c r="I136" s="315"/>
      <c r="J136" s="315"/>
      <c r="K136" s="315"/>
      <c r="L136" s="315"/>
      <c r="M136" s="315"/>
      <c r="N136" s="315"/>
      <c r="O136" s="315"/>
      <c r="P136" s="315"/>
      <c r="Q136" s="315"/>
      <c r="R136" s="315"/>
      <c r="S136" s="315"/>
      <c r="T136" s="464"/>
      <c r="U136" s="464"/>
    </row>
    <row r="137" spans="1:21" ht="13" x14ac:dyDescent="0.4">
      <c r="A137" s="315"/>
      <c r="B137" s="315"/>
      <c r="C137" s="315"/>
      <c r="D137" s="315"/>
      <c r="E137" s="315"/>
      <c r="F137" s="315"/>
      <c r="G137" s="315"/>
      <c r="H137" s="315"/>
      <c r="I137" s="315"/>
      <c r="J137" s="315"/>
      <c r="K137" s="315"/>
      <c r="L137" s="315"/>
      <c r="M137" s="315"/>
      <c r="N137" s="315"/>
      <c r="O137" s="315"/>
      <c r="P137" s="315"/>
      <c r="Q137" s="315"/>
      <c r="R137" s="315"/>
      <c r="S137" s="315"/>
      <c r="T137" s="464"/>
      <c r="U137" s="464"/>
    </row>
    <row r="138" spans="1:21" ht="13" x14ac:dyDescent="0.4">
      <c r="A138" s="315"/>
      <c r="B138" s="315"/>
      <c r="C138" s="315"/>
      <c r="D138" s="315"/>
      <c r="E138" s="315"/>
      <c r="F138" s="315"/>
      <c r="G138" s="315"/>
      <c r="H138" s="315"/>
      <c r="I138" s="315"/>
      <c r="J138" s="315"/>
      <c r="K138" s="315"/>
      <c r="L138" s="315"/>
      <c r="M138" s="315"/>
      <c r="N138" s="315"/>
      <c r="O138" s="315"/>
      <c r="P138" s="315"/>
      <c r="Q138" s="315"/>
      <c r="R138" s="315"/>
      <c r="S138" s="315"/>
      <c r="T138" s="464"/>
      <c r="U138" s="464"/>
    </row>
    <row r="139" spans="1:21" ht="13" x14ac:dyDescent="0.4">
      <c r="A139" s="315"/>
      <c r="B139" s="315"/>
      <c r="C139" s="315"/>
      <c r="D139" s="315"/>
      <c r="E139" s="315"/>
      <c r="F139" s="315"/>
      <c r="G139" s="315"/>
      <c r="H139" s="315"/>
      <c r="I139" s="315"/>
      <c r="J139" s="315"/>
      <c r="K139" s="315"/>
      <c r="L139" s="315"/>
      <c r="M139" s="315"/>
      <c r="N139" s="315"/>
      <c r="O139" s="315"/>
      <c r="P139" s="315"/>
      <c r="Q139" s="315"/>
      <c r="R139" s="315"/>
      <c r="S139" s="315"/>
      <c r="T139" s="464"/>
      <c r="U139" s="464"/>
    </row>
    <row r="140" spans="1:21" ht="13" x14ac:dyDescent="0.4">
      <c r="A140" s="315"/>
      <c r="B140" s="315"/>
      <c r="C140" s="315"/>
      <c r="D140" s="315"/>
      <c r="E140" s="315"/>
      <c r="F140" s="315"/>
      <c r="G140" s="315"/>
      <c r="H140" s="315"/>
      <c r="I140" s="315"/>
      <c r="J140" s="315"/>
      <c r="K140" s="315"/>
      <c r="L140" s="315"/>
      <c r="M140" s="315"/>
      <c r="N140" s="315"/>
      <c r="O140" s="315"/>
      <c r="P140" s="315"/>
      <c r="Q140" s="315"/>
      <c r="R140" s="315"/>
      <c r="S140" s="315"/>
      <c r="T140" s="464"/>
      <c r="U140" s="464"/>
    </row>
    <row r="141" spans="1:21" ht="13" x14ac:dyDescent="0.4">
      <c r="A141" s="315"/>
      <c r="B141" s="315"/>
      <c r="C141" s="315"/>
      <c r="D141" s="315"/>
      <c r="E141" s="315"/>
      <c r="F141" s="315"/>
      <c r="G141" s="315"/>
      <c r="H141" s="315"/>
      <c r="I141" s="315"/>
      <c r="J141" s="315"/>
      <c r="K141" s="315"/>
      <c r="L141" s="315"/>
      <c r="M141" s="315"/>
      <c r="N141" s="315"/>
      <c r="O141" s="315"/>
      <c r="P141" s="315"/>
      <c r="Q141" s="315"/>
      <c r="R141" s="315"/>
      <c r="S141" s="315"/>
      <c r="T141" s="464"/>
      <c r="U141" s="464"/>
    </row>
    <row r="142" spans="1:21" ht="13" x14ac:dyDescent="0.4">
      <c r="A142" s="315"/>
      <c r="B142" s="315"/>
      <c r="C142" s="315"/>
      <c r="D142" s="315"/>
      <c r="E142" s="315"/>
      <c r="F142" s="315"/>
      <c r="G142" s="315"/>
      <c r="H142" s="315"/>
      <c r="I142" s="315"/>
      <c r="J142" s="315"/>
      <c r="K142" s="315"/>
      <c r="L142" s="315"/>
      <c r="M142" s="315"/>
      <c r="N142" s="315"/>
      <c r="O142" s="315"/>
      <c r="P142" s="315"/>
      <c r="Q142" s="315"/>
      <c r="R142" s="315"/>
      <c r="S142" s="315"/>
      <c r="T142" s="464"/>
      <c r="U142" s="464"/>
    </row>
    <row r="143" spans="1:21" ht="13" x14ac:dyDescent="0.4">
      <c r="A143" s="315"/>
      <c r="B143" s="315"/>
      <c r="C143" s="315"/>
      <c r="D143" s="315"/>
      <c r="E143" s="315"/>
      <c r="F143" s="315"/>
      <c r="G143" s="315"/>
      <c r="H143" s="315"/>
      <c r="I143" s="315"/>
      <c r="J143" s="315"/>
      <c r="K143" s="315"/>
      <c r="L143" s="315"/>
      <c r="M143" s="315"/>
      <c r="N143" s="315"/>
      <c r="O143" s="315"/>
      <c r="P143" s="315"/>
      <c r="Q143" s="315"/>
      <c r="R143" s="315"/>
      <c r="S143" s="315"/>
      <c r="T143" s="464"/>
      <c r="U143" s="464"/>
    </row>
    <row r="144" spans="1:21" ht="13" x14ac:dyDescent="0.4">
      <c r="A144" s="315"/>
      <c r="B144" s="315"/>
      <c r="C144" s="315"/>
      <c r="D144" s="315"/>
      <c r="E144" s="315"/>
      <c r="F144" s="315"/>
      <c r="G144" s="315"/>
      <c r="H144" s="315"/>
      <c r="I144" s="315"/>
      <c r="J144" s="315"/>
      <c r="K144" s="315"/>
      <c r="L144" s="315"/>
      <c r="M144" s="315"/>
      <c r="N144" s="315"/>
      <c r="O144" s="315"/>
      <c r="P144" s="315"/>
      <c r="Q144" s="315"/>
      <c r="R144" s="315"/>
      <c r="S144" s="315"/>
      <c r="T144" s="464"/>
      <c r="U144" s="464"/>
    </row>
    <row r="145" spans="1:21" ht="13" x14ac:dyDescent="0.4">
      <c r="A145" s="315"/>
      <c r="B145" s="315"/>
      <c r="C145" s="315"/>
      <c r="D145" s="315"/>
      <c r="E145" s="315"/>
      <c r="F145" s="315"/>
      <c r="G145" s="315"/>
      <c r="H145" s="315"/>
      <c r="I145" s="315"/>
      <c r="J145" s="315"/>
      <c r="K145" s="315"/>
      <c r="L145" s="315"/>
      <c r="M145" s="315"/>
      <c r="N145" s="315"/>
      <c r="O145" s="315"/>
      <c r="P145" s="315"/>
      <c r="Q145" s="315"/>
      <c r="R145" s="315"/>
      <c r="S145" s="315"/>
      <c r="T145" s="464"/>
      <c r="U145" s="464"/>
    </row>
    <row r="146" spans="1:21" ht="13" x14ac:dyDescent="0.4">
      <c r="A146" s="315"/>
      <c r="B146" s="315"/>
      <c r="C146" s="315"/>
      <c r="D146" s="315"/>
      <c r="E146" s="315"/>
      <c r="F146" s="315"/>
      <c r="G146" s="315"/>
      <c r="H146" s="315"/>
      <c r="I146" s="315"/>
      <c r="J146" s="315"/>
      <c r="K146" s="315"/>
      <c r="L146" s="315"/>
      <c r="M146" s="315"/>
      <c r="N146" s="315"/>
      <c r="O146" s="315"/>
      <c r="P146" s="315"/>
      <c r="Q146" s="315"/>
      <c r="R146" s="315"/>
      <c r="S146" s="315"/>
      <c r="T146" s="464"/>
      <c r="U146" s="464"/>
    </row>
    <row r="147" spans="1:21" ht="13" x14ac:dyDescent="0.4">
      <c r="A147" s="315"/>
      <c r="B147" s="315"/>
      <c r="C147" s="315"/>
      <c r="D147" s="315"/>
      <c r="E147" s="315"/>
      <c r="F147" s="315"/>
      <c r="G147" s="315"/>
      <c r="H147" s="315"/>
      <c r="I147" s="315"/>
      <c r="J147" s="315"/>
      <c r="K147" s="315"/>
      <c r="L147" s="315"/>
      <c r="M147" s="315"/>
      <c r="N147" s="315"/>
      <c r="O147" s="315"/>
      <c r="P147" s="315"/>
      <c r="Q147" s="315"/>
      <c r="R147" s="315"/>
      <c r="S147" s="315"/>
      <c r="T147" s="464"/>
      <c r="U147" s="464"/>
    </row>
    <row r="148" spans="1:21" ht="13" x14ac:dyDescent="0.4">
      <c r="A148" s="315"/>
      <c r="B148" s="315"/>
      <c r="C148" s="315"/>
      <c r="D148" s="315"/>
      <c r="E148" s="315"/>
      <c r="F148" s="315"/>
      <c r="G148" s="315"/>
      <c r="H148" s="315"/>
      <c r="I148" s="315"/>
      <c r="J148" s="315"/>
      <c r="K148" s="315"/>
      <c r="L148" s="315"/>
      <c r="M148" s="315"/>
      <c r="N148" s="315"/>
      <c r="O148" s="315"/>
      <c r="P148" s="315"/>
      <c r="Q148" s="315"/>
      <c r="R148" s="315"/>
      <c r="S148" s="315"/>
      <c r="T148" s="464"/>
      <c r="U148" s="464"/>
    </row>
    <row r="149" spans="1:21" ht="13" x14ac:dyDescent="0.4">
      <c r="A149" s="315"/>
      <c r="B149" s="315"/>
      <c r="C149" s="315"/>
      <c r="D149" s="315"/>
      <c r="E149" s="315"/>
      <c r="F149" s="315"/>
      <c r="G149" s="315"/>
      <c r="H149" s="315"/>
      <c r="I149" s="315"/>
      <c r="J149" s="315"/>
      <c r="K149" s="315"/>
      <c r="L149" s="315"/>
      <c r="M149" s="315"/>
      <c r="N149" s="315"/>
      <c r="O149" s="315"/>
      <c r="P149" s="315"/>
      <c r="Q149" s="315"/>
      <c r="R149" s="315"/>
      <c r="S149" s="315"/>
      <c r="T149" s="464"/>
      <c r="U149" s="464"/>
    </row>
    <row r="150" spans="1:21" ht="13" x14ac:dyDescent="0.4">
      <c r="A150" s="315"/>
      <c r="B150" s="315"/>
      <c r="C150" s="315"/>
      <c r="D150" s="315"/>
      <c r="E150" s="315"/>
      <c r="F150" s="315"/>
      <c r="G150" s="315"/>
      <c r="H150" s="315"/>
      <c r="I150" s="315"/>
      <c r="J150" s="315"/>
      <c r="K150" s="315"/>
      <c r="L150" s="315"/>
      <c r="M150" s="315"/>
      <c r="N150" s="315"/>
      <c r="O150" s="315"/>
      <c r="P150" s="315"/>
      <c r="Q150" s="315"/>
      <c r="R150" s="315"/>
      <c r="S150" s="315"/>
      <c r="T150" s="464"/>
      <c r="U150" s="464"/>
    </row>
    <row r="151" spans="1:21" ht="13" x14ac:dyDescent="0.4">
      <c r="A151" s="315"/>
      <c r="B151" s="315"/>
      <c r="C151" s="315"/>
      <c r="D151" s="315"/>
      <c r="E151" s="315"/>
      <c r="F151" s="315"/>
      <c r="G151" s="315"/>
      <c r="H151" s="315"/>
      <c r="I151" s="315"/>
      <c r="J151" s="315"/>
      <c r="K151" s="315"/>
      <c r="L151" s="315"/>
      <c r="M151" s="315"/>
      <c r="N151" s="315"/>
      <c r="O151" s="315"/>
      <c r="P151" s="315"/>
      <c r="Q151" s="315"/>
      <c r="R151" s="315"/>
      <c r="S151" s="315"/>
      <c r="T151" s="464"/>
      <c r="U151" s="464"/>
    </row>
    <row r="152" spans="1:21" ht="13" x14ac:dyDescent="0.4">
      <c r="A152" s="315"/>
      <c r="B152" s="315"/>
      <c r="C152" s="315"/>
      <c r="D152" s="315"/>
      <c r="E152" s="315"/>
      <c r="F152" s="315"/>
      <c r="G152" s="315"/>
      <c r="H152" s="315"/>
      <c r="I152" s="315"/>
      <c r="J152" s="315"/>
      <c r="K152" s="315"/>
      <c r="L152" s="315"/>
      <c r="M152" s="315"/>
      <c r="N152" s="315"/>
      <c r="O152" s="315"/>
      <c r="P152" s="315"/>
      <c r="Q152" s="315"/>
      <c r="R152" s="315"/>
      <c r="S152" s="315"/>
      <c r="T152" s="464"/>
      <c r="U152" s="464"/>
    </row>
    <row r="153" spans="1:21" ht="13" x14ac:dyDescent="0.4">
      <c r="A153" s="315"/>
      <c r="B153" s="315"/>
      <c r="C153" s="315"/>
      <c r="D153" s="315"/>
      <c r="E153" s="315"/>
      <c r="F153" s="315"/>
      <c r="G153" s="315"/>
      <c r="H153" s="315"/>
      <c r="I153" s="315"/>
      <c r="J153" s="315"/>
      <c r="K153" s="315"/>
      <c r="L153" s="315"/>
      <c r="M153" s="315"/>
      <c r="N153" s="315"/>
      <c r="O153" s="315"/>
      <c r="P153" s="315"/>
      <c r="Q153" s="315"/>
      <c r="R153" s="315"/>
      <c r="S153" s="315"/>
      <c r="T153" s="464"/>
      <c r="U153" s="464"/>
    </row>
    <row r="154" spans="1:21" ht="13" x14ac:dyDescent="0.4">
      <c r="A154" s="315"/>
      <c r="B154" s="315"/>
      <c r="C154" s="315"/>
      <c r="D154" s="315"/>
      <c r="E154" s="315"/>
      <c r="F154" s="315"/>
      <c r="G154" s="315"/>
      <c r="H154" s="315"/>
      <c r="I154" s="315"/>
      <c r="J154" s="315"/>
      <c r="K154" s="315"/>
      <c r="L154" s="315"/>
      <c r="M154" s="315"/>
      <c r="N154" s="315"/>
      <c r="O154" s="315"/>
      <c r="P154" s="315"/>
      <c r="Q154" s="315"/>
      <c r="R154" s="315"/>
      <c r="S154" s="315"/>
      <c r="T154" s="464"/>
      <c r="U154" s="464"/>
    </row>
    <row r="155" spans="1:21" ht="13" x14ac:dyDescent="0.4">
      <c r="A155" s="315"/>
      <c r="B155" s="315"/>
      <c r="C155" s="315"/>
      <c r="D155" s="315"/>
      <c r="E155" s="315"/>
      <c r="F155" s="315"/>
      <c r="G155" s="315"/>
      <c r="H155" s="315"/>
      <c r="I155" s="315"/>
      <c r="J155" s="315"/>
      <c r="K155" s="315"/>
      <c r="L155" s="315"/>
      <c r="M155" s="315"/>
      <c r="N155" s="315"/>
      <c r="O155" s="315"/>
      <c r="P155" s="315"/>
      <c r="Q155" s="315"/>
      <c r="R155" s="315"/>
      <c r="S155" s="315"/>
      <c r="T155" s="464"/>
      <c r="U155" s="464"/>
    </row>
    <row r="156" spans="1:21" ht="13" x14ac:dyDescent="0.4">
      <c r="A156" s="315"/>
      <c r="B156" s="315"/>
      <c r="C156" s="315"/>
      <c r="D156" s="315"/>
      <c r="E156" s="315"/>
      <c r="F156" s="315"/>
      <c r="G156" s="315"/>
      <c r="H156" s="315"/>
      <c r="I156" s="315"/>
      <c r="J156" s="315"/>
      <c r="K156" s="315"/>
      <c r="L156" s="315"/>
      <c r="M156" s="315"/>
      <c r="N156" s="315"/>
      <c r="O156" s="315"/>
      <c r="P156" s="315"/>
      <c r="Q156" s="315"/>
      <c r="R156" s="315"/>
      <c r="S156" s="315"/>
      <c r="T156" s="464"/>
      <c r="U156" s="464"/>
    </row>
    <row r="157" spans="1:21" ht="13" x14ac:dyDescent="0.4">
      <c r="A157" s="315"/>
      <c r="B157" s="315"/>
      <c r="C157" s="315"/>
      <c r="D157" s="315"/>
      <c r="E157" s="315"/>
      <c r="F157" s="315"/>
      <c r="G157" s="315"/>
      <c r="H157" s="315"/>
      <c r="I157" s="315"/>
      <c r="J157" s="315"/>
      <c r="K157" s="315"/>
      <c r="L157" s="315"/>
      <c r="M157" s="315"/>
      <c r="N157" s="315"/>
      <c r="O157" s="315"/>
      <c r="P157" s="315"/>
      <c r="Q157" s="315"/>
      <c r="R157" s="315"/>
      <c r="S157" s="315"/>
      <c r="T157" s="464"/>
      <c r="U157" s="464"/>
    </row>
    <row r="158" spans="1:21" ht="13" x14ac:dyDescent="0.4">
      <c r="A158" s="315"/>
      <c r="B158" s="315"/>
      <c r="C158" s="315"/>
      <c r="D158" s="315"/>
      <c r="E158" s="315"/>
      <c r="F158" s="315"/>
      <c r="G158" s="315"/>
      <c r="H158" s="315"/>
      <c r="I158" s="315"/>
      <c r="J158" s="315"/>
      <c r="K158" s="315"/>
      <c r="L158" s="315"/>
      <c r="M158" s="315"/>
      <c r="N158" s="315"/>
      <c r="O158" s="315"/>
      <c r="P158" s="315"/>
      <c r="Q158" s="315"/>
      <c r="R158" s="315"/>
      <c r="S158" s="315"/>
      <c r="T158" s="464"/>
      <c r="U158" s="464"/>
    </row>
    <row r="159" spans="1:21" ht="13" x14ac:dyDescent="0.4">
      <c r="A159" s="315"/>
      <c r="B159" s="315"/>
      <c r="C159" s="315"/>
      <c r="D159" s="315"/>
      <c r="E159" s="315"/>
      <c r="F159" s="315"/>
      <c r="G159" s="315"/>
      <c r="H159" s="315"/>
      <c r="I159" s="315"/>
      <c r="J159" s="315"/>
      <c r="K159" s="315"/>
      <c r="L159" s="315"/>
      <c r="M159" s="315"/>
      <c r="N159" s="315"/>
      <c r="O159" s="315"/>
      <c r="P159" s="315"/>
      <c r="Q159" s="315"/>
      <c r="R159" s="315"/>
      <c r="S159" s="315"/>
      <c r="T159" s="464"/>
      <c r="U159" s="464"/>
    </row>
    <row r="160" spans="1:21" ht="13" x14ac:dyDescent="0.4">
      <c r="A160" s="315"/>
      <c r="B160" s="315"/>
      <c r="C160" s="315"/>
      <c r="D160" s="315"/>
      <c r="E160" s="315"/>
      <c r="F160" s="315"/>
      <c r="G160" s="315"/>
      <c r="H160" s="315"/>
      <c r="I160" s="315"/>
      <c r="J160" s="315"/>
      <c r="K160" s="315"/>
      <c r="L160" s="315"/>
      <c r="M160" s="315"/>
      <c r="N160" s="315"/>
      <c r="O160" s="315"/>
      <c r="P160" s="315"/>
      <c r="Q160" s="315"/>
      <c r="R160" s="315"/>
      <c r="S160" s="315"/>
      <c r="T160" s="464"/>
      <c r="U160" s="464"/>
    </row>
    <row r="161" spans="1:21" ht="13" x14ac:dyDescent="0.4">
      <c r="A161" s="315"/>
      <c r="B161" s="315"/>
      <c r="C161" s="315"/>
      <c r="D161" s="315"/>
      <c r="E161" s="315"/>
      <c r="F161" s="315"/>
      <c r="G161" s="315"/>
      <c r="H161" s="315"/>
      <c r="I161" s="315"/>
      <c r="J161" s="315"/>
      <c r="K161" s="315"/>
      <c r="L161" s="315"/>
      <c r="M161" s="315"/>
      <c r="N161" s="315"/>
      <c r="O161" s="315"/>
      <c r="P161" s="315"/>
      <c r="Q161" s="315"/>
      <c r="R161" s="315"/>
      <c r="S161" s="315"/>
      <c r="T161" s="464"/>
      <c r="U161" s="464"/>
    </row>
    <row r="162" spans="1:21" ht="13" x14ac:dyDescent="0.4">
      <c r="A162" s="315"/>
      <c r="B162" s="315"/>
      <c r="C162" s="315"/>
      <c r="D162" s="315"/>
      <c r="E162" s="315"/>
      <c r="F162" s="315"/>
      <c r="G162" s="315"/>
      <c r="H162" s="315"/>
      <c r="I162" s="315"/>
      <c r="J162" s="315"/>
      <c r="K162" s="315"/>
      <c r="L162" s="315"/>
      <c r="M162" s="315"/>
      <c r="N162" s="315"/>
      <c r="O162" s="315"/>
      <c r="P162" s="315"/>
      <c r="Q162" s="315"/>
      <c r="R162" s="315"/>
      <c r="S162" s="315"/>
      <c r="T162" s="464"/>
      <c r="U162" s="464"/>
    </row>
    <row r="163" spans="1:21" ht="13" x14ac:dyDescent="0.4">
      <c r="A163" s="315"/>
      <c r="B163" s="315"/>
      <c r="C163" s="315"/>
      <c r="D163" s="315"/>
      <c r="E163" s="315"/>
      <c r="F163" s="315"/>
      <c r="G163" s="315"/>
      <c r="H163" s="315"/>
      <c r="I163" s="315"/>
      <c r="J163" s="315"/>
      <c r="K163" s="315"/>
      <c r="L163" s="315"/>
      <c r="M163" s="315"/>
      <c r="N163" s="315"/>
      <c r="O163" s="315"/>
      <c r="P163" s="315"/>
      <c r="Q163" s="315"/>
      <c r="R163" s="315"/>
      <c r="S163" s="315"/>
      <c r="T163" s="464"/>
      <c r="U163" s="464"/>
    </row>
    <row r="164" spans="1:21" ht="13" x14ac:dyDescent="0.4">
      <c r="A164" s="315"/>
      <c r="B164" s="315"/>
      <c r="C164" s="315"/>
      <c r="D164" s="315"/>
      <c r="E164" s="315"/>
      <c r="F164" s="315"/>
      <c r="G164" s="315"/>
      <c r="H164" s="315"/>
      <c r="I164" s="315"/>
      <c r="J164" s="315"/>
      <c r="K164" s="315"/>
      <c r="L164" s="315"/>
      <c r="M164" s="315"/>
      <c r="N164" s="315"/>
      <c r="O164" s="315"/>
      <c r="P164" s="315"/>
      <c r="Q164" s="315"/>
      <c r="R164" s="315"/>
      <c r="S164" s="315"/>
      <c r="T164" s="464"/>
      <c r="U164" s="464"/>
    </row>
    <row r="165" spans="1:21" ht="13" x14ac:dyDescent="0.4">
      <c r="A165" s="315"/>
      <c r="B165" s="315"/>
      <c r="C165" s="315"/>
      <c r="D165" s="315"/>
      <c r="E165" s="315"/>
      <c r="F165" s="315"/>
      <c r="G165" s="315"/>
      <c r="H165" s="315"/>
      <c r="I165" s="315"/>
      <c r="J165" s="315"/>
      <c r="K165" s="315"/>
      <c r="L165" s="315"/>
      <c r="M165" s="315"/>
      <c r="N165" s="315"/>
      <c r="O165" s="315"/>
      <c r="P165" s="315"/>
      <c r="Q165" s="315"/>
      <c r="R165" s="315"/>
      <c r="S165" s="315"/>
      <c r="T165" s="464"/>
      <c r="U165" s="464"/>
    </row>
    <row r="166" spans="1:21" ht="13" x14ac:dyDescent="0.4">
      <c r="A166" s="315"/>
      <c r="B166" s="315"/>
      <c r="C166" s="315"/>
      <c r="D166" s="315"/>
      <c r="E166" s="315"/>
      <c r="F166" s="315"/>
      <c r="G166" s="315"/>
      <c r="H166" s="315"/>
      <c r="I166" s="315"/>
      <c r="J166" s="315"/>
      <c r="K166" s="315"/>
      <c r="L166" s="315"/>
      <c r="M166" s="315"/>
      <c r="N166" s="315"/>
      <c r="O166" s="315"/>
      <c r="P166" s="315"/>
      <c r="Q166" s="315"/>
      <c r="R166" s="315"/>
      <c r="S166" s="315"/>
      <c r="T166" s="464"/>
      <c r="U166" s="464"/>
    </row>
    <row r="167" spans="1:21" ht="13" x14ac:dyDescent="0.4">
      <c r="A167" s="315"/>
      <c r="B167" s="315"/>
      <c r="C167" s="315"/>
      <c r="D167" s="315"/>
      <c r="E167" s="315"/>
      <c r="F167" s="315"/>
      <c r="G167" s="315"/>
      <c r="H167" s="315"/>
      <c r="I167" s="315"/>
      <c r="J167" s="315"/>
      <c r="K167" s="315"/>
      <c r="L167" s="315"/>
      <c r="M167" s="315"/>
      <c r="N167" s="315"/>
      <c r="O167" s="315"/>
      <c r="P167" s="315"/>
      <c r="Q167" s="315"/>
      <c r="R167" s="315"/>
      <c r="S167" s="315"/>
      <c r="T167" s="464"/>
      <c r="U167" s="464"/>
    </row>
    <row r="168" spans="1:21" ht="13" x14ac:dyDescent="0.4">
      <c r="A168" s="315"/>
      <c r="B168" s="315"/>
      <c r="C168" s="315"/>
      <c r="D168" s="315"/>
      <c r="E168" s="315"/>
      <c r="F168" s="315"/>
      <c r="G168" s="315"/>
      <c r="H168" s="315"/>
      <c r="I168" s="315"/>
      <c r="J168" s="315"/>
      <c r="K168" s="315"/>
      <c r="L168" s="315"/>
      <c r="M168" s="315"/>
      <c r="N168" s="315"/>
      <c r="O168" s="315"/>
      <c r="P168" s="315"/>
      <c r="Q168" s="315"/>
      <c r="R168" s="315"/>
      <c r="S168" s="315"/>
      <c r="T168" s="464"/>
      <c r="U168" s="464"/>
    </row>
    <row r="169" spans="1:21" ht="13" x14ac:dyDescent="0.4">
      <c r="A169" s="315"/>
      <c r="B169" s="315"/>
      <c r="C169" s="315"/>
      <c r="D169" s="315"/>
      <c r="E169" s="315"/>
      <c r="F169" s="315"/>
      <c r="G169" s="315"/>
      <c r="H169" s="315"/>
      <c r="I169" s="315"/>
      <c r="J169" s="315"/>
      <c r="K169" s="315"/>
      <c r="L169" s="315"/>
      <c r="M169" s="315"/>
      <c r="N169" s="315"/>
      <c r="O169" s="315"/>
      <c r="P169" s="315"/>
      <c r="Q169" s="315"/>
      <c r="R169" s="315"/>
      <c r="S169" s="315"/>
      <c r="T169" s="464"/>
      <c r="U169" s="464"/>
    </row>
    <row r="170" spans="1:21" ht="13" x14ac:dyDescent="0.4">
      <c r="A170" s="315"/>
      <c r="B170" s="315"/>
      <c r="C170" s="315"/>
      <c r="D170" s="315"/>
      <c r="E170" s="315"/>
      <c r="F170" s="315"/>
      <c r="G170" s="315"/>
      <c r="H170" s="315"/>
      <c r="I170" s="315"/>
      <c r="J170" s="315"/>
      <c r="K170" s="315"/>
      <c r="L170" s="315"/>
      <c r="M170" s="315"/>
      <c r="N170" s="315"/>
      <c r="O170" s="315"/>
      <c r="P170" s="315"/>
      <c r="Q170" s="315"/>
      <c r="R170" s="315"/>
      <c r="S170" s="315"/>
      <c r="T170" s="464"/>
      <c r="U170" s="464"/>
    </row>
    <row r="171" spans="1:21" ht="13" x14ac:dyDescent="0.4">
      <c r="A171" s="315"/>
      <c r="B171" s="315"/>
      <c r="C171" s="315"/>
      <c r="D171" s="315"/>
      <c r="E171" s="315"/>
      <c r="F171" s="315"/>
      <c r="G171" s="315"/>
      <c r="H171" s="315"/>
      <c r="I171" s="315"/>
      <c r="J171" s="315"/>
      <c r="K171" s="315"/>
      <c r="L171" s="315"/>
      <c r="M171" s="315"/>
      <c r="N171" s="315"/>
      <c r="O171" s="315"/>
      <c r="P171" s="315"/>
      <c r="Q171" s="315"/>
      <c r="R171" s="315"/>
      <c r="S171" s="315"/>
      <c r="T171" s="464"/>
      <c r="U171" s="464"/>
    </row>
    <row r="172" spans="1:21" ht="13" x14ac:dyDescent="0.4">
      <c r="A172" s="315"/>
      <c r="B172" s="315"/>
      <c r="C172" s="315"/>
      <c r="D172" s="315"/>
      <c r="E172" s="315"/>
      <c r="F172" s="315"/>
      <c r="G172" s="315"/>
      <c r="H172" s="315"/>
      <c r="I172" s="315"/>
      <c r="J172" s="315"/>
      <c r="K172" s="315"/>
      <c r="L172" s="315"/>
      <c r="M172" s="315"/>
      <c r="N172" s="315"/>
      <c r="O172" s="315"/>
      <c r="P172" s="315"/>
      <c r="Q172" s="315"/>
      <c r="R172" s="315"/>
      <c r="S172" s="315"/>
      <c r="T172" s="464"/>
      <c r="U172" s="464"/>
    </row>
    <row r="173" spans="1:21" ht="13" x14ac:dyDescent="0.4">
      <c r="A173" s="315"/>
      <c r="B173" s="315"/>
      <c r="C173" s="315"/>
      <c r="D173" s="315"/>
      <c r="E173" s="315"/>
      <c r="F173" s="315"/>
      <c r="G173" s="315"/>
      <c r="H173" s="315"/>
      <c r="I173" s="315"/>
      <c r="J173" s="315"/>
      <c r="K173" s="315"/>
      <c r="L173" s="315"/>
      <c r="M173" s="315"/>
      <c r="N173" s="315"/>
      <c r="O173" s="315"/>
      <c r="P173" s="315"/>
      <c r="Q173" s="315"/>
      <c r="R173" s="315"/>
      <c r="S173" s="315"/>
      <c r="T173" s="464"/>
      <c r="U173" s="464"/>
    </row>
    <row r="174" spans="1:21" ht="13" x14ac:dyDescent="0.4">
      <c r="A174" s="315"/>
      <c r="B174" s="315"/>
      <c r="C174" s="315"/>
      <c r="D174" s="315"/>
      <c r="E174" s="315"/>
      <c r="F174" s="315"/>
      <c r="G174" s="315"/>
      <c r="H174" s="315"/>
      <c r="I174" s="315"/>
      <c r="J174" s="315"/>
      <c r="K174" s="315"/>
      <c r="L174" s="315"/>
      <c r="M174" s="315"/>
      <c r="N174" s="315"/>
      <c r="O174" s="315"/>
      <c r="P174" s="315"/>
      <c r="Q174" s="315"/>
      <c r="R174" s="315"/>
      <c r="S174" s="315"/>
      <c r="T174" s="464"/>
      <c r="U174" s="464"/>
    </row>
    <row r="175" spans="1:21" ht="13" x14ac:dyDescent="0.4">
      <c r="A175" s="315"/>
      <c r="B175" s="315"/>
      <c r="C175" s="315"/>
      <c r="D175" s="315"/>
      <c r="E175" s="315"/>
      <c r="F175" s="315"/>
      <c r="G175" s="315"/>
      <c r="H175" s="315"/>
      <c r="I175" s="315"/>
      <c r="J175" s="315"/>
      <c r="K175" s="315"/>
      <c r="L175" s="315"/>
      <c r="M175" s="315"/>
      <c r="N175" s="315"/>
      <c r="O175" s="315"/>
      <c r="P175" s="315"/>
      <c r="Q175" s="315"/>
      <c r="R175" s="315"/>
      <c r="S175" s="315"/>
      <c r="T175" s="464"/>
      <c r="U175" s="464"/>
    </row>
    <row r="176" spans="1:21" ht="13" x14ac:dyDescent="0.4">
      <c r="A176" s="315"/>
      <c r="B176" s="315"/>
      <c r="C176" s="315"/>
      <c r="D176" s="315"/>
      <c r="E176" s="315"/>
      <c r="F176" s="315"/>
      <c r="G176" s="315"/>
      <c r="H176" s="315"/>
      <c r="I176" s="315"/>
      <c r="J176" s="315"/>
      <c r="K176" s="315"/>
      <c r="L176" s="315"/>
      <c r="M176" s="315"/>
      <c r="N176" s="315"/>
      <c r="O176" s="315"/>
      <c r="P176" s="315"/>
      <c r="Q176" s="315"/>
      <c r="R176" s="315"/>
      <c r="S176" s="315"/>
      <c r="T176" s="464"/>
      <c r="U176" s="464"/>
    </row>
    <row r="177" spans="1:21" ht="13" x14ac:dyDescent="0.4">
      <c r="A177" s="315"/>
      <c r="B177" s="315"/>
      <c r="C177" s="315"/>
      <c r="D177" s="315"/>
      <c r="E177" s="315"/>
      <c r="F177" s="315"/>
      <c r="G177" s="315"/>
      <c r="H177" s="315"/>
      <c r="I177" s="315"/>
      <c r="J177" s="315"/>
      <c r="K177" s="315"/>
      <c r="L177" s="315"/>
      <c r="M177" s="315"/>
      <c r="N177" s="315"/>
      <c r="O177" s="315"/>
      <c r="P177" s="315"/>
      <c r="Q177" s="315"/>
      <c r="R177" s="315"/>
      <c r="S177" s="315"/>
      <c r="T177" s="464"/>
      <c r="U177" s="464"/>
    </row>
    <row r="178" spans="1:21" ht="13" x14ac:dyDescent="0.4">
      <c r="A178" s="315"/>
      <c r="B178" s="315"/>
      <c r="C178" s="315"/>
      <c r="D178" s="315"/>
      <c r="E178" s="315"/>
      <c r="F178" s="315"/>
      <c r="G178" s="315"/>
      <c r="H178" s="315"/>
      <c r="I178" s="315"/>
      <c r="J178" s="315"/>
      <c r="K178" s="315"/>
      <c r="L178" s="315"/>
      <c r="M178" s="315"/>
      <c r="N178" s="315"/>
      <c r="O178" s="315"/>
      <c r="P178" s="315"/>
      <c r="Q178" s="315"/>
      <c r="R178" s="315"/>
      <c r="S178" s="315"/>
      <c r="T178" s="464"/>
      <c r="U178" s="464"/>
    </row>
    <row r="179" spans="1:21" ht="13" x14ac:dyDescent="0.4">
      <c r="A179" s="315"/>
      <c r="B179" s="315"/>
      <c r="C179" s="315"/>
      <c r="D179" s="315"/>
      <c r="E179" s="315"/>
      <c r="F179" s="315"/>
      <c r="G179" s="315"/>
      <c r="H179" s="315"/>
      <c r="I179" s="315"/>
      <c r="J179" s="315"/>
      <c r="K179" s="315"/>
      <c r="L179" s="315"/>
      <c r="M179" s="315"/>
      <c r="N179" s="315"/>
      <c r="O179" s="315"/>
      <c r="P179" s="315"/>
      <c r="Q179" s="315"/>
      <c r="R179" s="315"/>
      <c r="S179" s="315"/>
      <c r="T179" s="464"/>
      <c r="U179" s="464"/>
    </row>
    <row r="180" spans="1:21" ht="13" x14ac:dyDescent="0.4">
      <c r="A180" s="315"/>
      <c r="B180" s="315"/>
      <c r="C180" s="315"/>
      <c r="D180" s="315"/>
      <c r="E180" s="315"/>
      <c r="F180" s="315"/>
      <c r="G180" s="315"/>
      <c r="H180" s="315"/>
      <c r="I180" s="315"/>
      <c r="J180" s="315"/>
      <c r="K180" s="315"/>
      <c r="L180" s="315"/>
      <c r="M180" s="315"/>
      <c r="N180" s="315"/>
      <c r="O180" s="315"/>
      <c r="P180" s="315"/>
      <c r="Q180" s="315"/>
      <c r="R180" s="315"/>
      <c r="S180" s="315"/>
      <c r="T180" s="464"/>
      <c r="U180" s="464"/>
    </row>
    <row r="181" spans="1:21" ht="13" x14ac:dyDescent="0.4">
      <c r="A181" s="315"/>
      <c r="B181" s="315"/>
      <c r="C181" s="315"/>
      <c r="D181" s="315"/>
      <c r="E181" s="315"/>
      <c r="F181" s="315"/>
      <c r="G181" s="315"/>
      <c r="H181" s="315"/>
      <c r="I181" s="315"/>
      <c r="J181" s="315"/>
      <c r="K181" s="315"/>
      <c r="L181" s="315"/>
      <c r="M181" s="315"/>
      <c r="N181" s="315"/>
      <c r="O181" s="315"/>
      <c r="P181" s="315"/>
      <c r="Q181" s="315"/>
      <c r="R181" s="315"/>
      <c r="S181" s="315"/>
      <c r="T181" s="464"/>
      <c r="U181" s="464"/>
    </row>
    <row r="182" spans="1:21" ht="13" x14ac:dyDescent="0.4">
      <c r="A182" s="315"/>
      <c r="B182" s="315"/>
      <c r="C182" s="315"/>
      <c r="D182" s="315"/>
      <c r="E182" s="315"/>
      <c r="F182" s="315"/>
      <c r="G182" s="315"/>
      <c r="H182" s="315"/>
      <c r="I182" s="315"/>
      <c r="J182" s="315"/>
      <c r="K182" s="315"/>
      <c r="L182" s="315"/>
      <c r="M182" s="315"/>
      <c r="N182" s="315"/>
      <c r="O182" s="315"/>
      <c r="P182" s="315"/>
      <c r="Q182" s="315"/>
      <c r="R182" s="315"/>
      <c r="S182" s="315"/>
      <c r="T182" s="464"/>
      <c r="U182" s="464"/>
    </row>
    <row r="183" spans="1:21" ht="13" x14ac:dyDescent="0.4">
      <c r="A183" s="315"/>
      <c r="B183" s="315"/>
      <c r="C183" s="315"/>
      <c r="D183" s="315"/>
      <c r="E183" s="315"/>
      <c r="F183" s="315"/>
      <c r="G183" s="315"/>
      <c r="H183" s="315"/>
      <c r="I183" s="315"/>
      <c r="J183" s="315"/>
      <c r="K183" s="315"/>
      <c r="L183" s="315"/>
      <c r="M183" s="315"/>
      <c r="N183" s="315"/>
      <c r="O183" s="315"/>
      <c r="P183" s="315"/>
      <c r="Q183" s="315"/>
      <c r="R183" s="315"/>
      <c r="S183" s="315"/>
      <c r="T183" s="464"/>
      <c r="U183" s="464"/>
    </row>
    <row r="184" spans="1:21" ht="13" x14ac:dyDescent="0.4">
      <c r="A184" s="315"/>
      <c r="B184" s="315"/>
      <c r="C184" s="315"/>
      <c r="D184" s="315"/>
      <c r="E184" s="315"/>
      <c r="F184" s="315"/>
      <c r="G184" s="315"/>
      <c r="H184" s="315"/>
      <c r="I184" s="315"/>
      <c r="J184" s="315"/>
      <c r="K184" s="315"/>
      <c r="L184" s="315"/>
      <c r="M184" s="315"/>
      <c r="N184" s="315"/>
      <c r="O184" s="315"/>
      <c r="P184" s="315"/>
      <c r="Q184" s="315"/>
      <c r="R184" s="315"/>
      <c r="S184" s="315"/>
      <c r="T184" s="464"/>
      <c r="U184" s="464"/>
    </row>
    <row r="185" spans="1:21" ht="13" x14ac:dyDescent="0.4">
      <c r="A185" s="315"/>
      <c r="B185" s="315"/>
      <c r="C185" s="315"/>
      <c r="D185" s="315"/>
      <c r="E185" s="315"/>
      <c r="F185" s="315"/>
      <c r="G185" s="315"/>
      <c r="H185" s="315"/>
      <c r="I185" s="315"/>
      <c r="J185" s="315"/>
      <c r="K185" s="315"/>
      <c r="L185" s="315"/>
      <c r="M185" s="315"/>
      <c r="N185" s="315"/>
      <c r="O185" s="315"/>
      <c r="P185" s="315"/>
      <c r="Q185" s="315"/>
      <c r="R185" s="315"/>
      <c r="S185" s="315"/>
      <c r="T185" s="464"/>
      <c r="U185" s="464"/>
    </row>
    <row r="186" spans="1:21" ht="13" x14ac:dyDescent="0.4">
      <c r="A186" s="315"/>
      <c r="B186" s="315"/>
      <c r="C186" s="315"/>
      <c r="D186" s="315"/>
      <c r="E186" s="315"/>
      <c r="F186" s="315"/>
      <c r="G186" s="315"/>
      <c r="H186" s="315"/>
      <c r="I186" s="315"/>
      <c r="J186" s="315"/>
      <c r="K186" s="315"/>
      <c r="L186" s="315"/>
      <c r="M186" s="315"/>
      <c r="N186" s="315"/>
      <c r="O186" s="315"/>
      <c r="P186" s="315"/>
      <c r="Q186" s="315"/>
      <c r="R186" s="315"/>
      <c r="S186" s="315"/>
      <c r="T186" s="464"/>
      <c r="U186" s="464"/>
    </row>
    <row r="187" spans="1:21" ht="13" x14ac:dyDescent="0.4">
      <c r="A187" s="315"/>
      <c r="B187" s="315"/>
      <c r="C187" s="315"/>
      <c r="D187" s="315"/>
      <c r="E187" s="315"/>
      <c r="F187" s="315"/>
      <c r="G187" s="315"/>
      <c r="H187" s="315"/>
      <c r="I187" s="315"/>
      <c r="J187" s="315"/>
      <c r="K187" s="315"/>
      <c r="L187" s="315"/>
      <c r="M187" s="315"/>
      <c r="N187" s="315"/>
      <c r="O187" s="315"/>
      <c r="P187" s="315"/>
      <c r="Q187" s="315"/>
      <c r="R187" s="315"/>
      <c r="S187" s="315"/>
      <c r="T187" s="464"/>
      <c r="U187" s="464"/>
    </row>
    <row r="188" spans="1:21" ht="13" x14ac:dyDescent="0.4">
      <c r="A188" s="315"/>
      <c r="B188" s="315"/>
      <c r="C188" s="315"/>
      <c r="D188" s="315"/>
      <c r="E188" s="315"/>
      <c r="F188" s="315"/>
      <c r="G188" s="315"/>
      <c r="H188" s="315"/>
      <c r="I188" s="315"/>
      <c r="J188" s="315"/>
      <c r="K188" s="315"/>
      <c r="L188" s="315"/>
      <c r="M188" s="315"/>
      <c r="N188" s="315"/>
      <c r="O188" s="315"/>
      <c r="P188" s="315"/>
      <c r="Q188" s="315"/>
      <c r="R188" s="315"/>
      <c r="S188" s="315"/>
      <c r="T188" s="464"/>
      <c r="U188" s="464"/>
    </row>
    <row r="189" spans="1:21" ht="13" x14ac:dyDescent="0.4">
      <c r="A189" s="315"/>
      <c r="B189" s="315"/>
      <c r="C189" s="315"/>
      <c r="D189" s="315"/>
      <c r="E189" s="315"/>
      <c r="F189" s="315"/>
      <c r="G189" s="315"/>
      <c r="H189" s="315"/>
      <c r="I189" s="315"/>
      <c r="J189" s="315"/>
      <c r="K189" s="315"/>
      <c r="L189" s="315"/>
      <c r="M189" s="315"/>
      <c r="N189" s="315"/>
      <c r="O189" s="315"/>
      <c r="P189" s="315"/>
      <c r="Q189" s="315"/>
      <c r="R189" s="315"/>
      <c r="S189" s="315"/>
      <c r="T189" s="464"/>
      <c r="U189" s="464"/>
    </row>
    <row r="190" spans="1:21" ht="13" x14ac:dyDescent="0.4">
      <c r="A190" s="315"/>
      <c r="B190" s="315"/>
      <c r="C190" s="315"/>
      <c r="D190" s="315"/>
      <c r="E190" s="315"/>
      <c r="F190" s="315"/>
      <c r="G190" s="315"/>
      <c r="H190" s="315"/>
      <c r="I190" s="315"/>
      <c r="J190" s="315"/>
      <c r="K190" s="315"/>
      <c r="L190" s="315"/>
      <c r="M190" s="315"/>
      <c r="N190" s="315"/>
      <c r="O190" s="315"/>
      <c r="P190" s="315"/>
      <c r="Q190" s="315"/>
      <c r="R190" s="315"/>
      <c r="S190" s="315"/>
      <c r="T190" s="464"/>
      <c r="U190" s="464"/>
    </row>
    <row r="191" spans="1:21" ht="13" x14ac:dyDescent="0.4">
      <c r="A191" s="315"/>
      <c r="B191" s="315"/>
      <c r="C191" s="315"/>
      <c r="D191" s="315"/>
      <c r="E191" s="315"/>
      <c r="F191" s="315"/>
      <c r="G191" s="315"/>
      <c r="H191" s="315"/>
      <c r="I191" s="315"/>
      <c r="J191" s="315"/>
      <c r="K191" s="315"/>
      <c r="L191" s="315"/>
      <c r="M191" s="315"/>
      <c r="N191" s="315"/>
      <c r="O191" s="315"/>
      <c r="P191" s="315"/>
      <c r="Q191" s="315"/>
      <c r="R191" s="315"/>
      <c r="S191" s="315"/>
      <c r="T191" s="464"/>
      <c r="U191" s="464"/>
    </row>
    <row r="192" spans="1:21" ht="13" x14ac:dyDescent="0.4">
      <c r="A192" s="315"/>
      <c r="B192" s="315"/>
      <c r="C192" s="315"/>
      <c r="D192" s="315"/>
      <c r="E192" s="315"/>
      <c r="F192" s="315"/>
      <c r="G192" s="315"/>
      <c r="H192" s="315"/>
      <c r="I192" s="315"/>
      <c r="J192" s="315"/>
      <c r="K192" s="315"/>
      <c r="L192" s="315"/>
      <c r="M192" s="315"/>
      <c r="N192" s="315"/>
      <c r="O192" s="315"/>
      <c r="P192" s="315"/>
      <c r="Q192" s="315"/>
      <c r="R192" s="315"/>
      <c r="S192" s="315"/>
      <c r="T192" s="464"/>
      <c r="U192" s="464"/>
    </row>
    <row r="193" spans="1:21" ht="13" x14ac:dyDescent="0.4">
      <c r="A193" s="315"/>
      <c r="B193" s="315"/>
      <c r="C193" s="315"/>
      <c r="D193" s="315"/>
      <c r="E193" s="315"/>
      <c r="F193" s="315"/>
      <c r="G193" s="315"/>
      <c r="H193" s="315"/>
      <c r="I193" s="315"/>
      <c r="J193" s="315"/>
      <c r="K193" s="315"/>
      <c r="L193" s="315"/>
      <c r="M193" s="315"/>
      <c r="N193" s="315"/>
      <c r="O193" s="315"/>
      <c r="P193" s="315"/>
      <c r="Q193" s="315"/>
      <c r="R193" s="315"/>
      <c r="S193" s="315"/>
      <c r="T193" s="464"/>
      <c r="U193" s="464"/>
    </row>
    <row r="194" spans="1:21" ht="13" x14ac:dyDescent="0.4">
      <c r="A194" s="315"/>
      <c r="B194" s="315"/>
      <c r="C194" s="315"/>
      <c r="D194" s="315"/>
      <c r="E194" s="315"/>
      <c r="F194" s="315"/>
      <c r="G194" s="315"/>
      <c r="H194" s="315"/>
      <c r="I194" s="315"/>
      <c r="J194" s="315"/>
      <c r="K194" s="315"/>
      <c r="L194" s="315"/>
      <c r="M194" s="315"/>
      <c r="N194" s="315"/>
      <c r="O194" s="315"/>
      <c r="P194" s="315"/>
      <c r="Q194" s="315"/>
      <c r="R194" s="315"/>
      <c r="S194" s="315"/>
      <c r="T194" s="464"/>
      <c r="U194" s="464"/>
    </row>
    <row r="195" spans="1:21" ht="13" x14ac:dyDescent="0.4">
      <c r="A195" s="315"/>
      <c r="B195" s="315"/>
      <c r="C195" s="315"/>
      <c r="D195" s="315"/>
      <c r="E195" s="315"/>
      <c r="F195" s="315"/>
      <c r="G195" s="315"/>
      <c r="H195" s="315"/>
      <c r="I195" s="315"/>
      <c r="J195" s="315"/>
      <c r="K195" s="315"/>
      <c r="L195" s="315"/>
      <c r="M195" s="315"/>
      <c r="N195" s="315"/>
      <c r="O195" s="315"/>
      <c r="P195" s="315"/>
      <c r="Q195" s="315"/>
      <c r="R195" s="315"/>
      <c r="S195" s="315"/>
      <c r="T195" s="464"/>
      <c r="U195" s="464"/>
    </row>
    <row r="196" spans="1:21" ht="13" x14ac:dyDescent="0.4">
      <c r="A196" s="315"/>
      <c r="B196" s="315"/>
      <c r="C196" s="315"/>
      <c r="D196" s="315"/>
      <c r="E196" s="315"/>
      <c r="F196" s="315"/>
      <c r="G196" s="315"/>
      <c r="H196" s="315"/>
      <c r="I196" s="315"/>
      <c r="J196" s="315"/>
      <c r="K196" s="315"/>
      <c r="L196" s="315"/>
      <c r="M196" s="315"/>
      <c r="N196" s="315"/>
      <c r="O196" s="315"/>
      <c r="P196" s="315"/>
      <c r="Q196" s="315"/>
      <c r="R196" s="315"/>
      <c r="S196" s="315"/>
      <c r="T196" s="464"/>
      <c r="U196" s="464"/>
    </row>
    <row r="197" spans="1:21" ht="13" x14ac:dyDescent="0.4">
      <c r="A197" s="315"/>
      <c r="B197" s="315"/>
      <c r="C197" s="315"/>
      <c r="D197" s="315"/>
      <c r="E197" s="315"/>
      <c r="F197" s="315"/>
      <c r="G197" s="315"/>
      <c r="H197" s="315"/>
      <c r="I197" s="315"/>
      <c r="J197" s="315"/>
      <c r="K197" s="315"/>
      <c r="L197" s="315"/>
      <c r="M197" s="315"/>
      <c r="N197" s="315"/>
      <c r="O197" s="315"/>
      <c r="P197" s="315"/>
      <c r="Q197" s="315"/>
      <c r="R197" s="315"/>
      <c r="S197" s="315"/>
      <c r="T197" s="464"/>
      <c r="U197" s="464"/>
    </row>
    <row r="198" spans="1:21" ht="13" x14ac:dyDescent="0.4">
      <c r="A198" s="315"/>
      <c r="B198" s="315"/>
      <c r="C198" s="315"/>
      <c r="D198" s="315"/>
      <c r="E198" s="315"/>
      <c r="F198" s="315"/>
      <c r="G198" s="315"/>
      <c r="H198" s="315"/>
      <c r="I198" s="315"/>
      <c r="J198" s="315"/>
      <c r="K198" s="315"/>
      <c r="L198" s="315"/>
      <c r="M198" s="315"/>
      <c r="N198" s="315"/>
      <c r="O198" s="315"/>
      <c r="P198" s="315"/>
      <c r="Q198" s="315"/>
      <c r="R198" s="315"/>
      <c r="S198" s="315"/>
      <c r="T198" s="464"/>
      <c r="U198" s="464"/>
    </row>
    <row r="199" spans="1:21" ht="13" x14ac:dyDescent="0.4">
      <c r="A199" s="315"/>
      <c r="B199" s="315"/>
      <c r="C199" s="315"/>
      <c r="D199" s="315"/>
      <c r="E199" s="315"/>
      <c r="F199" s="315"/>
      <c r="G199" s="315"/>
      <c r="H199" s="315"/>
      <c r="I199" s="315"/>
      <c r="J199" s="315"/>
      <c r="K199" s="315"/>
      <c r="L199" s="315"/>
      <c r="M199" s="315"/>
      <c r="N199" s="315"/>
      <c r="O199" s="315"/>
      <c r="P199" s="315"/>
      <c r="Q199" s="315"/>
      <c r="R199" s="315"/>
      <c r="S199" s="315"/>
      <c r="T199" s="464"/>
      <c r="U199" s="464"/>
    </row>
    <row r="200" spans="1:21" ht="13" x14ac:dyDescent="0.4">
      <c r="A200" s="315"/>
      <c r="B200" s="315"/>
      <c r="C200" s="315"/>
      <c r="D200" s="315"/>
      <c r="E200" s="315"/>
      <c r="F200" s="315"/>
      <c r="G200" s="315"/>
      <c r="H200" s="315"/>
      <c r="I200" s="315"/>
      <c r="J200" s="315"/>
      <c r="K200" s="315"/>
      <c r="L200" s="315"/>
      <c r="M200" s="315"/>
      <c r="N200" s="315"/>
      <c r="O200" s="315"/>
      <c r="P200" s="315"/>
      <c r="Q200" s="315"/>
      <c r="R200" s="315"/>
      <c r="S200" s="315"/>
      <c r="T200" s="464"/>
      <c r="U200" s="464"/>
    </row>
    <row r="201" spans="1:21" ht="13" x14ac:dyDescent="0.4">
      <c r="A201" s="315"/>
      <c r="B201" s="315"/>
      <c r="C201" s="315"/>
      <c r="D201" s="315"/>
      <c r="E201" s="315"/>
      <c r="F201" s="315"/>
      <c r="G201" s="315"/>
      <c r="H201" s="315"/>
      <c r="I201" s="315"/>
      <c r="J201" s="315"/>
      <c r="K201" s="315"/>
      <c r="L201" s="315"/>
      <c r="M201" s="315"/>
      <c r="N201" s="315"/>
      <c r="O201" s="315"/>
      <c r="P201" s="315"/>
      <c r="Q201" s="315"/>
      <c r="R201" s="315"/>
      <c r="S201" s="315"/>
      <c r="T201" s="464"/>
      <c r="U201" s="464"/>
    </row>
    <row r="202" spans="1:21" ht="13" x14ac:dyDescent="0.4">
      <c r="A202" s="315"/>
      <c r="B202" s="315"/>
      <c r="C202" s="315"/>
      <c r="D202" s="315"/>
      <c r="E202" s="315"/>
      <c r="F202" s="315"/>
      <c r="G202" s="315"/>
      <c r="H202" s="315"/>
      <c r="I202" s="315"/>
      <c r="J202" s="315"/>
      <c r="K202" s="315"/>
      <c r="L202" s="315"/>
      <c r="M202" s="315"/>
      <c r="N202" s="315"/>
      <c r="O202" s="315"/>
      <c r="P202" s="315"/>
      <c r="Q202" s="315"/>
      <c r="R202" s="315"/>
      <c r="S202" s="315"/>
      <c r="T202" s="464"/>
      <c r="U202" s="464"/>
    </row>
    <row r="203" spans="1:21" ht="13" x14ac:dyDescent="0.4">
      <c r="A203" s="315"/>
      <c r="B203" s="315"/>
      <c r="C203" s="315"/>
      <c r="D203" s="315"/>
      <c r="E203" s="315"/>
      <c r="F203" s="315"/>
      <c r="G203" s="315"/>
      <c r="H203" s="315"/>
      <c r="I203" s="315"/>
      <c r="J203" s="315"/>
      <c r="K203" s="315"/>
      <c r="L203" s="315"/>
      <c r="M203" s="315"/>
      <c r="N203" s="315"/>
      <c r="O203" s="315"/>
      <c r="P203" s="315"/>
      <c r="Q203" s="315"/>
      <c r="R203" s="315"/>
      <c r="S203" s="315"/>
      <c r="T203" s="464"/>
      <c r="U203" s="464"/>
    </row>
    <row r="204" spans="1:21" ht="13" x14ac:dyDescent="0.4">
      <c r="A204" s="315"/>
      <c r="B204" s="315"/>
      <c r="C204" s="315"/>
      <c r="D204" s="315"/>
      <c r="E204" s="315"/>
      <c r="F204" s="315"/>
      <c r="G204" s="315"/>
      <c r="H204" s="315"/>
      <c r="I204" s="315"/>
      <c r="J204" s="315"/>
      <c r="K204" s="315"/>
      <c r="L204" s="315"/>
      <c r="M204" s="315"/>
      <c r="N204" s="315"/>
      <c r="O204" s="315"/>
      <c r="P204" s="315"/>
      <c r="Q204" s="315"/>
      <c r="R204" s="315"/>
      <c r="S204" s="315"/>
      <c r="T204" s="464"/>
      <c r="U204" s="464"/>
    </row>
    <row r="205" spans="1:21" ht="13" x14ac:dyDescent="0.4">
      <c r="A205" s="315"/>
      <c r="B205" s="315"/>
      <c r="C205" s="315"/>
      <c r="D205" s="315"/>
      <c r="E205" s="315"/>
      <c r="F205" s="315"/>
      <c r="G205" s="315"/>
      <c r="H205" s="315"/>
      <c r="I205" s="315"/>
      <c r="J205" s="315"/>
      <c r="K205" s="315"/>
      <c r="L205" s="315"/>
      <c r="M205" s="315"/>
      <c r="N205" s="315"/>
      <c r="O205" s="315"/>
      <c r="P205" s="315"/>
      <c r="Q205" s="315"/>
      <c r="R205" s="315"/>
      <c r="S205" s="315"/>
      <c r="T205" s="464"/>
      <c r="U205" s="464"/>
    </row>
    <row r="206" spans="1:21" ht="13" x14ac:dyDescent="0.4">
      <c r="A206" s="315"/>
      <c r="B206" s="315"/>
      <c r="C206" s="315"/>
      <c r="D206" s="315"/>
      <c r="E206" s="315"/>
      <c r="F206" s="315"/>
      <c r="G206" s="315"/>
      <c r="H206" s="315"/>
      <c r="I206" s="315"/>
      <c r="J206" s="315"/>
      <c r="K206" s="315"/>
      <c r="L206" s="315"/>
      <c r="M206" s="315"/>
      <c r="N206" s="315"/>
      <c r="O206" s="315"/>
      <c r="P206" s="315"/>
      <c r="Q206" s="315"/>
      <c r="R206" s="315"/>
      <c r="S206" s="315"/>
      <c r="T206" s="464"/>
      <c r="U206" s="464"/>
    </row>
    <row r="207" spans="1:21" ht="13" x14ac:dyDescent="0.4">
      <c r="A207" s="315"/>
      <c r="B207" s="315"/>
      <c r="C207" s="315"/>
      <c r="D207" s="315"/>
      <c r="E207" s="315"/>
      <c r="F207" s="315"/>
      <c r="G207" s="315"/>
      <c r="H207" s="315"/>
      <c r="I207" s="315"/>
      <c r="J207" s="315"/>
      <c r="K207" s="315"/>
      <c r="L207" s="315"/>
      <c r="M207" s="315"/>
      <c r="N207" s="315"/>
      <c r="O207" s="315"/>
      <c r="P207" s="315"/>
      <c r="Q207" s="315"/>
      <c r="R207" s="315"/>
      <c r="S207" s="315"/>
      <c r="T207" s="464"/>
      <c r="U207" s="464"/>
    </row>
    <row r="208" spans="1:21" ht="13" x14ac:dyDescent="0.4">
      <c r="A208" s="315"/>
      <c r="B208" s="315"/>
      <c r="C208" s="315"/>
      <c r="D208" s="315"/>
      <c r="E208" s="315"/>
      <c r="F208" s="315"/>
      <c r="G208" s="315"/>
      <c r="H208" s="315"/>
      <c r="I208" s="315"/>
      <c r="J208" s="315"/>
      <c r="K208" s="315"/>
      <c r="L208" s="315"/>
      <c r="M208" s="315"/>
      <c r="N208" s="315"/>
      <c r="O208" s="315"/>
      <c r="P208" s="315"/>
      <c r="Q208" s="315"/>
      <c r="R208" s="315"/>
      <c r="S208" s="315"/>
      <c r="T208" s="464"/>
      <c r="U208" s="464"/>
    </row>
    <row r="209" spans="1:21" ht="13" x14ac:dyDescent="0.4">
      <c r="A209" s="315"/>
      <c r="B209" s="315"/>
      <c r="C209" s="315"/>
      <c r="D209" s="315"/>
      <c r="E209" s="315"/>
      <c r="F209" s="315"/>
      <c r="G209" s="315"/>
      <c r="H209" s="315"/>
      <c r="I209" s="315"/>
      <c r="J209" s="315"/>
      <c r="K209" s="315"/>
      <c r="L209" s="315"/>
      <c r="M209" s="315"/>
      <c r="N209" s="315"/>
      <c r="O209" s="315"/>
      <c r="P209" s="315"/>
      <c r="Q209" s="315"/>
      <c r="R209" s="315"/>
      <c r="S209" s="315"/>
      <c r="T209" s="464"/>
      <c r="U209" s="464"/>
    </row>
    <row r="210" spans="1:21" ht="13" x14ac:dyDescent="0.4">
      <c r="A210" s="315"/>
      <c r="B210" s="315"/>
      <c r="C210" s="315"/>
      <c r="D210" s="315"/>
      <c r="E210" s="315"/>
      <c r="F210" s="315"/>
      <c r="G210" s="315"/>
      <c r="H210" s="315"/>
      <c r="I210" s="315"/>
      <c r="J210" s="315"/>
      <c r="K210" s="315"/>
      <c r="L210" s="315"/>
      <c r="M210" s="315"/>
      <c r="N210" s="315"/>
      <c r="O210" s="315"/>
      <c r="P210" s="315"/>
      <c r="Q210" s="315"/>
      <c r="R210" s="315"/>
      <c r="S210" s="315"/>
      <c r="T210" s="464"/>
      <c r="U210" s="464"/>
    </row>
    <row r="211" spans="1:21" ht="13" x14ac:dyDescent="0.4">
      <c r="A211" s="315"/>
      <c r="B211" s="315"/>
      <c r="C211" s="315"/>
      <c r="D211" s="315"/>
      <c r="E211" s="315"/>
      <c r="F211" s="315"/>
      <c r="G211" s="315"/>
      <c r="H211" s="315"/>
      <c r="I211" s="315"/>
      <c r="J211" s="315"/>
      <c r="K211" s="315"/>
      <c r="L211" s="315"/>
      <c r="M211" s="315"/>
      <c r="N211" s="315"/>
      <c r="O211" s="315"/>
      <c r="P211" s="315"/>
      <c r="Q211" s="315"/>
      <c r="R211" s="315"/>
      <c r="S211" s="315"/>
      <c r="T211" s="464"/>
      <c r="U211" s="464"/>
    </row>
    <row r="212" spans="1:21" ht="13" x14ac:dyDescent="0.4">
      <c r="A212" s="315"/>
      <c r="B212" s="315"/>
      <c r="C212" s="315"/>
      <c r="D212" s="315"/>
      <c r="E212" s="315"/>
      <c r="F212" s="315"/>
      <c r="G212" s="315"/>
      <c r="H212" s="315"/>
      <c r="I212" s="315"/>
      <c r="J212" s="315"/>
      <c r="K212" s="315"/>
      <c r="L212" s="315"/>
      <c r="M212" s="315"/>
      <c r="N212" s="315"/>
      <c r="O212" s="315"/>
      <c r="P212" s="315"/>
      <c r="Q212" s="315"/>
      <c r="R212" s="315"/>
      <c r="S212" s="315"/>
      <c r="T212" s="464"/>
      <c r="U212" s="464"/>
    </row>
    <row r="213" spans="1:21" ht="13" x14ac:dyDescent="0.4">
      <c r="A213" s="315"/>
      <c r="B213" s="315"/>
      <c r="C213" s="315"/>
      <c r="D213" s="315"/>
      <c r="E213" s="315"/>
      <c r="F213" s="315"/>
      <c r="G213" s="315"/>
      <c r="H213" s="315"/>
      <c r="I213" s="315"/>
      <c r="J213" s="315"/>
      <c r="K213" s="315"/>
      <c r="L213" s="315"/>
      <c r="M213" s="315"/>
      <c r="N213" s="315"/>
      <c r="O213" s="315"/>
      <c r="P213" s="315"/>
      <c r="Q213" s="315"/>
      <c r="R213" s="315"/>
      <c r="S213" s="315"/>
      <c r="T213" s="464"/>
      <c r="U213" s="464"/>
    </row>
    <row r="214" spans="1:21" ht="13" x14ac:dyDescent="0.4">
      <c r="A214" s="315"/>
      <c r="B214" s="315"/>
      <c r="C214" s="315"/>
      <c r="D214" s="315"/>
      <c r="E214" s="315"/>
      <c r="F214" s="315"/>
      <c r="G214" s="315"/>
      <c r="H214" s="315"/>
      <c r="I214" s="315"/>
      <c r="J214" s="315"/>
      <c r="K214" s="315"/>
      <c r="L214" s="315"/>
      <c r="M214" s="315"/>
      <c r="N214" s="315"/>
      <c r="O214" s="315"/>
      <c r="P214" s="315"/>
      <c r="Q214" s="315"/>
      <c r="R214" s="315"/>
      <c r="S214" s="315"/>
      <c r="T214" s="464"/>
      <c r="U214" s="464"/>
    </row>
    <row r="215" spans="1:21" ht="13" x14ac:dyDescent="0.4">
      <c r="A215" s="315"/>
      <c r="B215" s="315"/>
      <c r="C215" s="315"/>
      <c r="D215" s="315"/>
      <c r="E215" s="315"/>
      <c r="F215" s="315"/>
      <c r="G215" s="315"/>
      <c r="H215" s="315"/>
      <c r="I215" s="315"/>
      <c r="J215" s="315"/>
      <c r="K215" s="315"/>
      <c r="L215" s="315"/>
      <c r="M215" s="315"/>
      <c r="N215" s="315"/>
      <c r="O215" s="315"/>
      <c r="P215" s="315"/>
      <c r="Q215" s="315"/>
      <c r="R215" s="315"/>
      <c r="S215" s="315"/>
      <c r="T215" s="464"/>
      <c r="U215" s="464"/>
    </row>
    <row r="216" spans="1:21" ht="13" x14ac:dyDescent="0.4">
      <c r="A216" s="315"/>
      <c r="B216" s="315"/>
      <c r="C216" s="315"/>
      <c r="D216" s="315"/>
      <c r="E216" s="315"/>
      <c r="F216" s="315"/>
      <c r="G216" s="315"/>
      <c r="H216" s="315"/>
      <c r="I216" s="315"/>
      <c r="J216" s="315"/>
      <c r="K216" s="315"/>
      <c r="L216" s="315"/>
      <c r="M216" s="315"/>
      <c r="N216" s="315"/>
      <c r="O216" s="315"/>
      <c r="P216" s="315"/>
      <c r="Q216" s="315"/>
      <c r="R216" s="315"/>
      <c r="S216" s="315"/>
      <c r="T216" s="464"/>
      <c r="U216" s="464"/>
    </row>
    <row r="217" spans="1:21" ht="13" x14ac:dyDescent="0.4">
      <c r="A217" s="315"/>
      <c r="B217" s="315"/>
      <c r="C217" s="315"/>
      <c r="D217" s="315"/>
      <c r="E217" s="315"/>
      <c r="F217" s="315"/>
      <c r="G217" s="315"/>
      <c r="H217" s="315"/>
      <c r="I217" s="315"/>
      <c r="J217" s="315"/>
      <c r="K217" s="315"/>
      <c r="L217" s="315"/>
      <c r="M217" s="315"/>
      <c r="N217" s="315"/>
      <c r="O217" s="315"/>
      <c r="P217" s="315"/>
      <c r="Q217" s="315"/>
      <c r="R217" s="315"/>
      <c r="S217" s="315"/>
      <c r="T217" s="464"/>
      <c r="U217" s="464"/>
    </row>
    <row r="218" spans="1:21" ht="13" x14ac:dyDescent="0.4">
      <c r="A218" s="315"/>
      <c r="B218" s="315"/>
      <c r="C218" s="315"/>
      <c r="D218" s="315"/>
      <c r="E218" s="315"/>
      <c r="F218" s="315"/>
      <c r="G218" s="315"/>
      <c r="H218" s="315"/>
      <c r="I218" s="315"/>
      <c r="J218" s="315"/>
      <c r="K218" s="315"/>
      <c r="L218" s="315"/>
      <c r="M218" s="315"/>
      <c r="N218" s="315"/>
      <c r="O218" s="315"/>
      <c r="P218" s="315"/>
      <c r="Q218" s="315"/>
      <c r="R218" s="315"/>
      <c r="S218" s="315"/>
      <c r="T218" s="464"/>
      <c r="U218" s="464"/>
    </row>
    <row r="219" spans="1:21" ht="13" x14ac:dyDescent="0.4">
      <c r="A219" s="315"/>
      <c r="B219" s="315"/>
      <c r="C219" s="315"/>
      <c r="D219" s="315"/>
      <c r="E219" s="315"/>
      <c r="F219" s="315"/>
      <c r="G219" s="315"/>
      <c r="H219" s="315"/>
      <c r="I219" s="315"/>
      <c r="J219" s="315"/>
      <c r="K219" s="315"/>
      <c r="L219" s="315"/>
      <c r="M219" s="315"/>
      <c r="N219" s="315"/>
      <c r="O219" s="315"/>
      <c r="P219" s="315"/>
      <c r="Q219" s="315"/>
      <c r="R219" s="315"/>
      <c r="S219" s="315"/>
      <c r="T219" s="464"/>
      <c r="U219" s="464"/>
    </row>
    <row r="220" spans="1:21" ht="13" x14ac:dyDescent="0.4">
      <c r="A220" s="315"/>
      <c r="B220" s="315"/>
      <c r="C220" s="315"/>
      <c r="D220" s="315"/>
      <c r="E220" s="315"/>
      <c r="F220" s="315"/>
      <c r="G220" s="315"/>
      <c r="H220" s="315"/>
      <c r="I220" s="315"/>
      <c r="J220" s="315"/>
      <c r="K220" s="315"/>
      <c r="L220" s="315"/>
      <c r="M220" s="315"/>
      <c r="N220" s="315"/>
      <c r="O220" s="315"/>
      <c r="P220" s="315"/>
      <c r="Q220" s="315"/>
      <c r="R220" s="315"/>
      <c r="S220" s="315"/>
      <c r="T220" s="464"/>
      <c r="U220" s="464"/>
    </row>
    <row r="221" spans="1:21" ht="13" x14ac:dyDescent="0.4">
      <c r="A221" s="315"/>
      <c r="B221" s="315"/>
      <c r="C221" s="315"/>
      <c r="D221" s="315"/>
      <c r="E221" s="315"/>
      <c r="F221" s="315"/>
      <c r="G221" s="315"/>
      <c r="H221" s="315"/>
      <c r="I221" s="315"/>
      <c r="J221" s="315"/>
      <c r="K221" s="315"/>
      <c r="L221" s="315"/>
      <c r="M221" s="315"/>
      <c r="N221" s="315"/>
      <c r="O221" s="315"/>
      <c r="P221" s="315"/>
      <c r="Q221" s="315"/>
      <c r="R221" s="315"/>
      <c r="S221" s="315"/>
      <c r="T221" s="464"/>
      <c r="U221" s="464"/>
    </row>
    <row r="222" spans="1:21" ht="13" x14ac:dyDescent="0.4">
      <c r="A222" s="315"/>
      <c r="B222" s="315"/>
      <c r="C222" s="315"/>
      <c r="D222" s="315"/>
      <c r="E222" s="315"/>
      <c r="F222" s="315"/>
      <c r="G222" s="315"/>
      <c r="H222" s="315"/>
      <c r="I222" s="315"/>
      <c r="J222" s="315"/>
      <c r="K222" s="315"/>
      <c r="L222" s="315"/>
      <c r="M222" s="315"/>
      <c r="N222" s="315"/>
      <c r="O222" s="315"/>
      <c r="P222" s="315"/>
      <c r="Q222" s="315"/>
      <c r="R222" s="315"/>
      <c r="S222" s="315"/>
      <c r="T222" s="464"/>
      <c r="U222" s="464"/>
    </row>
    <row r="223" spans="1:21" ht="13" x14ac:dyDescent="0.4">
      <c r="A223" s="315"/>
      <c r="B223" s="315"/>
      <c r="C223" s="315"/>
      <c r="D223" s="315"/>
      <c r="E223" s="315"/>
      <c r="F223" s="315"/>
      <c r="G223" s="315"/>
      <c r="H223" s="315"/>
      <c r="I223" s="315"/>
      <c r="J223" s="315"/>
      <c r="K223" s="315"/>
      <c r="L223" s="315"/>
      <c r="M223" s="315"/>
      <c r="N223" s="315"/>
      <c r="O223" s="315"/>
      <c r="P223" s="315"/>
      <c r="Q223" s="315"/>
      <c r="R223" s="315"/>
      <c r="S223" s="315"/>
      <c r="T223" s="464"/>
      <c r="U223" s="464"/>
    </row>
    <row r="224" spans="1:21" ht="13" x14ac:dyDescent="0.4">
      <c r="A224" s="315"/>
      <c r="B224" s="315"/>
      <c r="C224" s="315"/>
      <c r="D224" s="315"/>
      <c r="E224" s="315"/>
      <c r="F224" s="315"/>
      <c r="G224" s="315"/>
      <c r="H224" s="315"/>
      <c r="I224" s="315"/>
      <c r="J224" s="315"/>
      <c r="K224" s="315"/>
      <c r="L224" s="315"/>
      <c r="M224" s="315"/>
      <c r="N224" s="315"/>
      <c r="O224" s="315"/>
      <c r="P224" s="315"/>
      <c r="Q224" s="315"/>
      <c r="R224" s="315"/>
      <c r="S224" s="315"/>
      <c r="T224" s="464"/>
      <c r="U224" s="464"/>
    </row>
    <row r="225" spans="1:21" ht="13" x14ac:dyDescent="0.4">
      <c r="A225" s="315"/>
      <c r="B225" s="315"/>
      <c r="C225" s="315"/>
      <c r="D225" s="315"/>
      <c r="E225" s="315"/>
      <c r="F225" s="315"/>
      <c r="G225" s="315"/>
      <c r="H225" s="315"/>
      <c r="I225" s="315"/>
      <c r="J225" s="315"/>
      <c r="K225" s="315"/>
      <c r="L225" s="315"/>
      <c r="M225" s="315"/>
      <c r="N225" s="315"/>
      <c r="O225" s="315"/>
      <c r="P225" s="315"/>
      <c r="Q225" s="315"/>
      <c r="R225" s="315"/>
      <c r="S225" s="315"/>
      <c r="T225" s="464"/>
      <c r="U225" s="464"/>
    </row>
    <row r="226" spans="1:21" ht="13" x14ac:dyDescent="0.4">
      <c r="A226" s="315"/>
      <c r="B226" s="315"/>
      <c r="C226" s="315"/>
      <c r="D226" s="315"/>
      <c r="E226" s="315"/>
      <c r="F226" s="315"/>
      <c r="G226" s="315"/>
      <c r="H226" s="315"/>
      <c r="I226" s="315"/>
      <c r="J226" s="315"/>
      <c r="K226" s="315"/>
      <c r="L226" s="315"/>
      <c r="M226" s="315"/>
      <c r="N226" s="315"/>
      <c r="O226" s="315"/>
      <c r="P226" s="315"/>
      <c r="Q226" s="315"/>
      <c r="R226" s="315"/>
      <c r="S226" s="315"/>
      <c r="T226" s="464"/>
      <c r="U226" s="464"/>
    </row>
    <row r="227" spans="1:21" ht="13" x14ac:dyDescent="0.4">
      <c r="A227" s="315"/>
      <c r="B227" s="315"/>
      <c r="C227" s="315"/>
      <c r="D227" s="315"/>
      <c r="E227" s="315"/>
      <c r="F227" s="315"/>
      <c r="G227" s="315"/>
      <c r="H227" s="315"/>
      <c r="I227" s="315"/>
      <c r="J227" s="315"/>
      <c r="K227" s="315"/>
      <c r="L227" s="315"/>
      <c r="M227" s="315"/>
      <c r="N227" s="315"/>
      <c r="O227" s="315"/>
      <c r="P227" s="315"/>
      <c r="Q227" s="315"/>
      <c r="R227" s="315"/>
      <c r="S227" s="315"/>
      <c r="T227" s="464"/>
      <c r="U227" s="464"/>
    </row>
    <row r="228" spans="1:21" ht="13" x14ac:dyDescent="0.4">
      <c r="A228" s="315"/>
      <c r="B228" s="315"/>
      <c r="C228" s="315"/>
      <c r="D228" s="315"/>
      <c r="E228" s="315"/>
      <c r="F228" s="315"/>
      <c r="G228" s="315"/>
      <c r="H228" s="315"/>
      <c r="I228" s="315"/>
      <c r="J228" s="315"/>
      <c r="K228" s="315"/>
      <c r="L228" s="315"/>
      <c r="M228" s="315"/>
      <c r="N228" s="315"/>
      <c r="O228" s="315"/>
      <c r="P228" s="315"/>
      <c r="Q228" s="315"/>
      <c r="R228" s="315"/>
      <c r="S228" s="315"/>
      <c r="T228" s="464"/>
      <c r="U228" s="464"/>
    </row>
    <row r="229" spans="1:21" ht="13" x14ac:dyDescent="0.4">
      <c r="A229" s="315"/>
      <c r="B229" s="315"/>
      <c r="C229" s="315"/>
      <c r="D229" s="315"/>
      <c r="E229" s="315"/>
      <c r="F229" s="315"/>
      <c r="G229" s="315"/>
      <c r="H229" s="315"/>
      <c r="I229" s="315"/>
      <c r="J229" s="315"/>
      <c r="K229" s="315"/>
      <c r="L229" s="315"/>
      <c r="M229" s="315"/>
      <c r="N229" s="315"/>
      <c r="O229" s="315"/>
      <c r="P229" s="315"/>
      <c r="Q229" s="315"/>
      <c r="R229" s="315"/>
      <c r="S229" s="315"/>
      <c r="T229" s="464"/>
      <c r="U229" s="464"/>
    </row>
    <row r="230" spans="1:21" ht="13" x14ac:dyDescent="0.4">
      <c r="A230" s="315"/>
      <c r="B230" s="315"/>
      <c r="C230" s="315"/>
      <c r="D230" s="315"/>
      <c r="E230" s="315"/>
      <c r="F230" s="315"/>
      <c r="G230" s="315"/>
      <c r="H230" s="315"/>
      <c r="I230" s="315"/>
      <c r="J230" s="315"/>
      <c r="K230" s="315"/>
      <c r="L230" s="315"/>
      <c r="M230" s="315"/>
      <c r="N230" s="315"/>
      <c r="O230" s="315"/>
      <c r="P230" s="315"/>
      <c r="Q230" s="315"/>
      <c r="R230" s="315"/>
      <c r="S230" s="315"/>
      <c r="T230" s="464"/>
      <c r="U230" s="464"/>
    </row>
    <row r="231" spans="1:21" ht="13" x14ac:dyDescent="0.4">
      <c r="A231" s="315"/>
      <c r="B231" s="315"/>
      <c r="C231" s="315"/>
      <c r="D231" s="315"/>
      <c r="E231" s="315"/>
      <c r="F231" s="315"/>
      <c r="G231" s="315"/>
      <c r="H231" s="315"/>
      <c r="I231" s="315"/>
      <c r="J231" s="315"/>
      <c r="K231" s="315"/>
      <c r="L231" s="315"/>
      <c r="M231" s="315"/>
      <c r="N231" s="315"/>
      <c r="O231" s="315"/>
      <c r="P231" s="315"/>
      <c r="Q231" s="315"/>
      <c r="R231" s="315"/>
      <c r="S231" s="315"/>
      <c r="T231" s="464"/>
      <c r="U231" s="464"/>
    </row>
    <row r="232" spans="1:21" ht="13" x14ac:dyDescent="0.4">
      <c r="A232" s="315"/>
      <c r="B232" s="315"/>
      <c r="C232" s="315"/>
      <c r="D232" s="315"/>
      <c r="E232" s="315"/>
      <c r="F232" s="315"/>
      <c r="G232" s="315"/>
      <c r="H232" s="315"/>
      <c r="I232" s="315"/>
      <c r="J232" s="315"/>
      <c r="K232" s="315"/>
      <c r="L232" s="315"/>
      <c r="M232" s="315"/>
      <c r="N232" s="315"/>
      <c r="O232" s="315"/>
      <c r="P232" s="315"/>
      <c r="Q232" s="315"/>
      <c r="R232" s="315"/>
      <c r="S232" s="315"/>
      <c r="T232" s="464"/>
      <c r="U232" s="464"/>
    </row>
    <row r="233" spans="1:21" ht="13" x14ac:dyDescent="0.4">
      <c r="A233" s="315"/>
      <c r="B233" s="315"/>
      <c r="C233" s="315"/>
      <c r="D233" s="315"/>
      <c r="E233" s="315"/>
      <c r="F233" s="315"/>
      <c r="G233" s="315"/>
      <c r="H233" s="315"/>
      <c r="I233" s="315"/>
      <c r="J233" s="315"/>
      <c r="K233" s="315"/>
      <c r="L233" s="315"/>
      <c r="M233" s="315"/>
      <c r="N233" s="315"/>
      <c r="O233" s="315"/>
      <c r="P233" s="315"/>
      <c r="Q233" s="315"/>
      <c r="R233" s="315"/>
      <c r="S233" s="315"/>
      <c r="T233" s="464"/>
      <c r="U233" s="464"/>
    </row>
    <row r="234" spans="1:21" ht="13" x14ac:dyDescent="0.4">
      <c r="A234" s="315"/>
      <c r="B234" s="315"/>
      <c r="C234" s="315"/>
      <c r="D234" s="315"/>
      <c r="E234" s="315"/>
      <c r="F234" s="315"/>
      <c r="G234" s="315"/>
      <c r="H234" s="315"/>
      <c r="I234" s="315"/>
      <c r="J234" s="315"/>
      <c r="K234" s="315"/>
      <c r="L234" s="315"/>
      <c r="M234" s="315"/>
      <c r="N234" s="315"/>
      <c r="O234" s="315"/>
      <c r="P234" s="315"/>
      <c r="Q234" s="315"/>
      <c r="R234" s="315"/>
      <c r="S234" s="315"/>
      <c r="T234" s="464"/>
      <c r="U234" s="464"/>
    </row>
    <row r="235" spans="1:21" ht="13" x14ac:dyDescent="0.4">
      <c r="A235" s="315"/>
      <c r="B235" s="315"/>
      <c r="C235" s="315"/>
      <c r="D235" s="315"/>
      <c r="E235" s="315"/>
      <c r="F235" s="315"/>
      <c r="G235" s="315"/>
      <c r="H235" s="315"/>
      <c r="I235" s="315"/>
      <c r="J235" s="315"/>
      <c r="K235" s="315"/>
      <c r="L235" s="315"/>
      <c r="M235" s="315"/>
      <c r="N235" s="315"/>
      <c r="O235" s="315"/>
      <c r="P235" s="315"/>
      <c r="Q235" s="315"/>
      <c r="R235" s="315"/>
      <c r="S235" s="315"/>
      <c r="T235" s="464"/>
      <c r="U235" s="464"/>
    </row>
    <row r="236" spans="1:21" ht="13" x14ac:dyDescent="0.4">
      <c r="A236" s="315"/>
      <c r="B236" s="315"/>
      <c r="C236" s="315"/>
      <c r="D236" s="315"/>
      <c r="E236" s="315"/>
      <c r="F236" s="315"/>
      <c r="G236" s="315"/>
      <c r="H236" s="315"/>
      <c r="I236" s="315"/>
      <c r="J236" s="315"/>
      <c r="K236" s="315"/>
      <c r="L236" s="315"/>
      <c r="M236" s="315"/>
      <c r="N236" s="315"/>
      <c r="O236" s="315"/>
      <c r="P236" s="315"/>
      <c r="Q236" s="315"/>
      <c r="R236" s="315"/>
      <c r="S236" s="315"/>
      <c r="T236" s="464"/>
      <c r="U236" s="464"/>
    </row>
    <row r="237" spans="1:21" ht="13" x14ac:dyDescent="0.4">
      <c r="A237" s="315"/>
      <c r="B237" s="315"/>
      <c r="C237" s="315"/>
      <c r="D237" s="315"/>
      <c r="E237" s="315"/>
      <c r="F237" s="315"/>
      <c r="G237" s="315"/>
      <c r="H237" s="315"/>
      <c r="I237" s="315"/>
      <c r="J237" s="315"/>
      <c r="K237" s="315"/>
      <c r="L237" s="315"/>
      <c r="M237" s="315"/>
      <c r="N237" s="315"/>
      <c r="O237" s="315"/>
      <c r="P237" s="315"/>
      <c r="Q237" s="315"/>
      <c r="R237" s="315"/>
      <c r="S237" s="315"/>
      <c r="T237" s="464"/>
      <c r="U237" s="464"/>
    </row>
    <row r="238" spans="1:21" ht="13" x14ac:dyDescent="0.4">
      <c r="A238" s="315"/>
      <c r="B238" s="315"/>
      <c r="C238" s="315"/>
      <c r="D238" s="315"/>
      <c r="E238" s="315"/>
      <c r="F238" s="315"/>
      <c r="G238" s="315"/>
      <c r="H238" s="315"/>
      <c r="I238" s="315"/>
      <c r="J238" s="315"/>
      <c r="K238" s="315"/>
      <c r="L238" s="315"/>
      <c r="M238" s="315"/>
      <c r="N238" s="315"/>
      <c r="O238" s="315"/>
      <c r="P238" s="315"/>
      <c r="Q238" s="315"/>
      <c r="R238" s="315"/>
      <c r="S238" s="315"/>
      <c r="T238" s="464"/>
      <c r="U238" s="464"/>
    </row>
    <row r="239" spans="1:21" ht="13" x14ac:dyDescent="0.4">
      <c r="A239" s="315"/>
      <c r="B239" s="315"/>
      <c r="C239" s="315"/>
      <c r="D239" s="315"/>
      <c r="E239" s="315"/>
      <c r="F239" s="315"/>
      <c r="G239" s="315"/>
      <c r="H239" s="315"/>
      <c r="I239" s="315"/>
      <c r="J239" s="315"/>
      <c r="K239" s="315"/>
      <c r="L239" s="315"/>
      <c r="M239" s="315"/>
      <c r="N239" s="315"/>
      <c r="O239" s="315"/>
      <c r="P239" s="315"/>
      <c r="Q239" s="315"/>
      <c r="R239" s="315"/>
      <c r="S239" s="315"/>
      <c r="T239" s="464"/>
      <c r="U239" s="464"/>
    </row>
    <row r="240" spans="1:21" ht="13" x14ac:dyDescent="0.4">
      <c r="A240" s="315"/>
      <c r="B240" s="315"/>
      <c r="C240" s="315"/>
      <c r="D240" s="315"/>
      <c r="E240" s="315"/>
      <c r="F240" s="315"/>
      <c r="G240" s="315"/>
      <c r="H240" s="315"/>
      <c r="I240" s="315"/>
      <c r="J240" s="315"/>
      <c r="K240" s="315"/>
      <c r="L240" s="315"/>
      <c r="M240" s="315"/>
      <c r="N240" s="315"/>
      <c r="O240" s="315"/>
      <c r="P240" s="315"/>
      <c r="Q240" s="315"/>
      <c r="R240" s="315"/>
      <c r="S240" s="315"/>
      <c r="T240" s="464"/>
      <c r="U240" s="464"/>
    </row>
    <row r="241" spans="1:21" ht="13" x14ac:dyDescent="0.4">
      <c r="A241" s="315"/>
      <c r="B241" s="315"/>
      <c r="C241" s="315"/>
      <c r="D241" s="315"/>
      <c r="E241" s="315"/>
      <c r="F241" s="315"/>
      <c r="G241" s="315"/>
      <c r="H241" s="315"/>
      <c r="I241" s="315"/>
      <c r="J241" s="315"/>
      <c r="K241" s="315"/>
      <c r="L241" s="315"/>
      <c r="M241" s="315"/>
      <c r="N241" s="315"/>
      <c r="O241" s="315"/>
      <c r="P241" s="315"/>
      <c r="Q241" s="315"/>
      <c r="R241" s="315"/>
      <c r="S241" s="315"/>
      <c r="T241" s="464"/>
      <c r="U241" s="464"/>
    </row>
    <row r="242" spans="1:21" ht="13" x14ac:dyDescent="0.4">
      <c r="A242" s="315"/>
      <c r="B242" s="315"/>
      <c r="C242" s="315"/>
      <c r="D242" s="315"/>
      <c r="E242" s="315"/>
      <c r="F242" s="315"/>
      <c r="G242" s="315"/>
      <c r="H242" s="315"/>
      <c r="I242" s="315"/>
      <c r="J242" s="315"/>
      <c r="K242" s="315"/>
      <c r="L242" s="315"/>
      <c r="M242" s="315"/>
      <c r="N242" s="315"/>
      <c r="O242" s="315"/>
      <c r="P242" s="315"/>
      <c r="Q242" s="315"/>
      <c r="R242" s="315"/>
      <c r="S242" s="315"/>
      <c r="T242" s="464"/>
      <c r="U242" s="464"/>
    </row>
    <row r="243" spans="1:21" ht="13" x14ac:dyDescent="0.4">
      <c r="A243" s="315"/>
      <c r="B243" s="315"/>
      <c r="C243" s="315"/>
      <c r="D243" s="315"/>
      <c r="E243" s="315"/>
      <c r="F243" s="315"/>
      <c r="G243" s="315"/>
      <c r="H243" s="315"/>
      <c r="I243" s="315"/>
      <c r="J243" s="315"/>
      <c r="K243" s="315"/>
      <c r="L243" s="315"/>
      <c r="M243" s="315"/>
      <c r="N243" s="315"/>
      <c r="O243" s="315"/>
      <c r="P243" s="315"/>
      <c r="Q243" s="315"/>
      <c r="R243" s="315"/>
      <c r="S243" s="315"/>
      <c r="T243" s="464"/>
      <c r="U243" s="464"/>
    </row>
    <row r="244" spans="1:21" ht="13" x14ac:dyDescent="0.4">
      <c r="A244" s="315"/>
      <c r="B244" s="315"/>
      <c r="C244" s="315"/>
      <c r="D244" s="315"/>
      <c r="E244" s="315"/>
      <c r="F244" s="315"/>
      <c r="G244" s="315"/>
      <c r="H244" s="315"/>
      <c r="I244" s="315"/>
      <c r="J244" s="315"/>
      <c r="K244" s="315"/>
      <c r="L244" s="315"/>
      <c r="M244" s="315"/>
      <c r="N244" s="315"/>
      <c r="O244" s="315"/>
      <c r="P244" s="315"/>
      <c r="Q244" s="315"/>
      <c r="R244" s="315"/>
      <c r="S244" s="315"/>
      <c r="T244" s="464"/>
      <c r="U244" s="464"/>
    </row>
    <row r="245" spans="1:21" ht="13" x14ac:dyDescent="0.4">
      <c r="A245" s="315"/>
      <c r="B245" s="315"/>
      <c r="C245" s="315"/>
      <c r="D245" s="315"/>
      <c r="E245" s="315"/>
      <c r="F245" s="315"/>
      <c r="G245" s="315"/>
      <c r="H245" s="315"/>
      <c r="I245" s="315"/>
      <c r="J245" s="315"/>
      <c r="K245" s="315"/>
      <c r="L245" s="315"/>
      <c r="M245" s="315"/>
      <c r="N245" s="315"/>
      <c r="O245" s="315"/>
      <c r="P245" s="315"/>
      <c r="Q245" s="315"/>
      <c r="R245" s="315"/>
      <c r="S245" s="315"/>
      <c r="T245" s="464"/>
      <c r="U245" s="464"/>
    </row>
    <row r="246" spans="1:21" ht="13" x14ac:dyDescent="0.4">
      <c r="A246" s="315"/>
      <c r="B246" s="315"/>
      <c r="C246" s="315"/>
      <c r="D246" s="315"/>
      <c r="E246" s="315"/>
      <c r="F246" s="315"/>
      <c r="G246" s="315"/>
      <c r="H246" s="315"/>
      <c r="I246" s="315"/>
      <c r="J246" s="315"/>
      <c r="K246" s="315"/>
      <c r="L246" s="315"/>
      <c r="M246" s="315"/>
      <c r="N246" s="315"/>
      <c r="O246" s="315"/>
      <c r="P246" s="315"/>
      <c r="Q246" s="315"/>
      <c r="R246" s="315"/>
      <c r="S246" s="315"/>
      <c r="T246" s="464"/>
      <c r="U246" s="464"/>
    </row>
    <row r="247" spans="1:21" ht="13" x14ac:dyDescent="0.4">
      <c r="A247" s="315"/>
      <c r="B247" s="315"/>
      <c r="C247" s="315"/>
      <c r="D247" s="315"/>
      <c r="E247" s="315"/>
      <c r="F247" s="315"/>
      <c r="G247" s="315"/>
      <c r="H247" s="315"/>
      <c r="I247" s="315"/>
      <c r="J247" s="315"/>
      <c r="K247" s="315"/>
      <c r="L247" s="315"/>
      <c r="M247" s="315"/>
      <c r="N247" s="315"/>
      <c r="O247" s="315"/>
      <c r="P247" s="315"/>
      <c r="Q247" s="315"/>
      <c r="R247" s="315"/>
      <c r="S247" s="315"/>
      <c r="T247" s="464"/>
      <c r="U247" s="464"/>
    </row>
    <row r="248" spans="1:21" ht="13" x14ac:dyDescent="0.4">
      <c r="A248" s="315"/>
      <c r="B248" s="315"/>
      <c r="C248" s="315"/>
      <c r="D248" s="315"/>
      <c r="E248" s="315"/>
      <c r="F248" s="315"/>
      <c r="G248" s="315"/>
      <c r="H248" s="315"/>
      <c r="I248" s="315"/>
      <c r="J248" s="315"/>
      <c r="K248" s="315"/>
      <c r="L248" s="315"/>
      <c r="M248" s="315"/>
      <c r="N248" s="315"/>
      <c r="O248" s="315"/>
      <c r="P248" s="315"/>
      <c r="Q248" s="315"/>
      <c r="R248" s="315"/>
      <c r="S248" s="315"/>
      <c r="T248" s="464"/>
      <c r="U248" s="464"/>
    </row>
    <row r="249" spans="1:21" ht="13" x14ac:dyDescent="0.4">
      <c r="A249" s="315"/>
      <c r="B249" s="315"/>
      <c r="C249" s="315"/>
      <c r="D249" s="315"/>
      <c r="E249" s="315"/>
      <c r="F249" s="315"/>
      <c r="G249" s="315"/>
      <c r="H249" s="315"/>
      <c r="I249" s="315"/>
      <c r="J249" s="315"/>
      <c r="K249" s="315"/>
      <c r="L249" s="315"/>
      <c r="M249" s="315"/>
      <c r="N249" s="315"/>
      <c r="O249" s="315"/>
      <c r="P249" s="315"/>
      <c r="Q249" s="315"/>
      <c r="R249" s="315"/>
      <c r="S249" s="315"/>
      <c r="T249" s="464"/>
      <c r="U249" s="464"/>
    </row>
    <row r="250" spans="1:21" ht="13" x14ac:dyDescent="0.4">
      <c r="A250" s="315"/>
      <c r="B250" s="315"/>
      <c r="C250" s="315"/>
      <c r="D250" s="315"/>
      <c r="E250" s="315"/>
      <c r="F250" s="315"/>
      <c r="G250" s="315"/>
      <c r="H250" s="315"/>
      <c r="I250" s="315"/>
      <c r="J250" s="315"/>
      <c r="K250" s="315"/>
      <c r="L250" s="315"/>
      <c r="M250" s="315"/>
      <c r="N250" s="315"/>
      <c r="O250" s="315"/>
      <c r="P250" s="315"/>
      <c r="Q250" s="315"/>
      <c r="R250" s="315"/>
      <c r="S250" s="315"/>
      <c r="T250" s="464"/>
      <c r="U250" s="464"/>
    </row>
    <row r="251" spans="1:21" ht="13" x14ac:dyDescent="0.4">
      <c r="A251" s="315"/>
      <c r="B251" s="315"/>
      <c r="C251" s="315"/>
      <c r="D251" s="315"/>
      <c r="E251" s="315"/>
      <c r="F251" s="315"/>
      <c r="G251" s="315"/>
      <c r="H251" s="315"/>
      <c r="I251" s="315"/>
      <c r="J251" s="315"/>
      <c r="K251" s="315"/>
      <c r="L251" s="315"/>
      <c r="M251" s="315"/>
      <c r="N251" s="315"/>
      <c r="O251" s="315"/>
      <c r="P251" s="315"/>
      <c r="Q251" s="315"/>
      <c r="R251" s="315"/>
      <c r="S251" s="315"/>
      <c r="T251" s="464"/>
      <c r="U251" s="464"/>
    </row>
    <row r="252" spans="1:21" ht="13" x14ac:dyDescent="0.4">
      <c r="A252" s="315"/>
      <c r="B252" s="315"/>
      <c r="C252" s="315"/>
      <c r="D252" s="315"/>
      <c r="E252" s="315"/>
      <c r="F252" s="315"/>
      <c r="G252" s="315"/>
      <c r="H252" s="315"/>
      <c r="I252" s="315"/>
      <c r="J252" s="315"/>
      <c r="K252" s="315"/>
      <c r="L252" s="315"/>
      <c r="M252" s="315"/>
      <c r="N252" s="315"/>
      <c r="O252" s="315"/>
      <c r="P252" s="315"/>
      <c r="Q252" s="315"/>
      <c r="R252" s="315"/>
      <c r="S252" s="315"/>
      <c r="T252" s="464"/>
      <c r="U252" s="464"/>
    </row>
    <row r="253" spans="1:21" ht="13" x14ac:dyDescent="0.4">
      <c r="A253" s="315"/>
      <c r="B253" s="315"/>
      <c r="C253" s="315"/>
      <c r="D253" s="315"/>
      <c r="E253" s="315"/>
      <c r="F253" s="315"/>
      <c r="G253" s="315"/>
      <c r="H253" s="315"/>
      <c r="I253" s="315"/>
      <c r="J253" s="315"/>
      <c r="K253" s="315"/>
      <c r="L253" s="315"/>
      <c r="M253" s="315"/>
      <c r="N253" s="315"/>
      <c r="O253" s="315"/>
      <c r="P253" s="315"/>
      <c r="Q253" s="315"/>
      <c r="R253" s="315"/>
      <c r="S253" s="315"/>
      <c r="T253" s="464"/>
      <c r="U253" s="464"/>
    </row>
    <row r="254" spans="1:21" ht="13" x14ac:dyDescent="0.4">
      <c r="A254" s="315"/>
      <c r="B254" s="315"/>
      <c r="C254" s="315"/>
      <c r="D254" s="315"/>
      <c r="E254" s="315"/>
      <c r="F254" s="315"/>
      <c r="G254" s="315"/>
      <c r="H254" s="315"/>
      <c r="I254" s="315"/>
      <c r="J254" s="315"/>
      <c r="K254" s="315"/>
      <c r="L254" s="315"/>
      <c r="M254" s="315"/>
      <c r="N254" s="315"/>
      <c r="O254" s="315"/>
      <c r="P254" s="315"/>
      <c r="Q254" s="315"/>
      <c r="R254" s="315"/>
      <c r="S254" s="315"/>
      <c r="T254" s="464"/>
      <c r="U254" s="464"/>
    </row>
    <row r="255" spans="1:21" ht="13" x14ac:dyDescent="0.4">
      <c r="A255" s="315"/>
      <c r="B255" s="315"/>
      <c r="C255" s="315"/>
      <c r="D255" s="315"/>
      <c r="E255" s="315"/>
      <c r="F255" s="315"/>
      <c r="G255" s="315"/>
      <c r="H255" s="315"/>
      <c r="I255" s="315"/>
      <c r="J255" s="315"/>
      <c r="K255" s="315"/>
      <c r="L255" s="315"/>
      <c r="M255" s="315"/>
      <c r="N255" s="315"/>
      <c r="O255" s="315"/>
      <c r="P255" s="315"/>
      <c r="Q255" s="315"/>
      <c r="R255" s="315"/>
      <c r="S255" s="315"/>
      <c r="T255" s="464"/>
      <c r="U255" s="464"/>
    </row>
    <row r="256" spans="1:21" ht="13" x14ac:dyDescent="0.4">
      <c r="A256" s="315"/>
      <c r="B256" s="315"/>
      <c r="C256" s="315"/>
      <c r="D256" s="315"/>
      <c r="E256" s="315"/>
      <c r="F256" s="315"/>
      <c r="G256" s="315"/>
      <c r="H256" s="315"/>
      <c r="I256" s="315"/>
      <c r="J256" s="315"/>
      <c r="K256" s="315"/>
      <c r="L256" s="315"/>
      <c r="M256" s="315"/>
      <c r="N256" s="315"/>
      <c r="O256" s="315"/>
      <c r="P256" s="315"/>
      <c r="Q256" s="315"/>
      <c r="R256" s="315"/>
      <c r="S256" s="315"/>
      <c r="T256" s="464"/>
      <c r="U256" s="464"/>
    </row>
    <row r="257" spans="1:21" ht="13" x14ac:dyDescent="0.4">
      <c r="A257" s="315"/>
      <c r="B257" s="315"/>
      <c r="C257" s="315"/>
      <c r="D257" s="315"/>
      <c r="E257" s="315"/>
      <c r="F257" s="315"/>
      <c r="G257" s="315"/>
      <c r="H257" s="315"/>
      <c r="I257" s="315"/>
      <c r="J257" s="315"/>
      <c r="K257" s="315"/>
      <c r="L257" s="315"/>
      <c r="M257" s="315"/>
      <c r="N257" s="315"/>
      <c r="O257" s="315"/>
      <c r="P257" s="315"/>
      <c r="Q257" s="315"/>
      <c r="R257" s="315"/>
      <c r="S257" s="315"/>
      <c r="T257" s="464"/>
      <c r="U257" s="464"/>
    </row>
    <row r="258" spans="1:21" ht="13" x14ac:dyDescent="0.4">
      <c r="A258" s="315"/>
      <c r="B258" s="315"/>
      <c r="C258" s="315"/>
      <c r="D258" s="315"/>
      <c r="E258" s="315"/>
      <c r="F258" s="315"/>
      <c r="G258" s="315"/>
      <c r="H258" s="315"/>
      <c r="I258" s="315"/>
      <c r="J258" s="315"/>
      <c r="K258" s="315"/>
      <c r="L258" s="315"/>
      <c r="M258" s="315"/>
      <c r="N258" s="315"/>
      <c r="O258" s="315"/>
      <c r="P258" s="315"/>
      <c r="Q258" s="315"/>
      <c r="R258" s="315"/>
      <c r="S258" s="315"/>
      <c r="T258" s="464"/>
      <c r="U258" s="464"/>
    </row>
    <row r="259" spans="1:21" ht="13" x14ac:dyDescent="0.4">
      <c r="A259" s="315"/>
      <c r="B259" s="315"/>
      <c r="C259" s="315"/>
      <c r="D259" s="315"/>
      <c r="E259" s="315"/>
      <c r="F259" s="315"/>
      <c r="G259" s="315"/>
      <c r="H259" s="315"/>
      <c r="I259" s="315"/>
      <c r="J259" s="315"/>
      <c r="K259" s="315"/>
      <c r="L259" s="315"/>
      <c r="M259" s="315"/>
      <c r="N259" s="315"/>
      <c r="O259" s="315"/>
      <c r="P259" s="315"/>
      <c r="Q259" s="315"/>
      <c r="R259" s="315"/>
      <c r="S259" s="315"/>
      <c r="T259" s="464"/>
      <c r="U259" s="464"/>
    </row>
    <row r="260" spans="1:21" ht="13" x14ac:dyDescent="0.4">
      <c r="A260" s="315"/>
      <c r="B260" s="315"/>
      <c r="C260" s="315"/>
      <c r="D260" s="315"/>
      <c r="E260" s="315"/>
      <c r="F260" s="315"/>
      <c r="G260" s="315"/>
      <c r="H260" s="315"/>
      <c r="I260" s="315"/>
      <c r="J260" s="315"/>
      <c r="K260" s="315"/>
      <c r="L260" s="315"/>
      <c r="M260" s="315"/>
      <c r="N260" s="315"/>
      <c r="O260" s="315"/>
      <c r="P260" s="315"/>
      <c r="Q260" s="315"/>
      <c r="R260" s="315"/>
      <c r="S260" s="315"/>
      <c r="T260" s="464"/>
      <c r="U260" s="464"/>
    </row>
    <row r="261" spans="1:21" ht="13" x14ac:dyDescent="0.4">
      <c r="A261" s="315"/>
      <c r="B261" s="315"/>
      <c r="C261" s="315"/>
      <c r="D261" s="315"/>
      <c r="E261" s="315"/>
      <c r="F261" s="315"/>
      <c r="G261" s="315"/>
      <c r="H261" s="315"/>
      <c r="I261" s="315"/>
      <c r="J261" s="315"/>
      <c r="K261" s="315"/>
      <c r="L261" s="315"/>
      <c r="M261" s="315"/>
      <c r="N261" s="315"/>
      <c r="O261" s="315"/>
      <c r="P261" s="315"/>
      <c r="Q261" s="315"/>
      <c r="R261" s="315"/>
      <c r="S261" s="315"/>
      <c r="T261" s="464"/>
      <c r="U261" s="464"/>
    </row>
    <row r="262" spans="1:21" ht="13" x14ac:dyDescent="0.4">
      <c r="A262" s="315"/>
      <c r="B262" s="315"/>
      <c r="C262" s="315"/>
      <c r="D262" s="315"/>
      <c r="E262" s="315"/>
      <c r="F262" s="315"/>
      <c r="G262" s="315"/>
      <c r="H262" s="315"/>
      <c r="I262" s="315"/>
      <c r="J262" s="315"/>
      <c r="K262" s="315"/>
      <c r="L262" s="315"/>
      <c r="M262" s="315"/>
      <c r="N262" s="315"/>
      <c r="O262" s="315"/>
      <c r="P262" s="315"/>
      <c r="Q262" s="315"/>
      <c r="R262" s="315"/>
      <c r="S262" s="315"/>
      <c r="T262" s="464"/>
      <c r="U262" s="464"/>
    </row>
    <row r="263" spans="1:21" ht="13" x14ac:dyDescent="0.4">
      <c r="A263" s="315"/>
      <c r="B263" s="315"/>
      <c r="C263" s="315"/>
      <c r="D263" s="315"/>
      <c r="E263" s="315"/>
      <c r="F263" s="315"/>
      <c r="G263" s="315"/>
      <c r="H263" s="315"/>
      <c r="I263" s="315"/>
      <c r="J263" s="315"/>
      <c r="K263" s="315"/>
      <c r="L263" s="315"/>
      <c r="M263" s="315"/>
      <c r="N263" s="315"/>
      <c r="O263" s="315"/>
      <c r="P263" s="315"/>
      <c r="Q263" s="315"/>
      <c r="R263" s="315"/>
      <c r="S263" s="315"/>
      <c r="T263" s="464"/>
      <c r="U263" s="464"/>
    </row>
    <row r="264" spans="1:21" ht="13" x14ac:dyDescent="0.4">
      <c r="A264" s="315"/>
      <c r="B264" s="315"/>
      <c r="C264" s="315"/>
      <c r="D264" s="315"/>
      <c r="E264" s="315"/>
      <c r="F264" s="315"/>
      <c r="G264" s="315"/>
      <c r="H264" s="315"/>
      <c r="I264" s="315"/>
      <c r="J264" s="315"/>
      <c r="K264" s="315"/>
      <c r="L264" s="315"/>
      <c r="M264" s="315"/>
      <c r="N264" s="315"/>
      <c r="O264" s="315"/>
      <c r="P264" s="315"/>
      <c r="Q264" s="315"/>
      <c r="R264" s="315"/>
      <c r="S264" s="315"/>
      <c r="T264" s="464"/>
      <c r="U264" s="464"/>
    </row>
    <row r="265" spans="1:21" ht="13" x14ac:dyDescent="0.4">
      <c r="A265" s="315"/>
      <c r="B265" s="315"/>
      <c r="C265" s="315"/>
      <c r="D265" s="315"/>
      <c r="E265" s="315"/>
      <c r="F265" s="315"/>
      <c r="G265" s="315"/>
      <c r="H265" s="315"/>
      <c r="I265" s="315"/>
      <c r="J265" s="315"/>
      <c r="K265" s="315"/>
      <c r="L265" s="315"/>
      <c r="M265" s="315"/>
      <c r="N265" s="315"/>
      <c r="O265" s="315"/>
      <c r="P265" s="315"/>
      <c r="Q265" s="315"/>
      <c r="R265" s="315"/>
      <c r="S265" s="315"/>
      <c r="T265" s="464"/>
      <c r="U265" s="464"/>
    </row>
    <row r="266" spans="1:21" ht="13" x14ac:dyDescent="0.4">
      <c r="A266" s="315"/>
      <c r="B266" s="315"/>
      <c r="C266" s="315"/>
      <c r="D266" s="315"/>
      <c r="E266" s="315"/>
      <c r="F266" s="315"/>
      <c r="G266" s="315"/>
      <c r="H266" s="315"/>
      <c r="I266" s="315"/>
      <c r="J266" s="315"/>
      <c r="K266" s="315"/>
      <c r="L266" s="315"/>
      <c r="M266" s="315"/>
      <c r="N266" s="315"/>
      <c r="O266" s="315"/>
      <c r="P266" s="315"/>
      <c r="Q266" s="315"/>
      <c r="R266" s="315"/>
      <c r="S266" s="315"/>
      <c r="T266" s="464"/>
      <c r="U266" s="464"/>
    </row>
    <row r="267" spans="1:21" ht="13" x14ac:dyDescent="0.4">
      <c r="A267" s="315"/>
      <c r="B267" s="315"/>
      <c r="C267" s="315"/>
      <c r="D267" s="315"/>
      <c r="E267" s="315"/>
      <c r="F267" s="315"/>
      <c r="G267" s="315"/>
      <c r="H267" s="315"/>
      <c r="I267" s="315"/>
      <c r="J267" s="315"/>
      <c r="K267" s="315"/>
      <c r="L267" s="315"/>
      <c r="M267" s="315"/>
      <c r="N267" s="315"/>
      <c r="O267" s="315"/>
      <c r="P267" s="315"/>
      <c r="Q267" s="315"/>
      <c r="R267" s="315"/>
      <c r="S267" s="315"/>
      <c r="T267" s="464"/>
      <c r="U267" s="464"/>
    </row>
    <row r="268" spans="1:21" ht="13" x14ac:dyDescent="0.4">
      <c r="A268" s="315"/>
      <c r="B268" s="315"/>
      <c r="C268" s="315"/>
      <c r="D268" s="315"/>
      <c r="E268" s="315"/>
      <c r="F268" s="315"/>
      <c r="G268" s="315"/>
      <c r="H268" s="315"/>
      <c r="I268" s="315"/>
      <c r="J268" s="315"/>
      <c r="K268" s="315"/>
      <c r="L268" s="315"/>
      <c r="M268" s="315"/>
      <c r="N268" s="315"/>
      <c r="O268" s="315"/>
      <c r="P268" s="315"/>
      <c r="Q268" s="315"/>
      <c r="R268" s="315"/>
      <c r="S268" s="315"/>
      <c r="T268" s="464"/>
      <c r="U268" s="464"/>
    </row>
    <row r="269" spans="1:21" ht="13" x14ac:dyDescent="0.4">
      <c r="A269" s="315"/>
      <c r="B269" s="315"/>
      <c r="C269" s="315"/>
      <c r="D269" s="315"/>
      <c r="E269" s="315"/>
      <c r="F269" s="315"/>
      <c r="G269" s="315"/>
      <c r="H269" s="315"/>
      <c r="I269" s="315"/>
      <c r="J269" s="315"/>
      <c r="K269" s="315"/>
      <c r="L269" s="315"/>
      <c r="M269" s="315"/>
      <c r="N269" s="315"/>
      <c r="O269" s="315"/>
      <c r="P269" s="315"/>
      <c r="Q269" s="315"/>
      <c r="R269" s="315"/>
      <c r="S269" s="315"/>
      <c r="T269" s="464"/>
      <c r="U269" s="464"/>
    </row>
    <row r="270" spans="1:21" ht="13" x14ac:dyDescent="0.4">
      <c r="A270" s="315"/>
      <c r="B270" s="315"/>
      <c r="C270" s="315"/>
      <c r="D270" s="315"/>
      <c r="E270" s="315"/>
      <c r="F270" s="315"/>
      <c r="G270" s="315"/>
      <c r="H270" s="315"/>
      <c r="I270" s="315"/>
      <c r="J270" s="315"/>
      <c r="K270" s="315"/>
      <c r="L270" s="315"/>
      <c r="M270" s="315"/>
      <c r="N270" s="315"/>
      <c r="O270" s="315"/>
      <c r="P270" s="315"/>
      <c r="Q270" s="315"/>
      <c r="R270" s="315"/>
      <c r="S270" s="315"/>
      <c r="T270" s="464"/>
      <c r="U270" s="464"/>
    </row>
    <row r="271" spans="1:21" ht="13" x14ac:dyDescent="0.4">
      <c r="A271" s="315"/>
      <c r="B271" s="315"/>
      <c r="C271" s="315"/>
      <c r="D271" s="315"/>
      <c r="E271" s="315"/>
      <c r="F271" s="315"/>
      <c r="G271" s="315"/>
      <c r="H271" s="315"/>
      <c r="I271" s="315"/>
      <c r="J271" s="315"/>
      <c r="K271" s="315"/>
      <c r="L271" s="315"/>
      <c r="M271" s="315"/>
      <c r="N271" s="315"/>
      <c r="O271" s="315"/>
      <c r="P271" s="315"/>
      <c r="Q271" s="315"/>
      <c r="R271" s="315"/>
      <c r="S271" s="315"/>
      <c r="T271" s="464"/>
      <c r="U271" s="464"/>
    </row>
    <row r="272" spans="1:21" ht="13" x14ac:dyDescent="0.4">
      <c r="A272" s="315"/>
      <c r="B272" s="315"/>
      <c r="C272" s="315"/>
      <c r="D272" s="315"/>
      <c r="E272" s="315"/>
      <c r="F272" s="315"/>
      <c r="G272" s="315"/>
      <c r="H272" s="315"/>
      <c r="I272" s="315"/>
      <c r="J272" s="315"/>
      <c r="K272" s="315"/>
      <c r="L272" s="315"/>
      <c r="M272" s="315"/>
      <c r="N272" s="315"/>
      <c r="O272" s="315"/>
      <c r="P272" s="315"/>
      <c r="Q272" s="315"/>
      <c r="R272" s="315"/>
      <c r="S272" s="315"/>
      <c r="T272" s="464"/>
      <c r="U272" s="464"/>
    </row>
    <row r="273" spans="1:21" ht="13" x14ac:dyDescent="0.4">
      <c r="A273" s="315"/>
      <c r="B273" s="315"/>
      <c r="C273" s="315"/>
      <c r="D273" s="315"/>
      <c r="E273" s="315"/>
      <c r="F273" s="315"/>
      <c r="G273" s="315"/>
      <c r="H273" s="315"/>
      <c r="I273" s="315"/>
      <c r="J273" s="315"/>
      <c r="K273" s="315"/>
      <c r="L273" s="315"/>
      <c r="M273" s="315"/>
      <c r="N273" s="315"/>
      <c r="O273" s="315"/>
      <c r="P273" s="315"/>
      <c r="Q273" s="315"/>
      <c r="R273" s="315"/>
      <c r="S273" s="315"/>
      <c r="T273" s="464"/>
      <c r="U273" s="464"/>
    </row>
    <row r="274" spans="1:21" ht="13" x14ac:dyDescent="0.4">
      <c r="A274" s="315"/>
      <c r="B274" s="315"/>
      <c r="C274" s="315"/>
      <c r="D274" s="315"/>
      <c r="E274" s="315"/>
      <c r="F274" s="315"/>
      <c r="G274" s="315"/>
      <c r="H274" s="315"/>
      <c r="I274" s="315"/>
      <c r="J274" s="315"/>
      <c r="K274" s="315"/>
      <c r="L274" s="315"/>
      <c r="M274" s="315"/>
      <c r="N274" s="315"/>
      <c r="O274" s="315"/>
      <c r="P274" s="315"/>
      <c r="Q274" s="315"/>
      <c r="R274" s="315"/>
      <c r="S274" s="315"/>
      <c r="T274" s="464"/>
      <c r="U274" s="464"/>
    </row>
    <row r="275" spans="1:21" ht="13" x14ac:dyDescent="0.4">
      <c r="A275" s="315"/>
      <c r="B275" s="315"/>
      <c r="C275" s="315"/>
      <c r="D275" s="315"/>
      <c r="E275" s="315"/>
      <c r="F275" s="315"/>
      <c r="G275" s="315"/>
      <c r="H275" s="315"/>
      <c r="I275" s="315"/>
      <c r="J275" s="315"/>
      <c r="K275" s="315"/>
      <c r="L275" s="315"/>
      <c r="M275" s="315"/>
      <c r="N275" s="315"/>
      <c r="O275" s="315"/>
      <c r="P275" s="315"/>
      <c r="Q275" s="315"/>
      <c r="R275" s="315"/>
      <c r="S275" s="315"/>
      <c r="T275" s="464"/>
      <c r="U275" s="464"/>
    </row>
    <row r="276" spans="1:21" ht="13" x14ac:dyDescent="0.4">
      <c r="A276" s="315"/>
      <c r="B276" s="315"/>
      <c r="C276" s="315"/>
      <c r="D276" s="315"/>
      <c r="E276" s="315"/>
      <c r="F276" s="315"/>
      <c r="G276" s="315"/>
      <c r="H276" s="315"/>
      <c r="I276" s="315"/>
      <c r="J276" s="315"/>
      <c r="K276" s="315"/>
      <c r="L276" s="315"/>
      <c r="M276" s="315"/>
      <c r="N276" s="315"/>
      <c r="O276" s="315"/>
      <c r="P276" s="315"/>
      <c r="Q276" s="315"/>
      <c r="R276" s="315"/>
      <c r="S276" s="315"/>
      <c r="T276" s="464"/>
      <c r="U276" s="464"/>
    </row>
    <row r="277" spans="1:21" ht="13" x14ac:dyDescent="0.4">
      <c r="A277" s="315"/>
      <c r="B277" s="315"/>
      <c r="C277" s="315"/>
      <c r="D277" s="315"/>
      <c r="E277" s="315"/>
      <c r="F277" s="315"/>
      <c r="G277" s="315"/>
      <c r="H277" s="315"/>
      <c r="I277" s="315"/>
      <c r="J277" s="315"/>
      <c r="K277" s="315"/>
      <c r="L277" s="315"/>
      <c r="M277" s="315"/>
      <c r="N277" s="315"/>
      <c r="O277" s="315"/>
      <c r="P277" s="315"/>
      <c r="Q277" s="315"/>
      <c r="R277" s="315"/>
      <c r="S277" s="315"/>
      <c r="T277" s="464"/>
      <c r="U277" s="464"/>
    </row>
    <row r="278" spans="1:21" ht="13" x14ac:dyDescent="0.4">
      <c r="A278" s="315"/>
      <c r="B278" s="315"/>
      <c r="C278" s="315"/>
      <c r="D278" s="315"/>
      <c r="E278" s="315"/>
      <c r="F278" s="315"/>
      <c r="G278" s="315"/>
      <c r="H278" s="315"/>
      <c r="I278" s="315"/>
      <c r="J278" s="315"/>
      <c r="K278" s="315"/>
      <c r="L278" s="315"/>
      <c r="M278" s="315"/>
      <c r="N278" s="315"/>
      <c r="O278" s="315"/>
      <c r="P278" s="315"/>
      <c r="Q278" s="315"/>
      <c r="R278" s="315"/>
      <c r="S278" s="315"/>
      <c r="T278" s="464"/>
      <c r="U278" s="464"/>
    </row>
    <row r="279" spans="1:21" ht="13" x14ac:dyDescent="0.4">
      <c r="A279" s="315"/>
      <c r="B279" s="315"/>
      <c r="C279" s="315"/>
      <c r="D279" s="315"/>
      <c r="E279" s="315"/>
      <c r="F279" s="315"/>
      <c r="G279" s="315"/>
      <c r="H279" s="315"/>
      <c r="I279" s="315"/>
      <c r="J279" s="315"/>
      <c r="K279" s="315"/>
      <c r="L279" s="315"/>
      <c r="M279" s="315"/>
      <c r="N279" s="315"/>
      <c r="O279" s="315"/>
      <c r="P279" s="315"/>
      <c r="Q279" s="315"/>
      <c r="R279" s="315"/>
      <c r="S279" s="315"/>
      <c r="T279" s="464"/>
      <c r="U279" s="464"/>
    </row>
    <row r="280" spans="1:21" ht="13" x14ac:dyDescent="0.4">
      <c r="A280" s="315"/>
      <c r="B280" s="315"/>
      <c r="C280" s="315"/>
      <c r="D280" s="315"/>
      <c r="E280" s="315"/>
      <c r="F280" s="315"/>
      <c r="G280" s="315"/>
      <c r="H280" s="315"/>
      <c r="I280" s="315"/>
      <c r="J280" s="315"/>
      <c r="K280" s="315"/>
      <c r="L280" s="315"/>
      <c r="M280" s="315"/>
      <c r="N280" s="315"/>
      <c r="O280" s="315"/>
      <c r="P280" s="315"/>
      <c r="Q280" s="315"/>
      <c r="R280" s="315"/>
      <c r="S280" s="315"/>
      <c r="T280" s="464"/>
      <c r="U280" s="464"/>
    </row>
    <row r="281" spans="1:21" ht="13" x14ac:dyDescent="0.4">
      <c r="A281" s="315"/>
      <c r="B281" s="315"/>
      <c r="C281" s="315"/>
      <c r="D281" s="315"/>
      <c r="E281" s="315"/>
      <c r="F281" s="315"/>
      <c r="G281" s="315"/>
      <c r="H281" s="315"/>
      <c r="I281" s="315"/>
      <c r="J281" s="315"/>
      <c r="K281" s="315"/>
      <c r="L281" s="315"/>
      <c r="M281" s="315"/>
      <c r="N281" s="315"/>
      <c r="O281" s="315"/>
      <c r="P281" s="315"/>
      <c r="Q281" s="315"/>
      <c r="R281" s="315"/>
      <c r="S281" s="315"/>
      <c r="T281" s="464"/>
      <c r="U281" s="464"/>
    </row>
    <row r="282" spans="1:21" ht="13" x14ac:dyDescent="0.4">
      <c r="A282" s="315"/>
      <c r="B282" s="315"/>
      <c r="C282" s="315"/>
      <c r="D282" s="315"/>
      <c r="E282" s="315"/>
      <c r="F282" s="315"/>
      <c r="G282" s="315"/>
      <c r="H282" s="315"/>
      <c r="I282" s="315"/>
      <c r="J282" s="315"/>
      <c r="K282" s="315"/>
      <c r="L282" s="315"/>
      <c r="M282" s="315"/>
      <c r="N282" s="315"/>
      <c r="O282" s="315"/>
      <c r="P282" s="315"/>
      <c r="Q282" s="315"/>
      <c r="R282" s="315"/>
      <c r="S282" s="315"/>
      <c r="T282" s="464"/>
      <c r="U282" s="464"/>
    </row>
    <row r="283" spans="1:21" ht="13" x14ac:dyDescent="0.4">
      <c r="A283" s="315"/>
      <c r="B283" s="315"/>
      <c r="C283" s="315"/>
      <c r="D283" s="315"/>
      <c r="E283" s="315"/>
      <c r="F283" s="315"/>
      <c r="G283" s="315"/>
      <c r="H283" s="315"/>
      <c r="I283" s="315"/>
      <c r="J283" s="315"/>
      <c r="K283" s="315"/>
      <c r="L283" s="315"/>
      <c r="M283" s="315"/>
      <c r="N283" s="315"/>
      <c r="O283" s="315"/>
      <c r="P283" s="315"/>
      <c r="Q283" s="315"/>
      <c r="R283" s="315"/>
      <c r="S283" s="315"/>
      <c r="T283" s="464"/>
      <c r="U283" s="464"/>
    </row>
  </sheetData>
  <mergeCells count="42">
    <mergeCell ref="M27:Q27"/>
    <mergeCell ref="E28:K28"/>
    <mergeCell ref="M28:Q28"/>
    <mergeCell ref="D32:Q32"/>
    <mergeCell ref="E27:K27"/>
    <mergeCell ref="E29:K29"/>
    <mergeCell ref="M29:Q29"/>
    <mergeCell ref="E25:K25"/>
    <mergeCell ref="E26:K26"/>
    <mergeCell ref="E21:K21"/>
    <mergeCell ref="M21:Q21"/>
    <mergeCell ref="M26:Q26"/>
    <mergeCell ref="M25:Q25"/>
    <mergeCell ref="M24:Q24"/>
    <mergeCell ref="M23:Q23"/>
    <mergeCell ref="D13:Q13"/>
    <mergeCell ref="C19:R19"/>
    <mergeCell ref="E22:K22"/>
    <mergeCell ref="E23:K23"/>
    <mergeCell ref="E24:K24"/>
    <mergeCell ref="M22:Q22"/>
    <mergeCell ref="D15:Q16"/>
    <mergeCell ref="C2:R2"/>
    <mergeCell ref="C3:F3"/>
    <mergeCell ref="G3:J3"/>
    <mergeCell ref="K3:N3"/>
    <mergeCell ref="O3:R3"/>
    <mergeCell ref="C4:F4"/>
    <mergeCell ref="G4:J4"/>
    <mergeCell ref="K4:N4"/>
    <mergeCell ref="O4:R4"/>
    <mergeCell ref="C5:F5"/>
    <mergeCell ref="G5:J5"/>
    <mergeCell ref="K5:N5"/>
    <mergeCell ref="O5:R5"/>
    <mergeCell ref="E10:K10"/>
    <mergeCell ref="M10:Q10"/>
    <mergeCell ref="C6:F6"/>
    <mergeCell ref="G6:J6"/>
    <mergeCell ref="K6:N6"/>
    <mergeCell ref="O6:R6"/>
    <mergeCell ref="C8:R8"/>
  </mergeCells>
  <phoneticPr fontId="13" type="noConversion"/>
  <conditionalFormatting sqref="L10">
    <cfRule type="cellIs" dxfId="21" priority="3" operator="equal">
      <formula>"Oui"</formula>
    </cfRule>
    <cfRule type="cellIs" dxfId="20" priority="4" operator="equal">
      <formula>"Non"</formula>
    </cfRule>
  </conditionalFormatting>
  <conditionalFormatting sqref="L21:L29">
    <cfRule type="cellIs" dxfId="19" priority="1" operator="equal">
      <formula>"Oui"</formula>
    </cfRule>
    <cfRule type="cellIs" dxfId="18" priority="2" operator="equal">
      <formula>"Non"</formula>
    </cfRule>
  </conditionalFormatting>
  <dataValidations count="4">
    <dataValidation type="list" allowBlank="1" showInputMessage="1" showErrorMessage="1" sqref="L10 L21:L23 L27:L29" xr:uid="{7D1E51BD-197D-46C1-9505-B0EDB5700FC4}">
      <formula1>LISTE_1</formula1>
    </dataValidation>
    <dataValidation allowBlank="1" showInputMessage="1" showErrorMessage="1" prompt="changement du maitre d’ouvrage ou de l’exploitant_x000a_la construction d’une nouvelle STEU ou la réhabilitation d’une STEU ;_x000a_la modification des points particuliers du système de collecte et des points de déversement au milieu ;_x000a_..._x000a__x000a__x000a__x000a__x000a__x000a_" sqref="E10:K10" xr:uid="{D81D6C72-D13E-42EE-944C-B78086C5EEEC}"/>
    <dataValidation type="list" allowBlank="1" showInputMessage="1" showErrorMessage="1" sqref="L24:L26" xr:uid="{0EF155D3-926B-4A66-99C7-6BFC0BE07512}">
      <formula1>LISTE_6</formula1>
    </dataValidation>
    <dataValidation allowBlank="1" showInputMessage="1" showErrorMessage="1" prompt="Joindre en annexe du rapport un exemple de fiche de vie pour chaque type de contrôle" sqref="C19:R19" xr:uid="{21CEABF3-B54C-4669-B22F-7C3EF1FBD22E}"/>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ED775-84A5-4DBA-AC81-69F58B98E90C}">
  <sheetPr codeName="Feuil27">
    <tabColor theme="3" tint="0.39997558519241921"/>
  </sheetPr>
  <dimension ref="B1:AD70"/>
  <sheetViews>
    <sheetView topLeftCell="A34" zoomScaleNormal="100" workbookViewId="0">
      <selection activeCell="D32" sqref="D32:I32"/>
    </sheetView>
  </sheetViews>
  <sheetFormatPr baseColWidth="10" defaultColWidth="10.703125" defaultRowHeight="13" outlineLevelRow="1" x14ac:dyDescent="0.4"/>
  <cols>
    <col min="1" max="2" width="2.703125" style="315" customWidth="1"/>
    <col min="3" max="3" width="10.703125" style="315"/>
    <col min="4" max="8" width="12.64453125" style="315" customWidth="1"/>
    <col min="9" max="9" width="15.5859375" style="315" customWidth="1"/>
    <col min="10" max="12" width="12.64453125" style="315" customWidth="1"/>
    <col min="13" max="13" width="10.703125" style="315"/>
    <col min="14" max="14" width="12.05859375" style="315" customWidth="1"/>
    <col min="15" max="18" width="10.703125" style="315"/>
    <col min="19" max="19" width="2.703125" style="315" customWidth="1"/>
    <col min="20" max="20" width="2.703125" style="311" customWidth="1"/>
    <col min="21" max="22" width="10.703125" style="311" customWidth="1"/>
    <col min="23" max="30" width="10.703125" style="311"/>
    <col min="31" max="16384" width="10.703125" style="315"/>
  </cols>
  <sheetData>
    <row r="1" spans="2:30" ht="9.9499999999999993" customHeight="1" thickBot="1" x14ac:dyDescent="0.45">
      <c r="B1" s="329"/>
      <c r="C1" s="330"/>
      <c r="D1" s="330"/>
      <c r="E1" s="330"/>
      <c r="F1" s="330"/>
      <c r="G1" s="330"/>
      <c r="H1" s="330"/>
      <c r="I1" s="330"/>
      <c r="J1" s="330"/>
      <c r="K1" s="330"/>
      <c r="L1" s="330"/>
      <c r="M1" s="330"/>
      <c r="N1" s="330"/>
      <c r="O1" s="330"/>
      <c r="P1" s="330"/>
      <c r="Q1" s="330"/>
      <c r="R1" s="330"/>
      <c r="S1" s="331"/>
      <c r="U1" s="414" t="s">
        <v>319</v>
      </c>
      <c r="V1" s="414" t="s">
        <v>319</v>
      </c>
      <c r="W1" s="414" t="s">
        <v>319</v>
      </c>
      <c r="X1" s="414" t="s">
        <v>319</v>
      </c>
      <c r="Y1" s="414" t="s">
        <v>319</v>
      </c>
      <c r="Z1" s="414" t="s">
        <v>319</v>
      </c>
    </row>
    <row r="2" spans="2:30" ht="30" customHeight="1" thickTop="1" x14ac:dyDescent="0.4">
      <c r="B2" s="332"/>
      <c r="C2" s="735" t="s">
        <v>433</v>
      </c>
      <c r="D2" s="485"/>
      <c r="E2" s="485"/>
      <c r="F2" s="485"/>
      <c r="G2" s="485"/>
      <c r="H2" s="485"/>
      <c r="I2" s="485"/>
      <c r="J2" s="485"/>
      <c r="K2" s="485"/>
      <c r="L2" s="485"/>
      <c r="M2" s="485"/>
      <c r="N2" s="485"/>
      <c r="O2" s="485"/>
      <c r="P2" s="485"/>
      <c r="Q2" s="485"/>
      <c r="R2" s="486"/>
      <c r="S2" s="327"/>
      <c r="X2" s="414" t="s">
        <v>494</v>
      </c>
      <c r="Y2" s="414" t="s">
        <v>495</v>
      </c>
      <c r="Z2" s="414" t="s">
        <v>496</v>
      </c>
      <c r="AA2" s="374" t="s">
        <v>497</v>
      </c>
      <c r="AB2" s="374" t="s">
        <v>498</v>
      </c>
      <c r="AC2" s="374" t="s">
        <v>35</v>
      </c>
      <c r="AD2" s="414" t="s">
        <v>175</v>
      </c>
    </row>
    <row r="3" spans="2:30" ht="20.100000000000001" customHeight="1" x14ac:dyDescent="0.4">
      <c r="B3" s="332"/>
      <c r="C3" s="660" t="s">
        <v>387</v>
      </c>
      <c r="D3" s="566"/>
      <c r="E3" s="566"/>
      <c r="F3" s="559"/>
      <c r="G3" s="491" t="str">
        <f>IF(ISBLANK(Descriptif!F3), "", Descriptif!F3)</f>
        <v>BARJAC (30)</v>
      </c>
      <c r="H3" s="492"/>
      <c r="I3" s="492"/>
      <c r="J3" s="731"/>
      <c r="K3" s="732" t="s">
        <v>397</v>
      </c>
      <c r="L3" s="733"/>
      <c r="M3" s="733"/>
      <c r="N3" s="734"/>
      <c r="O3" s="562" t="s">
        <v>508</v>
      </c>
      <c r="P3" s="563"/>
      <c r="Q3" s="563"/>
      <c r="R3" s="659"/>
      <c r="S3" s="327"/>
      <c r="X3" s="311" t="str" cm="1">
        <f t="array" ref="X3">IFERROR(INDEX($T$37:$T$1003,SMALL(IF($T$37:$T$1003&lt;&gt;"",ROW($T$37:$T$1003)-ROW($T$37)+1),ROW(1:1))),"")</f>
        <v/>
      </c>
      <c r="Y3" s="311" t="str" cm="1">
        <f t="array" ref="Y3">IFERROR(INDEX($U$37:$U$1003,SMALL(IF($T$37:$T$1003&lt;&gt;"",ROW($T$37:$T$1003)-ROW($T$37)+1),ROW(1:1))),"")</f>
        <v/>
      </c>
      <c r="Z3" s="311" t="str" cm="1">
        <f t="array" ref="Z3">IFERROR(INDEX($V$37:$V$1003,SMALL(IF($T$37:$T$1003&lt;&gt;"",ROW($T$37:$T$1003)-ROW($T$37)+1),ROW(1:1))),"")</f>
        <v/>
      </c>
      <c r="AA3" s="311" t="str" cm="1">
        <f t="array" ref="AA3">IFERROR(INDEX($W$37:$W$1003,SMALL(IF($T$37:$T$1003&lt;&gt;"",ROW($T$37:$T$1003)-ROW($T$37)+1),ROW(1:1))),"")</f>
        <v/>
      </c>
      <c r="AB3" s="311" t="str">
        <f>IF(X3&lt;&gt;"",IF($J$28="Oui",100,AA3),"")</f>
        <v/>
      </c>
      <c r="AC3" s="311" t="str">
        <f t="shared" ref="AC3:AC15" si="0">IF(X3&lt;&gt;"",(AB3/100  * (1-$P$15)*100),"")</f>
        <v/>
      </c>
      <c r="AD3" s="311" t="str">
        <f>IF(X3&lt;&gt;"",IF(AC3&lt;&gt;"",IF(AC3&gt;80,"Validé",IF(AC3&lt;70,"Non Validé","Validé avec réserve")),"Non contrôlé"),"")</f>
        <v/>
      </c>
    </row>
    <row r="4" spans="2:30" ht="20.100000000000001" customHeight="1" x14ac:dyDescent="0.4">
      <c r="B4" s="332"/>
      <c r="C4" s="660" t="s">
        <v>388</v>
      </c>
      <c r="D4" s="566"/>
      <c r="E4" s="566"/>
      <c r="F4" s="559"/>
      <c r="G4" s="491" t="str">
        <f>IF(ISBLANK(Descriptif!F4), "", Descriptif!F4)</f>
        <v>eee</v>
      </c>
      <c r="H4" s="492"/>
      <c r="I4" s="492"/>
      <c r="J4" s="731"/>
      <c r="K4" s="732" t="s">
        <v>453</v>
      </c>
      <c r="L4" s="733"/>
      <c r="M4" s="733"/>
      <c r="N4" s="734"/>
      <c r="O4" s="562"/>
      <c r="P4" s="563"/>
      <c r="Q4" s="563"/>
      <c r="R4" s="659"/>
      <c r="S4" s="327"/>
      <c r="X4" s="311" t="str" cm="1">
        <f t="array" ref="X4">IFERROR(INDEX($T$37:$T$1003,SMALL(IF($T$37:$T$1003&lt;&gt;"",ROW($T$37:$T$1003)-ROW($T$37)+1),ROW(2:2))),"")</f>
        <v/>
      </c>
      <c r="Y4" s="311" t="str" cm="1">
        <f t="array" ref="Y4">IFERROR(INDEX($U$37:$U$1003,SMALL(IF($T$37:$T$1003&lt;&gt;"",ROW($T$37:$T$1003)-ROW($T$37)+1),ROW(2:2))),"")</f>
        <v/>
      </c>
      <c r="Z4" s="311" t="str" cm="1">
        <f t="array" ref="Z4">IFERROR(INDEX($V$37:$V$1003,SMALL(IF($T$37:$T$1003&lt;&gt;"",ROW($T$37:$T$1003)-ROW($T$37)+1),ROW(2:2))),"")</f>
        <v/>
      </c>
      <c r="AA4" s="311" t="str" cm="1">
        <f t="array" ref="AA4">IFERROR(INDEX($W$37:$W$1003,SMALL(IF($T$37:$T$1003&lt;&gt;"",ROW($T$37:$T$1003)-ROW($T$37)+1),ROW(2:2))),"")</f>
        <v/>
      </c>
      <c r="AB4" s="311" t="str">
        <f t="shared" ref="AB4:AB35" si="1">IF(X4&lt;&gt;"",IF($J$28="Oui",100,AA4),"")</f>
        <v/>
      </c>
      <c r="AC4" s="311" t="str">
        <f t="shared" si="0"/>
        <v/>
      </c>
      <c r="AD4" s="311" t="str">
        <f t="shared" ref="AD4:AD35" si="2">IF(X4&lt;&gt;"",IF(AC4&lt;&gt;"",IF(AC4&gt;80,"Validé",IF(AC4&lt;70,"Non Validé","Validé avec réserve")),"Non contrôlé"),"")</f>
        <v/>
      </c>
    </row>
    <row r="5" spans="2:30" ht="20.100000000000001" customHeight="1" x14ac:dyDescent="0.4">
      <c r="B5" s="332"/>
      <c r="C5" s="660" t="s">
        <v>435</v>
      </c>
      <c r="D5" s="566"/>
      <c r="E5" s="566"/>
      <c r="F5" s="559"/>
      <c r="G5" s="491" t="str">
        <f>IF(ISBLANK(Descriptif!F5), "", Descriptif!F5)</f>
        <v>Commune de Barjac</v>
      </c>
      <c r="H5" s="492"/>
      <c r="I5" s="492"/>
      <c r="J5" s="731"/>
      <c r="K5" s="732" t="s">
        <v>385</v>
      </c>
      <c r="L5" s="733"/>
      <c r="M5" s="733"/>
      <c r="N5" s="734"/>
      <c r="O5" s="562" t="str">
        <f>IF(ISBLANK(Descriptif!U3), "", Descriptif!U3)</f>
        <v>CEREG Ingénierie</v>
      </c>
      <c r="P5" s="563"/>
      <c r="Q5" s="563"/>
      <c r="R5" s="659"/>
      <c r="S5" s="327"/>
      <c r="X5" s="311" t="str" cm="1">
        <f t="array" ref="X5">IFERROR(INDEX($T$37:$T$1003,SMALL(IF($T$37:$T$1003&lt;&gt;"",ROW($T$37:$T$1003)-ROW($T$37)+1),ROW(3:3))),"")</f>
        <v/>
      </c>
      <c r="Y5" s="311" t="str" cm="1">
        <f t="array" ref="Y5">IFERROR(INDEX($U$37:$U$1003,SMALL(IF($T$37:$T$1003&lt;&gt;"",ROW($T$37:$T$1003)-ROW($T$37)+1),ROW(3:3))),"")</f>
        <v/>
      </c>
      <c r="Z5" s="311" t="str" cm="1">
        <f t="array" ref="Z5">IFERROR(INDEX($V$37:$V$1003,SMALL(IF($T$37:$T$1003&lt;&gt;"",ROW($T$37:$T$1003)-ROW($T$37)+1),ROW(3:3))),"")</f>
        <v/>
      </c>
      <c r="AA5" s="311" t="str" cm="1">
        <f t="array" ref="AA5">IFERROR(INDEX($W$37:$W$1003,SMALL(IF($T$37:$T$1003&lt;&gt;"",ROW($T$37:$T$1003)-ROW($T$37)+1),ROW(3:3))),"")</f>
        <v/>
      </c>
      <c r="AB5" s="311" t="str">
        <f t="shared" si="1"/>
        <v/>
      </c>
      <c r="AC5" s="311" t="str">
        <f t="shared" si="0"/>
        <v/>
      </c>
      <c r="AD5" s="311" t="str">
        <f t="shared" si="2"/>
        <v/>
      </c>
    </row>
    <row r="6" spans="2:30" ht="20.100000000000001" customHeight="1" thickBot="1" x14ac:dyDescent="0.45">
      <c r="B6" s="332"/>
      <c r="C6" s="695" t="s">
        <v>436</v>
      </c>
      <c r="D6" s="567"/>
      <c r="E6" s="567"/>
      <c r="F6" s="561"/>
      <c r="G6" s="510" t="str">
        <f>IF(ISBLANK(Descriptif!F6), "", Descriptif!F6)</f>
        <v>Regie</v>
      </c>
      <c r="H6" s="511"/>
      <c r="I6" s="511"/>
      <c r="J6" s="812"/>
      <c r="K6" s="813" t="s">
        <v>434</v>
      </c>
      <c r="L6" s="725"/>
      <c r="M6" s="725"/>
      <c r="N6" s="726"/>
      <c r="O6" s="564" t="str">
        <f>IF(ISBLANK(Descriptif!U4), "", Descriptif!U4)</f>
        <v>control</v>
      </c>
      <c r="P6" s="565"/>
      <c r="Q6" s="565"/>
      <c r="R6" s="727"/>
      <c r="S6" s="327"/>
      <c r="X6" s="311" t="str" cm="1">
        <f t="array" ref="X6">IFERROR(INDEX($T$37:$T$1003,SMALL(IF($T$37:$T$1003&lt;&gt;"",ROW($T$37:$T$1003)-ROW($T$37)+1),ROW(4:4))),"")</f>
        <v/>
      </c>
      <c r="Y6" s="311" t="str" cm="1">
        <f t="array" ref="Y6">IFERROR(INDEX($U$37:$U$1003,SMALL(IF($T$37:$T$1003&lt;&gt;"",ROW($T$37:$T$1003)-ROW($T$37)+1),ROW(4:4))),"")</f>
        <v/>
      </c>
      <c r="Z6" s="311" t="str" cm="1">
        <f t="array" ref="Z6">IFERROR(INDEX($V$37:$V$1003,SMALL(IF($T$37:$T$1003&lt;&gt;"",ROW($T$37:$T$1003)-ROW($T$37)+1),ROW(4:4))),"")</f>
        <v/>
      </c>
      <c r="AA6" s="311" t="str" cm="1">
        <f t="array" ref="AA6">IFERROR(INDEX($W$37:$W$1003,SMALL(IF($T$37:$T$1003&lt;&gt;"",ROW($T$37:$T$1003)-ROW($T$37)+1),ROW(4:4))),"")</f>
        <v/>
      </c>
      <c r="AB6" s="311" t="str">
        <f t="shared" si="1"/>
        <v/>
      </c>
      <c r="AC6" s="311" t="str">
        <f t="shared" si="0"/>
        <v/>
      </c>
      <c r="AD6" s="311" t="str">
        <f t="shared" si="2"/>
        <v/>
      </c>
    </row>
    <row r="7" spans="2:30" ht="9.9499999999999993" customHeight="1" thickTop="1" thickBot="1" x14ac:dyDescent="0.45">
      <c r="B7" s="332"/>
      <c r="C7" s="333"/>
      <c r="D7" s="333"/>
      <c r="E7" s="333"/>
      <c r="F7" s="333"/>
      <c r="G7" s="333"/>
      <c r="H7" s="333"/>
      <c r="I7" s="333"/>
      <c r="J7" s="333"/>
      <c r="K7" s="333"/>
      <c r="L7" s="333"/>
      <c r="M7" s="333"/>
      <c r="N7" s="333"/>
      <c r="O7" s="333"/>
      <c r="P7" s="333"/>
      <c r="Q7" s="333"/>
      <c r="R7" s="333"/>
      <c r="S7" s="327"/>
      <c r="X7" s="311" t="str" cm="1">
        <f t="array" ref="X7">IFERROR(INDEX($T$37:$T$1003,SMALL(IF($T$37:$T$1003&lt;&gt;"",ROW($T$37:$T$1003)-ROW($T$37)+1),ROW(5:5))),"")</f>
        <v/>
      </c>
      <c r="Y7" s="311" t="str" cm="1">
        <f t="array" ref="Y7">IFERROR(INDEX($U$37:$U$1003,SMALL(IF($T$37:$T$1003&lt;&gt;"",ROW($T$37:$T$1003)-ROW($T$37)+1),ROW(5:5))),"")</f>
        <v/>
      </c>
      <c r="Z7" s="311" t="str" cm="1">
        <f t="array" ref="Z7">IFERROR(INDEX($V$37:$V$1003,SMALL(IF($T$37:$T$1003&lt;&gt;"",ROW($T$37:$T$1003)-ROW($T$37)+1),ROW(5:5))),"")</f>
        <v/>
      </c>
      <c r="AA7" s="311" t="str" cm="1">
        <f t="array" ref="AA7">IFERROR(INDEX($W$37:$W$1003,SMALL(IF($T$37:$T$1003&lt;&gt;"",ROW($T$37:$T$1003)-ROW($T$37)+1),ROW(5:5))),"")</f>
        <v/>
      </c>
      <c r="AB7" s="311" t="str">
        <f t="shared" si="1"/>
        <v/>
      </c>
      <c r="AC7" s="311" t="str">
        <f t="shared" si="0"/>
        <v/>
      </c>
      <c r="AD7" s="311" t="str">
        <f t="shared" si="2"/>
        <v/>
      </c>
    </row>
    <row r="8" spans="2:30" ht="20.100000000000001" customHeight="1" thickTop="1" thickBot="1" x14ac:dyDescent="0.45">
      <c r="B8" s="332"/>
      <c r="C8" s="728" t="s">
        <v>454</v>
      </c>
      <c r="D8" s="729"/>
      <c r="E8" s="729"/>
      <c r="F8" s="729"/>
      <c r="G8" s="729"/>
      <c r="H8" s="729"/>
      <c r="I8" s="729"/>
      <c r="J8" s="729"/>
      <c r="K8" s="729"/>
      <c r="L8" s="729"/>
      <c r="M8" s="729"/>
      <c r="N8" s="729"/>
      <c r="O8" s="729"/>
      <c r="P8" s="729"/>
      <c r="Q8" s="729"/>
      <c r="R8" s="730"/>
      <c r="S8" s="327"/>
      <c r="X8" s="311" t="str" cm="1">
        <f t="array" ref="X8">IFERROR(INDEX($T$37:$T$1003,SMALL(IF($T$37:$T$1003&lt;&gt;"",ROW($T$37:$T$1003)-ROW($T$37)+1),ROW(6:6))),"")</f>
        <v/>
      </c>
      <c r="Y8" s="311" t="str" cm="1">
        <f t="array" ref="Y8">IFERROR(INDEX($U$37:$U$1003,SMALL(IF($T$37:$T$1003&lt;&gt;"",ROW($T$37:$T$1003)-ROW($T$37)+1),ROW(6:6))),"")</f>
        <v/>
      </c>
      <c r="Z8" s="311" t="str" cm="1">
        <f t="array" ref="Z8">IFERROR(INDEX($V$37:$V$1003,SMALL(IF($T$37:$T$1003&lt;&gt;"",ROW($T$37:$T$1003)-ROW($T$37)+1),ROW(6:6))),"")</f>
        <v/>
      </c>
      <c r="AA8" s="311" t="str" cm="1">
        <f t="array" ref="AA8">IFERROR(INDEX($W$37:$W$1003,SMALL(IF($T$37:$T$1003&lt;&gt;"",ROW($T$37:$T$1003)-ROW($T$37)+1),ROW(6:6))),"")</f>
        <v/>
      </c>
      <c r="AB8" s="311" t="str">
        <f t="shared" si="1"/>
        <v/>
      </c>
      <c r="AC8" s="311" t="str">
        <f t="shared" si="0"/>
        <v/>
      </c>
      <c r="AD8" s="311" t="str">
        <f t="shared" si="2"/>
        <v/>
      </c>
    </row>
    <row r="9" spans="2:30" ht="20.100000000000001" customHeight="1" outlineLevel="1" thickTop="1" x14ac:dyDescent="0.4">
      <c r="B9" s="332"/>
      <c r="C9" s="334"/>
      <c r="D9" s="333"/>
      <c r="E9" s="333"/>
      <c r="F9" s="333"/>
      <c r="G9" s="333"/>
      <c r="H9" s="333"/>
      <c r="I9" s="333"/>
      <c r="J9" s="333"/>
      <c r="K9" s="333"/>
      <c r="L9" s="333"/>
      <c r="M9" s="333"/>
      <c r="N9" s="333"/>
      <c r="O9" s="333"/>
      <c r="P9" s="333"/>
      <c r="Q9" s="333"/>
      <c r="R9" s="326"/>
      <c r="S9" s="327"/>
      <c r="X9" s="311" t="str" cm="1">
        <f t="array" ref="X9">IFERROR(INDEX($T$37:$T$1003,SMALL(IF($T$37:$T$1003&lt;&gt;"",ROW($T$37:$T$1003)-ROW($T$37)+1),ROW(7:7))),"")</f>
        <v/>
      </c>
      <c r="Y9" s="311" t="str" cm="1">
        <f t="array" ref="Y9">IFERROR(INDEX($U$37:$U$1003,SMALL(IF($T$37:$T$1003&lt;&gt;"",ROW($T$37:$T$1003)-ROW($T$37)+1),ROW(7:7))),"")</f>
        <v/>
      </c>
      <c r="Z9" s="311" t="str" cm="1">
        <f t="array" ref="Z9">IFERROR(INDEX($V$37:$V$1003,SMALL(IF($T$37:$T$1003&lt;&gt;"",ROW($T$37:$T$1003)-ROW($T$37)+1),ROW(7:7))),"")</f>
        <v/>
      </c>
      <c r="AA9" s="311" t="str" cm="1">
        <f t="array" ref="AA9">IFERROR(INDEX($W$37:$W$1003,SMALL(IF($T$37:$T$1003&lt;&gt;"",ROW($T$37:$T$1003)-ROW($T$37)+1),ROW(7:7))),"")</f>
        <v/>
      </c>
      <c r="AB9" s="311" t="str">
        <f t="shared" si="1"/>
        <v/>
      </c>
      <c r="AC9" s="311" t="str">
        <f t="shared" si="0"/>
        <v/>
      </c>
      <c r="AD9" s="311" t="str">
        <f t="shared" si="2"/>
        <v/>
      </c>
    </row>
    <row r="10" spans="2:30" ht="32" customHeight="1" outlineLevel="1" x14ac:dyDescent="0.4">
      <c r="B10" s="332"/>
      <c r="C10" s="334"/>
      <c r="D10" s="814" t="s">
        <v>184</v>
      </c>
      <c r="E10" s="815"/>
      <c r="F10" s="815"/>
      <c r="G10" s="815"/>
      <c r="H10" s="815"/>
      <c r="I10" s="815"/>
      <c r="J10" s="815"/>
      <c r="K10" s="815"/>
      <c r="L10" s="815"/>
      <c r="M10" s="816"/>
      <c r="N10" s="817" t="s">
        <v>519</v>
      </c>
      <c r="O10" s="818"/>
      <c r="P10" s="819"/>
      <c r="Q10" s="333"/>
      <c r="R10" s="326"/>
      <c r="S10" s="327"/>
      <c r="X10" s="311" t="str" cm="1">
        <f t="array" ref="X10">IFERROR(INDEX($T$37:$T$1003,SMALL(IF($T$37:$T$1003&lt;&gt;"",ROW($T$37:$T$1003)-ROW($T$37)+1),ROW(8:8))),"")</f>
        <v/>
      </c>
      <c r="Y10" s="311" t="str" cm="1">
        <f t="array" ref="Y10">IFERROR(INDEX($U$37:$U$1003,SMALL(IF($T$37:$T$1003&lt;&gt;"",ROW($T$37:$T$1003)-ROW($T$37)+1),ROW(8:8))),"")</f>
        <v/>
      </c>
      <c r="Z10" s="311" t="str" cm="1">
        <f t="array" ref="Z10">IFERROR(INDEX($V$37:$V$1003,SMALL(IF($T$37:$T$1003&lt;&gt;"",ROW($T$37:$T$1003)-ROW($T$37)+1),ROW(8:8))),"")</f>
        <v/>
      </c>
      <c r="AA10" s="311" t="str" cm="1">
        <f t="array" ref="AA10">IFERROR(INDEX($W$37:$W$1003,SMALL(IF($T$37:$T$1003&lt;&gt;"",ROW($T$37:$T$1003)-ROW($T$37)+1),ROW(8:8))),"")</f>
        <v/>
      </c>
      <c r="AB10" s="311" t="str">
        <f t="shared" si="1"/>
        <v/>
      </c>
      <c r="AC10" s="311" t="str">
        <f t="shared" si="0"/>
        <v/>
      </c>
      <c r="AD10" s="311" t="str">
        <f t="shared" si="2"/>
        <v/>
      </c>
    </row>
    <row r="11" spans="2:30" ht="32" customHeight="1" outlineLevel="1" x14ac:dyDescent="0.4">
      <c r="B11" s="332"/>
      <c r="C11" s="334"/>
      <c r="D11" s="791" t="s">
        <v>313</v>
      </c>
      <c r="E11" s="792"/>
      <c r="F11" s="792"/>
      <c r="G11" s="792"/>
      <c r="H11" s="792"/>
      <c r="I11" s="792"/>
      <c r="J11" s="792"/>
      <c r="K11" s="792"/>
      <c r="L11" s="793" t="s">
        <v>66</v>
      </c>
      <c r="M11" s="794"/>
      <c r="N11" s="780">
        <f>IF(L11="","",IF(L11="Non",0.1,0))</f>
        <v>0</v>
      </c>
      <c r="O11" s="781"/>
      <c r="P11" s="782"/>
      <c r="Q11" s="333"/>
      <c r="R11" s="326"/>
      <c r="S11" s="327"/>
      <c r="X11" s="311" t="str" cm="1">
        <f t="array" ref="X11">IFERROR(INDEX($T$37:$T$1003,SMALL(IF($T$37:$T$1003&lt;&gt;"",ROW($T$37:$T$1003)-ROW($T$37)+1),ROW(9:9))),"")</f>
        <v/>
      </c>
      <c r="Y11" s="311" t="str" cm="1">
        <f t="array" ref="Y11">IFERROR(INDEX($U$37:$U$1003,SMALL(IF($T$37:$T$1003&lt;&gt;"",ROW($T$37:$T$1003)-ROW($T$37)+1),ROW(9:9))),"")</f>
        <v/>
      </c>
      <c r="Z11" s="311" t="str" cm="1">
        <f t="array" ref="Z11">IFERROR(INDEX($V$37:$V$1003,SMALL(IF($T$37:$T$1003&lt;&gt;"",ROW($T$37:$T$1003)-ROW($T$37)+1),ROW(9:9))),"")</f>
        <v/>
      </c>
      <c r="AA11" s="311" t="str" cm="1">
        <f t="array" ref="AA11">IFERROR(INDEX($W$37:$W$1003,SMALL(IF($T$37:$T$1003&lt;&gt;"",ROW($T$37:$T$1003)-ROW($T$37)+1),ROW(9:9))),"")</f>
        <v/>
      </c>
      <c r="AB11" s="311" t="str">
        <f t="shared" si="1"/>
        <v/>
      </c>
      <c r="AC11" s="311" t="str">
        <f t="shared" si="0"/>
        <v/>
      </c>
      <c r="AD11" s="311" t="str">
        <f t="shared" si="2"/>
        <v/>
      </c>
    </row>
    <row r="12" spans="2:30" ht="32" customHeight="1" outlineLevel="1" x14ac:dyDescent="0.4">
      <c r="B12" s="332"/>
      <c r="C12" s="334"/>
      <c r="D12" s="791" t="s">
        <v>314</v>
      </c>
      <c r="E12" s="792"/>
      <c r="F12" s="792"/>
      <c r="G12" s="792"/>
      <c r="H12" s="792"/>
      <c r="I12" s="792"/>
      <c r="J12" s="792"/>
      <c r="K12" s="792"/>
      <c r="L12" s="793" t="s">
        <v>64</v>
      </c>
      <c r="M12" s="794"/>
      <c r="N12" s="780">
        <f>IF(L12="","",IF(L12="Non",0.1,0))</f>
        <v>0</v>
      </c>
      <c r="O12" s="781"/>
      <c r="P12" s="782"/>
      <c r="Q12" s="333"/>
      <c r="R12" s="326"/>
      <c r="S12" s="327"/>
      <c r="X12" s="311" t="str" cm="1">
        <f t="array" ref="X12">IFERROR(INDEX($T$37:$T$1003,SMALL(IF($T$37:$T$1003&lt;&gt;"",ROW($T$37:$T$1003)-ROW($T$37)+1),ROW(10:10))),"")</f>
        <v/>
      </c>
      <c r="Y12" s="311" t="str" cm="1">
        <f t="array" ref="Y12">IFERROR(INDEX($U$37:$U$1003,SMALL(IF($T$37:$T$1003&lt;&gt;"",ROW($T$37:$T$1003)-ROW($T$37)+1),ROW(10:10))),"")</f>
        <v/>
      </c>
      <c r="Z12" s="311" t="str" cm="1">
        <f t="array" ref="Z12">IFERROR(INDEX($V$37:$V$1003,SMALL(IF($T$37:$T$1003&lt;&gt;"",ROW($T$37:$T$1003)-ROW($T$37)+1),ROW(10:10))),"")</f>
        <v/>
      </c>
      <c r="AA12" s="311" t="str" cm="1">
        <f t="array" ref="AA12">IFERROR(INDEX($W$37:$W$1003,SMALL(IF($T$37:$T$1003&lt;&gt;"",ROW($T$37:$T$1003)-ROW($T$37)+1),ROW(10:10))),"")</f>
        <v/>
      </c>
      <c r="AB12" s="311" t="str">
        <f t="shared" si="1"/>
        <v/>
      </c>
      <c r="AC12" s="311" t="str">
        <f t="shared" si="0"/>
        <v/>
      </c>
      <c r="AD12" s="311" t="str">
        <f t="shared" si="2"/>
        <v/>
      </c>
    </row>
    <row r="13" spans="2:30" ht="32" customHeight="1" outlineLevel="1" x14ac:dyDescent="0.4">
      <c r="B13" s="332"/>
      <c r="C13" s="334"/>
      <c r="D13" s="791" t="s">
        <v>315</v>
      </c>
      <c r="E13" s="792"/>
      <c r="F13" s="792"/>
      <c r="G13" s="792"/>
      <c r="H13" s="792"/>
      <c r="I13" s="792"/>
      <c r="J13" s="792"/>
      <c r="K13" s="792"/>
      <c r="L13" s="793" t="s">
        <v>64</v>
      </c>
      <c r="M13" s="794"/>
      <c r="N13" s="780">
        <f>IF(L13="","",IF(L13="Non",0.1,0))</f>
        <v>0</v>
      </c>
      <c r="O13" s="781"/>
      <c r="P13" s="782"/>
      <c r="Q13" s="333"/>
      <c r="R13" s="326"/>
      <c r="S13" s="327"/>
      <c r="X13" s="311" t="str" cm="1">
        <f t="array" ref="X13">IFERROR(INDEX($T$37:$T$1003,SMALL(IF($T$37:$T$1003&lt;&gt;"",ROW($T$37:$T$1003)-ROW($T$37)+1),ROW(11:11))),"")</f>
        <v/>
      </c>
      <c r="Y13" s="311" t="str" cm="1">
        <f t="array" ref="Y13">IFERROR(INDEX($U$37:$U$1003,SMALL(IF($T$37:$T$1003&lt;&gt;"",ROW($T$37:$T$1003)-ROW($T$37)+1),ROW(11:11))),"")</f>
        <v/>
      </c>
      <c r="Z13" s="311" t="str" cm="1">
        <f t="array" ref="Z13">IFERROR(INDEX($V$37:$V$1003,SMALL(IF($T$37:$T$1003&lt;&gt;"",ROW($T$37:$T$1003)-ROW($T$37)+1),ROW(11:11))),"")</f>
        <v/>
      </c>
      <c r="AA13" s="311" t="str" cm="1">
        <f t="array" ref="AA13">IFERROR(INDEX($W$37:$W$1003,SMALL(IF($T$37:$T$1003&lt;&gt;"",ROW($T$37:$T$1003)-ROW($T$37)+1),ROW(11:11))),"")</f>
        <v/>
      </c>
      <c r="AB13" s="311" t="str">
        <f t="shared" si="1"/>
        <v/>
      </c>
      <c r="AC13" s="311" t="str">
        <f t="shared" si="0"/>
        <v/>
      </c>
      <c r="AD13" s="311" t="str">
        <f t="shared" si="2"/>
        <v/>
      </c>
    </row>
    <row r="14" spans="2:30" ht="32" customHeight="1" outlineLevel="1" x14ac:dyDescent="0.4">
      <c r="B14" s="332"/>
      <c r="C14" s="334"/>
      <c r="D14" s="805" t="s">
        <v>550</v>
      </c>
      <c r="E14" s="806"/>
      <c r="F14" s="806"/>
      <c r="G14" s="806"/>
      <c r="H14" s="806"/>
      <c r="I14" s="806"/>
      <c r="J14" s="806"/>
      <c r="K14" s="806"/>
      <c r="L14" s="793" t="s">
        <v>64</v>
      </c>
      <c r="M14" s="794"/>
      <c r="N14" s="780">
        <f>IF(L14="","",IF(L14="Non",0.1,0))</f>
        <v>0</v>
      </c>
      <c r="O14" s="781"/>
      <c r="P14" s="782"/>
      <c r="Q14" s="333"/>
      <c r="R14" s="326"/>
      <c r="S14" s="327"/>
      <c r="X14" s="311" t="str" cm="1">
        <f t="array" ref="X14">IFERROR(INDEX($T$37:$T$1003,SMALL(IF($T$37:$T$1003&lt;&gt;"",ROW($T$37:$T$1003)-ROW($T$37)+1),ROW(12:12))),"")</f>
        <v/>
      </c>
      <c r="Y14" s="311" t="str" cm="1">
        <f t="array" ref="Y14">IFERROR(INDEX($U$37:$U$1003,SMALL(IF($T$37:$T$1003&lt;&gt;"",ROW($T$37:$T$1003)-ROW($T$37)+1),ROW(12:12))),"")</f>
        <v/>
      </c>
      <c r="Z14" s="311" t="str" cm="1">
        <f t="array" ref="Z14">IFERROR(INDEX($V$37:$V$1003,SMALL(IF($T$37:$T$1003&lt;&gt;"",ROW($T$37:$T$1003)-ROW($T$37)+1),ROW(12:12))),"")</f>
        <v/>
      </c>
      <c r="AA14" s="311" t="str" cm="1">
        <f t="array" ref="AA14">IFERROR(INDEX($W$37:$W$1003,SMALL(IF($T$37:$T$1003&lt;&gt;"",ROW($T$37:$T$1003)-ROW($T$37)+1),ROW(12:12))),"")</f>
        <v/>
      </c>
      <c r="AB14" s="311" t="str">
        <f t="shared" si="1"/>
        <v/>
      </c>
      <c r="AC14" s="311" t="str">
        <f t="shared" si="0"/>
        <v/>
      </c>
      <c r="AD14" s="311" t="str">
        <f t="shared" si="2"/>
        <v/>
      </c>
    </row>
    <row r="15" spans="2:30" ht="26" customHeight="1" outlineLevel="1" x14ac:dyDescent="0.4">
      <c r="B15" s="332"/>
      <c r="C15" s="334"/>
      <c r="D15" s="424"/>
      <c r="E15" s="424"/>
      <c r="F15" s="424"/>
      <c r="G15" s="424"/>
      <c r="H15" s="424"/>
      <c r="I15" s="424"/>
      <c r="J15" s="424"/>
      <c r="K15" s="424"/>
      <c r="L15" s="424"/>
      <c r="M15" s="424"/>
      <c r="N15" s="783" t="s">
        <v>455</v>
      </c>
      <c r="O15" s="784"/>
      <c r="P15" s="425">
        <f>SUM(N11:P14)</f>
        <v>0</v>
      </c>
      <c r="Q15" s="333"/>
      <c r="R15" s="326"/>
      <c r="S15" s="327"/>
      <c r="X15" s="311" t="str" cm="1">
        <f t="array" ref="X15">IFERROR(INDEX($T$37:$T$1003,SMALL(IF($T$37:$T$1003&lt;&gt;"",ROW($T$37:$T$1003)-ROW($T$37)+1),ROW(13:13))),"")</f>
        <v/>
      </c>
      <c r="Y15" s="311" t="str" cm="1">
        <f t="array" ref="Y15">IFERROR(INDEX($U$37:$U$1003,SMALL(IF($T$37:$T$1003&lt;&gt;"",ROW($T$37:$T$1003)-ROW($T$37)+1),ROW(13:13))),"")</f>
        <v/>
      </c>
      <c r="Z15" s="311" t="str" cm="1">
        <f t="array" ref="Z15">IFERROR(INDEX($V$37:$V$1003,SMALL(IF($T$37:$T$1003&lt;&gt;"",ROW($T$37:$T$1003)-ROW($T$37)+1),ROW(13:13))),"")</f>
        <v/>
      </c>
      <c r="AA15" s="311" t="str" cm="1">
        <f t="array" ref="AA15">IFERROR(INDEX($W$37:$W$1003,SMALL(IF($T$37:$T$1003&lt;&gt;"",ROW($T$37:$T$1003)-ROW($T$37)+1),ROW(13:13))),"")</f>
        <v/>
      </c>
      <c r="AB15" s="311" t="str">
        <f t="shared" si="1"/>
        <v/>
      </c>
      <c r="AC15" s="311" t="str">
        <f t="shared" si="0"/>
        <v/>
      </c>
      <c r="AD15" s="311" t="str">
        <f t="shared" si="2"/>
        <v/>
      </c>
    </row>
    <row r="16" spans="2:30" ht="20.100000000000001" customHeight="1" outlineLevel="1" x14ac:dyDescent="0.4">
      <c r="B16" s="332"/>
      <c r="C16" s="334"/>
      <c r="D16" s="335" t="s">
        <v>403</v>
      </c>
      <c r="E16" s="424"/>
      <c r="F16" s="424"/>
      <c r="G16" s="424"/>
      <c r="H16" s="424"/>
      <c r="I16" s="424"/>
      <c r="J16" s="424"/>
      <c r="K16" s="424"/>
      <c r="L16" s="424"/>
      <c r="M16" s="424"/>
      <c r="N16" s="424"/>
      <c r="O16" s="424"/>
      <c r="P16" s="424"/>
      <c r="Q16" s="424"/>
      <c r="R16" s="326"/>
      <c r="S16" s="327"/>
    </row>
    <row r="17" spans="2:30" ht="20.100000000000001" customHeight="1" outlineLevel="1" x14ac:dyDescent="0.4">
      <c r="B17" s="332"/>
      <c r="C17" s="334"/>
      <c r="D17" s="785"/>
      <c r="E17" s="786"/>
      <c r="F17" s="786"/>
      <c r="G17" s="786"/>
      <c r="H17" s="786"/>
      <c r="I17" s="786"/>
      <c r="J17" s="786"/>
      <c r="K17" s="786"/>
      <c r="L17" s="786"/>
      <c r="M17" s="786"/>
      <c r="N17" s="786"/>
      <c r="O17" s="786"/>
      <c r="P17" s="786"/>
      <c r="Q17" s="787"/>
      <c r="R17" s="326"/>
      <c r="S17" s="327"/>
    </row>
    <row r="18" spans="2:30" ht="20.100000000000001" customHeight="1" outlineLevel="1" x14ac:dyDescent="0.4">
      <c r="B18" s="332"/>
      <c r="C18" s="334"/>
      <c r="D18" s="788"/>
      <c r="E18" s="789"/>
      <c r="F18" s="789"/>
      <c r="G18" s="789"/>
      <c r="H18" s="789"/>
      <c r="I18" s="789"/>
      <c r="J18" s="789"/>
      <c r="K18" s="789"/>
      <c r="L18" s="789"/>
      <c r="M18" s="789"/>
      <c r="N18" s="789"/>
      <c r="O18" s="789"/>
      <c r="P18" s="789"/>
      <c r="Q18" s="790"/>
      <c r="R18" s="326"/>
      <c r="S18" s="327"/>
    </row>
    <row r="19" spans="2:30" ht="20.100000000000001" customHeight="1" outlineLevel="1" thickBot="1" x14ac:dyDescent="0.45">
      <c r="B19" s="332"/>
      <c r="C19" s="336"/>
      <c r="D19" s="337"/>
      <c r="E19" s="337"/>
      <c r="F19" s="337"/>
      <c r="G19" s="337"/>
      <c r="H19" s="337"/>
      <c r="I19" s="337"/>
      <c r="J19" s="337"/>
      <c r="K19" s="337"/>
      <c r="L19" s="337"/>
      <c r="M19" s="337"/>
      <c r="N19" s="337"/>
      <c r="O19" s="337"/>
      <c r="P19" s="337"/>
      <c r="Q19" s="337"/>
      <c r="R19" s="328"/>
      <c r="S19" s="327"/>
      <c r="X19" s="311" t="str" cm="1">
        <f t="array" ref="X19">IFERROR(INDEX($T$37:$T$1003,SMALL(IF($T$37:$T$1003&lt;&gt;"",ROW($T$37:$T$1003)-ROW($T$37)+1),ROW(14:14))),"")</f>
        <v/>
      </c>
      <c r="Y19" s="311" t="str" cm="1">
        <f t="array" ref="Y19">IFERROR(INDEX($U$37:$U$1003,SMALL(IF($T$37:$T$1003&lt;&gt;"",ROW($T$37:$T$1003)-ROW($T$37)+1),ROW(14:14))),"")</f>
        <v/>
      </c>
      <c r="Z19" s="311" t="str" cm="1">
        <f t="array" ref="Z19">IFERROR(INDEX($V$37:$V$1003,SMALL(IF($T$37:$T$1003&lt;&gt;"",ROW($T$37:$T$1003)-ROW($T$37)+1),ROW(14:14))),"")</f>
        <v/>
      </c>
      <c r="AA19" s="311" t="str" cm="1">
        <f t="array" ref="AA19">IFERROR(INDEX($W$37:$W$1003,SMALL(IF($T$37:$T$1003&lt;&gt;"",ROW($T$37:$T$1003)-ROW($T$37)+1),ROW(14:14))),"")</f>
        <v/>
      </c>
      <c r="AB19" s="311" t="str">
        <f t="shared" si="1"/>
        <v/>
      </c>
      <c r="AC19" s="311" t="str">
        <f t="shared" ref="AC19:AC35" si="3">IF(X19&lt;&gt;"",(AB19/100  * (1-$P$15)*100),"")</f>
        <v/>
      </c>
      <c r="AD19" s="311" t="str">
        <f t="shared" si="2"/>
        <v/>
      </c>
    </row>
    <row r="20" spans="2:30" ht="20.100000000000001" customHeight="1" thickTop="1" thickBot="1" x14ac:dyDescent="0.45">
      <c r="B20" s="332"/>
      <c r="C20" s="333"/>
      <c r="D20" s="333"/>
      <c r="E20" s="333"/>
      <c r="F20" s="333"/>
      <c r="G20" s="333"/>
      <c r="H20" s="333"/>
      <c r="I20" s="333"/>
      <c r="J20" s="333"/>
      <c r="K20" s="333"/>
      <c r="L20" s="333"/>
      <c r="M20" s="333"/>
      <c r="N20" s="333"/>
      <c r="O20" s="333"/>
      <c r="P20" s="333"/>
      <c r="Q20" s="333"/>
      <c r="R20" s="333"/>
      <c r="S20" s="327"/>
      <c r="X20" s="311" t="str" cm="1">
        <f t="array" ref="X20">IFERROR(INDEX($T$37:$T$1003,SMALL(IF($T$37:$T$1003&lt;&gt;"",ROW($T$37:$T$1003)-ROW($T$37)+1),ROW(15:15))),"")</f>
        <v/>
      </c>
      <c r="Y20" s="311" t="str" cm="1">
        <f t="array" ref="Y20">IFERROR(INDEX($U$37:$U$1003,SMALL(IF($T$37:$T$1003&lt;&gt;"",ROW($T$37:$T$1003)-ROW($T$37)+1),ROW(15:15))),"")</f>
        <v/>
      </c>
      <c r="Z20" s="311" t="str" cm="1">
        <f t="array" ref="Z20">IFERROR(INDEX($V$37:$V$1003,SMALL(IF($T$37:$T$1003&lt;&gt;"",ROW($T$37:$T$1003)-ROW($T$37)+1),ROW(15:15))),"")</f>
        <v/>
      </c>
      <c r="AA20" s="311" t="str" cm="1">
        <f t="array" ref="AA20">IFERROR(INDEX($W$37:$W$1003,SMALL(IF($T$37:$T$1003&lt;&gt;"",ROW($T$37:$T$1003)-ROW($T$37)+1),ROW(15:15))),"")</f>
        <v/>
      </c>
      <c r="AB20" s="311" t="str">
        <f t="shared" si="1"/>
        <v/>
      </c>
      <c r="AC20" s="311" t="str">
        <f t="shared" si="3"/>
        <v/>
      </c>
      <c r="AD20" s="311" t="str">
        <f t="shared" si="2"/>
        <v/>
      </c>
    </row>
    <row r="21" spans="2:30" ht="20.100000000000001" customHeight="1" thickTop="1" thickBot="1" x14ac:dyDescent="0.45">
      <c r="B21" s="332"/>
      <c r="C21" s="728" t="s">
        <v>456</v>
      </c>
      <c r="D21" s="729"/>
      <c r="E21" s="729"/>
      <c r="F21" s="729"/>
      <c r="G21" s="729"/>
      <c r="H21" s="729"/>
      <c r="I21" s="729"/>
      <c r="J21" s="729"/>
      <c r="K21" s="729"/>
      <c r="L21" s="729"/>
      <c r="M21" s="729"/>
      <c r="N21" s="729"/>
      <c r="O21" s="729"/>
      <c r="P21" s="729"/>
      <c r="Q21" s="729"/>
      <c r="R21" s="730"/>
      <c r="S21" s="327"/>
      <c r="X21" s="311" t="str" cm="1">
        <f t="array" ref="X21">IFERROR(INDEX($T$37:$T$1003,SMALL(IF($T$37:$T$1003&lt;&gt;"",ROW($T$37:$T$1003)-ROW($T$37)+1),ROW(19:19))),"")</f>
        <v/>
      </c>
      <c r="Y21" s="311" t="str" cm="1">
        <f t="array" ref="Y21">IFERROR(INDEX($U$37:$U$1003,SMALL(IF($T$37:$T$1003&lt;&gt;"",ROW($T$37:$T$1003)-ROW($T$37)+1),ROW(19:19))),"")</f>
        <v/>
      </c>
      <c r="Z21" s="311" t="str" cm="1">
        <f t="array" ref="Z21">IFERROR(INDEX($V$37:$V$1003,SMALL(IF($T$37:$T$1003&lt;&gt;"",ROW($T$37:$T$1003)-ROW($T$37)+1),ROW(19:19))),"")</f>
        <v/>
      </c>
      <c r="AA21" s="311" t="str" cm="1">
        <f t="array" ref="AA21">IFERROR(INDEX($W$37:$W$1003,SMALL(IF($T$37:$T$1003&lt;&gt;"",ROW($T$37:$T$1003)-ROW($T$37)+1),ROW(19:19))),"")</f>
        <v/>
      </c>
      <c r="AB21" s="311" t="str">
        <f t="shared" si="1"/>
        <v/>
      </c>
      <c r="AC21" s="311" t="str">
        <f t="shared" si="3"/>
        <v/>
      </c>
      <c r="AD21" s="311" t="str">
        <f t="shared" si="2"/>
        <v/>
      </c>
    </row>
    <row r="22" spans="2:30" ht="20.100000000000001" customHeight="1" outlineLevel="1" thickTop="1" x14ac:dyDescent="0.4">
      <c r="B22" s="332"/>
      <c r="C22" s="334"/>
      <c r="D22" s="333"/>
      <c r="E22" s="333"/>
      <c r="F22" s="333"/>
      <c r="G22" s="333"/>
      <c r="H22" s="333"/>
      <c r="I22" s="333"/>
      <c r="J22" s="333"/>
      <c r="K22" s="333"/>
      <c r="L22" s="333"/>
      <c r="M22" s="333"/>
      <c r="N22" s="333"/>
      <c r="O22" s="333"/>
      <c r="P22" s="333"/>
      <c r="Q22" s="333"/>
      <c r="R22" s="326"/>
      <c r="S22" s="327"/>
      <c r="X22" s="311" t="str" cm="1">
        <f t="array" ref="X22">IFERROR(INDEX($T$37:$T$1003,SMALL(IF($T$37:$T$1003&lt;&gt;"",ROW($T$37:$T$1003)-ROW($T$37)+1),ROW(20:20))),"")</f>
        <v/>
      </c>
      <c r="Y22" s="311" t="str" cm="1">
        <f t="array" ref="Y22">IFERROR(INDEX($U$37:$U$1003,SMALL(IF($T$37:$T$1003&lt;&gt;"",ROW($T$37:$T$1003)-ROW($T$37)+1),ROW(20:20))),"")</f>
        <v/>
      </c>
      <c r="Z22" s="311" t="str" cm="1">
        <f t="array" ref="Z22">IFERROR(INDEX($V$37:$V$1003,SMALL(IF($T$37:$T$1003&lt;&gt;"",ROW($T$37:$T$1003)-ROW($T$37)+1),ROW(20:20))),"")</f>
        <v/>
      </c>
      <c r="AA22" s="311" t="str" cm="1">
        <f t="array" ref="AA22">IFERROR(INDEX($W$37:$W$1003,SMALL(IF($T$37:$T$1003&lt;&gt;"",ROW($T$37:$T$1003)-ROW($T$37)+1),ROW(20:20))),"")</f>
        <v/>
      </c>
      <c r="AB22" s="311" t="str">
        <f t="shared" si="1"/>
        <v/>
      </c>
      <c r="AC22" s="311" t="str">
        <f t="shared" si="3"/>
        <v/>
      </c>
      <c r="AD22" s="311" t="str">
        <f t="shared" si="2"/>
        <v/>
      </c>
    </row>
    <row r="23" spans="2:30" ht="20.100000000000001" customHeight="1" outlineLevel="1" x14ac:dyDescent="0.4">
      <c r="B23" s="332"/>
      <c r="C23" s="334"/>
      <c r="D23" s="807" t="s">
        <v>300</v>
      </c>
      <c r="E23" s="807"/>
      <c r="F23" s="807"/>
      <c r="G23" s="807"/>
      <c r="H23" s="807"/>
      <c r="I23" s="807"/>
      <c r="J23" s="807"/>
      <c r="K23" s="807"/>
      <c r="L23" s="807"/>
      <c r="M23" s="807"/>
      <c r="N23" s="807"/>
      <c r="O23" s="807"/>
      <c r="P23" s="807"/>
      <c r="Q23" s="807"/>
      <c r="R23" s="346"/>
      <c r="S23" s="327"/>
      <c r="X23" s="311" t="str" cm="1">
        <f t="array" ref="X23">IFERROR(INDEX($T$37:$T$1003,SMALL(IF($T$37:$T$1003&lt;&gt;"",ROW($T$37:$T$1003)-ROW($T$37)+1),ROW(21:21))),"")</f>
        <v/>
      </c>
      <c r="Y23" s="311" t="str" cm="1">
        <f t="array" ref="Y23">IFERROR(INDEX($U$37:$U$1003,SMALL(IF($T$37:$T$1003&lt;&gt;"",ROW($T$37:$T$1003)-ROW($T$37)+1),ROW(21:21))),"")</f>
        <v/>
      </c>
      <c r="Z23" s="311" t="str" cm="1">
        <f t="array" ref="Z23">IFERROR(INDEX($V$37:$V$1003,SMALL(IF($T$37:$T$1003&lt;&gt;"",ROW($T$37:$T$1003)-ROW($T$37)+1),ROW(21:21))),"")</f>
        <v/>
      </c>
      <c r="AA23" s="311" t="str" cm="1">
        <f t="array" ref="AA23">IFERROR(INDEX($W$37:$W$1003,SMALL(IF($T$37:$T$1003&lt;&gt;"",ROW($T$37:$T$1003)-ROW($T$37)+1),ROW(21:21))),"")</f>
        <v/>
      </c>
      <c r="AB23" s="311" t="str">
        <f t="shared" si="1"/>
        <v/>
      </c>
      <c r="AC23" s="311" t="str">
        <f t="shared" si="3"/>
        <v/>
      </c>
      <c r="AD23" s="311" t="str">
        <f t="shared" si="2"/>
        <v/>
      </c>
    </row>
    <row r="24" spans="2:30" ht="25.35" customHeight="1" outlineLevel="1" x14ac:dyDescent="0.4">
      <c r="B24" s="332"/>
      <c r="C24" s="334"/>
      <c r="D24" s="808" t="s">
        <v>483</v>
      </c>
      <c r="E24" s="809"/>
      <c r="F24" s="809"/>
      <c r="G24" s="809"/>
      <c r="H24" s="809"/>
      <c r="I24" s="809"/>
      <c r="J24" s="810"/>
      <c r="K24" s="820"/>
      <c r="L24" s="821"/>
      <c r="M24" s="821"/>
      <c r="N24" s="821"/>
      <c r="O24" s="821"/>
      <c r="P24" s="821"/>
      <c r="Q24" s="822"/>
      <c r="R24" s="346"/>
      <c r="S24" s="327"/>
      <c r="X24" s="311" t="str" cm="1">
        <f t="array" ref="X24">IFERROR(INDEX($T$37:$T$1003,SMALL(IF($T$37:$T$1003&lt;&gt;"",ROW($T$37:$T$1003)-ROW($T$37)+1),ROW(22:22))),"")</f>
        <v/>
      </c>
      <c r="Y24" s="311" t="str" cm="1">
        <f t="array" ref="Y24">IFERROR(INDEX($U$37:$U$1003,SMALL(IF($T$37:$T$1003&lt;&gt;"",ROW($T$37:$T$1003)-ROW($T$37)+1),ROW(22:22))),"")</f>
        <v/>
      </c>
      <c r="Z24" s="311" t="str" cm="1">
        <f t="array" ref="Z24">IFERROR(INDEX($V$37:$V$1003,SMALL(IF($T$37:$T$1003&lt;&gt;"",ROW($T$37:$T$1003)-ROW($T$37)+1),ROW(22:22))),"")</f>
        <v/>
      </c>
      <c r="AA24" s="311" t="str" cm="1">
        <f t="array" ref="AA24">IFERROR(INDEX($W$37:$W$1003,SMALL(IF($T$37:$T$1003&lt;&gt;"",ROW($T$37:$T$1003)-ROW($T$37)+1),ROW(22:22))),"")</f>
        <v/>
      </c>
      <c r="AB24" s="311" t="str">
        <f t="shared" si="1"/>
        <v/>
      </c>
      <c r="AC24" s="311" t="str">
        <f t="shared" si="3"/>
        <v/>
      </c>
      <c r="AD24" s="311" t="str">
        <f t="shared" si="2"/>
        <v/>
      </c>
    </row>
    <row r="25" spans="2:30" ht="25.35" customHeight="1" outlineLevel="1" x14ac:dyDescent="0.4">
      <c r="B25" s="332"/>
      <c r="C25" s="334"/>
      <c r="D25" s="808" t="s">
        <v>484</v>
      </c>
      <c r="E25" s="809"/>
      <c r="F25" s="809"/>
      <c r="G25" s="809"/>
      <c r="H25" s="809"/>
      <c r="I25" s="809"/>
      <c r="J25" s="811"/>
      <c r="K25" s="820"/>
      <c r="L25" s="821"/>
      <c r="M25" s="821"/>
      <c r="N25" s="821"/>
      <c r="O25" s="821"/>
      <c r="P25" s="821"/>
      <c r="Q25" s="822"/>
      <c r="R25" s="346"/>
      <c r="S25" s="327"/>
      <c r="X25" s="311" t="str" cm="1">
        <f t="array" ref="X25">IFERROR(INDEX($T$37:$T$1003,SMALL(IF($T$37:$T$1003&lt;&gt;"",ROW($T$37:$T$1003)-ROW($T$37)+1),ROW(23:23))),"")</f>
        <v/>
      </c>
      <c r="Y25" s="311" t="str" cm="1">
        <f t="array" ref="Y25">IFERROR(INDEX($U$37:$U$1003,SMALL(IF($T$37:$T$1003&lt;&gt;"",ROW($T$37:$T$1003)-ROW($T$37)+1),ROW(23:23))),"")</f>
        <v/>
      </c>
      <c r="Z25" s="311" t="str" cm="1">
        <f t="array" ref="Z25">IFERROR(INDEX($V$37:$V$1003,SMALL(IF($T$37:$T$1003&lt;&gt;"",ROW($T$37:$T$1003)-ROW($T$37)+1),ROW(23:23))),"")</f>
        <v/>
      </c>
      <c r="AA25" s="311" t="str" cm="1">
        <f t="array" ref="AA25">IFERROR(INDEX($W$37:$W$1003,SMALL(IF($T$37:$T$1003&lt;&gt;"",ROW($T$37:$T$1003)-ROW($T$37)+1),ROW(23:23))),"")</f>
        <v/>
      </c>
      <c r="AB25" s="311" t="str">
        <f t="shared" si="1"/>
        <v/>
      </c>
      <c r="AC25" s="311" t="str">
        <f t="shared" si="3"/>
        <v/>
      </c>
      <c r="AD25" s="311" t="str">
        <f t="shared" si="2"/>
        <v/>
      </c>
    </row>
    <row r="26" spans="2:30" ht="32.700000000000003" customHeight="1" outlineLevel="1" x14ac:dyDescent="0.4">
      <c r="B26" s="332"/>
      <c r="C26" s="334"/>
      <c r="D26" s="823" t="s">
        <v>567</v>
      </c>
      <c r="E26" s="824"/>
      <c r="F26" s="824"/>
      <c r="G26" s="824"/>
      <c r="H26" s="824"/>
      <c r="I26" s="824"/>
      <c r="J26" s="426" t="s">
        <v>111</v>
      </c>
      <c r="K26" s="821"/>
      <c r="L26" s="821"/>
      <c r="M26" s="821"/>
      <c r="N26" s="821"/>
      <c r="O26" s="821"/>
      <c r="P26" s="821"/>
      <c r="Q26" s="822"/>
      <c r="R26" s="346"/>
      <c r="S26" s="327"/>
      <c r="X26" s="311" t="str" cm="1">
        <f t="array" ref="X26">IFERROR(INDEX($T$37:$T$1003,SMALL(IF($T$37:$T$1003&lt;&gt;"",ROW($T$37:$T$1003)-ROW($T$37)+1),ROW(24:24))),"")</f>
        <v/>
      </c>
      <c r="Y26" s="311" t="str" cm="1">
        <f t="array" ref="Y26">IFERROR(INDEX($U$37:$U$1003,SMALL(IF($T$37:$T$1003&lt;&gt;"",ROW($T$37:$T$1003)-ROW($T$37)+1),ROW(24:24))),"")</f>
        <v/>
      </c>
      <c r="Z26" s="311" t="str" cm="1">
        <f t="array" ref="Z26">IFERROR(INDEX($V$37:$V$1003,SMALL(IF($T$37:$T$1003&lt;&gt;"",ROW($T$37:$T$1003)-ROW($T$37)+1),ROW(24:24))),"")</f>
        <v/>
      </c>
      <c r="AA26" s="311" t="str" cm="1">
        <f t="array" ref="AA26">IFERROR(INDEX($W$37:$W$1003,SMALL(IF($T$37:$T$1003&lt;&gt;"",ROW($T$37:$T$1003)-ROW($T$37)+1),ROW(24:24))),"")</f>
        <v/>
      </c>
      <c r="AB26" s="311" t="str">
        <f t="shared" si="1"/>
        <v/>
      </c>
      <c r="AC26" s="311" t="str">
        <f t="shared" si="3"/>
        <v/>
      </c>
      <c r="AD26" s="311" t="str">
        <f t="shared" si="2"/>
        <v/>
      </c>
    </row>
    <row r="27" spans="2:30" ht="32.700000000000003" customHeight="1" outlineLevel="1" x14ac:dyDescent="0.4">
      <c r="B27" s="332"/>
      <c r="C27" s="334"/>
      <c r="D27" s="825" t="s">
        <v>485</v>
      </c>
      <c r="E27" s="799"/>
      <c r="F27" s="799"/>
      <c r="G27" s="799"/>
      <c r="H27" s="799"/>
      <c r="I27" s="799"/>
      <c r="J27" s="438" t="s">
        <v>111</v>
      </c>
      <c r="K27" s="826"/>
      <c r="L27" s="826"/>
      <c r="M27" s="826"/>
      <c r="N27" s="826"/>
      <c r="O27" s="826"/>
      <c r="P27" s="826"/>
      <c r="Q27" s="827"/>
      <c r="R27" s="346"/>
      <c r="S27" s="327"/>
      <c r="X27" s="311" t="str" cm="1">
        <f t="array" ref="X27">IFERROR(INDEX($T$37:$T$1003,SMALL(IF($T$37:$T$1003&lt;&gt;"",ROW($T$37:$T$1003)-ROW($T$37)+1),ROW(25:25))),"")</f>
        <v/>
      </c>
      <c r="Y27" s="311" t="str" cm="1">
        <f t="array" ref="Y27">IFERROR(INDEX($U$37:$U$1003,SMALL(IF($T$37:$T$1003&lt;&gt;"",ROW($T$37:$T$1003)-ROW($T$37)+1),ROW(25:25))),"")</f>
        <v/>
      </c>
      <c r="Z27" s="311" t="str" cm="1">
        <f t="array" ref="Z27">IFERROR(INDEX($V$37:$V$1003,SMALL(IF($T$37:$T$1003&lt;&gt;"",ROW($T$37:$T$1003)-ROW($T$37)+1),ROW(25:25))),"")</f>
        <v/>
      </c>
      <c r="AA27" s="311" t="str" cm="1">
        <f t="array" ref="AA27">IFERROR(INDEX($W$37:$W$1003,SMALL(IF($T$37:$T$1003&lt;&gt;"",ROW($T$37:$T$1003)-ROW($T$37)+1),ROW(25:25))),"")</f>
        <v/>
      </c>
      <c r="AB27" s="311" t="str">
        <f t="shared" si="1"/>
        <v/>
      </c>
      <c r="AC27" s="311" t="str">
        <f t="shared" si="3"/>
        <v/>
      </c>
      <c r="AD27" s="311" t="str">
        <f t="shared" si="2"/>
        <v/>
      </c>
    </row>
    <row r="28" spans="2:30" s="338" customFormat="1" ht="29" customHeight="1" outlineLevel="1" x14ac:dyDescent="0.4">
      <c r="B28" s="345"/>
      <c r="C28" s="347"/>
      <c r="D28" s="795" t="s">
        <v>568</v>
      </c>
      <c r="E28" s="796"/>
      <c r="F28" s="796"/>
      <c r="G28" s="796"/>
      <c r="H28" s="796"/>
      <c r="I28" s="797"/>
      <c r="J28" s="739" t="s">
        <v>111</v>
      </c>
      <c r="K28" s="799" t="s">
        <v>552</v>
      </c>
      <c r="L28" s="799"/>
      <c r="M28" s="799"/>
      <c r="N28" s="800"/>
      <c r="O28" s="439">
        <f>SUM(U:U)</f>
        <v>0</v>
      </c>
      <c r="P28" s="801" t="s">
        <v>551</v>
      </c>
      <c r="Q28" s="802">
        <f xml:space="preserve"> IF(J28="Oui",100,IF(O28&gt;0, (O29 / O28)*100,0))</f>
        <v>0</v>
      </c>
      <c r="R28" s="346"/>
      <c r="S28" s="343"/>
      <c r="T28" s="415"/>
      <c r="U28" s="415"/>
      <c r="V28" s="415"/>
      <c r="W28" s="415"/>
      <c r="X28" s="311" t="str" cm="1">
        <f t="array" ref="X28">IFERROR(INDEX($T$37:$T$1003,SMALL(IF($T$37:$T$1003&lt;&gt;"",ROW($T$37:$T$1003)-ROW($T$37)+1),ROW(26:26))),"")</f>
        <v/>
      </c>
      <c r="Y28" s="311" t="str" cm="1">
        <f t="array" ref="Y28">IFERROR(INDEX($U$37:$U$1003,SMALL(IF($T$37:$T$1003&lt;&gt;"",ROW($T$37:$T$1003)-ROW($T$37)+1),ROW(26:26))),"")</f>
        <v/>
      </c>
      <c r="Z28" s="311" t="str" cm="1">
        <f t="array" ref="Z28">IFERROR(INDEX($V$37:$V$1003,SMALL(IF($T$37:$T$1003&lt;&gt;"",ROW($T$37:$T$1003)-ROW($T$37)+1),ROW(26:26))),"")</f>
        <v/>
      </c>
      <c r="AA28" s="311" t="str" cm="1">
        <f t="array" ref="AA28">IFERROR(INDEX($W$37:$W$1003,SMALL(IF($T$37:$T$1003&lt;&gt;"",ROW($T$37:$T$1003)-ROW($T$37)+1),ROW(26:26))),"")</f>
        <v/>
      </c>
      <c r="AB28" s="311" t="str">
        <f t="shared" si="1"/>
        <v/>
      </c>
      <c r="AC28" s="311" t="str">
        <f t="shared" si="3"/>
        <v/>
      </c>
      <c r="AD28" s="311" t="str">
        <f t="shared" si="2"/>
        <v/>
      </c>
    </row>
    <row r="29" spans="2:30" ht="24.7" customHeight="1" outlineLevel="1" x14ac:dyDescent="0.4">
      <c r="B29" s="332"/>
      <c r="C29" s="334"/>
      <c r="D29" s="798"/>
      <c r="E29" s="796"/>
      <c r="F29" s="796"/>
      <c r="G29" s="796"/>
      <c r="H29" s="796"/>
      <c r="I29" s="797"/>
      <c r="J29" s="739"/>
      <c r="K29" s="803" t="s">
        <v>301</v>
      </c>
      <c r="L29" s="804"/>
      <c r="M29" s="804"/>
      <c r="N29" s="804"/>
      <c r="O29" s="439">
        <f>SUM(V:V)</f>
        <v>0</v>
      </c>
      <c r="P29" s="801"/>
      <c r="Q29" s="802"/>
      <c r="R29" s="326"/>
      <c r="S29" s="327"/>
      <c r="X29" s="311" t="str" cm="1">
        <f t="array" ref="X29">IFERROR(INDEX($T$37:$T$1003,SMALL(IF($T$37:$T$1003&lt;&gt;"",ROW($T$37:$T$1003)-ROW($T$37)+1),ROW(27:27))),"")</f>
        <v/>
      </c>
      <c r="Y29" s="311" t="str" cm="1">
        <f t="array" ref="Y29">IFERROR(INDEX($U$37:$U$1003,SMALL(IF($T$37:$T$1003&lt;&gt;"",ROW($T$37:$T$1003)-ROW($T$37)+1),ROW(27:27))),"")</f>
        <v/>
      </c>
      <c r="Z29" s="311" t="str" cm="1">
        <f t="array" ref="Z29">IFERROR(INDEX($V$37:$V$1003,SMALL(IF($T$37:$T$1003&lt;&gt;"",ROW($T$37:$T$1003)-ROW($T$37)+1),ROW(27:27))),"")</f>
        <v/>
      </c>
      <c r="AA29" s="311" t="str" cm="1">
        <f t="array" ref="AA29">IFERROR(INDEX($W$37:$W$1003,SMALL(IF($T$37:$T$1003&lt;&gt;"",ROW($T$37:$T$1003)-ROW($T$37)+1),ROW(27:27))),"")</f>
        <v/>
      </c>
      <c r="AB29" s="311" t="str">
        <f t="shared" si="1"/>
        <v/>
      </c>
      <c r="AC29" s="311" t="str">
        <f t="shared" si="3"/>
        <v/>
      </c>
      <c r="AD29" s="311" t="str">
        <f t="shared" si="2"/>
        <v/>
      </c>
    </row>
    <row r="30" spans="2:30" ht="20.100000000000001" customHeight="1" outlineLevel="1" x14ac:dyDescent="0.4">
      <c r="B30" s="332"/>
      <c r="C30" s="334"/>
      <c r="D30" s="333"/>
      <c r="E30" s="333"/>
      <c r="F30" s="333"/>
      <c r="G30" s="333"/>
      <c r="H30" s="333"/>
      <c r="I30" s="333"/>
      <c r="J30" s="333"/>
      <c r="K30" s="333"/>
      <c r="L30" s="333"/>
      <c r="M30" s="333"/>
      <c r="N30" s="333"/>
      <c r="O30" s="333"/>
      <c r="P30" s="333"/>
      <c r="Q30" s="333"/>
      <c r="R30" s="326"/>
      <c r="S30" s="327"/>
      <c r="X30" s="311" t="str" cm="1">
        <f t="array" ref="X30">IFERROR(INDEX($T$37:$T$1003,SMALL(IF($T$37:$T$1003&lt;&gt;"",ROW($T$37:$T$1003)-ROW($T$37)+1),ROW(28:28))),"")</f>
        <v/>
      </c>
      <c r="Y30" s="311" t="str" cm="1">
        <f t="array" ref="Y30">IFERROR(INDEX($U$37:$U$1003,SMALL(IF($T$37:$T$1003&lt;&gt;"",ROW($T$37:$T$1003)-ROW($T$37)+1),ROW(28:28))),"")</f>
        <v/>
      </c>
      <c r="Z30" s="311" t="str" cm="1">
        <f t="array" ref="Z30">IFERROR(INDEX($V$37:$V$1003,SMALL(IF($T$37:$T$1003&lt;&gt;"",ROW($T$37:$T$1003)-ROW($T$37)+1),ROW(28:28))),"")</f>
        <v/>
      </c>
      <c r="AA30" s="311" t="str" cm="1">
        <f t="array" ref="AA30">IFERROR(INDEX($W$37:$W$1003,SMALL(IF($T$37:$T$1003&lt;&gt;"",ROW($T$37:$T$1003)-ROW($T$37)+1),ROW(28:28))),"")</f>
        <v/>
      </c>
      <c r="AB30" s="311" t="str">
        <f t="shared" si="1"/>
        <v/>
      </c>
      <c r="AC30" s="311" t="str">
        <f t="shared" si="3"/>
        <v/>
      </c>
      <c r="AD30" s="311" t="str">
        <f t="shared" si="2"/>
        <v/>
      </c>
    </row>
    <row r="31" spans="2:30" ht="20.100000000000001" customHeight="1" outlineLevel="1" x14ac:dyDescent="0.4">
      <c r="B31" s="332"/>
      <c r="C31" s="313"/>
      <c r="D31" s="828" t="s">
        <v>457</v>
      </c>
      <c r="E31" s="829"/>
      <c r="F31" s="829"/>
      <c r="G31" s="829"/>
      <c r="H31" s="829"/>
      <c r="I31" s="829"/>
      <c r="J31" s="836">
        <f>(Q28/100  * (1-P15)*100)</f>
        <v>0</v>
      </c>
      <c r="K31" s="837"/>
      <c r="L31" s="333"/>
      <c r="M31" s="333"/>
      <c r="N31" s="333"/>
      <c r="O31" s="333"/>
      <c r="P31" s="333"/>
      <c r="Q31" s="333"/>
      <c r="R31" s="326"/>
      <c r="S31" s="327"/>
      <c r="X31" s="311" t="str" cm="1">
        <f t="array" ref="X31">IFERROR(INDEX($T$37:$T$1003,SMALL(IF($T$37:$T$1003&lt;&gt;"",ROW($T$37:$T$1003)-ROW($T$37)+1),ROW(29:29))),"")</f>
        <v/>
      </c>
      <c r="Y31" s="311" t="str" cm="1">
        <f t="array" ref="Y31">IFERROR(INDEX($U$37:$U$1003,SMALL(IF($T$37:$T$1003&lt;&gt;"",ROW($T$37:$T$1003)-ROW($T$37)+1),ROW(29:29))),"")</f>
        <v/>
      </c>
      <c r="Z31" s="311" t="str" cm="1">
        <f t="array" ref="Z31">IFERROR(INDEX($V$37:$V$1003,SMALL(IF($T$37:$T$1003&lt;&gt;"",ROW($T$37:$T$1003)-ROW($T$37)+1),ROW(29:29))),"")</f>
        <v/>
      </c>
      <c r="AA31" s="311" t="str" cm="1">
        <f t="array" ref="AA31">IFERROR(INDEX($W$37:$W$1003,SMALL(IF($T$37:$T$1003&lt;&gt;"",ROW($T$37:$T$1003)-ROW($T$37)+1),ROW(29:29))),"")</f>
        <v/>
      </c>
      <c r="AB31" s="311" t="str">
        <f t="shared" si="1"/>
        <v/>
      </c>
      <c r="AC31" s="311" t="str">
        <f t="shared" si="3"/>
        <v/>
      </c>
      <c r="AD31" s="311" t="str">
        <f t="shared" si="2"/>
        <v/>
      </c>
    </row>
    <row r="32" spans="2:30" ht="20.100000000000001" customHeight="1" outlineLevel="1" x14ac:dyDescent="0.4">
      <c r="B32" s="332"/>
      <c r="C32" s="334"/>
      <c r="D32" s="835"/>
      <c r="E32" s="835"/>
      <c r="F32" s="835"/>
      <c r="G32" s="835"/>
      <c r="H32" s="835"/>
      <c r="I32" s="835"/>
      <c r="J32" s="838"/>
      <c r="K32" s="838"/>
      <c r="L32" s="333"/>
      <c r="M32" s="333"/>
      <c r="N32" s="333"/>
      <c r="O32" s="333"/>
      <c r="P32" s="333"/>
      <c r="Q32" s="333"/>
      <c r="R32" s="326"/>
      <c r="S32" s="327"/>
      <c r="X32" s="311" t="str" cm="1">
        <f t="array" ref="X32">IFERROR(INDEX($T$37:$T$1003,SMALL(IF($T$37:$T$1003&lt;&gt;"",ROW($T$37:$T$1003)-ROW($T$37)+1),ROW(30:30))),"")</f>
        <v/>
      </c>
      <c r="Y32" s="311" t="str" cm="1">
        <f t="array" ref="Y32">IFERROR(INDEX($U$37:$U$1003,SMALL(IF($T$37:$T$1003&lt;&gt;"",ROW($T$37:$T$1003)-ROW($T$37)+1),ROW(30:30))),"")</f>
        <v/>
      </c>
      <c r="Z32" s="311" t="str" cm="1">
        <f t="array" ref="Z32">IFERROR(INDEX($V$37:$V$1003,SMALL(IF($T$37:$T$1003&lt;&gt;"",ROW($T$37:$T$1003)-ROW($T$37)+1),ROW(30:30))),"")</f>
        <v/>
      </c>
      <c r="AA32" s="311" t="str" cm="1">
        <f t="array" ref="AA32">IFERROR(INDEX($W$37:$W$1003,SMALL(IF($T$37:$T$1003&lt;&gt;"",ROW($T$37:$T$1003)-ROW($T$37)+1),ROW(30:30))),"")</f>
        <v/>
      </c>
      <c r="AB32" s="311" t="str">
        <f t="shared" si="1"/>
        <v/>
      </c>
      <c r="AC32" s="311" t="str">
        <f t="shared" si="3"/>
        <v/>
      </c>
      <c r="AD32" s="311" t="str">
        <f t="shared" si="2"/>
        <v/>
      </c>
    </row>
    <row r="33" spans="2:30" ht="20.100000000000001" customHeight="1" outlineLevel="1" x14ac:dyDescent="0.4">
      <c r="B33" s="332"/>
      <c r="C33" s="334"/>
      <c r="D33" s="335" t="s">
        <v>403</v>
      </c>
      <c r="E33" s="333"/>
      <c r="F33" s="333"/>
      <c r="G33" s="333"/>
      <c r="H33" s="333"/>
      <c r="I33" s="333"/>
      <c r="J33" s="333"/>
      <c r="K33" s="333"/>
      <c r="L33" s="333"/>
      <c r="M33" s="333"/>
      <c r="N33" s="333"/>
      <c r="O33" s="333"/>
      <c r="P33" s="333"/>
      <c r="Q33" s="333"/>
      <c r="R33" s="326"/>
      <c r="S33" s="327"/>
      <c r="X33" s="311" t="str" cm="1">
        <f t="array" ref="X33">IFERROR(INDEX($T$37:$T$1003,SMALL(IF($T$37:$T$1003&lt;&gt;"",ROW($T$37:$T$1003)-ROW($T$37)+1),ROW(31:31))),"")</f>
        <v/>
      </c>
      <c r="Y33" s="311" t="str" cm="1">
        <f t="array" ref="Y33">IFERROR(INDEX($U$37:$U$1003,SMALL(IF($T$37:$T$1003&lt;&gt;"",ROW($T$37:$T$1003)-ROW($T$37)+1),ROW(31:31))),"")</f>
        <v/>
      </c>
      <c r="Z33" s="311" t="str" cm="1">
        <f t="array" ref="Z33">IFERROR(INDEX($V$37:$V$1003,SMALL(IF($T$37:$T$1003&lt;&gt;"",ROW($T$37:$T$1003)-ROW($T$37)+1),ROW(31:31))),"")</f>
        <v/>
      </c>
      <c r="AA33" s="311" t="str" cm="1">
        <f t="array" ref="AA33">IFERROR(INDEX($W$37:$W$1003,SMALL(IF($T$37:$T$1003&lt;&gt;"",ROW($T$37:$T$1003)-ROW($T$37)+1),ROW(31:31))),"")</f>
        <v/>
      </c>
      <c r="AB33" s="311" t="str">
        <f t="shared" si="1"/>
        <v/>
      </c>
      <c r="AC33" s="311" t="str">
        <f t="shared" si="3"/>
        <v/>
      </c>
      <c r="AD33" s="311" t="str">
        <f t="shared" si="2"/>
        <v/>
      </c>
    </row>
    <row r="34" spans="2:30" ht="39.950000000000003" customHeight="1" outlineLevel="1" x14ac:dyDescent="0.4">
      <c r="B34" s="332"/>
      <c r="C34" s="313"/>
      <c r="D34" s="830"/>
      <c r="E34" s="831"/>
      <c r="F34" s="831"/>
      <c r="G34" s="831"/>
      <c r="H34" s="831"/>
      <c r="I34" s="831"/>
      <c r="J34" s="831"/>
      <c r="K34" s="831"/>
      <c r="L34" s="831"/>
      <c r="M34" s="831"/>
      <c r="N34" s="831"/>
      <c r="O34" s="831"/>
      <c r="P34" s="831"/>
      <c r="Q34" s="832"/>
      <c r="R34" s="314"/>
      <c r="S34" s="327"/>
      <c r="X34" s="311" t="str" cm="1">
        <f t="array" ref="X34">IFERROR(INDEX($T$37:$T$1003,SMALL(IF($T$37:$T$1003&lt;&gt;"",ROW($T$37:$T$1003)-ROW($T$37)+1),ROW(32:32))),"")</f>
        <v/>
      </c>
      <c r="Y34" s="311" t="str" cm="1">
        <f t="array" ref="Y34">IFERROR(INDEX($U$37:$U$1003,SMALL(IF($T$37:$T$1003&lt;&gt;"",ROW($T$37:$T$1003)-ROW($T$37)+1),ROW(32:32))),"")</f>
        <v/>
      </c>
      <c r="Z34" s="311" t="str" cm="1">
        <f t="array" ref="Z34">IFERROR(INDEX($V$37:$V$1003,SMALL(IF($T$37:$T$1003&lt;&gt;"",ROW($T$37:$T$1003)-ROW($T$37)+1),ROW(32:32))),"")</f>
        <v/>
      </c>
      <c r="AA34" s="311" t="str" cm="1">
        <f t="array" ref="AA34">IFERROR(INDEX($W$37:$W$1003,SMALL(IF($T$37:$T$1003&lt;&gt;"",ROW($T$37:$T$1003)-ROW($T$37)+1),ROW(32:32))),"")</f>
        <v/>
      </c>
      <c r="AB34" s="311" t="str">
        <f t="shared" si="1"/>
        <v/>
      </c>
      <c r="AC34" s="311" t="str">
        <f t="shared" si="3"/>
        <v/>
      </c>
      <c r="AD34" s="311" t="str">
        <f t="shared" si="2"/>
        <v/>
      </c>
    </row>
    <row r="35" spans="2:30" ht="20.100000000000001" customHeight="1" outlineLevel="1" thickBot="1" x14ac:dyDescent="0.45">
      <c r="B35" s="332"/>
      <c r="C35" s="336"/>
      <c r="D35" s="337"/>
      <c r="E35" s="337"/>
      <c r="F35" s="337"/>
      <c r="G35" s="337"/>
      <c r="H35" s="337"/>
      <c r="I35" s="337"/>
      <c r="J35" s="337"/>
      <c r="K35" s="337"/>
      <c r="L35" s="337"/>
      <c r="M35" s="337"/>
      <c r="N35" s="337"/>
      <c r="O35" s="337"/>
      <c r="P35" s="337"/>
      <c r="Q35" s="337"/>
      <c r="R35" s="328"/>
      <c r="S35" s="327"/>
      <c r="X35" s="311" t="str" cm="1">
        <f t="array" ref="X35">IFERROR(INDEX($T$37:$T$1003,SMALL(IF($T$37:$T$1003&lt;&gt;"",ROW($T$37:$T$1003)-ROW($T$37)+1),ROW(33:33))),"")</f>
        <v/>
      </c>
      <c r="Y35" s="311" t="str" cm="1">
        <f t="array" ref="Y35">IFERROR(INDEX($U$37:$U$1003,SMALL(IF($T$37:$T$1003&lt;&gt;"",ROW($T$37:$T$1003)-ROW($T$37)+1),ROW(33:33))),"")</f>
        <v/>
      </c>
      <c r="Z35" s="311" t="str" cm="1">
        <f t="array" ref="Z35">IFERROR(INDEX($V$37:$V$1003,SMALL(IF($T$37:$T$1003&lt;&gt;"",ROW($T$37:$T$1003)-ROW($T$37)+1),ROW(33:33))),"")</f>
        <v/>
      </c>
      <c r="AA35" s="311" t="str" cm="1">
        <f t="array" ref="AA35">IFERROR(INDEX($W$37:$W$1003,SMALL(IF($T$37:$T$1003&lt;&gt;"",ROW($T$37:$T$1003)-ROW($T$37)+1),ROW(33:33))),"")</f>
        <v/>
      </c>
      <c r="AB35" s="311" t="str">
        <f t="shared" si="1"/>
        <v/>
      </c>
      <c r="AC35" s="311" t="str">
        <f t="shared" si="3"/>
        <v/>
      </c>
      <c r="AD35" s="311" t="str">
        <f t="shared" si="2"/>
        <v/>
      </c>
    </row>
    <row r="36" spans="2:30" ht="20.100000000000001" customHeight="1" thickTop="1" thickBot="1" x14ac:dyDescent="0.45">
      <c r="B36" s="332"/>
      <c r="C36" s="333"/>
      <c r="D36" s="333"/>
      <c r="E36" s="333"/>
      <c r="F36" s="333"/>
      <c r="G36" s="333"/>
      <c r="H36" s="333"/>
      <c r="I36" s="333"/>
      <c r="J36" s="333"/>
      <c r="K36" s="333"/>
      <c r="L36" s="333"/>
      <c r="M36" s="333"/>
      <c r="N36" s="333"/>
      <c r="O36" s="333"/>
      <c r="P36" s="333"/>
      <c r="Q36" s="333"/>
      <c r="R36" s="333"/>
      <c r="S36" s="327"/>
    </row>
    <row r="37" spans="2:30" ht="20.100000000000001" customHeight="1" thickTop="1" thickBot="1" x14ac:dyDescent="0.45">
      <c r="B37" s="332"/>
      <c r="C37" s="728" t="s">
        <v>36</v>
      </c>
      <c r="D37" s="729"/>
      <c r="E37" s="729"/>
      <c r="F37" s="729"/>
      <c r="G37" s="729"/>
      <c r="H37" s="729"/>
      <c r="I37" s="729"/>
      <c r="J37" s="729"/>
      <c r="K37" s="729"/>
      <c r="L37" s="729"/>
      <c r="M37" s="833" t="s">
        <v>326</v>
      </c>
      <c r="N37" s="833"/>
      <c r="O37" s="833"/>
      <c r="P37" s="833"/>
      <c r="Q37" s="833"/>
      <c r="R37" s="834"/>
      <c r="S37" s="327"/>
    </row>
    <row r="38" spans="2:30" ht="20.100000000000001" customHeight="1" outlineLevel="1" thickTop="1" x14ac:dyDescent="0.4">
      <c r="B38" s="332"/>
      <c r="C38" s="334"/>
      <c r="D38" s="467" t="s">
        <v>569</v>
      </c>
      <c r="E38" s="333"/>
      <c r="F38" s="333"/>
      <c r="G38" s="333"/>
      <c r="H38" s="333"/>
      <c r="I38" s="333"/>
      <c r="J38" s="333"/>
      <c r="K38" s="333"/>
      <c r="L38" s="333"/>
      <c r="M38" s="333"/>
      <c r="N38" s="333"/>
      <c r="O38" s="333"/>
      <c r="P38" s="333"/>
      <c r="Q38" s="312"/>
      <c r="R38" s="326"/>
      <c r="S38" s="327"/>
    </row>
    <row r="39" spans="2:30" ht="20.100000000000001" customHeight="1" outlineLevel="1" x14ac:dyDescent="0.4">
      <c r="B39" s="332"/>
      <c r="C39" s="334"/>
      <c r="D39" s="762" t="s">
        <v>439</v>
      </c>
      <c r="E39" s="763"/>
      <c r="F39" s="763"/>
      <c r="G39" s="763"/>
      <c r="H39" s="763"/>
      <c r="I39" s="763"/>
      <c r="J39" s="763"/>
      <c r="K39" s="763"/>
      <c r="L39" s="763"/>
      <c r="M39" s="763"/>
      <c r="N39" s="763"/>
      <c r="O39" s="763"/>
      <c r="P39" s="763"/>
      <c r="Q39" s="764"/>
      <c r="R39" s="326"/>
      <c r="S39" s="327"/>
    </row>
    <row r="40" spans="2:30" ht="20.100000000000001" customHeight="1" outlineLevel="1" x14ac:dyDescent="0.4">
      <c r="B40" s="332"/>
      <c r="C40" s="334"/>
      <c r="D40" s="765" t="s">
        <v>440</v>
      </c>
      <c r="E40" s="766"/>
      <c r="F40" s="766"/>
      <c r="G40" s="767"/>
      <c r="H40" s="767"/>
      <c r="I40" s="767"/>
      <c r="J40" s="768"/>
      <c r="K40" s="765" t="s">
        <v>441</v>
      </c>
      <c r="L40" s="766"/>
      <c r="M40" s="766"/>
      <c r="N40" s="767"/>
      <c r="O40" s="767"/>
      <c r="P40" s="767"/>
      <c r="Q40" s="768"/>
      <c r="R40" s="326"/>
      <c r="S40" s="327"/>
    </row>
    <row r="41" spans="2:30" ht="20.100000000000001" customHeight="1" outlineLevel="1" x14ac:dyDescent="0.4">
      <c r="B41" s="332"/>
      <c r="C41" s="334"/>
      <c r="D41" s="769" t="s">
        <v>458</v>
      </c>
      <c r="E41" s="770"/>
      <c r="F41" s="770"/>
      <c r="G41" s="773"/>
      <c r="H41" s="773"/>
      <c r="I41" s="773"/>
      <c r="J41" s="774"/>
      <c r="K41" s="777" t="s">
        <v>442</v>
      </c>
      <c r="L41" s="778"/>
      <c r="M41" s="778"/>
      <c r="N41" s="779"/>
      <c r="O41" s="779"/>
      <c r="P41" s="779"/>
      <c r="Q41" s="779"/>
      <c r="R41" s="326"/>
      <c r="S41" s="327"/>
    </row>
    <row r="42" spans="2:30" ht="20.100000000000001" customHeight="1" outlineLevel="1" x14ac:dyDescent="0.4">
      <c r="B42" s="332"/>
      <c r="C42" s="334"/>
      <c r="D42" s="771"/>
      <c r="E42" s="772"/>
      <c r="F42" s="772"/>
      <c r="G42" s="775"/>
      <c r="H42" s="775"/>
      <c r="I42" s="775"/>
      <c r="J42" s="776"/>
      <c r="K42" s="777" t="s">
        <v>443</v>
      </c>
      <c r="L42" s="778"/>
      <c r="M42" s="778"/>
      <c r="N42" s="779"/>
      <c r="O42" s="779"/>
      <c r="P42" s="779"/>
      <c r="Q42" s="779"/>
      <c r="R42" s="326"/>
      <c r="S42" s="327"/>
    </row>
    <row r="43" spans="2:30" ht="20.100000000000001" customHeight="1" outlineLevel="1" x14ac:dyDescent="0.4">
      <c r="B43" s="332"/>
      <c r="C43" s="334"/>
      <c r="D43" s="11"/>
      <c r="E43" s="11"/>
      <c r="F43" s="11"/>
      <c r="G43" s="11"/>
      <c r="H43" s="11"/>
      <c r="I43" s="11"/>
      <c r="J43" s="11"/>
      <c r="K43" s="11"/>
      <c r="L43" s="11"/>
      <c r="M43" s="11"/>
      <c r="N43" s="11"/>
      <c r="O43" s="11"/>
      <c r="P43" s="11"/>
      <c r="Q43" s="11"/>
      <c r="R43" s="326"/>
      <c r="S43" s="327"/>
    </row>
    <row r="44" spans="2:30" ht="20.100000000000001" customHeight="1" outlineLevel="1" x14ac:dyDescent="0.4">
      <c r="B44" s="332"/>
      <c r="C44" s="334"/>
      <c r="D44" s="762" t="s">
        <v>444</v>
      </c>
      <c r="E44" s="763"/>
      <c r="F44" s="763"/>
      <c r="G44" s="763"/>
      <c r="H44" s="763"/>
      <c r="I44" s="763"/>
      <c r="J44" s="763"/>
      <c r="K44" s="763"/>
      <c r="L44" s="763"/>
      <c r="M44" s="763"/>
      <c r="N44" s="763"/>
      <c r="O44" s="763"/>
      <c r="P44" s="763"/>
      <c r="Q44" s="348"/>
      <c r="R44" s="326"/>
      <c r="S44" s="327"/>
    </row>
    <row r="45" spans="2:30" ht="20.100000000000001" customHeight="1" outlineLevel="1" x14ac:dyDescent="0.4">
      <c r="B45" s="332"/>
      <c r="C45" s="334"/>
      <c r="D45" s="845" t="s">
        <v>37</v>
      </c>
      <c r="E45" s="845"/>
      <c r="F45" s="846" t="s">
        <v>39</v>
      </c>
      <c r="G45" s="846" t="s">
        <v>445</v>
      </c>
      <c r="H45" s="846"/>
      <c r="I45" s="845" t="s">
        <v>40</v>
      </c>
      <c r="J45" s="846" t="s">
        <v>446</v>
      </c>
      <c r="K45" s="846"/>
      <c r="L45" s="845" t="s">
        <v>40</v>
      </c>
      <c r="M45" s="840" t="s">
        <v>447</v>
      </c>
      <c r="N45" s="840"/>
      <c r="O45" s="840" t="s">
        <v>38</v>
      </c>
      <c r="P45" s="840"/>
      <c r="Q45" s="466"/>
      <c r="R45" s="326"/>
      <c r="S45" s="327"/>
    </row>
    <row r="46" spans="2:30" ht="20.100000000000001" customHeight="1" outlineLevel="1" x14ac:dyDescent="0.4">
      <c r="B46" s="332"/>
      <c r="C46" s="334"/>
      <c r="D46" s="845"/>
      <c r="E46" s="845"/>
      <c r="F46" s="846"/>
      <c r="G46" s="846"/>
      <c r="H46" s="846"/>
      <c r="I46" s="845"/>
      <c r="J46" s="846"/>
      <c r="K46" s="846"/>
      <c r="L46" s="845"/>
      <c r="M46" s="839">
        <f>COUNT(G48:H59)</f>
        <v>0</v>
      </c>
      <c r="N46" s="839"/>
      <c r="O46" s="839">
        <f>COUNTIF(O48:P59,"=oui")</f>
        <v>0</v>
      </c>
      <c r="P46" s="839"/>
      <c r="Q46" s="11"/>
      <c r="R46" s="326"/>
      <c r="S46" s="327"/>
      <c r="T46" s="311" t="str">
        <f>IF(G40&lt;&gt;"",G40,"")</f>
        <v/>
      </c>
      <c r="U46" s="311" t="str">
        <f>IF(T46&lt;&gt;"",M46,"")</f>
        <v/>
      </c>
      <c r="V46" s="311" t="str">
        <f>IF(T46&lt;&gt;"",O46,"")</f>
        <v/>
      </c>
      <c r="W46" s="311" t="str">
        <f>IF(M46&gt;0,100*(O46/M46),"")</f>
        <v/>
      </c>
    </row>
    <row r="47" spans="2:30" ht="20.100000000000001" customHeight="1" outlineLevel="1" x14ac:dyDescent="0.4">
      <c r="B47" s="332"/>
      <c r="C47" s="334"/>
      <c r="D47" s="845"/>
      <c r="E47" s="845"/>
      <c r="F47" s="846"/>
      <c r="G47" s="846"/>
      <c r="H47" s="846"/>
      <c r="I47" s="845"/>
      <c r="J47" s="846"/>
      <c r="K47" s="846"/>
      <c r="L47" s="845"/>
      <c r="M47" s="840" t="s">
        <v>41</v>
      </c>
      <c r="N47" s="840"/>
      <c r="O47" s="840" t="s">
        <v>42</v>
      </c>
      <c r="P47" s="840"/>
      <c r="Q47" s="11"/>
      <c r="R47" s="326"/>
      <c r="S47" s="327"/>
    </row>
    <row r="48" spans="2:30" ht="20.100000000000001" customHeight="1" outlineLevel="1" x14ac:dyDescent="0.4">
      <c r="B48" s="332"/>
      <c r="C48" s="334"/>
      <c r="D48" s="841" t="s">
        <v>43</v>
      </c>
      <c r="E48" s="841"/>
      <c r="F48" s="341">
        <f>VLOOKUP(D48, 'SeuilsComparaison-EMT'!$C$5:$E$28, 3, FALSE)</f>
        <v>3</v>
      </c>
      <c r="G48" s="842"/>
      <c r="H48" s="842"/>
      <c r="I48" s="340"/>
      <c r="J48" s="842"/>
      <c r="K48" s="842"/>
      <c r="L48" s="340"/>
      <c r="M48" s="843" t="str">
        <f>IF(OR(J48="",G48=""),"",IF(ISERROR(VLOOKUP(D48,'SeuilsComparaison-EMT'!$C$5:$J$25,4,FALSE)),"-",IF(OR(IF(ISTEXT(J48)=TRUE,SUBSTITUTE(J48,"&lt;","",1)*1,J48)&gt;VLOOKUP(D48,'SeuilsComparaison-EMT'!$C$5:$J$25,4,FALSE),IF(ISTEXT(G48)=TRUE,SUBSTITUTE(G48,"&lt;","",1)*1,G48)&gt;VLOOKUP(D48,'SeuilsComparaison-EMT'!$C$5:$J$25,4,FALSE)=TRUE),(IF(ISTEXT(G48)=TRUE,SUBSTITUTE(G48,"&lt;","",1)*1,G48)-((IF(ISTEXT(G48)=TRUE,SUBSTITUTE(G48,"&lt;","",1)*1,G48)+IF(ISTEXT(J48)=TRUE,SUBSTITUTE(J48,"&lt;","",1)*1,J48))/2))/((IF(ISTEXT(G48)=TRUE,SUBSTITUTE(G48,"&lt;","",1)*1,G48)+IF(ISTEXT(J48)=TRUE,SUBSTITUTE(J48,"&lt;","",1),J48))/2),"-")))</f>
        <v/>
      </c>
      <c r="N48" s="843"/>
      <c r="O48" s="844" t="str">
        <f>IF(OR(G48="",J48=""),"",IF(AND(I48="Oui",L48="Oui"),"Oui",IF(M48="-","Oui",IF(OR(J48&gt;VLOOKUP($D48,'SeuilsComparaison-EMT'!$C$5:$J$27,4,FALSE),G48&gt;VLOOKUP($D48,'SeuilsComparaison-EMT'!$C$5:$J$27,4,FALSE)=TRUE),IF(J48&lt;=VLOOKUP($D48,'SeuilsComparaison-EMT'!$C$5:$J$27,5,FALSE),IF(ABS(M48)&lt;=VLOOKUP($D48,'SeuilsComparaison-EMT'!$C$5:$J$27,6,FALSE),"Oui","Non"),IF(ABS(M48)&lt;=VLOOKUP($D48,'SeuilsComparaison-EMT'!$C$5:$J$27,8,FALSE),"Oui","Non")),"Oui"))))</f>
        <v/>
      </c>
      <c r="P48" s="844"/>
      <c r="Q48" s="11"/>
      <c r="R48" s="326"/>
      <c r="S48" s="327"/>
    </row>
    <row r="49" spans="2:19" ht="20.100000000000001" customHeight="1" outlineLevel="1" x14ac:dyDescent="0.4">
      <c r="B49" s="332"/>
      <c r="C49" s="334"/>
      <c r="D49" s="844" t="s">
        <v>44</v>
      </c>
      <c r="E49" s="844"/>
      <c r="F49" s="341">
        <f>VLOOKUP(D49, 'SeuilsComparaison-EMT'!$C$5:$E$28, 3, FALSE)</f>
        <v>30</v>
      </c>
      <c r="G49" s="847"/>
      <c r="H49" s="847"/>
      <c r="I49" s="342"/>
      <c r="J49" s="847"/>
      <c r="K49" s="847"/>
      <c r="L49" s="342"/>
      <c r="M49" s="848" t="str">
        <f>IF(OR(J49="",G49=""),"",IF(ISERROR(VLOOKUP(D49,'SeuilsComparaison-EMT'!$C$5:$J$25,4,FALSE)),"-",IF(OR(IF(ISTEXT(J49)=TRUE,SUBSTITUTE(J49,"&lt;","",1)*1,J49)&gt;VLOOKUP(D49,'SeuilsComparaison-EMT'!$C$5:$J$25,4,FALSE),IF(ISTEXT(G49)=TRUE,SUBSTITUTE(G49,"&lt;","",1)*1,G49)&gt;VLOOKUP(D49,'SeuilsComparaison-EMT'!$C$5:$J$25,4,FALSE)=TRUE),(IF(ISTEXT(G49)=TRUE,SUBSTITUTE(G49,"&lt;","",1)*1,G49)-((IF(ISTEXT(G49)=TRUE,SUBSTITUTE(G49,"&lt;","",1)*1,G49)+IF(ISTEXT(J49)=TRUE,SUBSTITUTE(J49,"&lt;","",1)*1,J49))/2))/((IF(ISTEXT(G49)=TRUE,SUBSTITUTE(G49,"&lt;","",1)*1,G49)+IF(ISTEXT(J49)=TRUE,SUBSTITUTE(J49,"&lt;","",1),J49))/2),"-")))</f>
        <v/>
      </c>
      <c r="N49" s="849"/>
      <c r="O49" s="844" t="str">
        <f>IF(OR(G49="",J49=""),"",IF(AND(I49="Oui",L49="Oui"),"Oui",IF(M49="-","Oui",IF(OR(J49&gt;VLOOKUP($D49,'SeuilsComparaison-EMT'!$C$5:$J$27,4,FALSE),G49&gt;VLOOKUP($D49,'SeuilsComparaison-EMT'!$C$5:$J$27,4,FALSE)=TRUE),IF(J49&lt;=VLOOKUP($D49,'SeuilsComparaison-EMT'!$C$5:$J$27,5,FALSE),IF(ABS(M49)&lt;=VLOOKUP($D49,'SeuilsComparaison-EMT'!$C$5:$J$27,6,FALSE),"Oui","Non"),IF(ABS(M49)&lt;=VLOOKUP($D49,'SeuilsComparaison-EMT'!$C$5:$J$27,8,FALSE),"Oui","Non")),"Oui"))))</f>
        <v/>
      </c>
      <c r="P49" s="844"/>
      <c r="Q49" s="11"/>
      <c r="R49" s="326"/>
      <c r="S49" s="327"/>
    </row>
    <row r="50" spans="2:19" ht="20.100000000000001" customHeight="1" outlineLevel="1" x14ac:dyDescent="0.4">
      <c r="B50" s="332"/>
      <c r="C50" s="334"/>
      <c r="D50" s="844" t="s">
        <v>45</v>
      </c>
      <c r="E50" s="844"/>
      <c r="F50" s="341">
        <f>VLOOKUP(D50, 'SeuilsComparaison-EMT'!$C$5:$E$28, 3, FALSE)</f>
        <v>10</v>
      </c>
      <c r="G50" s="847"/>
      <c r="H50" s="847"/>
      <c r="I50" s="342"/>
      <c r="J50" s="847"/>
      <c r="K50" s="847"/>
      <c r="L50" s="342"/>
      <c r="M50" s="848" t="str">
        <f>IF(OR(J50="",G50=""),"",IF(ISERROR(VLOOKUP(D50,'SeuilsComparaison-EMT'!$C$5:$J$25,4,FALSE)),"-",IF(OR(IF(ISTEXT(J50)=TRUE,SUBSTITUTE(J50,"&lt;","",1)*1,J50)&gt;VLOOKUP(D50,'SeuilsComparaison-EMT'!$C$5:$J$25,4,FALSE),IF(ISTEXT(G50)=TRUE,SUBSTITUTE(G50,"&lt;","",1)*1,G50)&gt;VLOOKUP(D50,'SeuilsComparaison-EMT'!$C$5:$J$25,4,FALSE)=TRUE),(IF(ISTEXT(G50)=TRUE,SUBSTITUTE(G50,"&lt;","",1)*1,G50)-((IF(ISTEXT(G50)=TRUE,SUBSTITUTE(G50,"&lt;","",1)*1,G50)+IF(ISTEXT(J50)=TRUE,SUBSTITUTE(J50,"&lt;","",1)*1,J50))/2))/((IF(ISTEXT(G50)=TRUE,SUBSTITUTE(G50,"&lt;","",1)*1,G50)+IF(ISTEXT(J50)=TRUE,SUBSTITUTE(J50,"&lt;","",1),J50))/2),"-")))</f>
        <v/>
      </c>
      <c r="N50" s="849"/>
      <c r="O50" s="844" t="str">
        <f>IF(OR(G50="",J50=""),"",IF(AND(I50="Oui",L50="Oui"),"Oui",IF(M50="-","Oui",IF(OR(J50&gt;VLOOKUP($D50,'SeuilsComparaison-EMT'!$C$5:$J$27,4,FALSE),G50&gt;VLOOKUP($D50,'SeuilsComparaison-EMT'!$C$5:$J$27,4,FALSE)=TRUE),IF(J50&lt;=VLOOKUP($D50,'SeuilsComparaison-EMT'!$C$5:$J$27,5,FALSE),IF(ABS(M50)&lt;=VLOOKUP($D50,'SeuilsComparaison-EMT'!$C$5:$J$27,6,FALSE),"Oui","Non"),IF(ABS(M50)&lt;=VLOOKUP($D50,'SeuilsComparaison-EMT'!$C$5:$J$27,8,FALSE),"Oui","Non")),"Oui"))))</f>
        <v/>
      </c>
      <c r="P50" s="844"/>
      <c r="Q50" s="11"/>
      <c r="R50" s="326"/>
      <c r="S50" s="327"/>
    </row>
    <row r="51" spans="2:19" ht="20.100000000000001" customHeight="1" outlineLevel="1" x14ac:dyDescent="0.4">
      <c r="B51" s="332"/>
      <c r="C51" s="334"/>
      <c r="D51" s="844" t="s">
        <v>47</v>
      </c>
      <c r="E51" s="844"/>
      <c r="F51" s="341">
        <f>VLOOKUP(D51, 'SeuilsComparaison-EMT'!$C$5:$E$28, 3, FALSE)</f>
        <v>2</v>
      </c>
      <c r="G51" s="847"/>
      <c r="H51" s="847"/>
      <c r="I51" s="342"/>
      <c r="J51" s="847"/>
      <c r="K51" s="847"/>
      <c r="L51" s="342"/>
      <c r="M51" s="848" t="str">
        <f>IF(OR(J51="",G51=""),"",IF(ISERROR(VLOOKUP(D51,'SeuilsComparaison-EMT'!$C$5:$J$25,4,FALSE)),"-",IF(OR(IF(ISTEXT(J51)=TRUE,SUBSTITUTE(J51,"&lt;","",1)*1,J51)&gt;VLOOKUP(D51,'SeuilsComparaison-EMT'!$C$5:$J$25,4,FALSE),IF(ISTEXT(G51)=TRUE,SUBSTITUTE(G51,"&lt;","",1)*1,G51)&gt;VLOOKUP(D51,'SeuilsComparaison-EMT'!$C$5:$J$25,4,FALSE)=TRUE),(IF(ISTEXT(G51)=TRUE,SUBSTITUTE(G51,"&lt;","",1)*1,G51)-((IF(ISTEXT(G51)=TRUE,SUBSTITUTE(G51,"&lt;","",1)*1,G51)+IF(ISTEXT(J51)=TRUE,SUBSTITUTE(J51,"&lt;","",1)*1,J51))/2))/((IF(ISTEXT(G51)=TRUE,SUBSTITUTE(G51,"&lt;","",1)*1,G51)+IF(ISTEXT(J51)=TRUE,SUBSTITUTE(J51,"&lt;","",1),J51))/2),"-")))</f>
        <v/>
      </c>
      <c r="N51" s="849"/>
      <c r="O51" s="844" t="str">
        <f>IF(OR(G51="",J51=""),"",IF(AND(I51="Oui",L51="Oui"),"Oui",IF(M51="-","Oui",IF(OR(J51&gt;VLOOKUP($D51,'SeuilsComparaison-EMT'!$C$5:$J$27,4,FALSE),G51&gt;VLOOKUP($D51,'SeuilsComparaison-EMT'!$C$5:$J$27,4,FALSE)=TRUE),IF(J51&lt;=VLOOKUP($D51,'SeuilsComparaison-EMT'!$C$5:$J$27,5,FALSE),IF(ABS(M51)&lt;=VLOOKUP($D51,'SeuilsComparaison-EMT'!$C$5:$J$27,6,FALSE),"Oui","Non"),IF(ABS(M51)&lt;=VLOOKUP($D51,'SeuilsComparaison-EMT'!$C$5:$J$27,8,FALSE),"Oui","Non")),"Oui"))))</f>
        <v/>
      </c>
      <c r="P51" s="844"/>
      <c r="Q51" s="11"/>
      <c r="R51" s="326"/>
      <c r="S51" s="327"/>
    </row>
    <row r="52" spans="2:19" ht="20.100000000000001" customHeight="1" outlineLevel="1" x14ac:dyDescent="0.4">
      <c r="B52" s="332"/>
      <c r="C52" s="334"/>
      <c r="D52" s="844" t="s">
        <v>48</v>
      </c>
      <c r="E52" s="844"/>
      <c r="F52" s="341">
        <f>VLOOKUP(D52, 'SeuilsComparaison-EMT'!$C$5:$E$28, 3, FALSE)</f>
        <v>0.5</v>
      </c>
      <c r="G52" s="847"/>
      <c r="H52" s="847"/>
      <c r="I52" s="342"/>
      <c r="J52" s="847"/>
      <c r="K52" s="847"/>
      <c r="L52" s="342"/>
      <c r="M52" s="848" t="str">
        <f>IF(OR(J52="",G52=""),"",IF(ISERROR(VLOOKUP(D52,'SeuilsComparaison-EMT'!$C$5:$J$25,4,FALSE)),"-",IF(OR(IF(ISTEXT(J52)=TRUE,SUBSTITUTE(J52,"&lt;","",1)*1,J52)&gt;VLOOKUP(D52,'SeuilsComparaison-EMT'!$C$5:$J$25,4,FALSE),IF(ISTEXT(G52)=TRUE,SUBSTITUTE(G52,"&lt;","",1)*1,G52)&gt;VLOOKUP(D52,'SeuilsComparaison-EMT'!$C$5:$J$25,4,FALSE)=TRUE),(IF(ISTEXT(G52)=TRUE,SUBSTITUTE(G52,"&lt;","",1)*1,G52)-((IF(ISTEXT(G52)=TRUE,SUBSTITUTE(G52,"&lt;","",1)*1,G52)+IF(ISTEXT(J52)=TRUE,SUBSTITUTE(J52,"&lt;","",1)*1,J52))/2))/((IF(ISTEXT(G52)=TRUE,SUBSTITUTE(G52,"&lt;","",1)*1,G52)+IF(ISTEXT(J52)=TRUE,SUBSTITUTE(J52,"&lt;","",1),J52))/2),"-")))</f>
        <v/>
      </c>
      <c r="N52" s="849"/>
      <c r="O52" s="844" t="str">
        <f>IF(OR(G52="",J52=""),"",IF(AND(I52="Oui",L52="Oui"),"Oui",IF(M52="-","Oui",IF(OR(J52&gt;VLOOKUP($D52,'SeuilsComparaison-EMT'!$C$5:$J$27,4,FALSE),G52&gt;VLOOKUP($D52,'SeuilsComparaison-EMT'!$C$5:$J$27,4,FALSE)=TRUE),IF(J52&lt;=VLOOKUP($D52,'SeuilsComparaison-EMT'!$C$5:$J$27,5,FALSE),IF(ABS(M52)&lt;=VLOOKUP($D52,'SeuilsComparaison-EMT'!$C$5:$J$27,6,FALSE),"Oui","Non"),IF(ABS(M52)&lt;=VLOOKUP($D52,'SeuilsComparaison-EMT'!$C$5:$J$27,8,FALSE),"Oui","Non")),"Oui"))))</f>
        <v/>
      </c>
      <c r="P52" s="844"/>
      <c r="Q52" s="11"/>
      <c r="R52" s="326"/>
      <c r="S52" s="327"/>
    </row>
    <row r="53" spans="2:19" ht="20.100000000000001" customHeight="1" outlineLevel="1" x14ac:dyDescent="0.4">
      <c r="B53" s="332"/>
      <c r="C53" s="334"/>
      <c r="D53" s="844" t="s">
        <v>52</v>
      </c>
      <c r="E53" s="844"/>
      <c r="F53" s="341">
        <f>VLOOKUP(D53, 'SeuilsComparaison-EMT'!$C$5:$E$28, 3, FALSE)</f>
        <v>1</v>
      </c>
      <c r="G53" s="847"/>
      <c r="H53" s="847"/>
      <c r="I53" s="342"/>
      <c r="J53" s="847"/>
      <c r="K53" s="847"/>
      <c r="L53" s="342"/>
      <c r="M53" s="848" t="str">
        <f>IF(OR(J53="",G53=""),"",IF(ISERROR(VLOOKUP(D53,'SeuilsComparaison-EMT'!$C$5:$J$25,4,FALSE)),"-",IF(OR(IF(ISTEXT(J53)=TRUE,SUBSTITUTE(J53,"&lt;","",1)*1,J53)&gt;VLOOKUP(D53,'SeuilsComparaison-EMT'!$C$5:$J$25,4,FALSE),IF(ISTEXT(G53)=TRUE,SUBSTITUTE(G53,"&lt;","",1)*1,G53)&gt;VLOOKUP(D53,'SeuilsComparaison-EMT'!$C$5:$J$25,4,FALSE)=TRUE),(IF(ISTEXT(G53)=TRUE,SUBSTITUTE(G53,"&lt;","",1)*1,G53)-((IF(ISTEXT(G53)=TRUE,SUBSTITUTE(G53,"&lt;","",1)*1,G53)+IF(ISTEXT(J53)=TRUE,SUBSTITUTE(J53,"&lt;","",1)*1,J53))/2))/((IF(ISTEXT(G53)=TRUE,SUBSTITUTE(G53,"&lt;","",1)*1,G53)+IF(ISTEXT(J53)=TRUE,SUBSTITUTE(J53,"&lt;","",1),J53))/2),"-")))</f>
        <v/>
      </c>
      <c r="N53" s="849"/>
      <c r="O53" s="844" t="str">
        <f>IF(OR(G53="",J53=""),"",IF(AND(I53="Oui",L53="Oui"),"Oui",IF(M53="-","Oui",IF(OR(J53&gt;VLOOKUP($D53,'SeuilsComparaison-EMT'!$C$5:$J$27,4,FALSE),G53&gt;VLOOKUP($D53,'SeuilsComparaison-EMT'!$C$5:$J$27,4,FALSE)=TRUE),IF(J53&lt;=VLOOKUP($D53,'SeuilsComparaison-EMT'!$C$5:$J$27,5,FALSE),IF(ABS(M53)&lt;=VLOOKUP($D53,'SeuilsComparaison-EMT'!$C$5:$J$27,6,FALSE),"Oui","Non"),IF(ABS(M53)&lt;=VLOOKUP($D53,'SeuilsComparaison-EMT'!$C$5:$J$27,8,FALSE),"Oui","Non")),"Oui"))))</f>
        <v/>
      </c>
      <c r="P53" s="844"/>
      <c r="Q53" s="11"/>
      <c r="R53" s="326"/>
      <c r="S53" s="327"/>
    </row>
    <row r="54" spans="2:19" ht="20.100000000000001" customHeight="1" outlineLevel="1" x14ac:dyDescent="0.4">
      <c r="B54" s="332"/>
      <c r="C54" s="334"/>
      <c r="D54" s="844" t="s">
        <v>49</v>
      </c>
      <c r="E54" s="844"/>
      <c r="F54" s="341">
        <f>VLOOKUP(D54, 'SeuilsComparaison-EMT'!$C$5:$E$28, 3, FALSE)</f>
        <v>0.5</v>
      </c>
      <c r="G54" s="847"/>
      <c r="H54" s="847"/>
      <c r="I54" s="342"/>
      <c r="J54" s="847"/>
      <c r="K54" s="847"/>
      <c r="L54" s="342"/>
      <c r="M54" s="848" t="str">
        <f>IF(OR(J54="",G54=""),"",IF(ISERROR(VLOOKUP(D54,'SeuilsComparaison-EMT'!$C$5:$J$25,4,FALSE)),"-",IF(OR(IF(ISTEXT(J54)=TRUE,SUBSTITUTE(J54,"&lt;","",1)*1,J54)&gt;VLOOKUP(D54,'SeuilsComparaison-EMT'!$C$5:$J$25,4,FALSE),IF(ISTEXT(G54)=TRUE,SUBSTITUTE(G54,"&lt;","",1)*1,G54)&gt;VLOOKUP(D54,'SeuilsComparaison-EMT'!$C$5:$J$25,4,FALSE)=TRUE),(IF(ISTEXT(G54)=TRUE,SUBSTITUTE(G54,"&lt;","",1)*1,G54)-((IF(ISTEXT(G54)=TRUE,SUBSTITUTE(G54,"&lt;","",1)*1,G54)+IF(ISTEXT(J54)=TRUE,SUBSTITUTE(J54,"&lt;","",1)*1,J54))/2))/((IF(ISTEXT(G54)=TRUE,SUBSTITUTE(G54,"&lt;","",1)*1,G54)+IF(ISTEXT(J54)=TRUE,SUBSTITUTE(J54,"&lt;","",1),J54))/2),"-")))</f>
        <v/>
      </c>
      <c r="N54" s="849"/>
      <c r="O54" s="844" t="str">
        <f>IF(OR(G54="",J54=""),"",IF(AND(I54="Oui",L54="Oui"),"Oui",IF(M54="-","Oui",IF(OR(J54&gt;VLOOKUP($D54,'SeuilsComparaison-EMT'!$C$5:$J$27,4,FALSE),G54&gt;VLOOKUP($D54,'SeuilsComparaison-EMT'!$C$5:$J$27,4,FALSE)=TRUE),IF(J54&lt;=VLOOKUP($D54,'SeuilsComparaison-EMT'!$C$5:$J$27,5,FALSE),IF(ABS(M54)&lt;=VLOOKUP($D54,'SeuilsComparaison-EMT'!$C$5:$J$27,6,FALSE),"Oui","Non"),IF(ABS(M54)&lt;=VLOOKUP($D54,'SeuilsComparaison-EMT'!$C$5:$J$27,8,FALSE),"Oui","Non")),"Oui"))))</f>
        <v/>
      </c>
      <c r="P54" s="844"/>
      <c r="Q54" s="11"/>
      <c r="R54" s="326"/>
      <c r="S54" s="327"/>
    </row>
    <row r="55" spans="2:19" ht="20.100000000000001" customHeight="1" outlineLevel="1" x14ac:dyDescent="0.4">
      <c r="B55" s="332"/>
      <c r="C55" s="334"/>
      <c r="D55" s="844" t="s">
        <v>50</v>
      </c>
      <c r="E55" s="844"/>
      <c r="F55" s="341">
        <f>VLOOKUP(D55, 'SeuilsComparaison-EMT'!$C$5:$E$28, 3, FALSE)</f>
        <v>0.05</v>
      </c>
      <c r="G55" s="847"/>
      <c r="H55" s="847"/>
      <c r="I55" s="342"/>
      <c r="J55" s="847"/>
      <c r="K55" s="847"/>
      <c r="L55" s="342"/>
      <c r="M55" s="848" t="str">
        <f>IF(OR(J55="",G55=""),"",IF(ISERROR(VLOOKUP(D55,'SeuilsComparaison-EMT'!$C$5:$J$25,4,FALSE)),"-",IF(OR(IF(ISTEXT(J55)=TRUE,SUBSTITUTE(J55,"&lt;","",1)*1,J55)&gt;VLOOKUP(D55,'SeuilsComparaison-EMT'!$C$5:$J$25,4,FALSE),IF(ISTEXT(G55)=TRUE,SUBSTITUTE(G55,"&lt;","",1)*1,G55)&gt;VLOOKUP(D55,'SeuilsComparaison-EMT'!$C$5:$J$25,4,FALSE)=TRUE),(IF(ISTEXT(G55)=TRUE,SUBSTITUTE(G55,"&lt;","",1)*1,G55)-((IF(ISTEXT(G55)=TRUE,SUBSTITUTE(G55,"&lt;","",1)*1,G55)+IF(ISTEXT(J55)=TRUE,SUBSTITUTE(J55,"&lt;","",1)*1,J55))/2))/((IF(ISTEXT(G55)=TRUE,SUBSTITUTE(G55,"&lt;","",1)*1,G55)+IF(ISTEXT(J55)=TRUE,SUBSTITUTE(J55,"&lt;","",1),J55))/2),"-")))</f>
        <v/>
      </c>
      <c r="N55" s="849"/>
      <c r="O55" s="844" t="str">
        <f>IF(OR(G55="",J55=""),"",IF(AND(I55="Oui",L55="Oui"),"Oui",IF(M55="-","Oui",IF(OR(J55&gt;VLOOKUP($D55,'SeuilsComparaison-EMT'!$C$5:$J$27,4,FALSE),G55&gt;VLOOKUP($D55,'SeuilsComparaison-EMT'!$C$5:$J$27,4,FALSE)=TRUE),IF(J55&lt;=VLOOKUP($D55,'SeuilsComparaison-EMT'!$C$5:$J$27,5,FALSE),IF(ABS(M55)&lt;=VLOOKUP($D55,'SeuilsComparaison-EMT'!$C$5:$J$27,6,FALSE),"Oui","Non"),IF(ABS(M55)&lt;=VLOOKUP($D55,'SeuilsComparaison-EMT'!$C$5:$J$27,8,FALSE),"Oui","Non")),"Oui"))))</f>
        <v/>
      </c>
      <c r="P55" s="844"/>
      <c r="Q55" s="11"/>
      <c r="R55" s="326"/>
      <c r="S55" s="327"/>
    </row>
    <row r="56" spans="2:19" ht="20.100000000000001" customHeight="1" outlineLevel="1" x14ac:dyDescent="0.4">
      <c r="B56" s="332"/>
      <c r="C56" s="334"/>
      <c r="D56" s="844" t="s">
        <v>51</v>
      </c>
      <c r="E56" s="844"/>
      <c r="F56" s="341">
        <f>VLOOKUP(D56, 'SeuilsComparaison-EMT'!$C$5:$E$28, 3, FALSE)</f>
        <v>1</v>
      </c>
      <c r="G56" s="847"/>
      <c r="H56" s="847"/>
      <c r="I56" s="342"/>
      <c r="J56" s="847"/>
      <c r="K56" s="847"/>
      <c r="L56" s="342"/>
      <c r="M56" s="848" t="str">
        <f>IF(OR(J56="",G56=""),"",IF(ISERROR(VLOOKUP(D56,'SeuilsComparaison-EMT'!$C$5:$J$25,4,FALSE)),"-",IF(OR(IF(ISTEXT(J56)=TRUE,SUBSTITUTE(J56,"&lt;","",1)*1,J56)&gt;VLOOKUP(D56,'SeuilsComparaison-EMT'!$C$5:$J$25,4,FALSE),IF(ISTEXT(G56)=TRUE,SUBSTITUTE(G56,"&lt;","",1)*1,G56)&gt;VLOOKUP(D56,'SeuilsComparaison-EMT'!$C$5:$J$25,4,FALSE)=TRUE),(IF(ISTEXT(G56)=TRUE,SUBSTITUTE(G56,"&lt;","",1)*1,G56)-((IF(ISTEXT(G56)=TRUE,SUBSTITUTE(G56,"&lt;","",1)*1,G56)+IF(ISTEXT(J56)=TRUE,SUBSTITUTE(J56,"&lt;","",1)*1,J56))/2))/((IF(ISTEXT(G56)=TRUE,SUBSTITUTE(G56,"&lt;","",1)*1,G56)+IF(ISTEXT(J56)=TRUE,SUBSTITUTE(J56,"&lt;","",1),J56))/2),"-")))</f>
        <v/>
      </c>
      <c r="N56" s="849"/>
      <c r="O56" s="844" t="str">
        <f>IF(OR(G56="",J56=""),"",IF(AND(I56="Oui",L56="Oui"),"Oui",IF(M56="-","Oui",IF(OR(J56&gt;VLOOKUP($D56,'SeuilsComparaison-EMT'!$C$5:$J$27,4,FALSE),G56&gt;VLOOKUP($D56,'SeuilsComparaison-EMT'!$C$5:$J$27,4,FALSE)=TRUE),IF(J56&lt;=VLOOKUP($D56,'SeuilsComparaison-EMT'!$C$5:$J$27,5,FALSE),IF(ABS(M56)&lt;=VLOOKUP($D56,'SeuilsComparaison-EMT'!$C$5:$J$27,6,FALSE),"Oui","Non"),IF(ABS(M56)&lt;=VLOOKUP($D56,'SeuilsComparaison-EMT'!$C$5:$J$27,8,FALSE),"Oui","Non")),"Oui"))))</f>
        <v/>
      </c>
      <c r="P56" s="844"/>
      <c r="Q56" s="11"/>
      <c r="R56" s="326"/>
      <c r="S56" s="327"/>
    </row>
    <row r="57" spans="2:19" ht="20.100000000000001" customHeight="1" outlineLevel="1" x14ac:dyDescent="0.4">
      <c r="B57" s="332"/>
      <c r="C57" s="334"/>
      <c r="D57" s="844" t="s">
        <v>53</v>
      </c>
      <c r="E57" s="844"/>
      <c r="F57" s="341">
        <f>VLOOKUP(D57, 'SeuilsComparaison-EMT'!$C$5:$E$28, 3, FALSE)</f>
        <v>0.05</v>
      </c>
      <c r="G57" s="847"/>
      <c r="H57" s="847"/>
      <c r="I57" s="342"/>
      <c r="J57" s="847"/>
      <c r="K57" s="847"/>
      <c r="L57" s="342"/>
      <c r="M57" s="848" t="str">
        <f>IF(OR(J57="",G57=""),"",IF(ISERROR(VLOOKUP(D57,'SeuilsComparaison-EMT'!$C$5:$J$25,4,FALSE)),"-",IF(OR(IF(ISTEXT(J57)=TRUE,SUBSTITUTE(J57,"&lt;","",1)*1,J57)&gt;VLOOKUP(D57,'SeuilsComparaison-EMT'!$C$5:$J$25,4,FALSE),IF(ISTEXT(G57)=TRUE,SUBSTITUTE(G57,"&lt;","",1)*1,G57)&gt;VLOOKUP(D57,'SeuilsComparaison-EMT'!$C$5:$J$25,4,FALSE)=TRUE),(IF(ISTEXT(G57)=TRUE,SUBSTITUTE(G57,"&lt;","",1)*1,G57)-((IF(ISTEXT(G57)=TRUE,SUBSTITUTE(G57,"&lt;","",1)*1,G57)+IF(ISTEXT(J57)=TRUE,SUBSTITUTE(J57,"&lt;","",1)*1,J57))/2))/((IF(ISTEXT(G57)=TRUE,SUBSTITUTE(G57,"&lt;","",1)*1,G57)+IF(ISTEXT(J57)=TRUE,SUBSTITUTE(J57,"&lt;","",1),J57))/2),"-")))</f>
        <v/>
      </c>
      <c r="N57" s="849"/>
      <c r="O57" s="844" t="str">
        <f>IF(OR(G57="",J57=""),"",IF(AND(I57="Oui",L57="Oui"),"Oui",IF(M57="-","Oui",IF(OR(J57&gt;VLOOKUP($D57,'SeuilsComparaison-EMT'!$C$5:$J$27,4,FALSE),G57&gt;VLOOKUP($D57,'SeuilsComparaison-EMT'!$C$5:$J$27,4,FALSE)=TRUE),IF(J57&lt;=VLOOKUP($D57,'SeuilsComparaison-EMT'!$C$5:$J$27,5,FALSE),IF(ABS(M57)&lt;=VLOOKUP($D57,'SeuilsComparaison-EMT'!$C$5:$J$27,6,FALSE),"Oui","Non"),IF(ABS(M57)&lt;=VLOOKUP($D57,'SeuilsComparaison-EMT'!$C$5:$J$27,8,FALSE),"Oui","Non")),"Oui"))))</f>
        <v/>
      </c>
      <c r="P57" s="844"/>
      <c r="Q57" s="11"/>
      <c r="R57" s="326"/>
      <c r="S57" s="327"/>
    </row>
    <row r="58" spans="2:19" ht="20.100000000000001" customHeight="1" outlineLevel="1" x14ac:dyDescent="0.4">
      <c r="B58" s="332"/>
      <c r="C58" s="334"/>
      <c r="D58" s="844" t="s">
        <v>316</v>
      </c>
      <c r="E58" s="844"/>
      <c r="F58" s="341">
        <f>VLOOKUP(D58, 'SeuilsComparaison-EMT'!$C$5:$E$28, 3, FALSE)</f>
        <v>0</v>
      </c>
      <c r="G58" s="847"/>
      <c r="H58" s="847"/>
      <c r="I58" s="342"/>
      <c r="J58" s="847"/>
      <c r="K58" s="847"/>
      <c r="L58" s="342"/>
      <c r="M58" s="848" t="str">
        <f>IF(OR(J58="",G58=""),"",IF(ISERROR(VLOOKUP(D58,'SeuilsComparaison-EMT'!$C$5:$J$25,4,FALSE)),"-",IF(OR(IF(ISTEXT(J58)=TRUE,SUBSTITUTE(J58,"&lt;","",1)*1,J58)&gt;VLOOKUP(D58,'SeuilsComparaison-EMT'!$C$5:$J$25,4,FALSE),IF(ISTEXT(G58)=TRUE,SUBSTITUTE(G58,"&lt;","",1)*1,G58)&gt;VLOOKUP(D58,'SeuilsComparaison-EMT'!$C$5:$J$25,4,FALSE)=TRUE),(IF(ISTEXT(G58)=TRUE,SUBSTITUTE(G58,"&lt;","",1)*1,G58)-((IF(ISTEXT(G58)=TRUE,SUBSTITUTE(G58,"&lt;","",1)*1,G58)+IF(ISTEXT(J58)=TRUE,SUBSTITUTE(J58,"&lt;","",1)*1,J58))/2))/((IF(ISTEXT(G58)=TRUE,SUBSTITUTE(G58,"&lt;","",1)*1,G58)+IF(ISTEXT(J58)=TRUE,SUBSTITUTE(J58,"&lt;","",1),J58))/2),"-")))</f>
        <v/>
      </c>
      <c r="N58" s="849"/>
      <c r="O58" s="844" t="str">
        <f>IF(OR(G58="",J58=""),"",IF(AND(I58="Oui",L58="Oui"),"Oui",IF(M58="-","Oui",IF(OR(J58&gt;VLOOKUP($D58,'SeuilsComparaison-EMT'!$C$5:$J$27,4,FALSE),G58&gt;VLOOKUP($D58,'SeuilsComparaison-EMT'!$C$5:$J$27,4,FALSE)=TRUE),IF(J58&lt;=VLOOKUP($D58,'SeuilsComparaison-EMT'!$C$5:$J$27,5,FALSE),IF(ABS(M58)&lt;=VLOOKUP($D58,'SeuilsComparaison-EMT'!$C$5:$J$27,6,FALSE),"Oui","Non"),IF(ABS(M58)&lt;=VLOOKUP($D58,'SeuilsComparaison-EMT'!$C$5:$J$27,8,FALSE),"Oui","Non")),"Oui"))))</f>
        <v/>
      </c>
      <c r="P58" s="844"/>
      <c r="Q58" s="11"/>
      <c r="R58" s="326"/>
      <c r="S58" s="327"/>
    </row>
    <row r="59" spans="2:19" ht="20.100000000000001" customHeight="1" outlineLevel="1" x14ac:dyDescent="0.4">
      <c r="B59" s="332"/>
      <c r="C59" s="334"/>
      <c r="D59" s="853" t="s">
        <v>317</v>
      </c>
      <c r="E59" s="853"/>
      <c r="F59" s="320">
        <f>VLOOKUP(D59, 'SeuilsComparaison-EMT'!$C$5:$E$28, 3, FALSE)</f>
        <v>5</v>
      </c>
      <c r="G59" s="850"/>
      <c r="H59" s="850"/>
      <c r="I59" s="319"/>
      <c r="J59" s="850"/>
      <c r="K59" s="850"/>
      <c r="L59" s="319"/>
      <c r="M59" s="851" t="str">
        <f>IF(OR(J59="",G59=""),"",IF(ISERROR(VLOOKUP(D59,'SeuilsComparaison-EMT'!$C$5:$J$25,4,FALSE)),"-",IF(OR(IF(ISTEXT(J59)=TRUE,SUBSTITUTE(J59,"&lt;","",1)*1,J59)&gt;VLOOKUP(D59,'SeuilsComparaison-EMT'!$C$5:$J$25,4,FALSE),IF(ISTEXT(G59)=TRUE,SUBSTITUTE(G59,"&lt;","",1)*1,G59)&gt;VLOOKUP(D59,'SeuilsComparaison-EMT'!$C$5:$J$25,4,FALSE)=TRUE),(IF(ISTEXT(G59)=TRUE,SUBSTITUTE(G59,"&lt;","",1)*1,G59)-((IF(ISTEXT(G59)=TRUE,SUBSTITUTE(G59,"&lt;","",1)*1,G59)+IF(ISTEXT(J59)=TRUE,SUBSTITUTE(J59,"&lt;","",1)*1,J59))/2))/((IF(ISTEXT(G59)=TRUE,SUBSTITUTE(G59,"&lt;","",1)*1,G59)+IF(ISTEXT(J59)=TRUE,SUBSTITUTE(J59,"&lt;","",1),J59))/2),"-")))</f>
        <v/>
      </c>
      <c r="N59" s="852"/>
      <c r="O59" s="853" t="str">
        <f>IF(OR(G59="",J59=""),"",IF(AND(I59="Oui",L59="Oui"),"Oui",IF(M59="-","Oui",IF(OR(J59&gt;VLOOKUP($D59,'SeuilsComparaison-EMT'!$C$5:$J$27,4,FALSE),G59&gt;VLOOKUP($D59,'SeuilsComparaison-EMT'!$C$5:$J$27,4,FALSE)=TRUE),IF(J59&lt;=VLOOKUP($D59,'SeuilsComparaison-EMT'!$C$5:$J$27,5,FALSE),IF(ABS(M59)&lt;=VLOOKUP($D59,'SeuilsComparaison-EMT'!$C$5:$J$27,6,FALSE),"Oui","Non"),IF(ABS(M59)&lt;=VLOOKUP($D59,'SeuilsComparaison-EMT'!$C$5:$J$27,8,FALSE),"Oui","Non")),"Oui"))))</f>
        <v/>
      </c>
      <c r="P59" s="853"/>
      <c r="Q59" s="11"/>
      <c r="R59" s="326"/>
      <c r="S59" s="327"/>
    </row>
    <row r="60" spans="2:19" ht="20.100000000000001" customHeight="1" outlineLevel="1" x14ac:dyDescent="0.4">
      <c r="B60" s="332"/>
      <c r="C60" s="334"/>
      <c r="D60" s="839" t="s">
        <v>63</v>
      </c>
      <c r="E60" s="839"/>
      <c r="F60" s="339">
        <f>VLOOKUP(D60, 'SeuilsComparaison-EMT'!$C$5:$E$28, 3, FALSE)</f>
        <v>0</v>
      </c>
      <c r="G60" s="867"/>
      <c r="H60" s="867"/>
      <c r="I60" s="344"/>
      <c r="J60" s="867"/>
      <c r="K60" s="867"/>
      <c r="L60" s="344"/>
      <c r="M60" s="868" t="str">
        <f>IF(OR(J60="",G60=""),"",IF(ISERROR(VLOOKUP(D60,'SeuilsComparaison-EMT'!$C$5:$J$25,4,FALSE)),"-",IF(OR(IF(ISTEXT(J60)=TRUE,SUBSTITUTE(J60,"&lt;","",1)*1,J60)&gt;VLOOKUP(D60,'SeuilsComparaison-EMT'!$C$5:$J$25,4,FALSE),IF(ISTEXT(G60)=TRUE,SUBSTITUTE(G60,"&lt;","",1)*1,G60)&gt;VLOOKUP(D60,'SeuilsComparaison-EMT'!$C$5:$J$25,4,FALSE)=TRUE),(IF(ISTEXT(G60)=TRUE,SUBSTITUTE(G60,"&lt;","",1)*1,G60)-((IF(ISTEXT(G60)=TRUE,SUBSTITUTE(G60,"&lt;","",1)*1,G60)+IF(ISTEXT(J60)=TRUE,SUBSTITUTE(J60,"&lt;","",1)*1,J60))/2))/((IF(ISTEXT(G60)=TRUE,SUBSTITUTE(G60,"&lt;","",1)*1,G60)+IF(ISTEXT(J60)=TRUE,SUBSTITUTE(J60,"&lt;","",1),J60))/2),"-")))</f>
        <v/>
      </c>
      <c r="N60" s="869"/>
      <c r="O60" s="839" t="str">
        <f>IF(OR(G60="",J60=""),"",IF(AND(I60="Oui",L60="Oui"),"Oui",IF(M60="-","Oui",IF(OR(J60&gt;VLOOKUP($D60,'SeuilsComparaison-EMT'!$C$5:$J$27,4,FALSE),G60&gt;VLOOKUP($D60,'SeuilsComparaison-EMT'!$C$5:$J$27,4,FALSE)=TRUE),IF(J60&lt;=VLOOKUP($D60,'SeuilsComparaison-EMT'!$C$5:$J$27,5,FALSE),IF(ABS(M60)&lt;=VLOOKUP($D60,'SeuilsComparaison-EMT'!$C$5:$J$27,6,FALSE),"Oui","Non"),IF(ABS(M60)&lt;=VLOOKUP($D60,'SeuilsComparaison-EMT'!$C$5:$J$27,8,FALSE),"Oui","Non")),"Oui"))))</f>
        <v/>
      </c>
      <c r="P60" s="839"/>
      <c r="Q60" s="11"/>
      <c r="R60" s="326"/>
      <c r="S60" s="327"/>
    </row>
    <row r="61" spans="2:19" ht="20.100000000000001" customHeight="1" outlineLevel="1" x14ac:dyDescent="0.4">
      <c r="B61" s="332"/>
      <c r="C61" s="334"/>
      <c r="D61" s="11"/>
      <c r="E61" s="11"/>
      <c r="F61" s="11"/>
      <c r="G61" s="11"/>
      <c r="H61" s="11"/>
      <c r="I61" s="11"/>
      <c r="J61" s="11"/>
      <c r="K61" s="11"/>
      <c r="L61" s="11"/>
      <c r="M61" s="11"/>
      <c r="N61" s="11"/>
      <c r="O61" s="11"/>
      <c r="P61" s="11"/>
      <c r="Q61" s="11"/>
      <c r="R61" s="326"/>
      <c r="S61" s="327"/>
    </row>
    <row r="62" spans="2:19" ht="20.100000000000001" customHeight="1" outlineLevel="1" x14ac:dyDescent="0.4">
      <c r="B62" s="332"/>
      <c r="C62" s="334"/>
      <c r="D62" s="854" t="s">
        <v>403</v>
      </c>
      <c r="E62" s="854"/>
      <c r="F62" s="854"/>
      <c r="G62" s="854"/>
      <c r="H62" s="854"/>
      <c r="I62" s="854"/>
      <c r="J62" s="854"/>
      <c r="K62" s="854"/>
      <c r="L62" s="854"/>
      <c r="M62" s="854"/>
      <c r="N62" s="854"/>
      <c r="O62" s="854"/>
      <c r="P62" s="854"/>
      <c r="Q62" s="11"/>
      <c r="R62" s="326"/>
      <c r="S62" s="327"/>
    </row>
    <row r="63" spans="2:19" ht="20.100000000000001" customHeight="1" outlineLevel="1" x14ac:dyDescent="0.4">
      <c r="B63" s="332"/>
      <c r="C63" s="334"/>
      <c r="D63" s="855"/>
      <c r="E63" s="856"/>
      <c r="F63" s="856"/>
      <c r="G63" s="856"/>
      <c r="H63" s="856"/>
      <c r="I63" s="856"/>
      <c r="J63" s="856"/>
      <c r="K63" s="856"/>
      <c r="L63" s="856"/>
      <c r="M63" s="856"/>
      <c r="N63" s="856"/>
      <c r="O63" s="856"/>
      <c r="P63" s="856"/>
      <c r="Q63" s="857"/>
      <c r="R63" s="326"/>
      <c r="S63" s="327"/>
    </row>
    <row r="64" spans="2:19" ht="20.100000000000001" customHeight="1" outlineLevel="1" x14ac:dyDescent="0.4">
      <c r="B64" s="332"/>
      <c r="C64" s="334"/>
      <c r="D64" s="858"/>
      <c r="E64" s="859"/>
      <c r="F64" s="859"/>
      <c r="G64" s="859"/>
      <c r="H64" s="859"/>
      <c r="I64" s="859"/>
      <c r="J64" s="859"/>
      <c r="K64" s="859"/>
      <c r="L64" s="859"/>
      <c r="M64" s="859"/>
      <c r="N64" s="859"/>
      <c r="O64" s="859"/>
      <c r="P64" s="859"/>
      <c r="Q64" s="860"/>
      <c r="R64" s="326"/>
      <c r="S64" s="327"/>
    </row>
    <row r="65" spans="2:19" ht="20.100000000000001" customHeight="1" outlineLevel="1" x14ac:dyDescent="0.4">
      <c r="B65" s="332"/>
      <c r="C65" s="334"/>
      <c r="D65" s="861"/>
      <c r="E65" s="862"/>
      <c r="F65" s="862"/>
      <c r="G65" s="862"/>
      <c r="H65" s="862"/>
      <c r="I65" s="862"/>
      <c r="J65" s="862"/>
      <c r="K65" s="862"/>
      <c r="L65" s="862"/>
      <c r="M65" s="862"/>
      <c r="N65" s="862"/>
      <c r="O65" s="862"/>
      <c r="P65" s="862"/>
      <c r="Q65" s="863"/>
      <c r="R65" s="326"/>
      <c r="S65" s="327"/>
    </row>
    <row r="66" spans="2:19" ht="20.100000000000001" customHeight="1" outlineLevel="1" x14ac:dyDescent="0.4">
      <c r="B66" s="332"/>
      <c r="C66" s="334"/>
      <c r="D66" s="333"/>
      <c r="E66" s="333"/>
      <c r="F66" s="333"/>
      <c r="G66" s="333"/>
      <c r="H66" s="333"/>
      <c r="I66" s="333"/>
      <c r="J66" s="333"/>
      <c r="K66" s="333"/>
      <c r="L66" s="333"/>
      <c r="M66" s="333"/>
      <c r="N66" s="333"/>
      <c r="O66" s="333"/>
      <c r="P66" s="333"/>
      <c r="Q66" s="333"/>
      <c r="R66" s="326"/>
      <c r="S66" s="327"/>
    </row>
    <row r="67" spans="2:19" ht="20.100000000000001" customHeight="1" outlineLevel="1" x14ac:dyDescent="0.4">
      <c r="B67" s="332"/>
      <c r="C67" s="334"/>
      <c r="D67" s="333"/>
      <c r="E67" s="333"/>
      <c r="F67" s="333"/>
      <c r="G67" s="333"/>
      <c r="H67" s="333"/>
      <c r="I67" s="333"/>
      <c r="J67" s="333"/>
      <c r="K67" s="333"/>
      <c r="L67" s="333"/>
      <c r="M67" s="333"/>
      <c r="N67" s="333"/>
      <c r="O67" s="333"/>
      <c r="P67" s="333"/>
      <c r="Q67" s="333"/>
      <c r="R67" s="326"/>
      <c r="S67" s="327"/>
    </row>
    <row r="68" spans="2:19" ht="20.100000000000001" customHeight="1" outlineLevel="1" x14ac:dyDescent="0.4">
      <c r="B68" s="332"/>
      <c r="C68" s="334"/>
      <c r="D68" s="333"/>
      <c r="E68" s="333"/>
      <c r="F68" s="333"/>
      <c r="G68" s="333"/>
      <c r="H68" s="333"/>
      <c r="I68" s="333"/>
      <c r="J68" s="864" t="s">
        <v>318</v>
      </c>
      <c r="K68" s="865"/>
      <c r="L68" s="866"/>
      <c r="M68" s="333"/>
      <c r="N68" s="333"/>
      <c r="O68" s="333"/>
      <c r="P68" s="333"/>
      <c r="Q68" s="333"/>
      <c r="R68" s="326"/>
      <c r="S68" s="327"/>
    </row>
    <row r="69" spans="2:19" ht="20.100000000000001" customHeight="1" outlineLevel="1" thickBot="1" x14ac:dyDescent="0.45">
      <c r="B69" s="332"/>
      <c r="C69" s="336"/>
      <c r="D69" s="337"/>
      <c r="E69" s="337"/>
      <c r="F69" s="337"/>
      <c r="G69" s="337"/>
      <c r="H69" s="337"/>
      <c r="I69" s="337"/>
      <c r="J69" s="337"/>
      <c r="K69" s="337"/>
      <c r="L69" s="337"/>
      <c r="M69" s="337"/>
      <c r="N69" s="337"/>
      <c r="O69" s="337"/>
      <c r="P69" s="337"/>
      <c r="Q69" s="337"/>
      <c r="R69" s="328"/>
      <c r="S69" s="327"/>
    </row>
    <row r="70" spans="2:19" ht="20.100000000000001" customHeight="1" thickTop="1" x14ac:dyDescent="0.4">
      <c r="B70" s="323"/>
      <c r="C70" s="324"/>
      <c r="D70" s="324"/>
      <c r="E70" s="324"/>
      <c r="F70" s="324"/>
      <c r="G70" s="324"/>
      <c r="H70" s="324"/>
      <c r="I70" s="324"/>
      <c r="J70" s="324"/>
      <c r="K70" s="324"/>
      <c r="L70" s="324"/>
      <c r="M70" s="324"/>
      <c r="N70" s="324"/>
      <c r="O70" s="324"/>
      <c r="P70" s="324"/>
      <c r="Q70" s="324"/>
      <c r="R70" s="324"/>
      <c r="S70" s="325"/>
    </row>
  </sheetData>
  <mergeCells count="149">
    <mergeCell ref="D53:E53"/>
    <mergeCell ref="G53:H53"/>
    <mergeCell ref="J53:K53"/>
    <mergeCell ref="M53:N53"/>
    <mergeCell ref="O53:P53"/>
    <mergeCell ref="D62:P62"/>
    <mergeCell ref="D63:Q65"/>
    <mergeCell ref="J68:L68"/>
    <mergeCell ref="D60:E60"/>
    <mergeCell ref="G60:H60"/>
    <mergeCell ref="J60:K60"/>
    <mergeCell ref="M60:N60"/>
    <mergeCell ref="O60:P60"/>
    <mergeCell ref="D58:E58"/>
    <mergeCell ref="G58:H58"/>
    <mergeCell ref="J58:K58"/>
    <mergeCell ref="M58:N58"/>
    <mergeCell ref="O58:P58"/>
    <mergeCell ref="D59:E59"/>
    <mergeCell ref="G55:H55"/>
    <mergeCell ref="J55:K55"/>
    <mergeCell ref="M55:N55"/>
    <mergeCell ref="O55:P55"/>
    <mergeCell ref="M57:N57"/>
    <mergeCell ref="O57:P57"/>
    <mergeCell ref="G59:H59"/>
    <mergeCell ref="J59:K59"/>
    <mergeCell ref="M59:N59"/>
    <mergeCell ref="O59:P59"/>
    <mergeCell ref="D56:E56"/>
    <mergeCell ref="G56:H56"/>
    <mergeCell ref="J56:K56"/>
    <mergeCell ref="M56:N56"/>
    <mergeCell ref="O56:P56"/>
    <mergeCell ref="D57:E57"/>
    <mergeCell ref="G57:H57"/>
    <mergeCell ref="J57:K57"/>
    <mergeCell ref="D51:E51"/>
    <mergeCell ref="G51:H51"/>
    <mergeCell ref="J51:K51"/>
    <mergeCell ref="M51:N51"/>
    <mergeCell ref="O51:P51"/>
    <mergeCell ref="D52:E52"/>
    <mergeCell ref="G52:H52"/>
    <mergeCell ref="J52:K52"/>
    <mergeCell ref="M52:N52"/>
    <mergeCell ref="O52:P52"/>
    <mergeCell ref="D54:E54"/>
    <mergeCell ref="G54:H54"/>
    <mergeCell ref="J54:K54"/>
    <mergeCell ref="M54:N54"/>
    <mergeCell ref="O54:P54"/>
    <mergeCell ref="D55:E55"/>
    <mergeCell ref="D49:E49"/>
    <mergeCell ref="G49:H49"/>
    <mergeCell ref="J49:K49"/>
    <mergeCell ref="M49:N49"/>
    <mergeCell ref="O49:P49"/>
    <mergeCell ref="D50:E50"/>
    <mergeCell ref="G50:H50"/>
    <mergeCell ref="J50:K50"/>
    <mergeCell ref="M50:N50"/>
    <mergeCell ref="O50:P50"/>
    <mergeCell ref="D48:E48"/>
    <mergeCell ref="G48:H48"/>
    <mergeCell ref="J48:K48"/>
    <mergeCell ref="M48:N48"/>
    <mergeCell ref="O48:P48"/>
    <mergeCell ref="D44:P44"/>
    <mergeCell ref="D45:E47"/>
    <mergeCell ref="F45:F47"/>
    <mergeCell ref="G45:H47"/>
    <mergeCell ref="I45:I47"/>
    <mergeCell ref="J45:K47"/>
    <mergeCell ref="L45:L47"/>
    <mergeCell ref="M45:N45"/>
    <mergeCell ref="O45:P45"/>
    <mergeCell ref="M46:N46"/>
    <mergeCell ref="D31:I31"/>
    <mergeCell ref="D34:Q34"/>
    <mergeCell ref="C37:L37"/>
    <mergeCell ref="M37:R37"/>
    <mergeCell ref="D32:I32"/>
    <mergeCell ref="J31:K31"/>
    <mergeCell ref="J32:K32"/>
    <mergeCell ref="O46:P46"/>
    <mergeCell ref="M47:N47"/>
    <mergeCell ref="O47:P47"/>
    <mergeCell ref="C2:R2"/>
    <mergeCell ref="C3:F3"/>
    <mergeCell ref="G3:J3"/>
    <mergeCell ref="K3:N3"/>
    <mergeCell ref="O3:R3"/>
    <mergeCell ref="C4:F4"/>
    <mergeCell ref="G4:J4"/>
    <mergeCell ref="K4:N4"/>
    <mergeCell ref="O4:R4"/>
    <mergeCell ref="C5:F5"/>
    <mergeCell ref="G5:J5"/>
    <mergeCell ref="K5:N5"/>
    <mergeCell ref="O5:R5"/>
    <mergeCell ref="C6:F6"/>
    <mergeCell ref="G6:J6"/>
    <mergeCell ref="K6:N6"/>
    <mergeCell ref="O6:R6"/>
    <mergeCell ref="D12:K12"/>
    <mergeCell ref="L12:M12"/>
    <mergeCell ref="C8:R8"/>
    <mergeCell ref="D10:M10"/>
    <mergeCell ref="D11:K11"/>
    <mergeCell ref="L11:M11"/>
    <mergeCell ref="N10:P10"/>
    <mergeCell ref="N11:P11"/>
    <mergeCell ref="N12:P12"/>
    <mergeCell ref="N13:P13"/>
    <mergeCell ref="N14:P14"/>
    <mergeCell ref="N15:O15"/>
    <mergeCell ref="D17:Q18"/>
    <mergeCell ref="D13:K13"/>
    <mergeCell ref="L13:M13"/>
    <mergeCell ref="D28:I29"/>
    <mergeCell ref="J28:J29"/>
    <mergeCell ref="K28:N28"/>
    <mergeCell ref="P28:P29"/>
    <mergeCell ref="Q28:Q29"/>
    <mergeCell ref="K29:N29"/>
    <mergeCell ref="D14:K14"/>
    <mergeCell ref="L14:M14"/>
    <mergeCell ref="C21:R21"/>
    <mergeCell ref="D23:Q23"/>
    <mergeCell ref="D24:J24"/>
    <mergeCell ref="D25:J25"/>
    <mergeCell ref="K24:Q24"/>
    <mergeCell ref="K25:Q25"/>
    <mergeCell ref="D26:I26"/>
    <mergeCell ref="D27:I27"/>
    <mergeCell ref="K26:Q26"/>
    <mergeCell ref="K27:Q27"/>
    <mergeCell ref="D39:Q39"/>
    <mergeCell ref="D40:F40"/>
    <mergeCell ref="G40:J40"/>
    <mergeCell ref="K40:M40"/>
    <mergeCell ref="N40:Q40"/>
    <mergeCell ref="D41:F42"/>
    <mergeCell ref="G41:J42"/>
    <mergeCell ref="K41:M41"/>
    <mergeCell ref="N41:Q41"/>
    <mergeCell ref="K42:M42"/>
    <mergeCell ref="N42:Q42"/>
  </mergeCells>
  <conditionalFormatting sqref="D38">
    <cfRule type="expression" dxfId="17" priority="1">
      <formula>AND($J$26="Oui",$J$27="Oui")</formula>
    </cfRule>
  </conditionalFormatting>
  <conditionalFormatting sqref="D27:Q27 K28:O29">
    <cfRule type="expression" dxfId="16" priority="44">
      <formula>$J$26 = "Oui"</formula>
    </cfRule>
  </conditionalFormatting>
  <conditionalFormatting sqref="J26:J28">
    <cfRule type="cellIs" dxfId="15" priority="45" operator="equal">
      <formula>"Oui"</formula>
    </cfRule>
    <cfRule type="cellIs" dxfId="14" priority="46" operator="equal">
      <formula>"Non"</formula>
    </cfRule>
  </conditionalFormatting>
  <conditionalFormatting sqref="J32:K32">
    <cfRule type="containsText" dxfId="13" priority="73" operator="containsText" text="contrôlé">
      <formula>NOT(ISERROR(SEARCH("contrôlé",J32)))</formula>
    </cfRule>
    <cfRule type="containsText" dxfId="12" priority="74" operator="containsText" text="Réserve">
      <formula>NOT(ISERROR(SEARCH("Réserve",J32)))</formula>
    </cfRule>
    <cfRule type="containsText" dxfId="11" priority="75" operator="containsText" text="Non validé">
      <formula>NOT(ISERROR(SEARCH("Non validé",J32)))</formula>
    </cfRule>
    <cfRule type="containsText" dxfId="10" priority="76" operator="containsText" text="Validé">
      <formula>NOT(ISERROR(SEARCH("Validé",J32)))</formula>
    </cfRule>
  </conditionalFormatting>
  <conditionalFormatting sqref="K41:M41">
    <cfRule type="expression" dxfId="9" priority="2">
      <formula>$D41="Oui"</formula>
    </cfRule>
  </conditionalFormatting>
  <conditionalFormatting sqref="K42:M42">
    <cfRule type="expression" dxfId="8" priority="9">
      <formula>$D41="Oui"</formula>
    </cfRule>
  </conditionalFormatting>
  <conditionalFormatting sqref="L11:L14">
    <cfRule type="cellIs" dxfId="7" priority="47" operator="equal">
      <formula>"Oui"</formula>
    </cfRule>
    <cfRule type="cellIs" dxfId="6" priority="48" operator="equal">
      <formula>"Non"</formula>
    </cfRule>
  </conditionalFormatting>
  <conditionalFormatting sqref="N41:Q41">
    <cfRule type="expression" dxfId="5" priority="5">
      <formula>$D41="Oui"</formula>
    </cfRule>
  </conditionalFormatting>
  <conditionalFormatting sqref="N42:Q42">
    <cfRule type="expression" dxfId="4" priority="12">
      <formula>$D41="Oui"</formula>
    </cfRule>
  </conditionalFormatting>
  <conditionalFormatting sqref="Q30">
    <cfRule type="containsText" dxfId="3" priority="57" operator="containsText" text="contrôlé">
      <formula>NOT(ISERROR(SEARCH("contrôlé",Q30)))</formula>
    </cfRule>
    <cfRule type="containsText" dxfId="2" priority="58" operator="containsText" text="Réserve">
      <formula>NOT(ISERROR(SEARCH("Réserve",Q30)))</formula>
    </cfRule>
    <cfRule type="containsText" dxfId="1" priority="59" operator="containsText" text="Non validé">
      <formula>NOT(ISERROR(SEARCH("Non validé",Q30)))</formula>
    </cfRule>
    <cfRule type="containsText" dxfId="0" priority="60" operator="containsText" text="Validé">
      <formula>NOT(ISERROR(SEARCH("Validé",Q30)))</formula>
    </cfRule>
  </conditionalFormatting>
  <dataValidations count="9">
    <dataValidation type="list" allowBlank="1" showInputMessage="1" showErrorMessage="1" sqref="J26:J28 L12:L14 G41" xr:uid="{D9571EBC-6FF8-4CB6-B6B8-5654E9E0B57B}">
      <formula1>LISTE_1</formula1>
    </dataValidation>
    <dataValidation type="list" allowBlank="1" showDropDown="1" showInputMessage="1" showErrorMessage="1" sqref="Q30 J32:K32" xr:uid="{D1B42C2C-3860-4354-8AC9-256BA6C14366}">
      <formula1>LISTE_3</formula1>
    </dataValidation>
    <dataValidation type="list" allowBlank="1" showInputMessage="1" showErrorMessage="1" sqref="L11:M11" xr:uid="{4E722016-2475-44AF-AE08-F4A2E58C1B8F}">
      <formula1>LISTE_7</formula1>
    </dataValidation>
    <dataValidation allowBlank="1" showInputMessage="1" showErrorMessage="1" prompt="Vérifier l’information sur 3 rapports d’analyses correspondant à des bilans réalisés en période estivale" sqref="D13:K14" xr:uid="{545C6CD0-A9ED-41E6-A298-62445C7FF17E}"/>
    <dataValidation allowBlank="1" showInputMessage="1" showErrorMessage="1" prompt="Somme des valeurs indiquées dans la cellule &quot;NB analyses&quot; de chaque tableau &quot;Résultats du comparatif&quot; pour lesquel un &quot;préleveur&quot; est indiqué" sqref="K28:N28" xr:uid="{E058542D-631E-4A6B-B21A-D21257C1C38F}"/>
    <dataValidation allowBlank="1" showInputMessage="1" showErrorMessage="1" prompt="Somme des valeurs indiquées dans la cellule &quot;NB conforme de chaque tableau &quot;Résultats du comparatif&quot; pour lesquel un &quot;préleveur&quot; est indiqué" sqref="O29" xr:uid="{D931B9F1-2B7D-4728-BBB0-7177F63D1864}"/>
    <dataValidation type="list" allowBlank="1" showInputMessage="1" showErrorMessage="1" sqref="G40" xr:uid="{6478A3AA-E53F-46B7-8EB5-18387D457970}">
      <formula1>listePreleveurs</formula1>
    </dataValidation>
    <dataValidation type="list" allowBlank="1" showInputMessage="1" showErrorMessage="1" sqref="L48:L60 I48:I60" xr:uid="{9827A3EB-1CBF-4ADD-9F4D-3F87BB2F1115}">
      <formula1>"Oui,Non"</formula1>
    </dataValidation>
    <dataValidation type="list" allowBlank="1" showInputMessage="1" showErrorMessage="1" sqref="O48:P60" xr:uid="{FBBA08EE-22FE-4146-959F-992D7A46F6E4}">
      <mc:AlternateContent xmlns:x12ac="http://schemas.microsoft.com/office/spreadsheetml/2011/1/ac" xmlns:mc="http://schemas.openxmlformats.org/markup-compatibility/2006">
        <mc:Choice Requires="x12ac">
          <x12ac:list>"""Oui""""","""Non""",""""""</x12ac:list>
        </mc:Choice>
        <mc:Fallback>
          <formula1>"""Oui"""",""Non"","""""</formula1>
        </mc:Fallback>
      </mc:AlternateContent>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Feuil9"/>
  <dimension ref="A1:N68"/>
  <sheetViews>
    <sheetView showGridLines="0" zoomScaleNormal="100" workbookViewId="0">
      <selection activeCell="G24" sqref="G24"/>
    </sheetView>
  </sheetViews>
  <sheetFormatPr baseColWidth="10" defaultColWidth="11.41015625" defaultRowHeight="12.7" x14ac:dyDescent="0.4"/>
  <cols>
    <col min="1" max="1" width="36.87890625" bestFit="1" customWidth="1"/>
    <col min="2" max="2" width="24.41015625" customWidth="1"/>
    <col min="3" max="3" width="20.5859375" customWidth="1"/>
    <col min="4" max="4" width="28.703125" customWidth="1"/>
    <col min="6" max="6" width="19.29296875" customWidth="1"/>
    <col min="7" max="7" width="19" customWidth="1"/>
    <col min="8" max="8" width="13.5859375" customWidth="1"/>
  </cols>
  <sheetData>
    <row r="1" spans="1:14" x14ac:dyDescent="0.4">
      <c r="A1" s="307"/>
      <c r="B1" s="307"/>
      <c r="C1" s="307"/>
      <c r="D1" s="307"/>
      <c r="E1" s="307"/>
      <c r="F1" s="307"/>
      <c r="G1" s="307"/>
      <c r="H1" s="307"/>
      <c r="I1" s="307"/>
      <c r="J1" s="307"/>
      <c r="K1" s="307"/>
      <c r="L1" s="307"/>
      <c r="M1" s="307"/>
      <c r="N1" s="307"/>
    </row>
    <row r="2" spans="1:14" x14ac:dyDescent="0.4">
      <c r="A2" s="307"/>
      <c r="B2" s="307"/>
      <c r="C2" s="307"/>
      <c r="D2" s="307"/>
      <c r="E2" s="307"/>
      <c r="F2" s="307"/>
      <c r="G2" s="307"/>
      <c r="H2" s="307"/>
      <c r="I2" s="307"/>
      <c r="J2" s="307"/>
      <c r="K2" s="307"/>
      <c r="L2" s="307"/>
      <c r="M2" s="307"/>
      <c r="N2" s="307"/>
    </row>
    <row r="3" spans="1:14" x14ac:dyDescent="0.4">
      <c r="A3" s="427" t="s">
        <v>101</v>
      </c>
      <c r="B3" s="427" t="s">
        <v>102</v>
      </c>
      <c r="C3" s="427" t="s">
        <v>178</v>
      </c>
      <c r="D3" s="428" t="s">
        <v>103</v>
      </c>
      <c r="E3" s="427" t="s">
        <v>20</v>
      </c>
      <c r="F3" s="427" t="s">
        <v>20</v>
      </c>
      <c r="G3" s="428" t="s">
        <v>103</v>
      </c>
      <c r="H3" s="428" t="s">
        <v>103</v>
      </c>
      <c r="I3" s="427" t="s">
        <v>20</v>
      </c>
      <c r="J3" s="307"/>
      <c r="K3" s="307"/>
      <c r="L3" s="307"/>
      <c r="M3" s="307"/>
      <c r="N3" s="307"/>
    </row>
    <row r="4" spans="1:14" x14ac:dyDescent="0.4">
      <c r="A4" s="307" t="s">
        <v>69</v>
      </c>
      <c r="B4" s="307" t="s">
        <v>78</v>
      </c>
      <c r="C4" s="307" t="s">
        <v>449</v>
      </c>
      <c r="D4" s="433" t="s">
        <v>106</v>
      </c>
      <c r="E4" s="2" t="s">
        <v>107</v>
      </c>
      <c r="F4" s="2" t="s">
        <v>108</v>
      </c>
      <c r="G4" s="2" t="s">
        <v>64</v>
      </c>
      <c r="H4" s="307" t="s">
        <v>109</v>
      </c>
      <c r="I4" s="2" t="s">
        <v>107</v>
      </c>
      <c r="J4" s="2"/>
      <c r="K4" s="307"/>
      <c r="L4" s="307"/>
      <c r="M4" s="307"/>
      <c r="N4" s="307"/>
    </row>
    <row r="5" spans="1:14" x14ac:dyDescent="0.4">
      <c r="A5" s="307" t="s">
        <v>70</v>
      </c>
      <c r="B5" s="307" t="s">
        <v>79</v>
      </c>
      <c r="C5" s="307" t="s">
        <v>450</v>
      </c>
      <c r="D5" s="433" t="s">
        <v>67</v>
      </c>
      <c r="E5" s="2" t="s">
        <v>104</v>
      </c>
      <c r="F5" s="2" t="s">
        <v>110</v>
      </c>
      <c r="G5" s="2" t="s">
        <v>111</v>
      </c>
      <c r="H5" s="307" t="s">
        <v>112</v>
      </c>
      <c r="I5" s="2" t="s">
        <v>104</v>
      </c>
      <c r="J5" s="2"/>
      <c r="K5" s="307"/>
      <c r="L5" s="307"/>
      <c r="M5" s="307"/>
      <c r="N5" s="307"/>
    </row>
    <row r="6" spans="1:14" x14ac:dyDescent="0.4">
      <c r="A6" s="307" t="s">
        <v>71</v>
      </c>
      <c r="B6" s="307" t="s">
        <v>80</v>
      </c>
      <c r="C6" s="307" t="s">
        <v>320</v>
      </c>
      <c r="D6" s="433" t="s">
        <v>66</v>
      </c>
      <c r="E6" s="2" t="s">
        <v>65</v>
      </c>
      <c r="F6" s="2" t="s">
        <v>113</v>
      </c>
      <c r="G6" s="307"/>
      <c r="H6" s="307"/>
      <c r="I6" s="2" t="s">
        <v>65</v>
      </c>
      <c r="J6" s="2"/>
      <c r="K6" s="307"/>
      <c r="L6" s="307"/>
      <c r="M6" s="307"/>
      <c r="N6" s="307"/>
    </row>
    <row r="7" spans="1:14" x14ac:dyDescent="0.4">
      <c r="A7" s="307" t="s">
        <v>72</v>
      </c>
      <c r="B7" s="307"/>
      <c r="C7" s="307" t="s">
        <v>302</v>
      </c>
      <c r="D7" s="433" t="s">
        <v>115</v>
      </c>
      <c r="E7" s="2" t="s">
        <v>116</v>
      </c>
      <c r="F7" s="2" t="s">
        <v>117</v>
      </c>
      <c r="G7" s="307"/>
      <c r="H7" s="307"/>
      <c r="I7" s="2" t="s">
        <v>116</v>
      </c>
      <c r="J7" s="2"/>
      <c r="K7" s="307"/>
      <c r="L7" s="307"/>
      <c r="M7" s="307"/>
      <c r="N7" s="307"/>
    </row>
    <row r="8" spans="1:14" x14ac:dyDescent="0.4">
      <c r="A8" s="307" t="s">
        <v>32</v>
      </c>
      <c r="B8" s="307"/>
      <c r="C8" s="307"/>
      <c r="D8" s="433" t="s">
        <v>118</v>
      </c>
      <c r="E8" s="2" t="s">
        <v>119</v>
      </c>
      <c r="F8" s="3"/>
      <c r="G8" s="307"/>
      <c r="H8" s="307"/>
      <c r="I8" s="2" t="s">
        <v>119</v>
      </c>
      <c r="J8" s="2"/>
      <c r="K8" s="307"/>
      <c r="L8" s="307"/>
      <c r="M8" s="307"/>
      <c r="N8" s="307"/>
    </row>
    <row r="9" spans="1:14" x14ac:dyDescent="0.4">
      <c r="A9" s="307" t="s">
        <v>73</v>
      </c>
      <c r="B9" s="307"/>
      <c r="C9" s="307"/>
      <c r="D9" s="433" t="s">
        <v>120</v>
      </c>
      <c r="E9" s="2" t="s">
        <v>121</v>
      </c>
      <c r="F9" s="3"/>
      <c r="G9" s="307"/>
      <c r="H9" s="307"/>
      <c r="I9" s="2" t="s">
        <v>121</v>
      </c>
      <c r="J9" s="2"/>
      <c r="K9" s="307"/>
      <c r="L9" s="307"/>
      <c r="M9" s="307"/>
      <c r="N9" s="307"/>
    </row>
    <row r="10" spans="1:14" x14ac:dyDescent="0.4">
      <c r="A10" s="307" t="s">
        <v>75</v>
      </c>
      <c r="B10" s="307"/>
      <c r="C10" s="307"/>
      <c r="D10" s="432"/>
      <c r="E10" s="2" t="s">
        <v>123</v>
      </c>
      <c r="F10" s="2"/>
      <c r="G10" s="307"/>
      <c r="H10" s="307"/>
      <c r="I10" s="2" t="s">
        <v>123</v>
      </c>
      <c r="J10" s="2"/>
      <c r="K10" s="307"/>
      <c r="L10" s="307"/>
      <c r="M10" s="307"/>
      <c r="N10" s="307"/>
    </row>
    <row r="11" spans="1:14" x14ac:dyDescent="0.4">
      <c r="A11" s="307" t="s">
        <v>33</v>
      </c>
      <c r="B11" s="307"/>
      <c r="C11" s="307"/>
      <c r="D11" s="432"/>
      <c r="E11" s="2" t="s">
        <v>105</v>
      </c>
      <c r="F11" s="307"/>
      <c r="G11" s="307"/>
      <c r="H11" s="307"/>
      <c r="I11" s="2" t="s">
        <v>105</v>
      </c>
      <c r="J11" s="2"/>
      <c r="K11" s="307"/>
      <c r="L11" s="307"/>
      <c r="M11" s="307"/>
      <c r="N11" s="307"/>
    </row>
    <row r="12" spans="1:14" x14ac:dyDescent="0.4">
      <c r="A12" s="307" t="s">
        <v>77</v>
      </c>
      <c r="B12" s="307"/>
      <c r="C12" s="307"/>
      <c r="D12" s="432"/>
      <c r="E12" s="2" t="s">
        <v>114</v>
      </c>
      <c r="F12" s="307"/>
      <c r="G12" s="307"/>
      <c r="H12" s="307"/>
      <c r="I12" s="2" t="s">
        <v>114</v>
      </c>
      <c r="J12" s="2"/>
      <c r="K12" s="307"/>
      <c r="L12" s="307"/>
      <c r="M12" s="307"/>
      <c r="N12" s="307"/>
    </row>
    <row r="13" spans="1:14" x14ac:dyDescent="0.4">
      <c r="A13" s="307" t="s">
        <v>74</v>
      </c>
      <c r="B13" s="307"/>
      <c r="C13" s="307"/>
      <c r="D13" s="307"/>
      <c r="E13" s="2" t="s">
        <v>124</v>
      </c>
      <c r="F13" s="307"/>
      <c r="G13" s="307"/>
      <c r="H13" s="307"/>
      <c r="I13" s="2" t="s">
        <v>124</v>
      </c>
      <c r="J13" s="2"/>
      <c r="K13" s="307"/>
      <c r="L13" s="307"/>
      <c r="M13" s="307"/>
      <c r="N13" s="307"/>
    </row>
    <row r="14" spans="1:14" x14ac:dyDescent="0.4">
      <c r="A14" s="307" t="s">
        <v>76</v>
      </c>
      <c r="B14" s="307"/>
      <c r="C14" s="307"/>
      <c r="D14" s="307"/>
      <c r="E14" s="2" t="s">
        <v>127</v>
      </c>
      <c r="F14" s="307"/>
      <c r="G14" s="307"/>
      <c r="H14" s="307"/>
      <c r="I14" s="2" t="s">
        <v>127</v>
      </c>
      <c r="J14" s="2"/>
      <c r="K14" s="307"/>
      <c r="L14" s="307"/>
      <c r="M14" s="307"/>
      <c r="N14" s="307"/>
    </row>
    <row r="15" spans="1:14" x14ac:dyDescent="0.4">
      <c r="A15" s="307" t="s">
        <v>128</v>
      </c>
      <c r="B15" s="307"/>
      <c r="C15" s="307"/>
      <c r="D15" s="307"/>
      <c r="E15" s="2" t="s">
        <v>125</v>
      </c>
      <c r="F15" s="307"/>
      <c r="G15" s="307"/>
      <c r="H15" s="307"/>
      <c r="I15" s="2" t="s">
        <v>125</v>
      </c>
      <c r="J15" s="2"/>
      <c r="K15" s="307"/>
      <c r="L15" s="307"/>
      <c r="M15" s="307"/>
      <c r="N15" s="307"/>
    </row>
    <row r="16" spans="1:14" x14ac:dyDescent="0.4">
      <c r="A16" s="307"/>
      <c r="B16" s="307"/>
      <c r="C16" s="307"/>
      <c r="D16" s="307"/>
      <c r="E16" s="2" t="s">
        <v>126</v>
      </c>
      <c r="F16" s="307"/>
      <c r="G16" s="307"/>
      <c r="H16" s="307"/>
      <c r="I16" s="2" t="s">
        <v>126</v>
      </c>
      <c r="J16" s="2"/>
      <c r="K16" s="307"/>
      <c r="L16" s="307"/>
      <c r="M16" s="307"/>
      <c r="N16" s="307"/>
    </row>
    <row r="17" spans="1:14" x14ac:dyDescent="0.4">
      <c r="A17" s="307"/>
      <c r="B17" s="307"/>
      <c r="C17" s="307"/>
      <c r="D17" s="307"/>
      <c r="E17" s="2" t="s">
        <v>129</v>
      </c>
      <c r="F17" s="307"/>
      <c r="G17" s="307"/>
      <c r="H17" s="307"/>
      <c r="I17" s="2" t="s">
        <v>129</v>
      </c>
      <c r="J17" s="2"/>
      <c r="K17" s="307"/>
      <c r="L17" s="307"/>
      <c r="M17" s="307"/>
      <c r="N17" s="307"/>
    </row>
    <row r="18" spans="1:14" x14ac:dyDescent="0.4">
      <c r="A18" s="307"/>
      <c r="B18" s="307"/>
      <c r="C18" s="307"/>
      <c r="D18" s="307"/>
      <c r="E18" s="2" t="s">
        <v>122</v>
      </c>
      <c r="F18" s="307"/>
      <c r="G18" s="307"/>
      <c r="H18" s="307"/>
      <c r="I18" s="2" t="s">
        <v>122</v>
      </c>
      <c r="J18" s="2"/>
      <c r="K18" s="307"/>
      <c r="L18" s="307"/>
      <c r="M18" s="307"/>
      <c r="N18" s="307"/>
    </row>
    <row r="19" spans="1:14" x14ac:dyDescent="0.4">
      <c r="A19" s="307"/>
      <c r="B19" s="307"/>
      <c r="C19" s="307"/>
      <c r="D19" s="307"/>
      <c r="E19" s="2" t="s">
        <v>130</v>
      </c>
      <c r="F19" s="307"/>
      <c r="G19" s="307"/>
      <c r="H19" s="307"/>
      <c r="I19" s="2" t="s">
        <v>130</v>
      </c>
      <c r="J19" s="2"/>
      <c r="K19" s="307"/>
      <c r="L19" s="307"/>
      <c r="M19" s="307"/>
      <c r="N19" s="307"/>
    </row>
    <row r="20" spans="1:14" x14ac:dyDescent="0.4">
      <c r="A20" s="427" t="s">
        <v>97</v>
      </c>
      <c r="B20" s="427" t="s">
        <v>99</v>
      </c>
      <c r="C20" s="427" t="s">
        <v>98</v>
      </c>
      <c r="D20" s="427" t="s">
        <v>131</v>
      </c>
      <c r="E20" s="427"/>
      <c r="F20" s="427" t="s">
        <v>100</v>
      </c>
      <c r="G20" s="427" t="s">
        <v>542</v>
      </c>
      <c r="H20" s="428" t="s">
        <v>549</v>
      </c>
      <c r="I20" s="307"/>
      <c r="J20" s="307"/>
      <c r="K20" s="307"/>
      <c r="L20" s="307"/>
      <c r="M20" s="307"/>
      <c r="N20" s="307"/>
    </row>
    <row r="21" spans="1:14" x14ac:dyDescent="0.4">
      <c r="A21" s="2" t="s">
        <v>64</v>
      </c>
      <c r="B21" s="2" t="s">
        <v>106</v>
      </c>
      <c r="C21" s="2" t="s">
        <v>106</v>
      </c>
      <c r="D21" s="2" t="s">
        <v>106</v>
      </c>
      <c r="E21" s="307"/>
      <c r="F21" s="2" t="s">
        <v>106</v>
      </c>
      <c r="G21" s="2" t="s">
        <v>64</v>
      </c>
      <c r="H21" s="2" t="s">
        <v>64</v>
      </c>
      <c r="I21" s="307"/>
      <c r="J21" s="307"/>
      <c r="K21" s="307"/>
      <c r="L21" s="307"/>
      <c r="M21" s="307"/>
      <c r="N21" s="307"/>
    </row>
    <row r="22" spans="1:14" x14ac:dyDescent="0.4">
      <c r="A22" s="2" t="s">
        <v>111</v>
      </c>
      <c r="B22" s="2" t="s">
        <v>67</v>
      </c>
      <c r="C22" s="2" t="s">
        <v>67</v>
      </c>
      <c r="D22" s="2" t="s">
        <v>67</v>
      </c>
      <c r="E22" s="307"/>
      <c r="F22" s="2" t="s">
        <v>132</v>
      </c>
      <c r="G22" s="2" t="s">
        <v>111</v>
      </c>
      <c r="H22" s="2" t="s">
        <v>111</v>
      </c>
      <c r="I22" s="307"/>
      <c r="J22" s="307"/>
      <c r="K22" s="307"/>
      <c r="L22" s="307"/>
      <c r="M22" s="307"/>
      <c r="N22" s="307"/>
    </row>
    <row r="23" spans="1:14" x14ac:dyDescent="0.4">
      <c r="A23" s="2"/>
      <c r="B23" s="2" t="s">
        <v>66</v>
      </c>
      <c r="C23" s="2" t="s">
        <v>66</v>
      </c>
      <c r="D23" s="2" t="s">
        <v>66</v>
      </c>
      <c r="E23" s="307"/>
      <c r="F23" s="2" t="s">
        <v>133</v>
      </c>
      <c r="G23" s="2" t="s">
        <v>566</v>
      </c>
      <c r="H23" s="2" t="s">
        <v>66</v>
      </c>
      <c r="I23" s="307"/>
      <c r="J23" s="307"/>
      <c r="K23" s="307"/>
      <c r="L23" s="307"/>
      <c r="M23" s="307"/>
      <c r="N23" s="307"/>
    </row>
    <row r="24" spans="1:14" x14ac:dyDescent="0.4">
      <c r="A24" s="307"/>
      <c r="B24" s="307"/>
      <c r="C24" s="2" t="s">
        <v>115</v>
      </c>
      <c r="D24" s="2" t="s">
        <v>115</v>
      </c>
      <c r="E24" s="307"/>
      <c r="F24" s="2" t="s">
        <v>66</v>
      </c>
      <c r="G24" s="307"/>
      <c r="H24" s="2"/>
      <c r="I24" s="307"/>
      <c r="J24" s="307"/>
      <c r="K24" s="307"/>
      <c r="L24" s="307"/>
      <c r="M24" s="307"/>
      <c r="N24" s="307"/>
    </row>
    <row r="25" spans="1:14" ht="14.25" customHeight="1" x14ac:dyDescent="0.4">
      <c r="A25" s="307"/>
      <c r="B25" s="307"/>
      <c r="C25" s="307"/>
      <c r="D25" s="2" t="s">
        <v>118</v>
      </c>
      <c r="E25" s="307"/>
      <c r="F25" s="307"/>
      <c r="G25" s="307"/>
      <c r="H25" s="307"/>
      <c r="I25" s="307"/>
      <c r="J25" s="307"/>
      <c r="K25" s="307"/>
      <c r="L25" s="307"/>
      <c r="M25" s="307"/>
      <c r="N25" s="307"/>
    </row>
    <row r="26" spans="1:14" x14ac:dyDescent="0.4">
      <c r="A26" s="307"/>
      <c r="B26" s="307"/>
      <c r="C26" s="307"/>
      <c r="D26" s="2" t="s">
        <v>120</v>
      </c>
      <c r="E26" s="307"/>
      <c r="F26" s="307"/>
      <c r="G26" s="307"/>
      <c r="H26" s="307"/>
      <c r="I26" s="307"/>
      <c r="J26" s="307"/>
      <c r="K26" s="307"/>
      <c r="L26" s="307"/>
      <c r="M26" s="307"/>
      <c r="N26" s="307"/>
    </row>
    <row r="27" spans="1:14" x14ac:dyDescent="0.4">
      <c r="A27" s="307"/>
      <c r="B27" s="307"/>
      <c r="C27" s="307"/>
      <c r="D27" s="307"/>
      <c r="E27" s="307"/>
      <c r="F27" s="307"/>
      <c r="G27" s="307"/>
      <c r="H27" s="307"/>
      <c r="I27" s="307"/>
      <c r="J27" s="307"/>
      <c r="K27" s="307"/>
      <c r="L27" s="307"/>
      <c r="M27" s="307"/>
      <c r="N27" s="307"/>
    </row>
    <row r="28" spans="1:14" x14ac:dyDescent="0.4">
      <c r="A28" s="427" t="s">
        <v>194</v>
      </c>
      <c r="B28" s="427"/>
      <c r="C28" s="427"/>
      <c r="D28" s="427"/>
      <c r="E28" s="307"/>
      <c r="F28" s="307"/>
      <c r="G28" s="307"/>
      <c r="H28" s="307"/>
      <c r="I28" s="307"/>
      <c r="J28" s="307"/>
      <c r="K28" s="307"/>
      <c r="L28" s="307"/>
      <c r="M28" s="307"/>
      <c r="N28" s="307"/>
    </row>
    <row r="29" spans="1:14" x14ac:dyDescent="0.4">
      <c r="A29" s="429" t="s">
        <v>189</v>
      </c>
      <c r="B29" s="429" t="s">
        <v>193</v>
      </c>
      <c r="C29" s="429" t="s">
        <v>321</v>
      </c>
      <c r="D29" s="429" t="s">
        <v>529</v>
      </c>
      <c r="E29" s="307"/>
      <c r="F29" s="307"/>
      <c r="G29" s="307"/>
      <c r="H29" s="307"/>
      <c r="I29" s="307"/>
      <c r="J29" s="307"/>
      <c r="K29" s="307"/>
      <c r="L29" s="307"/>
      <c r="M29" s="307"/>
      <c r="N29" s="307"/>
    </row>
    <row r="30" spans="1:14" x14ac:dyDescent="0.4">
      <c r="A30" s="432" t="s">
        <v>70</v>
      </c>
      <c r="B30" s="432" t="s">
        <v>69</v>
      </c>
      <c r="C30" s="432" t="s">
        <v>181</v>
      </c>
      <c r="D30" s="432" t="s">
        <v>544</v>
      </c>
      <c r="E30" s="432"/>
      <c r="F30" s="432"/>
      <c r="G30" s="307"/>
      <c r="H30" s="307"/>
      <c r="I30" s="307"/>
      <c r="J30" s="307"/>
      <c r="K30" s="307"/>
      <c r="L30" s="307"/>
      <c r="M30" s="307"/>
      <c r="N30" s="307"/>
    </row>
    <row r="31" spans="1:14" x14ac:dyDescent="0.4">
      <c r="A31" s="432" t="s">
        <v>71</v>
      </c>
      <c r="B31" s="432" t="s">
        <v>72</v>
      </c>
      <c r="C31" s="432" t="s">
        <v>322</v>
      </c>
      <c r="D31" s="432" t="s">
        <v>545</v>
      </c>
      <c r="E31" s="432"/>
      <c r="F31" s="432"/>
      <c r="G31" s="307"/>
      <c r="H31" s="307"/>
      <c r="I31" s="307"/>
      <c r="J31" s="307"/>
      <c r="K31" s="307"/>
      <c r="L31" s="307"/>
      <c r="M31" s="307"/>
      <c r="N31" s="307"/>
    </row>
    <row r="32" spans="1:14" x14ac:dyDescent="0.4">
      <c r="A32" s="432" t="s">
        <v>188</v>
      </c>
      <c r="B32" s="432" t="s">
        <v>32</v>
      </c>
      <c r="C32" s="432" t="s">
        <v>323</v>
      </c>
      <c r="D32" s="432" t="s">
        <v>546</v>
      </c>
      <c r="E32" s="432"/>
      <c r="F32" s="432"/>
      <c r="G32" s="307"/>
      <c r="H32" s="307"/>
      <c r="I32" s="307"/>
      <c r="J32" s="307"/>
      <c r="K32" s="307"/>
      <c r="L32" s="307"/>
      <c r="M32" s="307"/>
      <c r="N32" s="307"/>
    </row>
    <row r="33" spans="1:14" x14ac:dyDescent="0.4">
      <c r="A33" s="432" t="s">
        <v>190</v>
      </c>
      <c r="B33" s="432" t="s">
        <v>73</v>
      </c>
      <c r="C33" s="432"/>
      <c r="D33" s="432"/>
      <c r="E33" s="432"/>
      <c r="F33" s="432"/>
      <c r="G33" s="307"/>
      <c r="H33" s="307"/>
      <c r="I33" s="307"/>
      <c r="J33" s="307"/>
      <c r="K33" s="307"/>
      <c r="L33" s="307"/>
      <c r="M33" s="307"/>
      <c r="N33" s="307"/>
    </row>
    <row r="34" spans="1:14" x14ac:dyDescent="0.4">
      <c r="A34" s="432" t="s">
        <v>74</v>
      </c>
      <c r="B34" s="432" t="s">
        <v>75</v>
      </c>
      <c r="C34" s="432"/>
      <c r="D34" s="432"/>
      <c r="E34" s="432"/>
      <c r="F34" s="432"/>
      <c r="G34" s="307"/>
      <c r="H34" s="307"/>
      <c r="I34" s="307"/>
      <c r="J34" s="307"/>
      <c r="K34" s="307"/>
      <c r="L34" s="307"/>
      <c r="M34" s="307"/>
      <c r="N34" s="307"/>
    </row>
    <row r="35" spans="1:14" x14ac:dyDescent="0.4">
      <c r="A35" s="432" t="s">
        <v>191</v>
      </c>
      <c r="B35" s="432" t="s">
        <v>33</v>
      </c>
      <c r="C35" s="432"/>
      <c r="D35" s="432"/>
      <c r="E35" s="432"/>
      <c r="F35" s="432"/>
      <c r="G35" s="307"/>
      <c r="H35" s="307"/>
      <c r="I35" s="307"/>
      <c r="J35" s="307"/>
      <c r="K35" s="307"/>
      <c r="L35" s="307"/>
      <c r="M35" s="307"/>
      <c r="N35" s="307"/>
    </row>
    <row r="36" spans="1:14" x14ac:dyDescent="0.4">
      <c r="A36" s="432" t="s">
        <v>128</v>
      </c>
      <c r="B36" s="432" t="s">
        <v>77</v>
      </c>
      <c r="C36" s="432"/>
      <c r="D36" s="432"/>
      <c r="E36" s="432"/>
      <c r="F36" s="432"/>
      <c r="G36" s="307"/>
      <c r="H36" s="307"/>
      <c r="I36" s="307"/>
      <c r="J36" s="307"/>
      <c r="K36" s="307"/>
      <c r="L36" s="307"/>
      <c r="M36" s="307"/>
      <c r="N36" s="307"/>
    </row>
    <row r="37" spans="1:14" x14ac:dyDescent="0.4">
      <c r="A37" s="432"/>
      <c r="B37" s="432" t="s">
        <v>74</v>
      </c>
      <c r="C37" s="432"/>
      <c r="D37" s="432"/>
      <c r="E37" s="432"/>
      <c r="F37" s="432"/>
      <c r="G37" s="307"/>
      <c r="H37" s="307"/>
      <c r="I37" s="307"/>
      <c r="J37" s="307"/>
      <c r="K37" s="307"/>
      <c r="L37" s="307"/>
      <c r="M37" s="307"/>
      <c r="N37" s="307"/>
    </row>
    <row r="38" spans="1:14" x14ac:dyDescent="0.4">
      <c r="A38" s="432"/>
      <c r="B38" s="432" t="s">
        <v>76</v>
      </c>
      <c r="C38" s="432"/>
      <c r="D38" s="432"/>
      <c r="E38" s="432"/>
      <c r="F38" s="432"/>
      <c r="G38" s="307"/>
      <c r="H38" s="307"/>
      <c r="I38" s="307"/>
      <c r="J38" s="307"/>
      <c r="K38" s="307"/>
      <c r="L38" s="307"/>
      <c r="M38" s="307"/>
      <c r="N38" s="307"/>
    </row>
    <row r="39" spans="1:14" x14ac:dyDescent="0.4">
      <c r="A39" s="432"/>
      <c r="B39" s="432" t="s">
        <v>128</v>
      </c>
      <c r="C39" s="432"/>
      <c r="D39" s="432"/>
      <c r="E39" s="432"/>
      <c r="F39" s="432"/>
      <c r="G39" s="307"/>
      <c r="H39" s="307"/>
      <c r="I39" s="307"/>
      <c r="J39" s="307"/>
      <c r="K39" s="307"/>
      <c r="L39" s="307"/>
      <c r="M39" s="307"/>
      <c r="N39" s="307"/>
    </row>
    <row r="40" spans="1:14" x14ac:dyDescent="0.4">
      <c r="A40" s="432"/>
      <c r="B40" s="432"/>
      <c r="C40" s="432"/>
      <c r="D40" s="432"/>
      <c r="E40" s="432"/>
      <c r="F40" s="432"/>
      <c r="G40" s="307"/>
      <c r="H40" s="307"/>
      <c r="I40" s="307"/>
      <c r="J40" s="307"/>
      <c r="K40" s="307"/>
      <c r="L40" s="307"/>
      <c r="M40" s="307"/>
      <c r="N40" s="307"/>
    </row>
    <row r="41" spans="1:14" x14ac:dyDescent="0.4">
      <c r="A41" s="307"/>
      <c r="B41" s="307"/>
      <c r="C41" s="307"/>
      <c r="D41" s="307"/>
      <c r="E41" s="307"/>
      <c r="F41" s="307"/>
      <c r="G41" s="307"/>
      <c r="H41" s="307"/>
      <c r="I41" s="307"/>
      <c r="J41" s="307"/>
      <c r="K41" s="307"/>
      <c r="L41" s="307"/>
      <c r="M41" s="307"/>
      <c r="N41" s="307"/>
    </row>
    <row r="42" spans="1:14" x14ac:dyDescent="0.4">
      <c r="A42" s="427" t="s">
        <v>195</v>
      </c>
      <c r="B42" s="427"/>
      <c r="C42" s="427"/>
      <c r="D42" s="427"/>
      <c r="E42" s="427"/>
      <c r="F42" s="427"/>
      <c r="G42" s="427"/>
      <c r="H42" s="307"/>
      <c r="I42" s="307"/>
      <c r="J42" s="307"/>
      <c r="K42" s="307"/>
      <c r="L42" s="307"/>
      <c r="M42" s="307"/>
      <c r="N42" s="307"/>
    </row>
    <row r="43" spans="1:14" x14ac:dyDescent="0.4">
      <c r="A43" s="429" t="s">
        <v>197</v>
      </c>
      <c r="B43" s="429" t="s">
        <v>42</v>
      </c>
      <c r="C43" s="429" t="s">
        <v>202</v>
      </c>
      <c r="D43" s="429" t="s">
        <v>209</v>
      </c>
      <c r="E43" s="429" t="s">
        <v>208</v>
      </c>
      <c r="F43" s="429" t="s">
        <v>192</v>
      </c>
      <c r="G43" s="430" t="s">
        <v>297</v>
      </c>
      <c r="H43" s="307"/>
      <c r="I43" s="307"/>
      <c r="J43" s="307"/>
      <c r="K43" s="307"/>
      <c r="L43" s="307"/>
      <c r="M43" s="307"/>
      <c r="N43" s="307"/>
    </row>
    <row r="44" spans="1:14" x14ac:dyDescent="0.4">
      <c r="A44" s="307" t="s">
        <v>176</v>
      </c>
      <c r="B44" s="307" t="s">
        <v>177</v>
      </c>
      <c r="C44" s="307" t="s">
        <v>201</v>
      </c>
      <c r="D44" s="307" t="s">
        <v>182</v>
      </c>
      <c r="E44" s="307" t="s">
        <v>210</v>
      </c>
      <c r="F44" s="307" t="s">
        <v>294</v>
      </c>
      <c r="G44" s="307" t="s">
        <v>404</v>
      </c>
      <c r="H44" s="307"/>
      <c r="I44" s="307"/>
      <c r="J44" s="307"/>
      <c r="K44" s="307"/>
      <c r="L44" s="307"/>
      <c r="M44" s="307"/>
      <c r="N44" s="307"/>
    </row>
    <row r="45" spans="1:14" x14ac:dyDescent="0.4">
      <c r="A45" s="307" t="s">
        <v>196</v>
      </c>
      <c r="B45" s="307" t="s">
        <v>331</v>
      </c>
      <c r="C45" s="307" t="s">
        <v>203</v>
      </c>
      <c r="D45" s="307" t="s">
        <v>207</v>
      </c>
      <c r="E45" s="307" t="s">
        <v>214</v>
      </c>
      <c r="F45" s="307" t="s">
        <v>295</v>
      </c>
      <c r="G45" s="307" t="s">
        <v>180</v>
      </c>
      <c r="H45" s="307"/>
      <c r="I45" s="307"/>
      <c r="J45" s="307"/>
      <c r="K45" s="307"/>
      <c r="L45" s="307"/>
      <c r="M45" s="307"/>
      <c r="N45" s="307"/>
    </row>
    <row r="46" spans="1:14" x14ac:dyDescent="0.4">
      <c r="A46" s="307" t="s">
        <v>215</v>
      </c>
      <c r="B46" s="307" t="s">
        <v>198</v>
      </c>
      <c r="C46" s="307" t="s">
        <v>204</v>
      </c>
      <c r="D46" s="307" t="s">
        <v>199</v>
      </c>
      <c r="E46" s="307" t="s">
        <v>183</v>
      </c>
      <c r="F46" s="307" t="s">
        <v>293</v>
      </c>
      <c r="G46" s="307" t="s">
        <v>298</v>
      </c>
      <c r="H46" s="307"/>
      <c r="I46" s="307"/>
      <c r="J46" s="307"/>
      <c r="K46" s="307"/>
      <c r="L46" s="307"/>
      <c r="M46" s="307"/>
      <c r="N46" s="307"/>
    </row>
    <row r="47" spans="1:14" x14ac:dyDescent="0.4">
      <c r="A47" s="307"/>
      <c r="B47" s="307" t="s">
        <v>199</v>
      </c>
      <c r="C47" s="307" t="s">
        <v>205</v>
      </c>
      <c r="D47" s="307"/>
      <c r="E47" s="307" t="s">
        <v>211</v>
      </c>
      <c r="F47" s="307"/>
      <c r="G47" s="307" t="s">
        <v>405</v>
      </c>
      <c r="H47" s="307"/>
      <c r="I47" s="307"/>
      <c r="J47" s="307"/>
      <c r="K47" s="307"/>
      <c r="L47" s="307"/>
      <c r="M47" s="307"/>
      <c r="N47" s="307"/>
    </row>
    <row r="48" spans="1:14" x14ac:dyDescent="0.4">
      <c r="A48" s="307"/>
      <c r="B48" s="307" t="s">
        <v>200</v>
      </c>
      <c r="C48" s="307" t="s">
        <v>206</v>
      </c>
      <c r="D48" s="307"/>
      <c r="E48" s="307" t="s">
        <v>212</v>
      </c>
      <c r="F48" s="307"/>
      <c r="G48" s="307"/>
      <c r="H48" s="307"/>
      <c r="I48" s="307"/>
      <c r="J48" s="307"/>
      <c r="K48" s="307"/>
      <c r="L48" s="307"/>
      <c r="M48" s="307"/>
      <c r="N48" s="307"/>
    </row>
    <row r="49" spans="1:14" x14ac:dyDescent="0.4">
      <c r="A49" s="307"/>
      <c r="B49" s="307"/>
      <c r="C49" s="307"/>
      <c r="D49" s="307"/>
      <c r="E49" s="307" t="s">
        <v>213</v>
      </c>
      <c r="F49" s="307"/>
      <c r="G49" s="307"/>
      <c r="H49" s="307"/>
      <c r="I49" s="307"/>
      <c r="J49" s="307"/>
      <c r="K49" s="307"/>
      <c r="L49" s="307"/>
      <c r="M49" s="307"/>
      <c r="N49" s="307"/>
    </row>
    <row r="50" spans="1:14" x14ac:dyDescent="0.4">
      <c r="A50" s="307"/>
      <c r="B50" s="307"/>
      <c r="C50" s="307"/>
      <c r="D50" s="307"/>
      <c r="E50" s="307" t="s">
        <v>179</v>
      </c>
      <c r="F50" s="307"/>
      <c r="G50" s="307"/>
      <c r="H50" s="307"/>
      <c r="I50" s="307"/>
      <c r="J50" s="307"/>
      <c r="K50" s="307"/>
      <c r="L50" s="307"/>
      <c r="M50" s="307"/>
      <c r="N50" s="307"/>
    </row>
    <row r="51" spans="1:14" x14ac:dyDescent="0.4">
      <c r="A51" s="307"/>
      <c r="B51" s="307"/>
      <c r="C51" s="307"/>
      <c r="D51" s="307"/>
      <c r="E51" s="307" t="s">
        <v>206</v>
      </c>
      <c r="F51" s="307"/>
      <c r="G51" s="307"/>
      <c r="H51" s="307"/>
      <c r="I51" s="307"/>
      <c r="J51" s="307"/>
      <c r="K51" s="307"/>
      <c r="L51" s="307"/>
      <c r="M51" s="307"/>
      <c r="N51" s="307"/>
    </row>
    <row r="52" spans="1:14" x14ac:dyDescent="0.4">
      <c r="A52" s="307"/>
      <c r="B52" s="307"/>
      <c r="C52" s="307"/>
      <c r="D52" s="307"/>
      <c r="E52" s="307"/>
      <c r="F52" s="307"/>
      <c r="G52" s="307"/>
      <c r="H52" s="307"/>
      <c r="I52" s="307"/>
      <c r="J52" s="307"/>
      <c r="K52" s="307"/>
      <c r="L52" s="307"/>
      <c r="M52" s="307"/>
      <c r="N52" s="307"/>
    </row>
    <row r="53" spans="1:14" x14ac:dyDescent="0.4">
      <c r="A53" s="431" t="s">
        <v>406</v>
      </c>
      <c r="B53" s="307"/>
      <c r="C53" s="307"/>
      <c r="D53" s="307"/>
      <c r="E53" s="307"/>
      <c r="F53" s="307"/>
      <c r="G53" s="307"/>
      <c r="H53" s="307"/>
      <c r="I53" s="307"/>
      <c r="J53" s="307"/>
      <c r="K53" s="307"/>
      <c r="L53" s="307"/>
      <c r="M53" s="307"/>
      <c r="N53" s="307"/>
    </row>
    <row r="54" spans="1:14" x14ac:dyDescent="0.4">
      <c r="A54" s="429" t="s">
        <v>407</v>
      </c>
      <c r="B54" s="429" t="s">
        <v>479</v>
      </c>
      <c r="C54" s="307"/>
      <c r="D54" s="307"/>
      <c r="E54" s="307"/>
      <c r="F54" s="307"/>
      <c r="G54" s="307"/>
      <c r="H54" s="307"/>
      <c r="I54" s="307"/>
      <c r="J54" s="307"/>
      <c r="K54" s="307"/>
      <c r="L54" s="307"/>
      <c r="M54" s="307"/>
      <c r="N54" s="307"/>
    </row>
    <row r="55" spans="1:14" x14ac:dyDescent="0.4">
      <c r="A55" s="307" t="s">
        <v>532</v>
      </c>
      <c r="B55" s="307" t="s">
        <v>480</v>
      </c>
      <c r="C55" s="307"/>
      <c r="D55" s="307"/>
      <c r="E55" s="307"/>
      <c r="F55" s="307"/>
      <c r="G55" s="307"/>
      <c r="H55" s="307"/>
      <c r="I55" s="307"/>
      <c r="J55" s="307"/>
      <c r="K55" s="307"/>
      <c r="L55" s="307"/>
      <c r="M55" s="307"/>
      <c r="N55" s="307"/>
    </row>
    <row r="56" spans="1:14" x14ac:dyDescent="0.4">
      <c r="A56" s="307" t="s">
        <v>408</v>
      </c>
      <c r="B56" s="307" t="s">
        <v>486</v>
      </c>
      <c r="C56" s="307"/>
      <c r="D56" s="307"/>
      <c r="E56" s="307"/>
      <c r="F56" s="307"/>
      <c r="G56" s="307"/>
      <c r="H56" s="307"/>
      <c r="I56" s="307"/>
      <c r="J56" s="307"/>
      <c r="K56" s="307"/>
      <c r="L56" s="307"/>
      <c r="M56" s="307"/>
      <c r="N56" s="307"/>
    </row>
    <row r="57" spans="1:14" x14ac:dyDescent="0.4">
      <c r="A57" s="307" t="s">
        <v>409</v>
      </c>
      <c r="B57" s="307"/>
      <c r="C57" s="307"/>
      <c r="D57" s="307"/>
      <c r="E57" s="307"/>
      <c r="F57" s="307"/>
      <c r="G57" s="307"/>
      <c r="H57" s="307"/>
      <c r="I57" s="307"/>
      <c r="J57" s="307"/>
      <c r="K57" s="307"/>
      <c r="L57" s="307"/>
      <c r="M57" s="307"/>
      <c r="N57" s="307"/>
    </row>
    <row r="58" spans="1:14" x14ac:dyDescent="0.4">
      <c r="A58" s="307"/>
      <c r="B58" s="307"/>
      <c r="C58" s="307"/>
      <c r="D58" s="307"/>
      <c r="E58" s="307"/>
      <c r="F58" s="307"/>
      <c r="G58" s="307"/>
      <c r="H58" s="307"/>
      <c r="I58" s="307"/>
      <c r="J58" s="307"/>
      <c r="K58" s="307"/>
      <c r="L58" s="307"/>
      <c r="M58" s="307"/>
      <c r="N58" s="307"/>
    </row>
    <row r="59" spans="1:14" x14ac:dyDescent="0.4">
      <c r="A59" s="307"/>
      <c r="B59" s="307"/>
      <c r="C59" s="307"/>
      <c r="D59" s="307"/>
      <c r="E59" s="307"/>
      <c r="F59" s="307"/>
      <c r="G59" s="307"/>
      <c r="H59" s="307"/>
      <c r="I59" s="307"/>
      <c r="J59" s="307"/>
      <c r="K59" s="307"/>
      <c r="L59" s="307"/>
      <c r="M59" s="307"/>
      <c r="N59" s="307"/>
    </row>
    <row r="60" spans="1:14" x14ac:dyDescent="0.4">
      <c r="A60" s="307"/>
      <c r="B60" s="307"/>
      <c r="C60" s="307"/>
      <c r="D60" s="307"/>
      <c r="E60" s="307"/>
      <c r="F60" s="307"/>
      <c r="G60" s="307"/>
      <c r="H60" s="307"/>
      <c r="I60" s="307"/>
      <c r="J60" s="307"/>
      <c r="K60" s="307"/>
      <c r="L60" s="307"/>
      <c r="M60" s="307"/>
      <c r="N60" s="307"/>
    </row>
    <row r="61" spans="1:14" x14ac:dyDescent="0.4">
      <c r="A61" s="307"/>
      <c r="B61" s="307"/>
      <c r="C61" s="307"/>
      <c r="D61" s="307"/>
      <c r="E61" s="307"/>
      <c r="F61" s="307"/>
      <c r="G61" s="307"/>
      <c r="H61" s="307"/>
      <c r="I61" s="307"/>
      <c r="J61" s="307"/>
      <c r="K61" s="307"/>
      <c r="L61" s="307"/>
      <c r="M61" s="307"/>
      <c r="N61" s="307"/>
    </row>
    <row r="62" spans="1:14" x14ac:dyDescent="0.4">
      <c r="A62" s="307"/>
      <c r="B62" s="307"/>
      <c r="C62" s="307"/>
      <c r="D62" s="307"/>
      <c r="E62" s="307"/>
      <c r="F62" s="307"/>
      <c r="G62" s="307"/>
      <c r="H62" s="307"/>
      <c r="I62" s="307"/>
      <c r="J62" s="307"/>
      <c r="K62" s="307"/>
      <c r="L62" s="307"/>
      <c r="M62" s="307"/>
      <c r="N62" s="307"/>
    </row>
    <row r="63" spans="1:14" x14ac:dyDescent="0.4">
      <c r="A63" s="307"/>
      <c r="B63" s="307"/>
      <c r="C63" s="307"/>
      <c r="D63" s="307"/>
      <c r="E63" s="307"/>
      <c r="F63" s="307"/>
      <c r="G63" s="307"/>
      <c r="H63" s="307"/>
      <c r="I63" s="307"/>
      <c r="J63" s="307"/>
      <c r="K63" s="307"/>
      <c r="L63" s="307"/>
      <c r="M63" s="307"/>
      <c r="N63" s="307"/>
    </row>
    <row r="64" spans="1:14" x14ac:dyDescent="0.4">
      <c r="A64" s="307"/>
      <c r="B64" s="307"/>
      <c r="C64" s="307"/>
      <c r="D64" s="307"/>
      <c r="E64" s="307"/>
      <c r="F64" s="307"/>
      <c r="G64" s="307"/>
      <c r="H64" s="307"/>
      <c r="I64" s="307"/>
      <c r="J64" s="307"/>
      <c r="K64" s="307"/>
      <c r="L64" s="307"/>
      <c r="M64" s="307"/>
      <c r="N64" s="307"/>
    </row>
    <row r="65" spans="1:14" x14ac:dyDescent="0.4">
      <c r="A65" s="307"/>
      <c r="B65" s="307"/>
      <c r="C65" s="307"/>
      <c r="D65" s="307"/>
      <c r="E65" s="307"/>
      <c r="F65" s="307"/>
      <c r="G65" s="307"/>
      <c r="H65" s="307"/>
      <c r="I65" s="307"/>
      <c r="J65" s="307"/>
      <c r="K65" s="307"/>
      <c r="L65" s="307"/>
      <c r="M65" s="307"/>
      <c r="N65" s="307"/>
    </row>
    <row r="66" spans="1:14" x14ac:dyDescent="0.4">
      <c r="A66" s="307"/>
      <c r="B66" s="307"/>
      <c r="C66" s="307"/>
      <c r="D66" s="307"/>
      <c r="E66" s="307"/>
      <c r="F66" s="307"/>
      <c r="G66" s="307"/>
      <c r="H66" s="307"/>
      <c r="I66" s="307"/>
      <c r="J66" s="307"/>
      <c r="K66" s="307"/>
      <c r="L66" s="307"/>
      <c r="M66" s="307"/>
      <c r="N66" s="307"/>
    </row>
    <row r="67" spans="1:14" x14ac:dyDescent="0.4">
      <c r="A67" s="307"/>
      <c r="B67" s="307"/>
      <c r="C67" s="307"/>
      <c r="D67" s="307"/>
      <c r="E67" s="307"/>
      <c r="F67" s="307"/>
      <c r="G67" s="307"/>
      <c r="H67" s="307"/>
      <c r="I67" s="307"/>
      <c r="J67" s="307"/>
      <c r="K67" s="307"/>
      <c r="L67" s="307"/>
      <c r="M67" s="307"/>
      <c r="N67" s="307"/>
    </row>
    <row r="68" spans="1:14" x14ac:dyDescent="0.4">
      <c r="A68" s="307"/>
      <c r="B68" s="307"/>
      <c r="C68" s="307"/>
      <c r="D68" s="307"/>
      <c r="E68" s="307"/>
      <c r="F68" s="307"/>
      <c r="G68" s="307"/>
      <c r="H68" s="307"/>
      <c r="I68" s="307"/>
      <c r="J68" s="307"/>
      <c r="K68" s="307"/>
      <c r="L68" s="307"/>
      <c r="M68" s="307"/>
      <c r="N68" s="307"/>
    </row>
  </sheetData>
  <sortState xmlns:xlrd2="http://schemas.microsoft.com/office/spreadsheetml/2017/richdata2" ref="H21:H27">
    <sortCondition ref="H21:H27"/>
  </sortState>
  <phoneticPr fontId="13" type="noConversion"/>
  <conditionalFormatting sqref="D4:D9">
    <cfRule type="expression" priority="11">
      <formula>IF($B$3="Industrie",1,0)</formula>
    </cfRule>
  </conditionalFormatting>
  <conditionalFormatting sqref="E4:E13 E15 E17:E19">
    <cfRule type="expression" priority="2">
      <formula>IF($B$3="Industrie",1,0)</formula>
    </cfRule>
  </conditionalFormatting>
  <conditionalFormatting sqref="F4:G12">
    <cfRule type="expression" priority="84">
      <formula>IF($B$3="Industrie",1,0)</formula>
    </cfRule>
  </conditionalFormatting>
  <conditionalFormatting sqref="G21:H22">
    <cfRule type="expression" priority="1">
      <formula>IF($B$3="Industrie",1,0)</formula>
    </cfRule>
  </conditionalFormatting>
  <conditionalFormatting sqref="I4:J13 I15:J15 I17:J19 A21:A23">
    <cfRule type="expression" priority="10">
      <formula>IF($B$3="Industrie",1,0)</formula>
    </cfRule>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Feuil3"/>
  <dimension ref="A1:N47"/>
  <sheetViews>
    <sheetView showGridLines="0" zoomScaleNormal="100" zoomScaleSheetLayoutView="100" workbookViewId="0">
      <selection activeCell="B27" sqref="B27"/>
    </sheetView>
  </sheetViews>
  <sheetFormatPr baseColWidth="10" defaultColWidth="0" defaultRowHeight="12.75" customHeight="1" zeroHeight="1" x14ac:dyDescent="0.4"/>
  <cols>
    <col min="1" max="1" width="2.703125" style="4" customWidth="1"/>
    <col min="2" max="2" width="10.1171875" style="4" bestFit="1" customWidth="1"/>
    <col min="3" max="3" width="10.5859375" style="8" bestFit="1" customWidth="1"/>
    <col min="4" max="4" width="14" style="8" bestFit="1" customWidth="1"/>
    <col min="5" max="5" width="11.87890625" style="4" bestFit="1" customWidth="1"/>
    <col min="6" max="6" width="11.5859375" style="4" bestFit="1" customWidth="1"/>
    <col min="7" max="7" width="17.87890625" style="4" customWidth="1"/>
    <col min="8" max="8" width="9.1171875" style="4" bestFit="1" customWidth="1"/>
    <col min="9" max="9" width="12.41015625" style="4" bestFit="1" customWidth="1"/>
    <col min="10" max="10" width="9.1171875" style="4" bestFit="1" customWidth="1"/>
    <col min="11" max="11" width="7.5859375" style="4" customWidth="1"/>
    <col min="12" max="14" width="0" style="4" hidden="1" customWidth="1"/>
    <col min="15" max="16384" width="11.41015625" style="4" hidden="1"/>
  </cols>
  <sheetData>
    <row r="1" spans="1:11" ht="13" thickBot="1" x14ac:dyDescent="0.45">
      <c r="A1" s="62"/>
      <c r="B1" s="62"/>
      <c r="C1" s="118"/>
      <c r="D1" s="118"/>
      <c r="E1" s="62"/>
      <c r="F1" s="62"/>
      <c r="G1" s="62"/>
      <c r="H1" s="62"/>
      <c r="I1" s="62"/>
      <c r="J1" s="62"/>
      <c r="K1" s="62"/>
    </row>
    <row r="2" spans="1:11" ht="15.7" thickBot="1" x14ac:dyDescent="0.45">
      <c r="A2" s="62"/>
      <c r="B2" s="870" t="s">
        <v>134</v>
      </c>
      <c r="C2" s="871"/>
      <c r="D2" s="871"/>
      <c r="E2" s="871"/>
      <c r="F2" s="871"/>
      <c r="G2" s="871"/>
      <c r="H2" s="871"/>
      <c r="I2" s="871"/>
      <c r="J2" s="872"/>
      <c r="K2" s="62"/>
    </row>
    <row r="3" spans="1:11" ht="13" thickBot="1" x14ac:dyDescent="0.45">
      <c r="A3" s="62"/>
      <c r="B3" s="62"/>
      <c r="C3" s="118"/>
      <c r="D3" s="118"/>
      <c r="E3" s="62"/>
      <c r="F3" s="62"/>
      <c r="G3" s="62"/>
      <c r="H3" s="62"/>
      <c r="I3" s="62"/>
      <c r="J3" s="62"/>
      <c r="K3" s="62"/>
    </row>
    <row r="4" spans="1:11" s="5" customFormat="1" ht="51" thickBot="1" x14ac:dyDescent="0.45">
      <c r="A4" s="98"/>
      <c r="B4" s="99" t="s">
        <v>31</v>
      </c>
      <c r="C4" s="99" t="s">
        <v>37</v>
      </c>
      <c r="D4" s="99" t="s">
        <v>135</v>
      </c>
      <c r="E4" s="120" t="s">
        <v>136</v>
      </c>
      <c r="F4" s="121" t="s">
        <v>137</v>
      </c>
      <c r="G4" s="122" t="s">
        <v>138</v>
      </c>
      <c r="H4" s="123" t="s">
        <v>139</v>
      </c>
      <c r="I4" s="122" t="s">
        <v>140</v>
      </c>
      <c r="J4" s="123" t="s">
        <v>139</v>
      </c>
      <c r="K4" s="124"/>
    </row>
    <row r="5" spans="1:11" ht="14.7" x14ac:dyDescent="0.4">
      <c r="A5" s="62"/>
      <c r="B5" s="125">
        <v>1313</v>
      </c>
      <c r="C5" s="125" t="s">
        <v>43</v>
      </c>
      <c r="D5" s="126" t="s">
        <v>141</v>
      </c>
      <c r="E5" s="127">
        <v>3</v>
      </c>
      <c r="F5" s="126">
        <v>15</v>
      </c>
      <c r="G5" s="128">
        <v>80</v>
      </c>
      <c r="H5" s="129">
        <v>0.3</v>
      </c>
      <c r="I5" s="130">
        <v>80</v>
      </c>
      <c r="J5" s="131">
        <v>0.2</v>
      </c>
      <c r="K5" s="62"/>
    </row>
    <row r="6" spans="1:11" ht="14.7" x14ac:dyDescent="0.4">
      <c r="A6" s="62"/>
      <c r="B6" s="132">
        <v>1314</v>
      </c>
      <c r="C6" s="132" t="s">
        <v>44</v>
      </c>
      <c r="D6" s="133" t="s">
        <v>141</v>
      </c>
      <c r="E6" s="134">
        <v>30</v>
      </c>
      <c r="F6" s="133">
        <v>80</v>
      </c>
      <c r="G6" s="135">
        <v>250</v>
      </c>
      <c r="H6" s="136">
        <v>0.2</v>
      </c>
      <c r="I6" s="135">
        <v>250</v>
      </c>
      <c r="J6" s="136">
        <v>0.1</v>
      </c>
      <c r="K6" s="62"/>
    </row>
    <row r="7" spans="1:11" ht="14.7" x14ac:dyDescent="0.4">
      <c r="A7" s="62"/>
      <c r="B7" s="132">
        <v>6396</v>
      </c>
      <c r="C7" s="132" t="s">
        <v>45</v>
      </c>
      <c r="D7" s="133" t="s">
        <v>141</v>
      </c>
      <c r="E7" s="134">
        <v>10</v>
      </c>
      <c r="F7" s="133">
        <v>20</v>
      </c>
      <c r="G7" s="135">
        <v>150</v>
      </c>
      <c r="H7" s="136">
        <v>0.2</v>
      </c>
      <c r="I7" s="135">
        <v>150</v>
      </c>
      <c r="J7" s="136">
        <v>0.1</v>
      </c>
      <c r="K7" s="62"/>
    </row>
    <row r="8" spans="1:11" ht="12.7" x14ac:dyDescent="0.4">
      <c r="A8" s="62"/>
      <c r="B8" s="132">
        <v>1305</v>
      </c>
      <c r="C8" s="132" t="s">
        <v>47</v>
      </c>
      <c r="D8" s="133" t="s">
        <v>142</v>
      </c>
      <c r="E8" s="134">
        <v>2</v>
      </c>
      <c r="F8" s="133">
        <v>15</v>
      </c>
      <c r="G8" s="135">
        <v>60</v>
      </c>
      <c r="H8" s="136">
        <v>0.3</v>
      </c>
      <c r="I8" s="135">
        <v>60</v>
      </c>
      <c r="J8" s="136">
        <v>0.2</v>
      </c>
      <c r="K8" s="62"/>
    </row>
    <row r="9" spans="1:11" ht="12.7" x14ac:dyDescent="0.4">
      <c r="A9" s="62"/>
      <c r="B9" s="137">
        <v>1319</v>
      </c>
      <c r="C9" s="137" t="s">
        <v>48</v>
      </c>
      <c r="D9" s="133" t="s">
        <v>143</v>
      </c>
      <c r="E9" s="134">
        <v>0.5</v>
      </c>
      <c r="F9" s="133">
        <v>6</v>
      </c>
      <c r="G9" s="6"/>
      <c r="H9" s="7"/>
      <c r="I9" s="135">
        <v>6</v>
      </c>
      <c r="J9" s="136">
        <v>0.1</v>
      </c>
      <c r="K9" s="62"/>
    </row>
    <row r="10" spans="1:11" ht="12.7" x14ac:dyDescent="0.4">
      <c r="A10" s="62"/>
      <c r="B10" s="132">
        <v>1551</v>
      </c>
      <c r="C10" s="132" t="s">
        <v>52</v>
      </c>
      <c r="D10" s="133" t="s">
        <v>143</v>
      </c>
      <c r="E10" s="134">
        <v>1</v>
      </c>
      <c r="F10" s="133">
        <v>6</v>
      </c>
      <c r="G10" s="6"/>
      <c r="H10" s="7"/>
      <c r="I10" s="135">
        <v>6</v>
      </c>
      <c r="J10" s="136">
        <v>0.2</v>
      </c>
      <c r="K10" s="62"/>
    </row>
    <row r="11" spans="1:11" ht="14.7" x14ac:dyDescent="0.4">
      <c r="A11" s="62"/>
      <c r="B11" s="137">
        <v>1335</v>
      </c>
      <c r="C11" s="137" t="s">
        <v>49</v>
      </c>
      <c r="D11" s="133" t="s">
        <v>144</v>
      </c>
      <c r="E11" s="134">
        <v>0.5</v>
      </c>
      <c r="F11" s="133">
        <v>6</v>
      </c>
      <c r="G11" s="6"/>
      <c r="H11" s="7"/>
      <c r="I11" s="135">
        <v>6</v>
      </c>
      <c r="J11" s="136">
        <v>0.1</v>
      </c>
      <c r="K11" s="62"/>
    </row>
    <row r="12" spans="1:11" ht="14.7" x14ac:dyDescent="0.4">
      <c r="A12" s="62"/>
      <c r="B12" s="137">
        <v>1339</v>
      </c>
      <c r="C12" s="137" t="s">
        <v>50</v>
      </c>
      <c r="D12" s="133" t="s">
        <v>145</v>
      </c>
      <c r="E12" s="134">
        <v>0.05</v>
      </c>
      <c r="F12" s="133">
        <v>1</v>
      </c>
      <c r="G12" s="6"/>
      <c r="H12" s="7"/>
      <c r="I12" s="135">
        <v>1</v>
      </c>
      <c r="J12" s="136">
        <v>0.2</v>
      </c>
      <c r="K12" s="62"/>
    </row>
    <row r="13" spans="1:11" ht="14.7" x14ac:dyDescent="0.4">
      <c r="A13" s="62"/>
      <c r="B13" s="137">
        <v>1340</v>
      </c>
      <c r="C13" s="137" t="s">
        <v>51</v>
      </c>
      <c r="D13" s="133" t="s">
        <v>146</v>
      </c>
      <c r="E13" s="134">
        <v>1</v>
      </c>
      <c r="F13" s="133">
        <v>5</v>
      </c>
      <c r="G13" s="6"/>
      <c r="H13" s="7"/>
      <c r="I13" s="135">
        <v>5</v>
      </c>
      <c r="J13" s="136">
        <v>0.2</v>
      </c>
      <c r="K13" s="62"/>
    </row>
    <row r="14" spans="1:11" ht="12.7" x14ac:dyDescent="0.4">
      <c r="A14" s="62"/>
      <c r="B14" s="132">
        <v>1350</v>
      </c>
      <c r="C14" s="132" t="s">
        <v>53</v>
      </c>
      <c r="D14" s="133" t="s">
        <v>147</v>
      </c>
      <c r="E14" s="134">
        <v>0.05</v>
      </c>
      <c r="F14" s="133">
        <v>1</v>
      </c>
      <c r="G14" s="6"/>
      <c r="H14" s="7"/>
      <c r="I14" s="135">
        <v>1</v>
      </c>
      <c r="J14" s="136">
        <v>0.2</v>
      </c>
      <c r="K14" s="62"/>
    </row>
    <row r="15" spans="1:11" ht="12.7" x14ac:dyDescent="0.4">
      <c r="A15" s="62"/>
      <c r="B15" s="132">
        <v>1369</v>
      </c>
      <c r="C15" s="132" t="s">
        <v>55</v>
      </c>
      <c r="D15" s="138" t="s">
        <v>142</v>
      </c>
      <c r="E15" s="134">
        <v>5.0000000000000001E-3</v>
      </c>
      <c r="F15" s="133">
        <v>0.5</v>
      </c>
      <c r="G15" s="135">
        <v>1</v>
      </c>
      <c r="H15" s="136">
        <v>0.6</v>
      </c>
      <c r="I15" s="135">
        <v>1</v>
      </c>
      <c r="J15" s="136">
        <v>0.3</v>
      </c>
      <c r="K15" s="62"/>
    </row>
    <row r="16" spans="1:11" ht="12.7" x14ac:dyDescent="0.4">
      <c r="A16" s="62"/>
      <c r="B16" s="132">
        <v>1388</v>
      </c>
      <c r="C16" s="132" t="s">
        <v>56</v>
      </c>
      <c r="D16" s="138" t="s">
        <v>142</v>
      </c>
      <c r="E16" s="134">
        <v>1E-3</v>
      </c>
      <c r="F16" s="133">
        <v>0.5</v>
      </c>
      <c r="G16" s="135">
        <v>1</v>
      </c>
      <c r="H16" s="136">
        <v>0.6</v>
      </c>
      <c r="I16" s="135">
        <v>1</v>
      </c>
      <c r="J16" s="136">
        <v>0.3</v>
      </c>
      <c r="K16" s="62"/>
    </row>
    <row r="17" spans="1:11" ht="12.7" x14ac:dyDescent="0.4">
      <c r="A17" s="62"/>
      <c r="B17" s="132">
        <v>1389</v>
      </c>
      <c r="C17" s="132" t="s">
        <v>57</v>
      </c>
      <c r="D17" s="138" t="s">
        <v>142</v>
      </c>
      <c r="E17" s="134">
        <v>5.0000000000000001E-3</v>
      </c>
      <c r="F17" s="133">
        <v>0.5</v>
      </c>
      <c r="G17" s="135">
        <v>1</v>
      </c>
      <c r="H17" s="136">
        <v>0.6</v>
      </c>
      <c r="I17" s="135">
        <v>1</v>
      </c>
      <c r="J17" s="136">
        <v>0.3</v>
      </c>
      <c r="K17" s="62"/>
    </row>
    <row r="18" spans="1:11" ht="12.7" x14ac:dyDescent="0.4">
      <c r="A18" s="62"/>
      <c r="B18" s="132">
        <v>1392</v>
      </c>
      <c r="C18" s="132" t="s">
        <v>58</v>
      </c>
      <c r="D18" s="138" t="s">
        <v>142</v>
      </c>
      <c r="E18" s="134">
        <v>5.0000000000000001E-3</v>
      </c>
      <c r="F18" s="133">
        <v>0.5</v>
      </c>
      <c r="G18" s="135">
        <v>1</v>
      </c>
      <c r="H18" s="136">
        <v>0.6</v>
      </c>
      <c r="I18" s="135">
        <v>1</v>
      </c>
      <c r="J18" s="136">
        <v>0.3</v>
      </c>
      <c r="K18" s="62"/>
    </row>
    <row r="19" spans="1:11" ht="12.7" x14ac:dyDescent="0.4">
      <c r="A19" s="62"/>
      <c r="B19" s="132">
        <v>1387</v>
      </c>
      <c r="C19" s="132" t="s">
        <v>59</v>
      </c>
      <c r="D19" s="138" t="s">
        <v>142</v>
      </c>
      <c r="E19" s="134">
        <v>2.0000000000000001E-4</v>
      </c>
      <c r="F19" s="133">
        <v>5.0000000000000001E-3</v>
      </c>
      <c r="G19" s="135">
        <v>0.01</v>
      </c>
      <c r="H19" s="136">
        <v>0.6</v>
      </c>
      <c r="I19" s="135">
        <v>0.01</v>
      </c>
      <c r="J19" s="136">
        <v>0.3</v>
      </c>
      <c r="K19" s="62"/>
    </row>
    <row r="20" spans="1:11" ht="12.7" x14ac:dyDescent="0.4">
      <c r="A20" s="62"/>
      <c r="B20" s="132">
        <v>1386</v>
      </c>
      <c r="C20" s="132" t="s">
        <v>60</v>
      </c>
      <c r="D20" s="138" t="s">
        <v>142</v>
      </c>
      <c r="E20" s="134">
        <v>5.0000000000000001E-3</v>
      </c>
      <c r="F20" s="133">
        <v>0.5</v>
      </c>
      <c r="G20" s="135">
        <v>1</v>
      </c>
      <c r="H20" s="136">
        <v>0.6</v>
      </c>
      <c r="I20" s="135">
        <v>1</v>
      </c>
      <c r="J20" s="136">
        <v>0.3</v>
      </c>
      <c r="K20" s="62"/>
    </row>
    <row r="21" spans="1:11" ht="12.7" x14ac:dyDescent="0.4">
      <c r="A21" s="62"/>
      <c r="B21" s="132">
        <v>1382</v>
      </c>
      <c r="C21" s="132" t="s">
        <v>61</v>
      </c>
      <c r="D21" s="138" t="s">
        <v>142</v>
      </c>
      <c r="E21" s="134">
        <v>2E-3</v>
      </c>
      <c r="F21" s="133">
        <v>0.5</v>
      </c>
      <c r="G21" s="135">
        <v>1</v>
      </c>
      <c r="H21" s="136">
        <v>0.6</v>
      </c>
      <c r="I21" s="135">
        <v>1</v>
      </c>
      <c r="J21" s="136">
        <v>0.3</v>
      </c>
      <c r="K21" s="62"/>
    </row>
    <row r="22" spans="1:11" ht="12.7" x14ac:dyDescent="0.4">
      <c r="A22" s="62"/>
      <c r="B22" s="132">
        <v>1383</v>
      </c>
      <c r="C22" s="132" t="s">
        <v>62</v>
      </c>
      <c r="D22" s="138" t="s">
        <v>142</v>
      </c>
      <c r="E22" s="134">
        <v>5.0000000000000001E-3</v>
      </c>
      <c r="F22" s="133">
        <v>0.5</v>
      </c>
      <c r="G22" s="135">
        <v>1</v>
      </c>
      <c r="H22" s="136">
        <v>0.6</v>
      </c>
      <c r="I22" s="135">
        <v>1</v>
      </c>
      <c r="J22" s="136">
        <v>0.3</v>
      </c>
      <c r="K22" s="62"/>
    </row>
    <row r="23" spans="1:11" ht="12.7" x14ac:dyDescent="0.4">
      <c r="A23" s="62"/>
      <c r="B23" s="132">
        <v>1106</v>
      </c>
      <c r="C23" s="132" t="s">
        <v>54</v>
      </c>
      <c r="D23" s="138" t="s">
        <v>142</v>
      </c>
      <c r="E23" s="134">
        <v>0.01</v>
      </c>
      <c r="F23" s="133">
        <v>0.05</v>
      </c>
      <c r="G23" s="135">
        <v>0.5</v>
      </c>
      <c r="H23" s="136">
        <v>0.6</v>
      </c>
      <c r="I23" s="135">
        <v>0.5</v>
      </c>
      <c r="J23" s="136">
        <v>0.3</v>
      </c>
      <c r="K23" s="62"/>
    </row>
    <row r="24" spans="1:11" ht="12.7" x14ac:dyDescent="0.4">
      <c r="A24" s="62"/>
      <c r="B24" s="132">
        <v>1841</v>
      </c>
      <c r="C24" s="132" t="s">
        <v>46</v>
      </c>
      <c r="D24" s="138" t="s">
        <v>142</v>
      </c>
      <c r="E24" s="134">
        <v>0.3</v>
      </c>
      <c r="F24" s="133">
        <v>5</v>
      </c>
      <c r="G24" s="135">
        <v>15</v>
      </c>
      <c r="H24" s="136">
        <v>0.3</v>
      </c>
      <c r="I24" s="135">
        <v>15</v>
      </c>
      <c r="J24" s="136">
        <v>0.1</v>
      </c>
      <c r="K24" s="62"/>
    </row>
    <row r="25" spans="1:11" ht="12.7" x14ac:dyDescent="0.4">
      <c r="A25" s="62"/>
      <c r="B25" s="132">
        <v>1798</v>
      </c>
      <c r="C25" s="132" t="s">
        <v>316</v>
      </c>
      <c r="D25" s="138"/>
      <c r="E25" s="134"/>
      <c r="F25" s="133"/>
      <c r="G25" s="135"/>
      <c r="H25" s="136"/>
      <c r="I25" s="135"/>
      <c r="J25" s="136"/>
      <c r="K25" s="62"/>
    </row>
    <row r="26" spans="1:11" ht="13" thickBot="1" x14ac:dyDescent="0.45">
      <c r="A26" s="62"/>
      <c r="B26" s="141">
        <v>1337</v>
      </c>
      <c r="C26" s="141" t="s">
        <v>317</v>
      </c>
      <c r="D26" s="142" t="s">
        <v>142</v>
      </c>
      <c r="E26" s="143">
        <v>5</v>
      </c>
      <c r="F26" s="144"/>
      <c r="G26" s="145"/>
      <c r="H26" s="146"/>
      <c r="I26" s="145"/>
      <c r="J26" s="146"/>
      <c r="K26" s="62"/>
    </row>
    <row r="27" spans="1:11" ht="13" thickBot="1" x14ac:dyDescent="0.45">
      <c r="A27" s="62"/>
      <c r="B27" s="147">
        <v>1799</v>
      </c>
      <c r="C27" s="147" t="s">
        <v>63</v>
      </c>
      <c r="D27" s="148" t="s">
        <v>378</v>
      </c>
      <c r="E27" s="147"/>
      <c r="F27" s="149"/>
      <c r="G27" s="150"/>
      <c r="H27" s="151">
        <v>0.2</v>
      </c>
      <c r="I27" s="150"/>
      <c r="J27" s="151">
        <v>0.05</v>
      </c>
      <c r="K27" s="63" t="s">
        <v>379</v>
      </c>
    </row>
    <row r="28" spans="1:11" ht="12.75" customHeight="1" x14ac:dyDescent="0.4">
      <c r="A28" s="62"/>
      <c r="B28" s="873" t="s">
        <v>148</v>
      </c>
      <c r="C28" s="873"/>
      <c r="D28" s="873"/>
      <c r="E28" s="873"/>
      <c r="F28" s="873"/>
      <c r="G28" s="873"/>
      <c r="H28" s="873"/>
      <c r="I28" s="873"/>
      <c r="J28" s="873"/>
      <c r="K28" s="62"/>
    </row>
    <row r="29" spans="1:11" ht="14.45" customHeight="1" x14ac:dyDescent="0.4">
      <c r="A29" s="62"/>
      <c r="B29" s="873"/>
      <c r="C29" s="873"/>
      <c r="D29" s="873"/>
      <c r="E29" s="873"/>
      <c r="F29" s="873"/>
      <c r="G29" s="873"/>
      <c r="H29" s="873"/>
      <c r="I29" s="873"/>
      <c r="J29" s="873"/>
      <c r="K29" s="62"/>
    </row>
    <row r="33" spans="4:9" ht="2.1" customHeight="1" x14ac:dyDescent="0.4"/>
    <row r="34" spans="4:9" ht="66.75" hidden="1" customHeight="1" x14ac:dyDescent="0.4"/>
    <row r="37" spans="4:9" ht="12.7" hidden="1" x14ac:dyDescent="0.4">
      <c r="D37" s="874"/>
      <c r="E37" s="875"/>
      <c r="F37" s="875"/>
      <c r="G37" s="875"/>
      <c r="H37" s="875"/>
      <c r="I37" s="875"/>
    </row>
    <row r="38" spans="4:9" ht="12.7" hidden="1" x14ac:dyDescent="0.4">
      <c r="D38" s="875"/>
      <c r="E38" s="875"/>
      <c r="F38" s="875"/>
      <c r="G38" s="875"/>
      <c r="H38" s="875"/>
      <c r="I38" s="875"/>
    </row>
    <row r="39" spans="4:9" ht="12.7" hidden="1" x14ac:dyDescent="0.4">
      <c r="D39" s="875"/>
      <c r="E39" s="875"/>
      <c r="F39" s="875"/>
      <c r="G39" s="875"/>
      <c r="H39" s="875"/>
      <c r="I39" s="875"/>
    </row>
    <row r="40" spans="4:9" ht="12.7" hidden="1" x14ac:dyDescent="0.4">
      <c r="D40" s="875"/>
      <c r="E40" s="875"/>
      <c r="F40" s="875"/>
      <c r="G40" s="875"/>
      <c r="H40" s="875"/>
      <c r="I40" s="875"/>
    </row>
    <row r="41" spans="4:9" ht="12.7" hidden="1" x14ac:dyDescent="0.4">
      <c r="D41" s="875"/>
      <c r="E41" s="875"/>
      <c r="F41" s="875"/>
      <c r="G41" s="875"/>
      <c r="H41" s="875"/>
      <c r="I41" s="875"/>
    </row>
    <row r="42" spans="4:9" ht="12.7" hidden="1" x14ac:dyDescent="0.4">
      <c r="D42" s="875"/>
      <c r="E42" s="875"/>
      <c r="F42" s="875"/>
      <c r="G42" s="875"/>
      <c r="H42" s="875"/>
      <c r="I42" s="875"/>
    </row>
    <row r="43" spans="4:9" ht="12.7" hidden="1" x14ac:dyDescent="0.4">
      <c r="D43" s="875"/>
      <c r="E43" s="875"/>
      <c r="F43" s="875"/>
      <c r="G43" s="875"/>
      <c r="H43" s="875"/>
      <c r="I43" s="875"/>
    </row>
    <row r="44" spans="4:9" ht="12.7" hidden="1" x14ac:dyDescent="0.4">
      <c r="D44" s="875"/>
      <c r="E44" s="875"/>
      <c r="F44" s="875"/>
      <c r="G44" s="875"/>
      <c r="H44" s="875"/>
      <c r="I44" s="875"/>
    </row>
    <row r="45" spans="4:9" ht="12.7" hidden="1" x14ac:dyDescent="0.4">
      <c r="D45" s="875"/>
      <c r="E45" s="875"/>
      <c r="F45" s="875"/>
      <c r="G45" s="875"/>
      <c r="H45" s="875"/>
      <c r="I45" s="875"/>
    </row>
    <row r="46" spans="4:9" ht="12.7" hidden="1" x14ac:dyDescent="0.4">
      <c r="D46" s="875"/>
      <c r="E46" s="875"/>
      <c r="F46" s="875"/>
      <c r="G46" s="875"/>
      <c r="H46" s="875"/>
      <c r="I46" s="875"/>
    </row>
    <row r="47" spans="4:9" ht="12.7" hidden="1" x14ac:dyDescent="0.4">
      <c r="D47" s="875"/>
      <c r="E47" s="875"/>
      <c r="F47" s="875"/>
      <c r="G47" s="875"/>
      <c r="H47" s="875"/>
      <c r="I47" s="875"/>
    </row>
  </sheetData>
  <mergeCells count="3">
    <mergeCell ref="B2:J2"/>
    <mergeCell ref="B28:J29"/>
    <mergeCell ref="D37:I47"/>
  </mergeCells>
  <pageMargins left="0.78740157499999996" right="0.78740157499999996" top="0.984251969" bottom="0.984251969" header="0.4921259845" footer="0.4921259845"/>
  <pageSetup paperSize="9" scale="73" orientation="portrait" r:id="rId1"/>
  <headerFooter alignWithMargins="0"/>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Feuil25"/>
  <dimension ref="B1:U162"/>
  <sheetViews>
    <sheetView zoomScale="85" zoomScaleNormal="85" workbookViewId="0">
      <selection activeCell="B8" sqref="B8"/>
    </sheetView>
  </sheetViews>
  <sheetFormatPr baseColWidth="10" defaultRowHeight="12.7" x14ac:dyDescent="0.4"/>
  <cols>
    <col min="1" max="1" width="3.29296875" customWidth="1"/>
    <col min="4" max="4" width="18.41015625" customWidth="1"/>
    <col min="5" max="5" width="13.87890625" customWidth="1"/>
    <col min="6" max="6" width="21.29296875" customWidth="1"/>
    <col min="7" max="19" width="13.87890625" customWidth="1"/>
  </cols>
  <sheetData>
    <row r="1" spans="2:19" s="158" customFormat="1" ht="28.35" customHeight="1" x14ac:dyDescent="0.4">
      <c r="B1" s="159" t="s">
        <v>344</v>
      </c>
    </row>
    <row r="2" spans="2:19" s="156" customFormat="1" ht="23.45" customHeight="1" x14ac:dyDescent="0.4">
      <c r="B2" s="157" t="s">
        <v>342</v>
      </c>
    </row>
    <row r="3" spans="2:19" ht="13" thickBot="1" x14ac:dyDescent="0.45"/>
    <row r="4" spans="2:19" s="12" customFormat="1" ht="17.45" customHeight="1" x14ac:dyDescent="0.4">
      <c r="B4" s="876" t="s">
        <v>499</v>
      </c>
      <c r="C4" s="877"/>
      <c r="D4" s="384" t="s">
        <v>333</v>
      </c>
      <c r="E4" s="902" t="s">
        <v>178</v>
      </c>
      <c r="F4" s="902"/>
      <c r="G4" s="902"/>
      <c r="H4" s="902"/>
      <c r="I4" s="902"/>
    </row>
    <row r="5" spans="2:19" x14ac:dyDescent="0.4">
      <c r="B5" s="878">
        <f>IF(Qualité!L29="Non",0.9,1)</f>
        <v>0.9</v>
      </c>
      <c r="C5" s="879"/>
      <c r="D5" s="385"/>
      <c r="E5" s="154" t="s">
        <v>334</v>
      </c>
      <c r="F5" s="154" t="s">
        <v>332</v>
      </c>
      <c r="G5" s="154" t="s">
        <v>347</v>
      </c>
      <c r="H5" s="154" t="s">
        <v>336</v>
      </c>
      <c r="I5" s="154" t="s">
        <v>337</v>
      </c>
    </row>
    <row r="6" spans="2:19" x14ac:dyDescent="0.4">
      <c r="B6" s="878"/>
      <c r="C6" s="879"/>
      <c r="D6" s="385" t="s">
        <v>17</v>
      </c>
      <c r="E6" s="155" t="s">
        <v>410</v>
      </c>
      <c r="F6" s="155" t="s">
        <v>411</v>
      </c>
      <c r="G6" s="155" t="s">
        <v>412</v>
      </c>
      <c r="H6" s="155" t="s">
        <v>413</v>
      </c>
      <c r="I6" s="155" t="s">
        <v>414</v>
      </c>
    </row>
    <row r="7" spans="2:19" ht="13" thickBot="1" x14ac:dyDescent="0.45">
      <c r="B7" s="880"/>
      <c r="C7" s="881"/>
      <c r="D7" s="385" t="str">
        <f>PARAM!$C4</f>
        <v>Débitmètre en charge</v>
      </c>
      <c r="E7" s="153" t="s">
        <v>413</v>
      </c>
      <c r="F7" s="153" t="s">
        <v>424</v>
      </c>
      <c r="G7" s="153" t="s">
        <v>425</v>
      </c>
      <c r="H7" s="153" t="s">
        <v>426</v>
      </c>
      <c r="I7" s="153" t="s">
        <v>427</v>
      </c>
    </row>
    <row r="8" spans="2:19" x14ac:dyDescent="0.4">
      <c r="D8" s="154" t="str">
        <f>PARAM!$C5</f>
        <v>Débitmètre gravitaire</v>
      </c>
      <c r="E8" s="153" t="s">
        <v>428</v>
      </c>
      <c r="F8" s="153" t="s">
        <v>429</v>
      </c>
      <c r="G8" s="153" t="s">
        <v>430</v>
      </c>
      <c r="H8" s="153" t="s">
        <v>335</v>
      </c>
      <c r="I8" s="153" t="s">
        <v>431</v>
      </c>
    </row>
    <row r="9" spans="2:19" x14ac:dyDescent="0.4">
      <c r="D9" s="154" t="str">
        <f>PARAM!$C6</f>
        <v>Préleveur</v>
      </c>
      <c r="E9" s="153" t="s">
        <v>419</v>
      </c>
      <c r="F9" s="153" t="s">
        <v>420</v>
      </c>
      <c r="G9" s="153" t="s">
        <v>421</v>
      </c>
      <c r="H9" s="153" t="s">
        <v>422</v>
      </c>
      <c r="I9" s="153" t="s">
        <v>423</v>
      </c>
    </row>
    <row r="10" spans="2:19" x14ac:dyDescent="0.4">
      <c r="D10" s="154" t="str">
        <f>PARAM!$C7</f>
        <v>Sonde de température</v>
      </c>
      <c r="E10" s="153" t="s">
        <v>415</v>
      </c>
      <c r="F10" s="153" t="s">
        <v>416</v>
      </c>
      <c r="G10" s="153" t="s">
        <v>417</v>
      </c>
      <c r="H10" s="153" t="s">
        <v>338</v>
      </c>
      <c r="I10" s="153" t="s">
        <v>418</v>
      </c>
    </row>
    <row r="12" spans="2:19" s="12" customFormat="1" ht="17.45" customHeight="1" x14ac:dyDescent="0.4">
      <c r="D12" s="173" t="s">
        <v>351</v>
      </c>
      <c r="E12" s="903" t="s">
        <v>350</v>
      </c>
      <c r="F12" s="902"/>
      <c r="G12" s="902"/>
      <c r="H12" s="902"/>
      <c r="I12" s="902"/>
      <c r="J12" s="902"/>
      <c r="K12" s="902"/>
      <c r="L12" s="902"/>
      <c r="M12" s="902"/>
      <c r="N12" s="902"/>
      <c r="O12" s="902"/>
      <c r="P12" s="902"/>
      <c r="Q12" s="902"/>
      <c r="R12" s="902"/>
      <c r="S12" s="904"/>
    </row>
    <row r="13" spans="2:19" x14ac:dyDescent="0.4">
      <c r="D13" s="171" t="s">
        <v>348</v>
      </c>
      <c r="E13" s="172">
        <f>Descriptif!$AD$3</f>
        <v>34</v>
      </c>
      <c r="F13" s="172">
        <f>E13+1</f>
        <v>35</v>
      </c>
      <c r="G13" s="172">
        <f t="shared" ref="G13:P14" si="0">F13+1</f>
        <v>36</v>
      </c>
      <c r="H13" s="172">
        <f t="shared" si="0"/>
        <v>37</v>
      </c>
      <c r="I13" s="172">
        <f t="shared" si="0"/>
        <v>38</v>
      </c>
      <c r="J13" s="172">
        <f t="shared" si="0"/>
        <v>39</v>
      </c>
      <c r="K13" s="172">
        <f t="shared" si="0"/>
        <v>40</v>
      </c>
      <c r="L13" s="172">
        <f t="shared" si="0"/>
        <v>41</v>
      </c>
      <c r="M13" s="172">
        <f t="shared" si="0"/>
        <v>42</v>
      </c>
      <c r="N13" s="172">
        <f t="shared" si="0"/>
        <v>43</v>
      </c>
      <c r="O13" s="172">
        <f t="shared" si="0"/>
        <v>44</v>
      </c>
      <c r="P13" s="172">
        <f t="shared" si="0"/>
        <v>45</v>
      </c>
      <c r="Q13" s="172">
        <f t="shared" ref="Q13:Q14" si="1">P13+1</f>
        <v>46</v>
      </c>
      <c r="R13" s="172">
        <f t="shared" ref="R13:R14" si="2">Q13+1</f>
        <v>47</v>
      </c>
      <c r="S13" s="172">
        <f t="shared" ref="S13:S14" si="3">R13+1</f>
        <v>48</v>
      </c>
    </row>
    <row r="14" spans="2:19" x14ac:dyDescent="0.4">
      <c r="D14" s="171" t="s">
        <v>349</v>
      </c>
      <c r="E14" s="172">
        <f>Descriptif!$AD$2</f>
        <v>14</v>
      </c>
      <c r="F14" s="172">
        <f>E14+1</f>
        <v>15</v>
      </c>
      <c r="G14" s="172">
        <f t="shared" si="0"/>
        <v>16</v>
      </c>
      <c r="H14" s="172">
        <f t="shared" si="0"/>
        <v>17</v>
      </c>
      <c r="I14" s="172">
        <f t="shared" si="0"/>
        <v>18</v>
      </c>
      <c r="J14" s="172">
        <f t="shared" si="0"/>
        <v>19</v>
      </c>
      <c r="K14" s="172">
        <f t="shared" si="0"/>
        <v>20</v>
      </c>
      <c r="L14" s="172">
        <f t="shared" si="0"/>
        <v>21</v>
      </c>
      <c r="M14" s="172">
        <f t="shared" si="0"/>
        <v>22</v>
      </c>
      <c r="N14" s="172">
        <f t="shared" si="0"/>
        <v>23</v>
      </c>
      <c r="O14" s="172">
        <f t="shared" si="0"/>
        <v>24</v>
      </c>
      <c r="P14" s="172">
        <f t="shared" si="0"/>
        <v>25</v>
      </c>
      <c r="Q14" s="172">
        <f t="shared" si="1"/>
        <v>26</v>
      </c>
      <c r="R14" s="172">
        <f t="shared" si="2"/>
        <v>27</v>
      </c>
      <c r="S14" s="172">
        <f t="shared" si="3"/>
        <v>28</v>
      </c>
    </row>
    <row r="16" spans="2:19" s="156" customFormat="1" ht="23.1" customHeight="1" x14ac:dyDescent="0.4">
      <c r="B16" s="157" t="s">
        <v>343</v>
      </c>
    </row>
    <row r="17" spans="2:20" s="12" customFormat="1" ht="18" customHeight="1" thickBot="1" x14ac:dyDescent="0.45"/>
    <row r="18" spans="2:20" s="12" customFormat="1" ht="15.95" customHeight="1" thickBot="1" x14ac:dyDescent="0.45">
      <c r="B18" s="175" t="s">
        <v>345</v>
      </c>
      <c r="C18" s="176" t="s">
        <v>346</v>
      </c>
      <c r="D18" s="177"/>
      <c r="E18" s="178"/>
      <c r="F18" s="179" t="s">
        <v>9</v>
      </c>
      <c r="G18" s="179" t="s">
        <v>10</v>
      </c>
      <c r="H18" s="179" t="s">
        <v>11</v>
      </c>
      <c r="I18" s="179" t="s">
        <v>22</v>
      </c>
      <c r="J18" s="179" t="s">
        <v>23</v>
      </c>
      <c r="K18" s="179" t="s">
        <v>24</v>
      </c>
      <c r="L18" s="179" t="s">
        <v>25</v>
      </c>
      <c r="M18" s="179" t="s">
        <v>26</v>
      </c>
      <c r="N18" s="179" t="s">
        <v>27</v>
      </c>
      <c r="O18" s="179" t="s">
        <v>28</v>
      </c>
      <c r="P18" s="179" t="s">
        <v>29</v>
      </c>
      <c r="Q18" s="180" t="s">
        <v>30</v>
      </c>
      <c r="R18" s="180" t="s">
        <v>339</v>
      </c>
      <c r="S18" s="180" t="s">
        <v>340</v>
      </c>
      <c r="T18" s="180" t="s">
        <v>341</v>
      </c>
    </row>
    <row r="19" spans="2:20" x14ac:dyDescent="0.4">
      <c r="B19" s="896" t="s">
        <v>104</v>
      </c>
      <c r="C19" s="899" t="s">
        <v>105</v>
      </c>
      <c r="D19" s="161" t="str">
        <f>$D$7</f>
        <v>Débitmètre en charge</v>
      </c>
      <c r="E19" s="161"/>
      <c r="F19" s="162" t="str">
        <f ca="1">IF(AND(OR(INDIRECT("Descriptif!I"&amp;E$13)=Recap_equipements!$B19,INDIRECT("Descriptif!I"&amp;E$13)=Recap_equipements!$C19),INDIRECT("Descriptif!M"&amp;E$13)=$D19),INDIRECT("Descriptif!F"&amp;E$13),"")</f>
        <v/>
      </c>
      <c r="G19" s="162" t="str">
        <f ca="1">IF(AND(OR(INDIRECT("Descriptif!I"&amp;F$13)=Recap_equipements!$B19,INDIRECT("Descriptif!I"&amp;F$13)=Recap_equipements!$C19),INDIRECT("Descriptif!M"&amp;F$13)=$D19),INDIRECT("Descriptif!F"&amp;F$13),"")</f>
        <v/>
      </c>
      <c r="H19" s="162" t="str">
        <f ca="1">IF(AND(OR(INDIRECT("Descriptif!I"&amp;G$13)=Recap_equipements!$B19,INDIRECT("Descriptif!I"&amp;G$13)=Recap_equipements!$C19),INDIRECT("Descriptif!M"&amp;G$13)=$D19),INDIRECT("Descriptif!F"&amp;G$13),"")</f>
        <v/>
      </c>
      <c r="I19" s="162" t="str">
        <f ca="1">IF(AND(OR(INDIRECT("Descriptif!I"&amp;H$13)=Recap_equipements!$B19,INDIRECT("Descriptif!I"&amp;H$13)=Recap_equipements!$C19),INDIRECT("Descriptif!M"&amp;H$13)=$D19),INDIRECT("Descriptif!F"&amp;H$13),"")</f>
        <v/>
      </c>
      <c r="J19" s="162" t="str">
        <f ca="1">IF(AND(OR(INDIRECT("Descriptif!I"&amp;I$13)=Recap_equipements!$B19,INDIRECT("Descriptif!I"&amp;I$13)=Recap_equipements!$C19),INDIRECT("Descriptif!M"&amp;I$13)=$D19),INDIRECT("Descriptif!F"&amp;I$13),"")</f>
        <v/>
      </c>
      <c r="K19" s="162" t="str">
        <f ca="1">IF(AND(OR(INDIRECT("Descriptif!I"&amp;J$13)=Recap_equipements!$B19,INDIRECT("Descriptif!I"&amp;J$13)=Recap_equipements!$C19),INDIRECT("Descriptif!M"&amp;J$13)=$D19),INDIRECT("Descriptif!F"&amp;J$13),"")</f>
        <v/>
      </c>
      <c r="L19" s="162" t="str">
        <f ca="1">IF(AND(OR(INDIRECT("Descriptif!I"&amp;K$13)=Recap_equipements!$B19,INDIRECT("Descriptif!I"&amp;K$13)=Recap_equipements!$C19),INDIRECT("Descriptif!M"&amp;K$13)=$D19),INDIRECT("Descriptif!F"&amp;K$13),"")</f>
        <v/>
      </c>
      <c r="M19" s="162" t="str">
        <f ca="1">IF(AND(OR(INDIRECT("Descriptif!I"&amp;L$13)=Recap_equipements!$B19,INDIRECT("Descriptif!I"&amp;L$13)=Recap_equipements!$C19),INDIRECT("Descriptif!M"&amp;L$13)=$D19),INDIRECT("Descriptif!F"&amp;L$13),"")</f>
        <v/>
      </c>
      <c r="N19" s="162" t="str">
        <f ca="1">IF(AND(OR(INDIRECT("Descriptif!I"&amp;M$13)=Recap_equipements!$B19,INDIRECT("Descriptif!I"&amp;M$13)=Recap_equipements!$C19),INDIRECT("Descriptif!M"&amp;M$13)=$D19),INDIRECT("Descriptif!F"&amp;M$13),"")</f>
        <v/>
      </c>
      <c r="O19" s="162" t="str">
        <f ca="1">IF(AND(OR(INDIRECT("Descriptif!I"&amp;N$13)=Recap_equipements!$B19,INDIRECT("Descriptif!I"&amp;N$13)=Recap_equipements!$C19),INDIRECT("Descriptif!M"&amp;N$13)=$D19),INDIRECT("Descriptif!F"&amp;N$13),"")</f>
        <v/>
      </c>
      <c r="P19" s="162" t="str">
        <f ca="1">IF(AND(OR(INDIRECT("Descriptif!I"&amp;O$13)=Recap_equipements!$B19,INDIRECT("Descriptif!I"&amp;O$13)=Recap_equipements!$C19),INDIRECT("Descriptif!M"&amp;O$13)=$D19),INDIRECT("Descriptif!F"&amp;O$13),"")</f>
        <v/>
      </c>
      <c r="Q19" s="162" t="str">
        <f ca="1">IF(AND(OR(INDIRECT("Descriptif!I"&amp;P$13)=Recap_equipements!$B19,INDIRECT("Descriptif!I"&amp;P$13)=Recap_equipements!$C19),INDIRECT("Descriptif!M"&amp;P$13)=$D19),INDIRECT("Descriptif!F"&amp;P$13),"")</f>
        <v/>
      </c>
      <c r="R19" s="162" t="str">
        <f ca="1">IF(AND(OR(INDIRECT("Descriptif!I"&amp;Q$13)=Recap_equipements!$B19,INDIRECT("Descriptif!I"&amp;Q$13)=Recap_equipements!$C19),INDIRECT("Descriptif!M"&amp;Q$13)=$D19),INDIRECT("Descriptif!F"&amp;Q$13),"")</f>
        <v/>
      </c>
      <c r="S19" s="162" t="str">
        <f ca="1">IF(AND(OR(INDIRECT("Descriptif!I"&amp;R$13)=Recap_equipements!$B19,INDIRECT("Descriptif!I"&amp;R$13)=Recap_equipements!$C19),INDIRECT("Descriptif!M"&amp;R$13)=$D19),INDIRECT("Descriptif!F"&amp;R$13),"")</f>
        <v/>
      </c>
      <c r="T19" s="163" t="str">
        <f ca="1">IF(AND(OR(INDIRECT("Descriptif!I"&amp;S$13)=Recap_equipements!$B19,INDIRECT("Descriptif!I"&amp;S$13)=Recap_equipements!$C19),INDIRECT("Descriptif!M"&amp;S$13)=$D19),INDIRECT("Descriptif!F"&amp;S$13),"")</f>
        <v/>
      </c>
    </row>
    <row r="20" spans="2:20" x14ac:dyDescent="0.4">
      <c r="B20" s="897"/>
      <c r="C20" s="900"/>
      <c r="D20" s="160" t="str">
        <f>$D$8</f>
        <v>Débitmètre gravitaire</v>
      </c>
      <c r="E20" s="160"/>
      <c r="F20" s="13" t="str">
        <f ca="1">IF(AND(OR(INDIRECT("Descriptif!I"&amp;E$13)=Recap_equipements!$B19,INDIRECT("Descriptif!I"&amp;E$13)=Recap_equipements!$C19),INDIRECT("Descriptif!M"&amp;E$13)=$D20),INDIRECT("Descriptif!F"&amp;E$13),"")</f>
        <v/>
      </c>
      <c r="G20" s="13" t="str">
        <f ca="1">IF(AND(OR(INDIRECT("Descriptif!I"&amp;F$13)=Recap_equipements!$B19,INDIRECT("Descriptif!I"&amp;F$13)=Recap_equipements!$C19),INDIRECT("Descriptif!M"&amp;F$13)=$D20),INDIRECT("Descriptif!F"&amp;F$13),"")</f>
        <v/>
      </c>
      <c r="H20" s="13" t="str">
        <f ca="1">IF(AND(OR(INDIRECT("Descriptif!I"&amp;G$13)=Recap_equipements!$B19,INDIRECT("Descriptif!I"&amp;G$13)=Recap_equipements!$C19),INDIRECT("Descriptif!M"&amp;G$13)=$D20),INDIRECT("Descriptif!F"&amp;G$13),"")</f>
        <v/>
      </c>
      <c r="I20" s="13" t="str">
        <f ca="1">IF(AND(OR(INDIRECT("Descriptif!I"&amp;H$13)=Recap_equipements!$B19,INDIRECT("Descriptif!I"&amp;H$13)=Recap_equipements!$C19),INDIRECT("Descriptif!M"&amp;H$13)=$D20),INDIRECT("Descriptif!F"&amp;H$13),"")</f>
        <v/>
      </c>
      <c r="J20" s="13" t="str">
        <f ca="1">IF(AND(OR(INDIRECT("Descriptif!I"&amp;I$13)=Recap_equipements!$B19,INDIRECT("Descriptif!I"&amp;I$13)=Recap_equipements!$C19),INDIRECT("Descriptif!M"&amp;I$13)=$D20),INDIRECT("Descriptif!F"&amp;I$13),"")</f>
        <v/>
      </c>
      <c r="K20" s="13" t="str">
        <f ca="1">IF(AND(OR(INDIRECT("Descriptif!I"&amp;J$13)=Recap_equipements!$B19,INDIRECT("Descriptif!I"&amp;J$13)=Recap_equipements!$C19),INDIRECT("Descriptif!M"&amp;J$13)=$D20),INDIRECT("Descriptif!F"&amp;J$13),"")</f>
        <v/>
      </c>
      <c r="L20" s="13" t="str">
        <f ca="1">IF(AND(OR(INDIRECT("Descriptif!I"&amp;K$13)=Recap_equipements!$B19,INDIRECT("Descriptif!I"&amp;K$13)=Recap_equipements!$C19),INDIRECT("Descriptif!M"&amp;K$13)=$D20),INDIRECT("Descriptif!F"&amp;K$13),"")</f>
        <v/>
      </c>
      <c r="M20" s="13" t="str">
        <f ca="1">IF(AND(OR(INDIRECT("Descriptif!I"&amp;L$13)=Recap_equipements!$B19,INDIRECT("Descriptif!I"&amp;L$13)=Recap_equipements!$C19),INDIRECT("Descriptif!M"&amp;L$13)=$D20),INDIRECT("Descriptif!F"&amp;L$13),"")</f>
        <v/>
      </c>
      <c r="N20" s="13" t="str">
        <f ca="1">IF(AND(OR(INDIRECT("Descriptif!I"&amp;M$13)=Recap_equipements!$B19,INDIRECT("Descriptif!I"&amp;M$13)=Recap_equipements!$C19),INDIRECT("Descriptif!M"&amp;M$13)=$D20),INDIRECT("Descriptif!F"&amp;M$13),"")</f>
        <v/>
      </c>
      <c r="O20" s="13" t="str">
        <f ca="1">IF(AND(OR(INDIRECT("Descriptif!I"&amp;N$13)=Recap_equipements!$B19,INDIRECT("Descriptif!I"&amp;N$13)=Recap_equipements!$C19),INDIRECT("Descriptif!M"&amp;N$13)=$D20),INDIRECT("Descriptif!F"&amp;N$13),"")</f>
        <v/>
      </c>
      <c r="P20" s="13" t="str">
        <f ca="1">IF(AND(OR(INDIRECT("Descriptif!I"&amp;O$13)=Recap_equipements!$B19,INDIRECT("Descriptif!I"&amp;O$13)=Recap_equipements!$C19),INDIRECT("Descriptif!M"&amp;O$13)=$D20),INDIRECT("Descriptif!F"&amp;O$13),"")</f>
        <v/>
      </c>
      <c r="Q20" s="13" t="str">
        <f ca="1">IF(AND(OR(INDIRECT("Descriptif!I"&amp;P$13)=Recap_equipements!$B19,INDIRECT("Descriptif!I"&amp;P$13)=Recap_equipements!$C19),INDIRECT("Descriptif!M"&amp;P$13)=$D20),INDIRECT("Descriptif!F"&amp;P$13),"")</f>
        <v/>
      </c>
      <c r="R20" s="13" t="str">
        <f ca="1">IF(AND(OR(INDIRECT("Descriptif!I"&amp;Q$13)=Recap_equipements!$B19,INDIRECT("Descriptif!I"&amp;Q$13)=Recap_equipements!$C19),INDIRECT("Descriptif!M"&amp;Q$13)=$D20),INDIRECT("Descriptif!F"&amp;Q$13),"")</f>
        <v/>
      </c>
      <c r="S20" s="13" t="str">
        <f ca="1">IF(AND(OR(INDIRECT("Descriptif!I"&amp;R$13)=Recap_equipements!$B19,INDIRECT("Descriptif!I"&amp;R$13)=Recap_equipements!$C19),INDIRECT("Descriptif!M"&amp;R$13)=$D20),INDIRECT("Descriptif!F"&amp;R$13),"")</f>
        <v/>
      </c>
      <c r="T20" s="164" t="str">
        <f ca="1">IF(AND(OR(INDIRECT("Descriptif!I"&amp;S$13)=Recap_equipements!$B19,INDIRECT("Descriptif!I"&amp;S$13)=Recap_equipements!$C19),INDIRECT("Descriptif!M"&amp;S$13)=$D20),INDIRECT("Descriptif!F"&amp;S$13),"")</f>
        <v/>
      </c>
    </row>
    <row r="21" spans="2:20" x14ac:dyDescent="0.4">
      <c r="B21" s="897"/>
      <c r="C21" s="900"/>
      <c r="D21" s="160" t="str">
        <f>$D$9</f>
        <v>Préleveur</v>
      </c>
      <c r="E21" s="160"/>
      <c r="F21" s="13" t="str">
        <f ca="1">IF(AND(OR(INDIRECT("Descriptif!I"&amp;E$13)=Recap_equipements!$B19,INDIRECT("Descriptif!I"&amp;E$13)=Recap_equipements!$C19),INDIRECT("Descriptif!M"&amp;E$13)=$D21),INDIRECT("Descriptif!F"&amp;E$13),"")</f>
        <v/>
      </c>
      <c r="G21" s="13" t="str">
        <f ca="1">IF(AND(OR(INDIRECT("Descriptif!I"&amp;F$13)=Recap_equipements!$B19,INDIRECT("Descriptif!I"&amp;F$13)=Recap_equipements!$C19),INDIRECT("Descriptif!M"&amp;F$13)=$D21),INDIRECT("Descriptif!F"&amp;F$13),"")</f>
        <v/>
      </c>
      <c r="H21" s="13" t="str">
        <f ca="1">IF(AND(OR(INDIRECT("Descriptif!I"&amp;G$13)=Recap_equipements!$B19,INDIRECT("Descriptif!I"&amp;G$13)=Recap_equipements!$C19),INDIRECT("Descriptif!M"&amp;G$13)=$D21),INDIRECT("Descriptif!F"&amp;G$13),"")</f>
        <v/>
      </c>
      <c r="I21" s="13" t="str">
        <f ca="1">IF(AND(OR(INDIRECT("Descriptif!I"&amp;H$13)=Recap_equipements!$B19,INDIRECT("Descriptif!I"&amp;H$13)=Recap_equipements!$C19),INDIRECT("Descriptif!M"&amp;H$13)=$D21),INDIRECT("Descriptif!F"&amp;H$13),"")</f>
        <v/>
      </c>
      <c r="J21" s="13" t="str">
        <f ca="1">IF(AND(OR(INDIRECT("Descriptif!I"&amp;I$13)=Recap_equipements!$B19,INDIRECT("Descriptif!I"&amp;I$13)=Recap_equipements!$C19),INDIRECT("Descriptif!M"&amp;I$13)=$D21),INDIRECT("Descriptif!F"&amp;I$13),"")</f>
        <v/>
      </c>
      <c r="K21" s="13" t="str">
        <f ca="1">IF(AND(OR(INDIRECT("Descriptif!I"&amp;J$13)=Recap_equipements!$B19,INDIRECT("Descriptif!I"&amp;J$13)=Recap_equipements!$C19),INDIRECT("Descriptif!M"&amp;J$13)=$D21),INDIRECT("Descriptif!F"&amp;J$13),"")</f>
        <v/>
      </c>
      <c r="L21" s="13" t="str">
        <f ca="1">IF(AND(OR(INDIRECT("Descriptif!I"&amp;K$13)=Recap_equipements!$B19,INDIRECT("Descriptif!I"&amp;K$13)=Recap_equipements!$C19),INDIRECT("Descriptif!M"&amp;K$13)=$D21),INDIRECT("Descriptif!F"&amp;K$13),"")</f>
        <v/>
      </c>
      <c r="M21" s="13" t="str">
        <f ca="1">IF(AND(OR(INDIRECT("Descriptif!I"&amp;L$13)=Recap_equipements!$B19,INDIRECT("Descriptif!I"&amp;L$13)=Recap_equipements!$C19),INDIRECT("Descriptif!M"&amp;L$13)=$D21),INDIRECT("Descriptif!F"&amp;L$13),"")</f>
        <v/>
      </c>
      <c r="N21" s="13" t="str">
        <f ca="1">IF(AND(OR(INDIRECT("Descriptif!I"&amp;M$13)=Recap_equipements!$B19,INDIRECT("Descriptif!I"&amp;M$13)=Recap_equipements!$C19),INDIRECT("Descriptif!M"&amp;M$13)=$D21),INDIRECT("Descriptif!F"&amp;M$13),"")</f>
        <v/>
      </c>
      <c r="O21" s="13" t="str">
        <f ca="1">IF(AND(OR(INDIRECT("Descriptif!I"&amp;N$13)=Recap_equipements!$B19,INDIRECT("Descriptif!I"&amp;N$13)=Recap_equipements!$C19),INDIRECT("Descriptif!M"&amp;N$13)=$D21),INDIRECT("Descriptif!F"&amp;N$13),"")</f>
        <v/>
      </c>
      <c r="P21" s="13" t="str">
        <f ca="1">IF(AND(OR(INDIRECT("Descriptif!I"&amp;O$13)=Recap_equipements!$B19,INDIRECT("Descriptif!I"&amp;O$13)=Recap_equipements!$C19),INDIRECT("Descriptif!M"&amp;O$13)=$D21),INDIRECT("Descriptif!F"&amp;O$13),"")</f>
        <v/>
      </c>
      <c r="Q21" s="13" t="str">
        <f ca="1">IF(AND(OR(INDIRECT("Descriptif!I"&amp;P$13)=Recap_equipements!$B19,INDIRECT("Descriptif!I"&amp;P$13)=Recap_equipements!$C19),INDIRECT("Descriptif!M"&amp;P$13)=$D21),INDIRECT("Descriptif!F"&amp;P$13),"")</f>
        <v/>
      </c>
      <c r="R21" s="13" t="str">
        <f ca="1">IF(AND(OR(INDIRECT("Descriptif!I"&amp;Q$13)=Recap_equipements!$B19,INDIRECT("Descriptif!I"&amp;Q$13)=Recap_equipements!$C19),INDIRECT("Descriptif!M"&amp;Q$13)=$D21),INDIRECT("Descriptif!F"&amp;Q$13),"")</f>
        <v/>
      </c>
      <c r="S21" s="13" t="str">
        <f ca="1">IF(AND(OR(INDIRECT("Descriptif!I"&amp;R$13)=Recap_equipements!$B19,INDIRECT("Descriptif!I"&amp;R$13)=Recap_equipements!$C19),INDIRECT("Descriptif!M"&amp;R$13)=$D21),INDIRECT("Descriptif!F"&amp;R$13),"")</f>
        <v/>
      </c>
      <c r="T21" s="164" t="str">
        <f ca="1">IF(AND(OR(INDIRECT("Descriptif!I"&amp;S$13)=Recap_equipements!$B19,INDIRECT("Descriptif!I"&amp;S$13)=Recap_equipements!$C19),INDIRECT("Descriptif!M"&amp;S$13)=$D21),INDIRECT("Descriptif!F"&amp;S$13),"")</f>
        <v/>
      </c>
    </row>
    <row r="22" spans="2:20" x14ac:dyDescent="0.4">
      <c r="B22" s="897"/>
      <c r="C22" s="900"/>
      <c r="D22" s="386" t="s">
        <v>482</v>
      </c>
      <c r="E22" s="386"/>
      <c r="F22" s="388" t="str">
        <f ca="1">IF(F21&lt;&gt;"",VLOOKUP(F21,Analytique!$X$3:$AD$36,1,FALSE),"")</f>
        <v/>
      </c>
      <c r="G22" s="388" t="str">
        <f ca="1">IF(G21&lt;&gt;"",VLOOKUP(G21,Analytique!$X$3:$AD$36,1,FALSE),"")</f>
        <v/>
      </c>
      <c r="H22" s="388" t="str">
        <f ca="1">IF(H21&lt;&gt;"",VLOOKUP(H21,Analytique!$X$3:$AD$36,1,FALSE),"")</f>
        <v/>
      </c>
      <c r="I22" s="388" t="str">
        <f ca="1">IF(I21&lt;&gt;"",VLOOKUP(I21,Analytique!$X$3:$AD$36,1,FALSE),"")</f>
        <v/>
      </c>
      <c r="J22" s="388" t="str">
        <f ca="1">IF(J21&lt;&gt;"",VLOOKUP(J21,Analytique!$X$3:$AD$36,1,FALSE),"")</f>
        <v/>
      </c>
      <c r="K22" s="388" t="str">
        <f ca="1">IF(K21&lt;&gt;"",VLOOKUP(K21,Analytique!$X$3:$AD$36,1,FALSE),"")</f>
        <v/>
      </c>
      <c r="L22" s="388" t="str">
        <f ca="1">IF(L21&lt;&gt;"",VLOOKUP(L21,Analytique!$X$3:$AD$36,1,FALSE),"")</f>
        <v/>
      </c>
      <c r="M22" s="388" t="str">
        <f ca="1">IF(M21&lt;&gt;"",VLOOKUP(M21,Analytique!$X$3:$AD$36,1,FALSE),"")</f>
        <v/>
      </c>
      <c r="N22" s="388" t="str">
        <f ca="1">IF(N21&lt;&gt;"",VLOOKUP(N21,Analytique!$X$3:$AD$36,1,FALSE),"")</f>
        <v/>
      </c>
      <c r="O22" s="388" t="str">
        <f ca="1">IF(O21&lt;&gt;"",VLOOKUP(O21,Analytique!$X$3:$AD$36,1,FALSE),"")</f>
        <v/>
      </c>
      <c r="P22" s="388" t="str">
        <f ca="1">IF(P21&lt;&gt;"",VLOOKUP(P21,Analytique!$X$3:$AD$36,1,FALSE),"")</f>
        <v/>
      </c>
      <c r="Q22" s="388" t="str">
        <f ca="1">IF(Q21&lt;&gt;"",VLOOKUP(Q21,Analytique!$X$3:$AD$36,1,FALSE),"")</f>
        <v/>
      </c>
      <c r="R22" s="388" t="str">
        <f ca="1">IF(R21&lt;&gt;"",VLOOKUP(R21,Analytique!$X$3:$AD$36,1,FALSE),"")</f>
        <v/>
      </c>
      <c r="S22" s="388" t="str">
        <f ca="1">IF(S21&lt;&gt;"",VLOOKUP(S21,Analytique!$X$3:$AD$36,1,FALSE),"")</f>
        <v/>
      </c>
      <c r="T22" s="389" t="str">
        <f ca="1">IF(T21&lt;&gt;"",VLOOKUP(T21,Analytique!$X$3:$AD$36,1,FALSE),"")</f>
        <v/>
      </c>
    </row>
    <row r="23" spans="2:20" ht="13" thickBot="1" x14ac:dyDescent="0.45">
      <c r="B23" s="898"/>
      <c r="C23" s="901"/>
      <c r="D23" s="165" t="str">
        <f>$D$10</f>
        <v>Sonde de température</v>
      </c>
      <c r="E23" s="165"/>
      <c r="F23" s="166" t="str">
        <f ca="1">IF(AND(OR(INDIRECT("Descriptif!I"&amp;E$13)=Recap_equipements!$B19,INDIRECT("Descriptif!I"&amp;E$13)=Recap_equipements!$C19),INDIRECT("Descriptif!M"&amp;E$13)=$D23),INDIRECT("Descriptif!F"&amp;E$13),"")</f>
        <v/>
      </c>
      <c r="G23" s="166" t="str">
        <f ca="1">IF(AND(OR(INDIRECT("Descriptif!I"&amp;F$13)=Recap_equipements!$B19,INDIRECT("Descriptif!I"&amp;F$13)=Recap_equipements!$C19),INDIRECT("Descriptif!M"&amp;F$13)=$D23),INDIRECT("Descriptif!F"&amp;F$13),"")</f>
        <v/>
      </c>
      <c r="H23" s="166" t="str">
        <f ca="1">IF(AND(OR(INDIRECT("Descriptif!I"&amp;G$13)=Recap_equipements!$B19,INDIRECT("Descriptif!I"&amp;G$13)=Recap_equipements!$C19),INDIRECT("Descriptif!M"&amp;G$13)=$D23),INDIRECT("Descriptif!F"&amp;G$13),"")</f>
        <v/>
      </c>
      <c r="I23" s="166" t="str">
        <f ca="1">IF(AND(OR(INDIRECT("Descriptif!I"&amp;H$13)=Recap_equipements!$B19,INDIRECT("Descriptif!I"&amp;H$13)=Recap_equipements!$C19),INDIRECT("Descriptif!M"&amp;H$13)=$D23),INDIRECT("Descriptif!F"&amp;H$13),"")</f>
        <v/>
      </c>
      <c r="J23" s="166" t="str">
        <f ca="1">IF(AND(OR(INDIRECT("Descriptif!I"&amp;I$13)=Recap_equipements!$B19,INDIRECT("Descriptif!I"&amp;I$13)=Recap_equipements!$C19),INDIRECT("Descriptif!M"&amp;I$13)=$D23),INDIRECT("Descriptif!F"&amp;I$13),"")</f>
        <v/>
      </c>
      <c r="K23" s="166" t="str">
        <f ca="1">IF(AND(OR(INDIRECT("Descriptif!I"&amp;J$13)=Recap_equipements!$B19,INDIRECT("Descriptif!I"&amp;J$13)=Recap_equipements!$C19),INDIRECT("Descriptif!M"&amp;J$13)=$D23),INDIRECT("Descriptif!F"&amp;J$13),"")</f>
        <v/>
      </c>
      <c r="L23" s="166" t="str">
        <f ca="1">IF(AND(OR(INDIRECT("Descriptif!I"&amp;K$13)=Recap_equipements!$B19,INDIRECT("Descriptif!I"&amp;K$13)=Recap_equipements!$C19),INDIRECT("Descriptif!M"&amp;K$13)=$D23),INDIRECT("Descriptif!F"&amp;K$13),"")</f>
        <v/>
      </c>
      <c r="M23" s="166" t="str">
        <f ca="1">IF(AND(OR(INDIRECT("Descriptif!I"&amp;L$13)=Recap_equipements!$B19,INDIRECT("Descriptif!I"&amp;L$13)=Recap_equipements!$C19),INDIRECT("Descriptif!M"&amp;L$13)=$D23),INDIRECT("Descriptif!F"&amp;L$13),"")</f>
        <v/>
      </c>
      <c r="N23" s="166" t="str">
        <f ca="1">IF(AND(OR(INDIRECT("Descriptif!I"&amp;M$13)=Recap_equipements!$B19,INDIRECT("Descriptif!I"&amp;M$13)=Recap_equipements!$C19),INDIRECT("Descriptif!M"&amp;M$13)=$D23),INDIRECT("Descriptif!F"&amp;M$13),"")</f>
        <v/>
      </c>
      <c r="O23" s="166" t="str">
        <f ca="1">IF(AND(OR(INDIRECT("Descriptif!I"&amp;N$13)=Recap_equipements!$B19,INDIRECT("Descriptif!I"&amp;N$13)=Recap_equipements!$C19),INDIRECT("Descriptif!M"&amp;N$13)=$D23),INDIRECT("Descriptif!F"&amp;N$13),"")</f>
        <v/>
      </c>
      <c r="P23" s="166" t="str">
        <f ca="1">IF(AND(OR(INDIRECT("Descriptif!I"&amp;O$13)=Recap_equipements!$B19,INDIRECT("Descriptif!I"&amp;O$13)=Recap_equipements!$C19),INDIRECT("Descriptif!M"&amp;O$13)=$D23),INDIRECT("Descriptif!F"&amp;O$13),"")</f>
        <v/>
      </c>
      <c r="Q23" s="166" t="str">
        <f ca="1">IF(AND(OR(INDIRECT("Descriptif!I"&amp;P$13)=Recap_equipements!$B19,INDIRECT("Descriptif!I"&amp;P$13)=Recap_equipements!$C19),INDIRECT("Descriptif!M"&amp;P$13)=$D23),INDIRECT("Descriptif!F"&amp;P$13),"")</f>
        <v/>
      </c>
      <c r="R23" s="166" t="str">
        <f ca="1">IF(AND(OR(INDIRECT("Descriptif!I"&amp;Q$13)=Recap_equipements!$B19,INDIRECT("Descriptif!I"&amp;Q$13)=Recap_equipements!$C19),INDIRECT("Descriptif!M"&amp;Q$13)=$D23),INDIRECT("Descriptif!F"&amp;Q$13),"")</f>
        <v/>
      </c>
      <c r="S23" s="166" t="str">
        <f ca="1">IF(AND(OR(INDIRECT("Descriptif!I"&amp;R$13)=Recap_equipements!$B19,INDIRECT("Descriptif!I"&amp;R$13)=Recap_equipements!$C19),INDIRECT("Descriptif!M"&amp;R$13)=$D23),INDIRECT("Descriptif!F"&amp;R$13),"")</f>
        <v/>
      </c>
      <c r="T23" s="167" t="str">
        <f ca="1">IF(AND(OR(INDIRECT("Descriptif!I"&amp;S$13)=Recap_equipements!$B19,INDIRECT("Descriptif!I"&amp;S$13)=Recap_equipements!$C19),INDIRECT("Descriptif!M"&amp;S$13)=$D23),INDIRECT("Descriptif!F"&amp;S$13),"")</f>
        <v/>
      </c>
    </row>
    <row r="24" spans="2:20" x14ac:dyDescent="0.4">
      <c r="B24" s="896" t="s">
        <v>65</v>
      </c>
      <c r="C24" s="899" t="s">
        <v>114</v>
      </c>
      <c r="D24" s="161" t="str">
        <f>$D$7</f>
        <v>Débitmètre en charge</v>
      </c>
      <c r="E24" s="161"/>
      <c r="F24" s="162" t="str">
        <f ca="1">IF(AND(OR(INDIRECT("Descriptif!I"&amp;E$13)=Recap_equipements!$B24,INDIRECT("Descriptif!I"&amp;E$13)=Recap_equipements!$C24),INDIRECT("Descriptif!M"&amp;E$13)=$D24),INDIRECT("Descriptif!F"&amp;E$13),"")</f>
        <v/>
      </c>
      <c r="G24" s="162" t="str">
        <f ca="1">IF(AND(OR(INDIRECT("Descriptif!I"&amp;F$13)=Recap_equipements!$B24,INDIRECT("Descriptif!I"&amp;F$13)=Recap_equipements!$C24),INDIRECT("Descriptif!M"&amp;F$13)=$D24),INDIRECT("Descriptif!F"&amp;F$13),"")</f>
        <v/>
      </c>
      <c r="H24" s="162" t="str">
        <f ca="1">IF(AND(OR(INDIRECT("Descriptif!I"&amp;G$13)=Recap_equipements!$B24,INDIRECT("Descriptif!I"&amp;G$13)=Recap_equipements!$C24),INDIRECT("Descriptif!M"&amp;G$13)=$D24),INDIRECT("Descriptif!F"&amp;G$13),"")</f>
        <v/>
      </c>
      <c r="I24" s="162" t="str">
        <f ca="1">IF(AND(OR(INDIRECT("Descriptif!I"&amp;H$13)=Recap_equipements!$B24,INDIRECT("Descriptif!I"&amp;H$13)=Recap_equipements!$C24),INDIRECT("Descriptif!M"&amp;H$13)=$D24),INDIRECT("Descriptif!F"&amp;H$13),"")</f>
        <v/>
      </c>
      <c r="J24" s="162" t="str">
        <f ca="1">IF(AND(OR(INDIRECT("Descriptif!I"&amp;I$13)=Recap_equipements!$B24,INDIRECT("Descriptif!I"&amp;I$13)=Recap_equipements!$C24),INDIRECT("Descriptif!M"&amp;I$13)=$D24),INDIRECT("Descriptif!F"&amp;I$13),"")</f>
        <v/>
      </c>
      <c r="K24" s="162" t="str">
        <f ca="1">IF(AND(OR(INDIRECT("Descriptif!I"&amp;J$13)=Recap_equipements!$B24,INDIRECT("Descriptif!I"&amp;J$13)=Recap_equipements!$C24),INDIRECT("Descriptif!M"&amp;J$13)=$D24),INDIRECT("Descriptif!F"&amp;J$13),"")</f>
        <v/>
      </c>
      <c r="L24" s="162" t="str">
        <f ca="1">IF(AND(OR(INDIRECT("Descriptif!I"&amp;K$13)=Recap_equipements!$B24,INDIRECT("Descriptif!I"&amp;K$13)=Recap_equipements!$C24),INDIRECT("Descriptif!M"&amp;K$13)=$D24),INDIRECT("Descriptif!F"&amp;K$13),"")</f>
        <v/>
      </c>
      <c r="M24" s="162" t="str">
        <f ca="1">IF(AND(OR(INDIRECT("Descriptif!I"&amp;L$13)=Recap_equipements!$B24,INDIRECT("Descriptif!I"&amp;L$13)=Recap_equipements!$C24),INDIRECT("Descriptif!M"&amp;L$13)=$D24),INDIRECT("Descriptif!F"&amp;L$13),"")</f>
        <v/>
      </c>
      <c r="N24" s="162" t="str">
        <f ca="1">IF(AND(OR(INDIRECT("Descriptif!I"&amp;M$13)=Recap_equipements!$B24,INDIRECT("Descriptif!I"&amp;M$13)=Recap_equipements!$C24),INDIRECT("Descriptif!M"&amp;M$13)=$D24),INDIRECT("Descriptif!F"&amp;M$13),"")</f>
        <v/>
      </c>
      <c r="O24" s="162" t="str">
        <f ca="1">IF(AND(OR(INDIRECT("Descriptif!I"&amp;N$13)=Recap_equipements!$B24,INDIRECT("Descriptif!I"&amp;N$13)=Recap_equipements!$C24),INDIRECT("Descriptif!M"&amp;N$13)=$D24),INDIRECT("Descriptif!F"&amp;N$13),"")</f>
        <v/>
      </c>
      <c r="P24" s="162" t="str">
        <f ca="1">IF(AND(OR(INDIRECT("Descriptif!I"&amp;O$13)=Recap_equipements!$B24,INDIRECT("Descriptif!I"&amp;O$13)=Recap_equipements!$C24),INDIRECT("Descriptif!M"&amp;O$13)=$D24),INDIRECT("Descriptif!F"&amp;O$13),"")</f>
        <v/>
      </c>
      <c r="Q24" s="162" t="str">
        <f ca="1">IF(AND(OR(INDIRECT("Descriptif!I"&amp;P$13)=Recap_equipements!$B24,INDIRECT("Descriptif!I"&amp;P$13)=Recap_equipements!$C24),INDIRECT("Descriptif!M"&amp;P$13)=$D24),INDIRECT("Descriptif!F"&amp;P$13),"")</f>
        <v/>
      </c>
      <c r="R24" s="162" t="str">
        <f ca="1">IF(AND(OR(INDIRECT("Descriptif!I"&amp;Q$13)=Recap_equipements!$B24,INDIRECT("Descriptif!I"&amp;Q$13)=Recap_equipements!$C24),INDIRECT("Descriptif!M"&amp;Q$13)=$D24),INDIRECT("Descriptif!F"&amp;Q$13),"")</f>
        <v/>
      </c>
      <c r="S24" s="162" t="str">
        <f ca="1">IF(AND(OR(INDIRECT("Descriptif!I"&amp;R$13)=Recap_equipements!$B24,INDIRECT("Descriptif!I"&amp;R$13)=Recap_equipements!$C24),INDIRECT("Descriptif!M"&amp;R$13)=$D24),INDIRECT("Descriptif!F"&amp;R$13),"")</f>
        <v/>
      </c>
      <c r="T24" s="163" t="str">
        <f ca="1">IF(AND(OR(INDIRECT("Descriptif!I"&amp;S$13)=Recap_equipements!$B24,INDIRECT("Descriptif!I"&amp;S$13)=Recap_equipements!$C24),INDIRECT("Descriptif!M"&amp;S$13)=$D24),INDIRECT("Descriptif!F"&amp;S$13),"")</f>
        <v/>
      </c>
    </row>
    <row r="25" spans="2:20" x14ac:dyDescent="0.4">
      <c r="B25" s="897"/>
      <c r="C25" s="900"/>
      <c r="D25" s="160" t="str">
        <f>$D$8</f>
        <v>Débitmètre gravitaire</v>
      </c>
      <c r="E25" s="160"/>
      <c r="F25" s="13" t="str">
        <f ca="1">IF(AND(OR(INDIRECT("Descriptif!I"&amp;E$13)=Recap_equipements!$B24,INDIRECT("Descriptif!I"&amp;E$13)=Recap_equipements!$C24),INDIRECT("Descriptif!M"&amp;E$13)=$D25),INDIRECT("Descriptif!F"&amp;E$13),"")</f>
        <v/>
      </c>
      <c r="G25" s="13" t="str">
        <f ca="1">IF(AND(OR(INDIRECT("Descriptif!I"&amp;F$13)=Recap_equipements!$B24,INDIRECT("Descriptif!I"&amp;F$13)=Recap_equipements!$C24),INDIRECT("Descriptif!M"&amp;F$13)=$D25),INDIRECT("Descriptif!F"&amp;F$13),"")</f>
        <v/>
      </c>
      <c r="H25" s="13" t="str">
        <f ca="1">IF(AND(OR(INDIRECT("Descriptif!I"&amp;G$13)=Recap_equipements!$B24,INDIRECT("Descriptif!I"&amp;G$13)=Recap_equipements!$C24),INDIRECT("Descriptif!M"&amp;G$13)=$D25),INDIRECT("Descriptif!F"&amp;G$13),"")</f>
        <v/>
      </c>
      <c r="I25" s="13" t="str">
        <f ca="1">IF(AND(OR(INDIRECT("Descriptif!I"&amp;H$13)=Recap_equipements!$B24,INDIRECT("Descriptif!I"&amp;H$13)=Recap_equipements!$C24),INDIRECT("Descriptif!M"&amp;H$13)=$D25),INDIRECT("Descriptif!F"&amp;H$13),"")</f>
        <v/>
      </c>
      <c r="J25" s="13" t="str">
        <f ca="1">IF(AND(OR(INDIRECT("Descriptif!I"&amp;I$13)=Recap_equipements!$B24,INDIRECT("Descriptif!I"&amp;I$13)=Recap_equipements!$C24),INDIRECT("Descriptif!M"&amp;I$13)=$D25),INDIRECT("Descriptif!F"&amp;I$13),"")</f>
        <v/>
      </c>
      <c r="K25" s="13" t="str">
        <f ca="1">IF(AND(OR(INDIRECT("Descriptif!I"&amp;J$13)=Recap_equipements!$B24,INDIRECT("Descriptif!I"&amp;J$13)=Recap_equipements!$C24),INDIRECT("Descriptif!M"&amp;J$13)=$D25),INDIRECT("Descriptif!F"&amp;J$13),"")</f>
        <v/>
      </c>
      <c r="L25" s="13" t="str">
        <f ca="1">IF(AND(OR(INDIRECT("Descriptif!I"&amp;K$13)=Recap_equipements!$B24,INDIRECT("Descriptif!I"&amp;K$13)=Recap_equipements!$C24),INDIRECT("Descriptif!M"&amp;K$13)=$D25),INDIRECT("Descriptif!F"&amp;K$13),"")</f>
        <v/>
      </c>
      <c r="M25" s="13" t="str">
        <f ca="1">IF(AND(OR(INDIRECT("Descriptif!I"&amp;L$13)=Recap_equipements!$B24,INDIRECT("Descriptif!I"&amp;L$13)=Recap_equipements!$C24),INDIRECT("Descriptif!M"&amp;L$13)=$D25),INDIRECT("Descriptif!F"&amp;L$13),"")</f>
        <v/>
      </c>
      <c r="N25" s="13" t="str">
        <f ca="1">IF(AND(OR(INDIRECT("Descriptif!I"&amp;M$13)=Recap_equipements!$B24,INDIRECT("Descriptif!I"&amp;M$13)=Recap_equipements!$C24),INDIRECT("Descriptif!M"&amp;M$13)=$D25),INDIRECT("Descriptif!F"&amp;M$13),"")</f>
        <v/>
      </c>
      <c r="O25" s="13" t="str">
        <f ca="1">IF(AND(OR(INDIRECT("Descriptif!I"&amp;N$13)=Recap_equipements!$B24,INDIRECT("Descriptif!I"&amp;N$13)=Recap_equipements!$C24),INDIRECT("Descriptif!M"&amp;N$13)=$D25),INDIRECT("Descriptif!F"&amp;N$13),"")</f>
        <v/>
      </c>
      <c r="P25" s="13" t="str">
        <f ca="1">IF(AND(OR(INDIRECT("Descriptif!I"&amp;O$13)=Recap_equipements!$B24,INDIRECT("Descriptif!I"&amp;O$13)=Recap_equipements!$C24),INDIRECT("Descriptif!M"&amp;O$13)=$D25),INDIRECT("Descriptif!F"&amp;O$13),"")</f>
        <v/>
      </c>
      <c r="Q25" s="13" t="str">
        <f ca="1">IF(AND(OR(INDIRECT("Descriptif!I"&amp;P$13)=Recap_equipements!$B24,INDIRECT("Descriptif!I"&amp;P$13)=Recap_equipements!$C24),INDIRECT("Descriptif!M"&amp;P$13)=$D25),INDIRECT("Descriptif!F"&amp;P$13),"")</f>
        <v/>
      </c>
      <c r="R25" s="13" t="str">
        <f ca="1">IF(AND(OR(INDIRECT("Descriptif!I"&amp;Q$13)=Recap_equipements!$B24,INDIRECT("Descriptif!I"&amp;Q$13)=Recap_equipements!$C24),INDIRECT("Descriptif!M"&amp;Q$13)=$D25),INDIRECT("Descriptif!F"&amp;Q$13),"")</f>
        <v/>
      </c>
      <c r="S25" s="13" t="str">
        <f ca="1">IF(AND(OR(INDIRECT("Descriptif!I"&amp;R$13)=Recap_equipements!$B24,INDIRECT("Descriptif!I"&amp;R$13)=Recap_equipements!$C24),INDIRECT("Descriptif!M"&amp;R$13)=$D25),INDIRECT("Descriptif!F"&amp;R$13),"")</f>
        <v/>
      </c>
      <c r="T25" s="164" t="str">
        <f ca="1">IF(AND(OR(INDIRECT("Descriptif!I"&amp;S$13)=Recap_equipements!$B24,INDIRECT("Descriptif!I"&amp;S$13)=Recap_equipements!$C24),INDIRECT("Descriptif!M"&amp;S$13)=$D25),INDIRECT("Descriptif!F"&amp;S$13),"")</f>
        <v/>
      </c>
    </row>
    <row r="26" spans="2:20" x14ac:dyDescent="0.4">
      <c r="B26" s="897"/>
      <c r="C26" s="900"/>
      <c r="D26" s="160" t="str">
        <f>$D$9</f>
        <v>Préleveur</v>
      </c>
      <c r="E26" s="160"/>
      <c r="F26" s="13" t="str">
        <f ca="1">IF(AND(OR(INDIRECT("Descriptif!I"&amp;E$13)=Recap_equipements!$B24,INDIRECT("Descriptif!I"&amp;E$13)=Recap_equipements!$C24),INDIRECT("Descriptif!M"&amp;E$13)=$D26),INDIRECT("Descriptif!F"&amp;E$13),"")</f>
        <v/>
      </c>
      <c r="G26" s="13" t="str">
        <f ca="1">IF(AND(OR(INDIRECT("Descriptif!I"&amp;F$13)=Recap_equipements!$B24,INDIRECT("Descriptif!I"&amp;F$13)=Recap_equipements!$C24),INDIRECT("Descriptif!M"&amp;F$13)=$D26),INDIRECT("Descriptif!F"&amp;F$13),"")</f>
        <v/>
      </c>
      <c r="H26" s="13" t="str">
        <f ca="1">IF(AND(OR(INDIRECT("Descriptif!I"&amp;G$13)=Recap_equipements!$B24,INDIRECT("Descriptif!I"&amp;G$13)=Recap_equipements!$C24),INDIRECT("Descriptif!M"&amp;G$13)=$D26),INDIRECT("Descriptif!F"&amp;G$13),"")</f>
        <v/>
      </c>
      <c r="I26" s="13" t="str">
        <f ca="1">IF(AND(OR(INDIRECT("Descriptif!I"&amp;H$13)=Recap_equipements!$B24,INDIRECT("Descriptif!I"&amp;H$13)=Recap_equipements!$C24),INDIRECT("Descriptif!M"&amp;H$13)=$D26),INDIRECT("Descriptif!F"&amp;H$13),"")</f>
        <v/>
      </c>
      <c r="J26" s="13" t="str">
        <f ca="1">IF(AND(OR(INDIRECT("Descriptif!I"&amp;I$13)=Recap_equipements!$B24,INDIRECT("Descriptif!I"&amp;I$13)=Recap_equipements!$C24),INDIRECT("Descriptif!M"&amp;I$13)=$D26),INDIRECT("Descriptif!F"&amp;I$13),"")</f>
        <v/>
      </c>
      <c r="K26" s="13" t="str">
        <f ca="1">IF(AND(OR(INDIRECT("Descriptif!I"&amp;J$13)=Recap_equipements!$B24,INDIRECT("Descriptif!I"&amp;J$13)=Recap_equipements!$C24),INDIRECT("Descriptif!M"&amp;J$13)=$D26),INDIRECT("Descriptif!F"&amp;J$13),"")</f>
        <v/>
      </c>
      <c r="L26" s="13" t="str">
        <f ca="1">IF(AND(OR(INDIRECT("Descriptif!I"&amp;K$13)=Recap_equipements!$B24,INDIRECT("Descriptif!I"&amp;K$13)=Recap_equipements!$C24),INDIRECT("Descriptif!M"&amp;K$13)=$D26),INDIRECT("Descriptif!F"&amp;K$13),"")</f>
        <v/>
      </c>
      <c r="M26" s="13" t="str">
        <f ca="1">IF(AND(OR(INDIRECT("Descriptif!I"&amp;L$13)=Recap_equipements!$B24,INDIRECT("Descriptif!I"&amp;L$13)=Recap_equipements!$C24),INDIRECT("Descriptif!M"&amp;L$13)=$D26),INDIRECT("Descriptif!F"&amp;L$13),"")</f>
        <v/>
      </c>
      <c r="N26" s="13" t="str">
        <f ca="1">IF(AND(OR(INDIRECT("Descriptif!I"&amp;M$13)=Recap_equipements!$B24,INDIRECT("Descriptif!I"&amp;M$13)=Recap_equipements!$C24),INDIRECT("Descriptif!M"&amp;M$13)=$D26),INDIRECT("Descriptif!F"&amp;M$13),"")</f>
        <v/>
      </c>
      <c r="O26" s="13" t="str">
        <f ca="1">IF(AND(OR(INDIRECT("Descriptif!I"&amp;N$13)=Recap_equipements!$B24,INDIRECT("Descriptif!I"&amp;N$13)=Recap_equipements!$C24),INDIRECT("Descriptif!M"&amp;N$13)=$D26),INDIRECT("Descriptif!F"&amp;N$13),"")</f>
        <v/>
      </c>
      <c r="P26" s="13" t="str">
        <f ca="1">IF(AND(OR(INDIRECT("Descriptif!I"&amp;O$13)=Recap_equipements!$B24,INDIRECT("Descriptif!I"&amp;O$13)=Recap_equipements!$C24),INDIRECT("Descriptif!M"&amp;O$13)=$D26),INDIRECT("Descriptif!F"&amp;O$13),"")</f>
        <v/>
      </c>
      <c r="Q26" s="13" t="str">
        <f ca="1">IF(AND(OR(INDIRECT("Descriptif!I"&amp;P$13)=Recap_equipements!$B24,INDIRECT("Descriptif!I"&amp;P$13)=Recap_equipements!$C24),INDIRECT("Descriptif!M"&amp;P$13)=$D26),INDIRECT("Descriptif!F"&amp;P$13),"")</f>
        <v/>
      </c>
      <c r="R26" s="13" t="str">
        <f ca="1">IF(AND(OR(INDIRECT("Descriptif!I"&amp;Q$13)=Recap_equipements!$B24,INDIRECT("Descriptif!I"&amp;Q$13)=Recap_equipements!$C24),INDIRECT("Descriptif!M"&amp;Q$13)=$D26),INDIRECT("Descriptif!F"&amp;Q$13),"")</f>
        <v/>
      </c>
      <c r="S26" s="13" t="str">
        <f ca="1">IF(AND(OR(INDIRECT("Descriptif!I"&amp;R$13)=Recap_equipements!$B24,INDIRECT("Descriptif!I"&amp;R$13)=Recap_equipements!$C24),INDIRECT("Descriptif!M"&amp;R$13)=$D26),INDIRECT("Descriptif!F"&amp;R$13),"")</f>
        <v/>
      </c>
      <c r="T26" s="164" t="str">
        <f ca="1">IF(AND(OR(INDIRECT("Descriptif!I"&amp;S$13)=Recap_equipements!$B24,INDIRECT("Descriptif!I"&amp;S$13)=Recap_equipements!$C24),INDIRECT("Descriptif!M"&amp;S$13)=$D26),INDIRECT("Descriptif!F"&amp;S$13),"")</f>
        <v/>
      </c>
    </row>
    <row r="27" spans="2:20" x14ac:dyDescent="0.4">
      <c r="B27" s="897"/>
      <c r="C27" s="900"/>
      <c r="D27" s="386" t="s">
        <v>482</v>
      </c>
      <c r="E27" s="386"/>
      <c r="F27" s="388" t="str">
        <f ca="1">IF(F26&lt;&gt;"",VLOOKUP(F26,Analytique!$X$3:$AD$36,1,FALSE),"")</f>
        <v/>
      </c>
      <c r="G27" s="388" t="str">
        <f ca="1">IF(G26&lt;&gt;"",VLOOKUP(G26,Analytique!$X$3:$AD$36,1,FALSE),"")</f>
        <v/>
      </c>
      <c r="H27" s="388" t="str">
        <f ca="1">IF(H26&lt;&gt;"",VLOOKUP(H26,Analytique!$X$3:$AD$36,1,FALSE),"")</f>
        <v/>
      </c>
      <c r="I27" s="388" t="str">
        <f ca="1">IF(I26&lt;&gt;"",VLOOKUP(I26,Analytique!$X$3:$AD$36,1,FALSE),"")</f>
        <v/>
      </c>
      <c r="J27" s="388" t="str">
        <f ca="1">IF(J26&lt;&gt;"",VLOOKUP(J26,Analytique!$X$3:$AD$36,1,FALSE),"")</f>
        <v/>
      </c>
      <c r="K27" s="388" t="str">
        <f ca="1">IF(K26&lt;&gt;"",VLOOKUP(K26,Analytique!$X$3:$AD$36,1,FALSE),"")</f>
        <v/>
      </c>
      <c r="L27" s="388" t="str">
        <f ca="1">IF(L26&lt;&gt;"",VLOOKUP(L26,Analytique!$X$3:$AD$36,1,FALSE),"")</f>
        <v/>
      </c>
      <c r="M27" s="388" t="str">
        <f ca="1">IF(M26&lt;&gt;"",VLOOKUP(M26,Analytique!$X$3:$AD$36,1,FALSE),"")</f>
        <v/>
      </c>
      <c r="N27" s="388" t="str">
        <f ca="1">IF(N26&lt;&gt;"",VLOOKUP(N26,Analytique!$X$3:$AD$36,1,FALSE),"")</f>
        <v/>
      </c>
      <c r="O27" s="388" t="str">
        <f ca="1">IF(O26&lt;&gt;"",VLOOKUP(O26,Analytique!$X$3:$AD$36,1,FALSE),"")</f>
        <v/>
      </c>
      <c r="P27" s="388" t="str">
        <f ca="1">IF(P26&lt;&gt;"",VLOOKUP(P26,Analytique!$X$3:$AD$36,1,FALSE),"")</f>
        <v/>
      </c>
      <c r="Q27" s="388" t="str">
        <f ca="1">IF(Q26&lt;&gt;"",VLOOKUP(Q26,Analytique!$X$3:$AD$36,1,FALSE),"")</f>
        <v/>
      </c>
      <c r="R27" s="388" t="str">
        <f ca="1">IF(R26&lt;&gt;"",VLOOKUP(R26,Analytique!$X$3:$AD$36,1,FALSE),"")</f>
        <v/>
      </c>
      <c r="S27" s="388" t="str">
        <f ca="1">IF(S26&lt;&gt;"",VLOOKUP(S26,Analytique!$X$3:$AD$36,1,FALSE),"")</f>
        <v/>
      </c>
      <c r="T27" s="389" t="str">
        <f ca="1">IF(T26&lt;&gt;"",VLOOKUP(T26,Analytique!$X$3:$AD$36,1,FALSE),"")</f>
        <v/>
      </c>
    </row>
    <row r="28" spans="2:20" ht="13" thickBot="1" x14ac:dyDescent="0.45">
      <c r="B28" s="898"/>
      <c r="C28" s="901"/>
      <c r="D28" s="165" t="str">
        <f>$D$10</f>
        <v>Sonde de température</v>
      </c>
      <c r="E28" s="165"/>
      <c r="F28" s="166" t="str">
        <f ca="1">IF(AND(OR(INDIRECT("Descriptif!I"&amp;E$13)=Recap_equipements!$B24,INDIRECT("Descriptif!I"&amp;E$13)=Recap_equipements!$C24),INDIRECT("Descriptif!M"&amp;E$13)=$D28),INDIRECT("Descriptif!F"&amp;E$13),"")</f>
        <v/>
      </c>
      <c r="G28" s="166" t="str">
        <f ca="1">IF(AND(OR(INDIRECT("Descriptif!I"&amp;F$13)=Recap_equipements!$B24,INDIRECT("Descriptif!I"&amp;F$13)=Recap_equipements!$C24),INDIRECT("Descriptif!M"&amp;F$13)=$D28),INDIRECT("Descriptif!F"&amp;F$13),"")</f>
        <v/>
      </c>
      <c r="H28" s="166" t="str">
        <f ca="1">IF(AND(OR(INDIRECT("Descriptif!I"&amp;G$13)=Recap_equipements!$B24,INDIRECT("Descriptif!I"&amp;G$13)=Recap_equipements!$C24),INDIRECT("Descriptif!M"&amp;G$13)=$D28),INDIRECT("Descriptif!F"&amp;G$13),"")</f>
        <v/>
      </c>
      <c r="I28" s="166" t="str">
        <f ca="1">IF(AND(OR(INDIRECT("Descriptif!I"&amp;H$13)=Recap_equipements!$B24,INDIRECT("Descriptif!I"&amp;H$13)=Recap_equipements!$C24),INDIRECT("Descriptif!M"&amp;H$13)=$D28),INDIRECT("Descriptif!F"&amp;H$13),"")</f>
        <v/>
      </c>
      <c r="J28" s="166" t="str">
        <f ca="1">IF(AND(OR(INDIRECT("Descriptif!I"&amp;I$13)=Recap_equipements!$B24,INDIRECT("Descriptif!I"&amp;I$13)=Recap_equipements!$C24),INDIRECT("Descriptif!M"&amp;I$13)=$D28),INDIRECT("Descriptif!F"&amp;I$13),"")</f>
        <v/>
      </c>
      <c r="K28" s="166" t="str">
        <f ca="1">IF(AND(OR(INDIRECT("Descriptif!I"&amp;J$13)=Recap_equipements!$B24,INDIRECT("Descriptif!I"&amp;J$13)=Recap_equipements!$C24),INDIRECT("Descriptif!M"&amp;J$13)=$D28),INDIRECT("Descriptif!F"&amp;J$13),"")</f>
        <v/>
      </c>
      <c r="L28" s="166" t="str">
        <f ca="1">IF(AND(OR(INDIRECT("Descriptif!I"&amp;K$13)=Recap_equipements!$B24,INDIRECT("Descriptif!I"&amp;K$13)=Recap_equipements!$C24),INDIRECT("Descriptif!M"&amp;K$13)=$D28),INDIRECT("Descriptif!F"&amp;K$13),"")</f>
        <v/>
      </c>
      <c r="M28" s="166" t="str">
        <f ca="1">IF(AND(OR(INDIRECT("Descriptif!I"&amp;L$13)=Recap_equipements!$B24,INDIRECT("Descriptif!I"&amp;L$13)=Recap_equipements!$C24),INDIRECT("Descriptif!M"&amp;L$13)=$D28),INDIRECT("Descriptif!F"&amp;L$13),"")</f>
        <v/>
      </c>
      <c r="N28" s="166" t="str">
        <f ca="1">IF(AND(OR(INDIRECT("Descriptif!I"&amp;M$13)=Recap_equipements!$B24,INDIRECT("Descriptif!I"&amp;M$13)=Recap_equipements!$C24),INDIRECT("Descriptif!M"&amp;M$13)=$D28),INDIRECT("Descriptif!F"&amp;M$13),"")</f>
        <v/>
      </c>
      <c r="O28" s="166" t="str">
        <f ca="1">IF(AND(OR(INDIRECT("Descriptif!I"&amp;N$13)=Recap_equipements!$B24,INDIRECT("Descriptif!I"&amp;N$13)=Recap_equipements!$C24),INDIRECT("Descriptif!M"&amp;N$13)=$D28),INDIRECT("Descriptif!F"&amp;N$13),"")</f>
        <v/>
      </c>
      <c r="P28" s="166" t="str">
        <f ca="1">IF(AND(OR(INDIRECT("Descriptif!I"&amp;O$13)=Recap_equipements!$B24,INDIRECT("Descriptif!I"&amp;O$13)=Recap_equipements!$C24),INDIRECT("Descriptif!M"&amp;O$13)=$D28),INDIRECT("Descriptif!F"&amp;O$13),"")</f>
        <v/>
      </c>
      <c r="Q28" s="166" t="str">
        <f ca="1">IF(AND(OR(INDIRECT("Descriptif!I"&amp;P$13)=Recap_equipements!$B24,INDIRECT("Descriptif!I"&amp;P$13)=Recap_equipements!$C24),INDIRECT("Descriptif!M"&amp;P$13)=$D28),INDIRECT("Descriptif!F"&amp;P$13),"")</f>
        <v/>
      </c>
      <c r="R28" s="166" t="str">
        <f ca="1">IF(AND(OR(INDIRECT("Descriptif!I"&amp;Q$13)=Recap_equipements!$B24,INDIRECT("Descriptif!I"&amp;Q$13)=Recap_equipements!$C24),INDIRECT("Descriptif!M"&amp;Q$13)=$D28),INDIRECT("Descriptif!F"&amp;Q$13),"")</f>
        <v/>
      </c>
      <c r="S28" s="166" t="str">
        <f ca="1">IF(AND(OR(INDIRECT("Descriptif!I"&amp;R$13)=Recap_equipements!$B24,INDIRECT("Descriptif!I"&amp;R$13)=Recap_equipements!$C24),INDIRECT("Descriptif!M"&amp;R$13)=$D28),INDIRECT("Descriptif!F"&amp;R$13),"")</f>
        <v/>
      </c>
      <c r="T28" s="167" t="str">
        <f ca="1">IF(AND(OR(INDIRECT("Descriptif!I"&amp;S$13)=Recap_equipements!$B24,INDIRECT("Descriptif!I"&amp;S$13)=Recap_equipements!$C24),INDIRECT("Descriptif!M"&amp;S$13)=$D28),INDIRECT("Descriptif!F"&amp;S$13),"")</f>
        <v/>
      </c>
    </row>
    <row r="29" spans="2:20" x14ac:dyDescent="0.4">
      <c r="B29" s="896" t="s">
        <v>107</v>
      </c>
      <c r="C29" s="899" t="s">
        <v>122</v>
      </c>
      <c r="D29" s="161" t="str">
        <f>$D$7</f>
        <v>Débitmètre en charge</v>
      </c>
      <c r="E29" s="161"/>
      <c r="F29" s="162" t="str">
        <f ca="1">IF(AND(OR(INDIRECT("Descriptif!I"&amp;E$13)=Recap_equipements!$B29,INDIRECT("Descriptif!I"&amp;E$13)=Recap_equipements!$C29),INDIRECT("Descriptif!M"&amp;E$13)=$D29),INDIRECT("Descriptif!F"&amp;E$13),"")</f>
        <v/>
      </c>
      <c r="G29" s="162" t="str">
        <f ca="1">IF(AND(OR(INDIRECT("Descriptif!I"&amp;F$13)=Recap_equipements!$B29,INDIRECT("Descriptif!I"&amp;F$13)=Recap_equipements!$C29),INDIRECT("Descriptif!M"&amp;F$13)=$D29),INDIRECT("Descriptif!F"&amp;F$13),"")</f>
        <v/>
      </c>
      <c r="H29" s="162" t="str">
        <f ca="1">IF(AND(OR(INDIRECT("Descriptif!I"&amp;G$13)=Recap_equipements!$B29,INDIRECT("Descriptif!I"&amp;G$13)=Recap_equipements!$C29),INDIRECT("Descriptif!M"&amp;G$13)=$D29),INDIRECT("Descriptif!F"&amp;G$13),"")</f>
        <v/>
      </c>
      <c r="I29" s="162" t="str">
        <f ca="1">IF(AND(OR(INDIRECT("Descriptif!I"&amp;H$13)=Recap_equipements!$B29,INDIRECT("Descriptif!I"&amp;H$13)=Recap_equipements!$C29),INDIRECT("Descriptif!M"&amp;H$13)=$D29),INDIRECT("Descriptif!F"&amp;H$13),"")</f>
        <v/>
      </c>
      <c r="J29" s="162" t="str">
        <f ca="1">IF(AND(OR(INDIRECT("Descriptif!I"&amp;I$13)=Recap_equipements!$B29,INDIRECT("Descriptif!I"&amp;I$13)=Recap_equipements!$C29),INDIRECT("Descriptif!M"&amp;I$13)=$D29),INDIRECT("Descriptif!F"&amp;I$13),"")</f>
        <v/>
      </c>
      <c r="K29" s="162" t="str">
        <f ca="1">IF(AND(OR(INDIRECT("Descriptif!I"&amp;J$13)=Recap_equipements!$B29,INDIRECT("Descriptif!I"&amp;J$13)=Recap_equipements!$C29),INDIRECT("Descriptif!M"&amp;J$13)=$D29),INDIRECT("Descriptif!F"&amp;J$13),"")</f>
        <v/>
      </c>
      <c r="L29" s="162" t="str">
        <f ca="1">IF(AND(OR(INDIRECT("Descriptif!I"&amp;K$13)=Recap_equipements!$B29,INDIRECT("Descriptif!I"&amp;K$13)=Recap_equipements!$C29),INDIRECT("Descriptif!M"&amp;K$13)=$D29),INDIRECT("Descriptif!F"&amp;K$13),"")</f>
        <v/>
      </c>
      <c r="M29" s="162" t="str">
        <f ca="1">IF(AND(OR(INDIRECT("Descriptif!I"&amp;L$13)=Recap_equipements!$B29,INDIRECT("Descriptif!I"&amp;L$13)=Recap_equipements!$C29),INDIRECT("Descriptif!M"&amp;L$13)=$D29),INDIRECT("Descriptif!F"&amp;L$13),"")</f>
        <v/>
      </c>
      <c r="N29" s="162" t="str">
        <f ca="1">IF(AND(OR(INDIRECT("Descriptif!I"&amp;M$13)=Recap_equipements!$B29,INDIRECT("Descriptif!I"&amp;M$13)=Recap_equipements!$C29),INDIRECT("Descriptif!M"&amp;M$13)=$D29),INDIRECT("Descriptif!F"&amp;M$13),"")</f>
        <v/>
      </c>
      <c r="O29" s="162" t="str">
        <f ca="1">IF(AND(OR(INDIRECT("Descriptif!I"&amp;N$13)=Recap_equipements!$B29,INDIRECT("Descriptif!I"&amp;N$13)=Recap_equipements!$C29),INDIRECT("Descriptif!M"&amp;N$13)=$D29),INDIRECT("Descriptif!F"&amp;N$13),"")</f>
        <v/>
      </c>
      <c r="P29" s="162" t="str">
        <f ca="1">IF(AND(OR(INDIRECT("Descriptif!I"&amp;O$13)=Recap_equipements!$B29,INDIRECT("Descriptif!I"&amp;O$13)=Recap_equipements!$C29),INDIRECT("Descriptif!M"&amp;O$13)=$D29),INDIRECT("Descriptif!F"&amp;O$13),"")</f>
        <v/>
      </c>
      <c r="Q29" s="162" t="str">
        <f ca="1">IF(AND(OR(INDIRECT("Descriptif!I"&amp;P$13)=Recap_equipements!$B29,INDIRECT("Descriptif!I"&amp;P$13)=Recap_equipements!$C29),INDIRECT("Descriptif!M"&amp;P$13)=$D29),INDIRECT("Descriptif!F"&amp;P$13),"")</f>
        <v/>
      </c>
      <c r="R29" s="162" t="str">
        <f ca="1">IF(AND(OR(INDIRECT("Descriptif!I"&amp;Q$13)=Recap_equipements!$B29,INDIRECT("Descriptif!I"&amp;Q$13)=Recap_equipements!$C29),INDIRECT("Descriptif!M"&amp;Q$13)=$D29),INDIRECT("Descriptif!F"&amp;Q$13),"")</f>
        <v/>
      </c>
      <c r="S29" s="162" t="str">
        <f ca="1">IF(AND(OR(INDIRECT("Descriptif!I"&amp;R$13)=Recap_equipements!$B29,INDIRECT("Descriptif!I"&amp;R$13)=Recap_equipements!$C29),INDIRECT("Descriptif!M"&amp;R$13)=$D29),INDIRECT("Descriptif!F"&amp;R$13),"")</f>
        <v/>
      </c>
      <c r="T29" s="163" t="str">
        <f ca="1">IF(AND(OR(INDIRECT("Descriptif!I"&amp;S$13)=Recap_equipements!$B29,INDIRECT("Descriptif!I"&amp;S$13)=Recap_equipements!$C29),INDIRECT("Descriptif!M"&amp;S$13)=$D29),INDIRECT("Descriptif!F"&amp;S$13),"")</f>
        <v/>
      </c>
    </row>
    <row r="30" spans="2:20" x14ac:dyDescent="0.4">
      <c r="B30" s="897"/>
      <c r="C30" s="900"/>
      <c r="D30" s="160" t="str">
        <f>$D$8</f>
        <v>Débitmètre gravitaire</v>
      </c>
      <c r="E30" s="160"/>
      <c r="F30" s="13" t="str">
        <f ca="1">IF(AND(OR(INDIRECT("Descriptif!I"&amp;E$13)=Recap_equipements!$B29,INDIRECT("Descriptif!I"&amp;E$13)=Recap_equipements!$C29),INDIRECT("Descriptif!M"&amp;E$13)=$D30),INDIRECT("Descriptif!F"&amp;E$13),"")</f>
        <v/>
      </c>
      <c r="G30" s="13" t="str">
        <f ca="1">IF(AND(OR(INDIRECT("Descriptif!I"&amp;F$13)=Recap_equipements!$B29,INDIRECT("Descriptif!I"&amp;F$13)=Recap_equipements!$C29),INDIRECT("Descriptif!M"&amp;F$13)=$D30),INDIRECT("Descriptif!F"&amp;F$13),"")</f>
        <v/>
      </c>
      <c r="H30" s="13" t="str">
        <f ca="1">IF(AND(OR(INDIRECT("Descriptif!I"&amp;G$13)=Recap_equipements!$B29,INDIRECT("Descriptif!I"&amp;G$13)=Recap_equipements!$C29),INDIRECT("Descriptif!M"&amp;G$13)=$D30),INDIRECT("Descriptif!F"&amp;G$13),"")</f>
        <v/>
      </c>
      <c r="I30" s="13" t="str">
        <f ca="1">IF(AND(OR(INDIRECT("Descriptif!I"&amp;H$13)=Recap_equipements!$B29,INDIRECT("Descriptif!I"&amp;H$13)=Recap_equipements!$C29),INDIRECT("Descriptif!M"&amp;H$13)=$D30),INDIRECT("Descriptif!F"&amp;H$13),"")</f>
        <v/>
      </c>
      <c r="J30" s="13" t="str">
        <f ca="1">IF(AND(OR(INDIRECT("Descriptif!I"&amp;I$13)=Recap_equipements!$B29,INDIRECT("Descriptif!I"&amp;I$13)=Recap_equipements!$C29),INDIRECT("Descriptif!M"&amp;I$13)=$D30),INDIRECT("Descriptif!F"&amp;I$13),"")</f>
        <v/>
      </c>
      <c r="K30" s="13" t="str">
        <f ca="1">IF(AND(OR(INDIRECT("Descriptif!I"&amp;J$13)=Recap_equipements!$B29,INDIRECT("Descriptif!I"&amp;J$13)=Recap_equipements!$C29),INDIRECT("Descriptif!M"&amp;J$13)=$D30),INDIRECT("Descriptif!F"&amp;J$13),"")</f>
        <v/>
      </c>
      <c r="L30" s="13" t="str">
        <f ca="1">IF(AND(OR(INDIRECT("Descriptif!I"&amp;K$13)=Recap_equipements!$B29,INDIRECT("Descriptif!I"&amp;K$13)=Recap_equipements!$C29),INDIRECT("Descriptif!M"&amp;K$13)=$D30),INDIRECT("Descriptif!F"&amp;K$13),"")</f>
        <v/>
      </c>
      <c r="M30" s="13" t="str">
        <f ca="1">IF(AND(OR(INDIRECT("Descriptif!I"&amp;L$13)=Recap_equipements!$B29,INDIRECT("Descriptif!I"&amp;L$13)=Recap_equipements!$C29),INDIRECT("Descriptif!M"&amp;L$13)=$D30),INDIRECT("Descriptif!F"&amp;L$13),"")</f>
        <v/>
      </c>
      <c r="N30" s="13" t="str">
        <f ca="1">IF(AND(OR(INDIRECT("Descriptif!I"&amp;M$13)=Recap_equipements!$B29,INDIRECT("Descriptif!I"&amp;M$13)=Recap_equipements!$C29),INDIRECT("Descriptif!M"&amp;M$13)=$D30),INDIRECT("Descriptif!F"&amp;M$13),"")</f>
        <v/>
      </c>
      <c r="O30" s="13" t="str">
        <f ca="1">IF(AND(OR(INDIRECT("Descriptif!I"&amp;N$13)=Recap_equipements!$B29,INDIRECT("Descriptif!I"&amp;N$13)=Recap_equipements!$C29),INDIRECT("Descriptif!M"&amp;N$13)=$D30),INDIRECT("Descriptif!F"&amp;N$13),"")</f>
        <v/>
      </c>
      <c r="P30" s="13" t="str">
        <f ca="1">IF(AND(OR(INDIRECT("Descriptif!I"&amp;O$13)=Recap_equipements!$B29,INDIRECT("Descriptif!I"&amp;O$13)=Recap_equipements!$C29),INDIRECT("Descriptif!M"&amp;O$13)=$D30),INDIRECT("Descriptif!F"&amp;O$13),"")</f>
        <v/>
      </c>
      <c r="Q30" s="13" t="str">
        <f ca="1">IF(AND(OR(INDIRECT("Descriptif!I"&amp;P$13)=Recap_equipements!$B29,INDIRECT("Descriptif!I"&amp;P$13)=Recap_equipements!$C29),INDIRECT("Descriptif!M"&amp;P$13)=$D30),INDIRECT("Descriptif!F"&amp;P$13),"")</f>
        <v/>
      </c>
      <c r="R30" s="13" t="str">
        <f ca="1">IF(AND(OR(INDIRECT("Descriptif!I"&amp;Q$13)=Recap_equipements!$B29,INDIRECT("Descriptif!I"&amp;Q$13)=Recap_equipements!$C29),INDIRECT("Descriptif!M"&amp;Q$13)=$D30),INDIRECT("Descriptif!F"&amp;Q$13),"")</f>
        <v/>
      </c>
      <c r="S30" s="13" t="str">
        <f ca="1">IF(AND(OR(INDIRECT("Descriptif!I"&amp;R$13)=Recap_equipements!$B29,INDIRECT("Descriptif!I"&amp;R$13)=Recap_equipements!$C29),INDIRECT("Descriptif!M"&amp;R$13)=$D30),INDIRECT("Descriptif!F"&amp;R$13),"")</f>
        <v/>
      </c>
      <c r="T30" s="164" t="str">
        <f ca="1">IF(AND(OR(INDIRECT("Descriptif!I"&amp;S$13)=Recap_equipements!$B29,INDIRECT("Descriptif!I"&amp;S$13)=Recap_equipements!$C29),INDIRECT("Descriptif!M"&amp;S$13)=$D30),INDIRECT("Descriptif!F"&amp;S$13),"")</f>
        <v/>
      </c>
    </row>
    <row r="31" spans="2:20" x14ac:dyDescent="0.4">
      <c r="B31" s="897"/>
      <c r="C31" s="900"/>
      <c r="D31" s="160" t="str">
        <f>$D$9</f>
        <v>Préleveur</v>
      </c>
      <c r="E31" s="160"/>
      <c r="F31" s="13" t="str">
        <f ca="1">IF(AND(OR(INDIRECT("Descriptif!I"&amp;E$13)=Recap_equipements!$B29,INDIRECT("Descriptif!I"&amp;E$13)=Recap_equipements!$C29),INDIRECT("Descriptif!M"&amp;E$13)=$D31),INDIRECT("Descriptif!F"&amp;E$13),"")</f>
        <v/>
      </c>
      <c r="G31" s="13" t="str">
        <f ca="1">IF(AND(OR(INDIRECT("Descriptif!I"&amp;F$13)=Recap_equipements!$B29,INDIRECT("Descriptif!I"&amp;F$13)=Recap_equipements!$C29),INDIRECT("Descriptif!M"&amp;F$13)=$D31),INDIRECT("Descriptif!F"&amp;F$13),"")</f>
        <v/>
      </c>
      <c r="H31" s="13" t="str">
        <f ca="1">IF(AND(OR(INDIRECT("Descriptif!I"&amp;G$13)=Recap_equipements!$B29,INDIRECT("Descriptif!I"&amp;G$13)=Recap_equipements!$C29),INDIRECT("Descriptif!M"&amp;G$13)=$D31),INDIRECT("Descriptif!F"&amp;G$13),"")</f>
        <v/>
      </c>
      <c r="I31" s="13" t="str">
        <f ca="1">IF(AND(OR(INDIRECT("Descriptif!I"&amp;H$13)=Recap_equipements!$B29,INDIRECT("Descriptif!I"&amp;H$13)=Recap_equipements!$C29),INDIRECT("Descriptif!M"&amp;H$13)=$D31),INDIRECT("Descriptif!F"&amp;H$13),"")</f>
        <v/>
      </c>
      <c r="J31" s="13" t="str">
        <f ca="1">IF(AND(OR(INDIRECT("Descriptif!I"&amp;I$13)=Recap_equipements!$B29,INDIRECT("Descriptif!I"&amp;I$13)=Recap_equipements!$C29),INDIRECT("Descriptif!M"&amp;I$13)=$D31),INDIRECT("Descriptif!F"&amp;I$13),"")</f>
        <v/>
      </c>
      <c r="K31" s="13" t="str">
        <f ca="1">IF(AND(OR(INDIRECT("Descriptif!I"&amp;J$13)=Recap_equipements!$B29,INDIRECT("Descriptif!I"&amp;J$13)=Recap_equipements!$C29),INDIRECT("Descriptif!M"&amp;J$13)=$D31),INDIRECT("Descriptif!F"&amp;J$13),"")</f>
        <v/>
      </c>
      <c r="L31" s="13" t="str">
        <f ca="1">IF(AND(OR(INDIRECT("Descriptif!I"&amp;K$13)=Recap_equipements!$B29,INDIRECT("Descriptif!I"&amp;K$13)=Recap_equipements!$C29),INDIRECT("Descriptif!M"&amp;K$13)=$D31),INDIRECT("Descriptif!F"&amp;K$13),"")</f>
        <v/>
      </c>
      <c r="M31" s="13" t="str">
        <f ca="1">IF(AND(OR(INDIRECT("Descriptif!I"&amp;L$13)=Recap_equipements!$B29,INDIRECT("Descriptif!I"&amp;L$13)=Recap_equipements!$C29),INDIRECT("Descriptif!M"&amp;L$13)=$D31),INDIRECT("Descriptif!F"&amp;L$13),"")</f>
        <v/>
      </c>
      <c r="N31" s="13" t="str">
        <f ca="1">IF(AND(OR(INDIRECT("Descriptif!I"&amp;M$13)=Recap_equipements!$B29,INDIRECT("Descriptif!I"&amp;M$13)=Recap_equipements!$C29),INDIRECT("Descriptif!M"&amp;M$13)=$D31),INDIRECT("Descriptif!F"&amp;M$13),"")</f>
        <v/>
      </c>
      <c r="O31" s="13" t="str">
        <f ca="1">IF(AND(OR(INDIRECT("Descriptif!I"&amp;N$13)=Recap_equipements!$B29,INDIRECT("Descriptif!I"&amp;N$13)=Recap_equipements!$C29),INDIRECT("Descriptif!M"&amp;N$13)=$D31),INDIRECT("Descriptif!F"&amp;N$13),"")</f>
        <v/>
      </c>
      <c r="P31" s="13" t="str">
        <f ca="1">IF(AND(OR(INDIRECT("Descriptif!I"&amp;O$13)=Recap_equipements!$B29,INDIRECT("Descriptif!I"&amp;O$13)=Recap_equipements!$C29),INDIRECT("Descriptif!M"&amp;O$13)=$D31),INDIRECT("Descriptif!F"&amp;O$13),"")</f>
        <v/>
      </c>
      <c r="Q31" s="13" t="str">
        <f ca="1">IF(AND(OR(INDIRECT("Descriptif!I"&amp;P$13)=Recap_equipements!$B29,INDIRECT("Descriptif!I"&amp;P$13)=Recap_equipements!$C29),INDIRECT("Descriptif!M"&amp;P$13)=$D31),INDIRECT("Descriptif!F"&amp;P$13),"")</f>
        <v/>
      </c>
      <c r="R31" s="13" t="str">
        <f ca="1">IF(AND(OR(INDIRECT("Descriptif!I"&amp;Q$13)=Recap_equipements!$B29,INDIRECT("Descriptif!I"&amp;Q$13)=Recap_equipements!$C29),INDIRECT("Descriptif!M"&amp;Q$13)=$D31),INDIRECT("Descriptif!F"&amp;Q$13),"")</f>
        <v/>
      </c>
      <c r="S31" s="13" t="str">
        <f ca="1">IF(AND(OR(INDIRECT("Descriptif!I"&amp;R$13)=Recap_equipements!$B29,INDIRECT("Descriptif!I"&amp;R$13)=Recap_equipements!$C29),INDIRECT("Descriptif!M"&amp;R$13)=$D31),INDIRECT("Descriptif!F"&amp;R$13),"")</f>
        <v/>
      </c>
      <c r="T31" s="164" t="str">
        <f ca="1">IF(AND(OR(INDIRECT("Descriptif!I"&amp;S$13)=Recap_equipements!$B29,INDIRECT("Descriptif!I"&amp;S$13)=Recap_equipements!$C29),INDIRECT("Descriptif!M"&amp;S$13)=$D31),INDIRECT("Descriptif!F"&amp;S$13),"")</f>
        <v/>
      </c>
    </row>
    <row r="32" spans="2:20" x14ac:dyDescent="0.4">
      <c r="B32" s="897"/>
      <c r="C32" s="900"/>
      <c r="D32" s="386" t="s">
        <v>482</v>
      </c>
      <c r="E32" s="386"/>
      <c r="F32" s="388" t="str">
        <f ca="1">IF(F31&lt;&gt;"",VLOOKUP(F31,Analytique!$X$3:$AD$36,1,FALSE),"")</f>
        <v/>
      </c>
      <c r="G32" s="388" t="str">
        <f ca="1">IF(G31&lt;&gt;"",VLOOKUP(G31,Analytique!$X$3:$AD$36,1,FALSE),"")</f>
        <v/>
      </c>
      <c r="H32" s="388" t="str">
        <f ca="1">IF(H31&lt;&gt;"",VLOOKUP(H31,Analytique!$X$3:$AD$36,1,FALSE),"")</f>
        <v/>
      </c>
      <c r="I32" s="388" t="str">
        <f ca="1">IF(I31&lt;&gt;"",VLOOKUP(I31,Analytique!$X$3:$AD$36,1,FALSE),"")</f>
        <v/>
      </c>
      <c r="J32" s="388" t="str">
        <f ca="1">IF(J31&lt;&gt;"",VLOOKUP(J31,Analytique!$X$3:$AD$36,1,FALSE),"")</f>
        <v/>
      </c>
      <c r="K32" s="388" t="str">
        <f ca="1">IF(K31&lt;&gt;"",VLOOKUP(K31,Analytique!$X$3:$AD$36,1,FALSE),"")</f>
        <v/>
      </c>
      <c r="L32" s="388" t="str">
        <f ca="1">IF(L31&lt;&gt;"",VLOOKUP(L31,Analytique!$X$3:$AD$36,1,FALSE),"")</f>
        <v/>
      </c>
      <c r="M32" s="388" t="str">
        <f ca="1">IF(M31&lt;&gt;"",VLOOKUP(M31,Analytique!$X$3:$AD$36,1,FALSE),"")</f>
        <v/>
      </c>
      <c r="N32" s="388" t="str">
        <f ca="1">IF(N31&lt;&gt;"",VLOOKUP(N31,Analytique!$X$3:$AD$36,1,FALSE),"")</f>
        <v/>
      </c>
      <c r="O32" s="388" t="str">
        <f ca="1">IF(O31&lt;&gt;"",VLOOKUP(O31,Analytique!$X$3:$AD$36,1,FALSE),"")</f>
        <v/>
      </c>
      <c r="P32" s="388" t="str">
        <f ca="1">IF(P31&lt;&gt;"",VLOOKUP(P31,Analytique!$X$3:$AD$36,1,FALSE),"")</f>
        <v/>
      </c>
      <c r="Q32" s="388" t="str">
        <f ca="1">IF(Q31&lt;&gt;"",VLOOKUP(Q31,Analytique!$X$3:$AD$36,1,FALSE),"")</f>
        <v/>
      </c>
      <c r="R32" s="388" t="str">
        <f ca="1">IF(R31&lt;&gt;"",VLOOKUP(R31,Analytique!$X$3:$AD$36,1,FALSE),"")</f>
        <v/>
      </c>
      <c r="S32" s="388" t="str">
        <f ca="1">IF(S31&lt;&gt;"",VLOOKUP(S31,Analytique!$X$3:$AD$36,1,FALSE),"")</f>
        <v/>
      </c>
      <c r="T32" s="389" t="str">
        <f ca="1">IF(T31&lt;&gt;"",VLOOKUP(T31,Analytique!$X$3:$AD$36,1,FALSE),"")</f>
        <v/>
      </c>
    </row>
    <row r="33" spans="2:20" ht="13" thickBot="1" x14ac:dyDescent="0.45">
      <c r="B33" s="898"/>
      <c r="C33" s="901"/>
      <c r="D33" s="165" t="str">
        <f>$D$10</f>
        <v>Sonde de température</v>
      </c>
      <c r="E33" s="165"/>
      <c r="F33" s="166" t="str">
        <f ca="1">IF(AND(OR(INDIRECT("Descriptif!I"&amp;E$13)=Recap_equipements!$B29,INDIRECT("Descriptif!I"&amp;E$13)=Recap_equipements!$C29),INDIRECT("Descriptif!M"&amp;E$13)=$D33),INDIRECT("Descriptif!F"&amp;E$13),"")</f>
        <v/>
      </c>
      <c r="G33" s="166" t="str">
        <f ca="1">IF(AND(OR(INDIRECT("Descriptif!I"&amp;F$13)=Recap_equipements!$B29,INDIRECT("Descriptif!I"&amp;F$13)=Recap_equipements!$C29),INDIRECT("Descriptif!M"&amp;F$13)=$D33),INDIRECT("Descriptif!F"&amp;F$13),"")</f>
        <v/>
      </c>
      <c r="H33" s="166" t="str">
        <f ca="1">IF(AND(OR(INDIRECT("Descriptif!I"&amp;G$13)=Recap_equipements!$B29,INDIRECT("Descriptif!I"&amp;G$13)=Recap_equipements!$C29),INDIRECT("Descriptif!M"&amp;G$13)=$D33),INDIRECT("Descriptif!F"&amp;G$13),"")</f>
        <v/>
      </c>
      <c r="I33" s="166" t="str">
        <f ca="1">IF(AND(OR(INDIRECT("Descriptif!I"&amp;H$13)=Recap_equipements!$B29,INDIRECT("Descriptif!I"&amp;H$13)=Recap_equipements!$C29),INDIRECT("Descriptif!M"&amp;H$13)=$D33),INDIRECT("Descriptif!F"&amp;H$13),"")</f>
        <v/>
      </c>
      <c r="J33" s="166" t="str">
        <f ca="1">IF(AND(OR(INDIRECT("Descriptif!I"&amp;I$13)=Recap_equipements!$B29,INDIRECT("Descriptif!I"&amp;I$13)=Recap_equipements!$C29),INDIRECT("Descriptif!M"&amp;I$13)=$D33),INDIRECT("Descriptif!F"&amp;I$13),"")</f>
        <v/>
      </c>
      <c r="K33" s="166" t="str">
        <f ca="1">IF(AND(OR(INDIRECT("Descriptif!I"&amp;J$13)=Recap_equipements!$B29,INDIRECT("Descriptif!I"&amp;J$13)=Recap_equipements!$C29),INDIRECT("Descriptif!M"&amp;J$13)=$D33),INDIRECT("Descriptif!F"&amp;J$13),"")</f>
        <v/>
      </c>
      <c r="L33" s="166" t="str">
        <f ca="1">IF(AND(OR(INDIRECT("Descriptif!I"&amp;K$13)=Recap_equipements!$B29,INDIRECT("Descriptif!I"&amp;K$13)=Recap_equipements!$C29),INDIRECT("Descriptif!M"&amp;K$13)=$D33),INDIRECT("Descriptif!F"&amp;K$13),"")</f>
        <v/>
      </c>
      <c r="M33" s="166" t="str">
        <f ca="1">IF(AND(OR(INDIRECT("Descriptif!I"&amp;L$13)=Recap_equipements!$B29,INDIRECT("Descriptif!I"&amp;L$13)=Recap_equipements!$C29),INDIRECT("Descriptif!M"&amp;L$13)=$D33),INDIRECT("Descriptif!F"&amp;L$13),"")</f>
        <v/>
      </c>
      <c r="N33" s="166" t="str">
        <f ca="1">IF(AND(OR(INDIRECT("Descriptif!I"&amp;M$13)=Recap_equipements!$B29,INDIRECT("Descriptif!I"&amp;M$13)=Recap_equipements!$C29),INDIRECT("Descriptif!M"&amp;M$13)=$D33),INDIRECT("Descriptif!F"&amp;M$13),"")</f>
        <v/>
      </c>
      <c r="O33" s="166" t="str">
        <f ca="1">IF(AND(OR(INDIRECT("Descriptif!I"&amp;N$13)=Recap_equipements!$B29,INDIRECT("Descriptif!I"&amp;N$13)=Recap_equipements!$C29),INDIRECT("Descriptif!M"&amp;N$13)=$D33),INDIRECT("Descriptif!F"&amp;N$13),"")</f>
        <v/>
      </c>
      <c r="P33" s="166" t="str">
        <f ca="1">IF(AND(OR(INDIRECT("Descriptif!I"&amp;O$13)=Recap_equipements!$B29,INDIRECT("Descriptif!I"&amp;O$13)=Recap_equipements!$C29),INDIRECT("Descriptif!M"&amp;O$13)=$D33),INDIRECT("Descriptif!F"&amp;O$13),"")</f>
        <v/>
      </c>
      <c r="Q33" s="166" t="str">
        <f ca="1">IF(AND(OR(INDIRECT("Descriptif!I"&amp;P$13)=Recap_equipements!$B29,INDIRECT("Descriptif!I"&amp;P$13)=Recap_equipements!$C29),INDIRECT("Descriptif!M"&amp;P$13)=$D33),INDIRECT("Descriptif!F"&amp;P$13),"")</f>
        <v/>
      </c>
      <c r="R33" s="166" t="str">
        <f ca="1">IF(AND(OR(INDIRECT("Descriptif!I"&amp;Q$13)=Recap_equipements!$B29,INDIRECT("Descriptif!I"&amp;Q$13)=Recap_equipements!$C29),INDIRECT("Descriptif!M"&amp;Q$13)=$D33),INDIRECT("Descriptif!F"&amp;Q$13),"")</f>
        <v/>
      </c>
      <c r="S33" s="166" t="str">
        <f ca="1">IF(AND(OR(INDIRECT("Descriptif!I"&amp;R$13)=Recap_equipements!$B29,INDIRECT("Descriptif!I"&amp;R$13)=Recap_equipements!$C29),INDIRECT("Descriptif!M"&amp;R$13)=$D33),INDIRECT("Descriptif!F"&amp;R$13),"")</f>
        <v/>
      </c>
      <c r="T33" s="167" t="str">
        <f ca="1">IF(AND(OR(INDIRECT("Descriptif!I"&amp;S$13)=Recap_equipements!$B29,INDIRECT("Descriptif!I"&amp;S$13)=Recap_equipements!$C29),INDIRECT("Descriptif!M"&amp;S$13)=$D33),INDIRECT("Descriptif!F"&amp;S$13),"")</f>
        <v/>
      </c>
    </row>
    <row r="34" spans="2:20" x14ac:dyDescent="0.4">
      <c r="B34" s="896" t="s">
        <v>116</v>
      </c>
      <c r="C34" s="899" t="s">
        <v>124</v>
      </c>
      <c r="D34" s="161" t="str">
        <f>$D$7</f>
        <v>Débitmètre en charge</v>
      </c>
      <c r="E34" s="161"/>
      <c r="F34" s="162" t="str">
        <f ca="1">IF(AND(OR(INDIRECT("Descriptif!I"&amp;E$13)=Recap_equipements!$B34,INDIRECT("Descriptif!I"&amp;E$13)=Recap_equipements!$C34),INDIRECT("Descriptif!M"&amp;E$13)=$D34),INDIRECT("Descriptif!F"&amp;E$13),"")</f>
        <v/>
      </c>
      <c r="G34" s="162" t="str">
        <f ca="1">IF(AND(OR(INDIRECT("Descriptif!I"&amp;F$13)=Recap_equipements!$B34,INDIRECT("Descriptif!I"&amp;F$13)=Recap_equipements!$C34),INDIRECT("Descriptif!M"&amp;F$13)=$D34),INDIRECT("Descriptif!F"&amp;F$13),"")</f>
        <v/>
      </c>
      <c r="H34" s="162" t="str">
        <f ca="1">IF(AND(OR(INDIRECT("Descriptif!I"&amp;G$13)=Recap_equipements!$B34,INDIRECT("Descriptif!I"&amp;G$13)=Recap_equipements!$C34),INDIRECT("Descriptif!M"&amp;G$13)=$D34),INDIRECT("Descriptif!F"&amp;G$13),"")</f>
        <v/>
      </c>
      <c r="I34" s="162" t="str">
        <f ca="1">IF(AND(OR(INDIRECT("Descriptif!I"&amp;H$13)=Recap_equipements!$B34,INDIRECT("Descriptif!I"&amp;H$13)=Recap_equipements!$C34),INDIRECT("Descriptif!M"&amp;H$13)=$D34),INDIRECT("Descriptif!F"&amp;H$13),"")</f>
        <v/>
      </c>
      <c r="J34" s="162" t="str">
        <f ca="1">IF(AND(OR(INDIRECT("Descriptif!I"&amp;I$13)=Recap_equipements!$B34,INDIRECT("Descriptif!I"&amp;I$13)=Recap_equipements!$C34),INDIRECT("Descriptif!M"&amp;I$13)=$D34),INDIRECT("Descriptif!F"&amp;I$13),"")</f>
        <v/>
      </c>
      <c r="K34" s="162" t="str">
        <f ca="1">IF(AND(OR(INDIRECT("Descriptif!I"&amp;J$13)=Recap_equipements!$B34,INDIRECT("Descriptif!I"&amp;J$13)=Recap_equipements!$C34),INDIRECT("Descriptif!M"&amp;J$13)=$D34),INDIRECT("Descriptif!F"&amp;J$13),"")</f>
        <v/>
      </c>
      <c r="L34" s="162" t="str">
        <f ca="1">IF(AND(OR(INDIRECT("Descriptif!I"&amp;K$13)=Recap_equipements!$B34,INDIRECT("Descriptif!I"&amp;K$13)=Recap_equipements!$C34),INDIRECT("Descriptif!M"&amp;K$13)=$D34),INDIRECT("Descriptif!F"&amp;K$13),"")</f>
        <v/>
      </c>
      <c r="M34" s="162" t="str">
        <f ca="1">IF(AND(OR(INDIRECT("Descriptif!I"&amp;L$13)=Recap_equipements!$B34,INDIRECT("Descriptif!I"&amp;L$13)=Recap_equipements!$C34),INDIRECT("Descriptif!M"&amp;L$13)=$D34),INDIRECT("Descriptif!F"&amp;L$13),"")</f>
        <v/>
      </c>
      <c r="N34" s="162" t="str">
        <f ca="1">IF(AND(OR(INDIRECT("Descriptif!I"&amp;M$13)=Recap_equipements!$B34,INDIRECT("Descriptif!I"&amp;M$13)=Recap_equipements!$C34),INDIRECT("Descriptif!M"&amp;M$13)=$D34),INDIRECT("Descriptif!F"&amp;M$13),"")</f>
        <v/>
      </c>
      <c r="O34" s="162" t="str">
        <f ca="1">IF(AND(OR(INDIRECT("Descriptif!I"&amp;N$13)=Recap_equipements!$B34,INDIRECT("Descriptif!I"&amp;N$13)=Recap_equipements!$C34),INDIRECT("Descriptif!M"&amp;N$13)=$D34),INDIRECT("Descriptif!F"&amp;N$13),"")</f>
        <v/>
      </c>
      <c r="P34" s="162" t="str">
        <f ca="1">IF(AND(OR(INDIRECT("Descriptif!I"&amp;O$13)=Recap_equipements!$B34,INDIRECT("Descriptif!I"&amp;O$13)=Recap_equipements!$C34),INDIRECT("Descriptif!M"&amp;O$13)=$D34),INDIRECT("Descriptif!F"&amp;O$13),"")</f>
        <v/>
      </c>
      <c r="Q34" s="162" t="str">
        <f ca="1">IF(AND(OR(INDIRECT("Descriptif!I"&amp;P$13)=Recap_equipements!$B34,INDIRECT("Descriptif!I"&amp;P$13)=Recap_equipements!$C34),INDIRECT("Descriptif!M"&amp;P$13)=$D34),INDIRECT("Descriptif!F"&amp;P$13),"")</f>
        <v/>
      </c>
      <c r="R34" s="162" t="str">
        <f ca="1">IF(AND(OR(INDIRECT("Descriptif!I"&amp;Q$13)=Recap_equipements!$B34,INDIRECT("Descriptif!I"&amp;Q$13)=Recap_equipements!$C34),INDIRECT("Descriptif!M"&amp;Q$13)=$D34),INDIRECT("Descriptif!F"&amp;Q$13),"")</f>
        <v/>
      </c>
      <c r="S34" s="162" t="str">
        <f ca="1">IF(AND(OR(INDIRECT("Descriptif!I"&amp;R$13)=Recap_equipements!$B34,INDIRECT("Descriptif!I"&amp;R$13)=Recap_equipements!$C34),INDIRECT("Descriptif!M"&amp;R$13)=$D34),INDIRECT("Descriptif!F"&amp;R$13),"")</f>
        <v/>
      </c>
      <c r="T34" s="163" t="str">
        <f ca="1">IF(AND(OR(INDIRECT("Descriptif!I"&amp;S$13)=Recap_equipements!$B34,INDIRECT("Descriptif!I"&amp;S$13)=Recap_equipements!$C34),INDIRECT("Descriptif!M"&amp;S$13)=$D34),INDIRECT("Descriptif!F"&amp;S$13),"")</f>
        <v/>
      </c>
    </row>
    <row r="35" spans="2:20" x14ac:dyDescent="0.4">
      <c r="B35" s="897"/>
      <c r="C35" s="900"/>
      <c r="D35" s="160" t="str">
        <f>$D$8</f>
        <v>Débitmètre gravitaire</v>
      </c>
      <c r="E35" s="160"/>
      <c r="F35" s="13" t="str">
        <f ca="1">IF(AND(OR(INDIRECT("Descriptif!I"&amp;E$13)=Recap_equipements!$B34,INDIRECT("Descriptif!I"&amp;E$13)=Recap_equipements!$C34),INDIRECT("Descriptif!M"&amp;E$13)=$D35),INDIRECT("Descriptif!F"&amp;E$13),"")</f>
        <v/>
      </c>
      <c r="G35" s="13" t="str">
        <f ca="1">IF(AND(OR(INDIRECT("Descriptif!I"&amp;F$13)=Recap_equipements!$B34,INDIRECT("Descriptif!I"&amp;F$13)=Recap_equipements!$C34),INDIRECT("Descriptif!M"&amp;F$13)=$D35),INDIRECT("Descriptif!F"&amp;F$13),"")</f>
        <v/>
      </c>
      <c r="H35" s="13" t="str">
        <f ca="1">IF(AND(OR(INDIRECT("Descriptif!I"&amp;G$13)=Recap_equipements!$B34,INDIRECT("Descriptif!I"&amp;G$13)=Recap_equipements!$C34),INDIRECT("Descriptif!M"&amp;G$13)=$D35),INDIRECT("Descriptif!F"&amp;G$13),"")</f>
        <v/>
      </c>
      <c r="I35" s="13" t="str">
        <f ca="1">IF(AND(OR(INDIRECT("Descriptif!I"&amp;H$13)=Recap_equipements!$B34,INDIRECT("Descriptif!I"&amp;H$13)=Recap_equipements!$C34),INDIRECT("Descriptif!M"&amp;H$13)=$D35),INDIRECT("Descriptif!F"&amp;H$13),"")</f>
        <v/>
      </c>
      <c r="J35" s="13" t="str">
        <f ca="1">IF(AND(OR(INDIRECT("Descriptif!I"&amp;I$13)=Recap_equipements!$B34,INDIRECT("Descriptif!I"&amp;I$13)=Recap_equipements!$C34),INDIRECT("Descriptif!M"&amp;I$13)=$D35),INDIRECT("Descriptif!F"&amp;I$13),"")</f>
        <v/>
      </c>
      <c r="K35" s="13" t="str">
        <f ca="1">IF(AND(OR(INDIRECT("Descriptif!I"&amp;J$13)=Recap_equipements!$B34,INDIRECT("Descriptif!I"&amp;J$13)=Recap_equipements!$C34),INDIRECT("Descriptif!M"&amp;J$13)=$D35),INDIRECT("Descriptif!F"&amp;J$13),"")</f>
        <v/>
      </c>
      <c r="L35" s="13" t="str">
        <f ca="1">IF(AND(OR(INDIRECT("Descriptif!I"&amp;K$13)=Recap_equipements!$B34,INDIRECT("Descriptif!I"&amp;K$13)=Recap_equipements!$C34),INDIRECT("Descriptif!M"&amp;K$13)=$D35),INDIRECT("Descriptif!F"&amp;K$13),"")</f>
        <v/>
      </c>
      <c r="M35" s="13" t="str">
        <f ca="1">IF(AND(OR(INDIRECT("Descriptif!I"&amp;L$13)=Recap_equipements!$B34,INDIRECT("Descriptif!I"&amp;L$13)=Recap_equipements!$C34),INDIRECT("Descriptif!M"&amp;L$13)=$D35),INDIRECT("Descriptif!F"&amp;L$13),"")</f>
        <v/>
      </c>
      <c r="N35" s="13" t="str">
        <f ca="1">IF(AND(OR(INDIRECT("Descriptif!I"&amp;M$13)=Recap_equipements!$B34,INDIRECT("Descriptif!I"&amp;M$13)=Recap_equipements!$C34),INDIRECT("Descriptif!M"&amp;M$13)=$D35),INDIRECT("Descriptif!F"&amp;M$13),"")</f>
        <v/>
      </c>
      <c r="O35" s="13" t="str">
        <f ca="1">IF(AND(OR(INDIRECT("Descriptif!I"&amp;N$13)=Recap_equipements!$B34,INDIRECT("Descriptif!I"&amp;N$13)=Recap_equipements!$C34),INDIRECT("Descriptif!M"&amp;N$13)=$D35),INDIRECT("Descriptif!F"&amp;N$13),"")</f>
        <v/>
      </c>
      <c r="P35" s="13" t="str">
        <f ca="1">IF(AND(OR(INDIRECT("Descriptif!I"&amp;O$13)=Recap_equipements!$B34,INDIRECT("Descriptif!I"&amp;O$13)=Recap_equipements!$C34),INDIRECT("Descriptif!M"&amp;O$13)=$D35),INDIRECT("Descriptif!F"&amp;O$13),"")</f>
        <v/>
      </c>
      <c r="Q35" s="13" t="str">
        <f ca="1">IF(AND(OR(INDIRECT("Descriptif!I"&amp;P$13)=Recap_equipements!$B34,INDIRECT("Descriptif!I"&amp;P$13)=Recap_equipements!$C34),INDIRECT("Descriptif!M"&amp;P$13)=$D35),INDIRECT("Descriptif!F"&amp;P$13),"")</f>
        <v/>
      </c>
      <c r="R35" s="13" t="str">
        <f ca="1">IF(AND(OR(INDIRECT("Descriptif!I"&amp;Q$13)=Recap_equipements!$B34,INDIRECT("Descriptif!I"&amp;Q$13)=Recap_equipements!$C34),INDIRECT("Descriptif!M"&amp;Q$13)=$D35),INDIRECT("Descriptif!F"&amp;Q$13),"")</f>
        <v/>
      </c>
      <c r="S35" s="13" t="str">
        <f ca="1">IF(AND(OR(INDIRECT("Descriptif!I"&amp;R$13)=Recap_equipements!$B34,INDIRECT("Descriptif!I"&amp;R$13)=Recap_equipements!$C34),INDIRECT("Descriptif!M"&amp;R$13)=$D35),INDIRECT("Descriptif!F"&amp;R$13),"")</f>
        <v/>
      </c>
      <c r="T35" s="164" t="str">
        <f ca="1">IF(AND(OR(INDIRECT("Descriptif!I"&amp;S$13)=Recap_equipements!$B34,INDIRECT("Descriptif!I"&amp;S$13)=Recap_equipements!$C34),INDIRECT("Descriptif!M"&amp;S$13)=$D35),INDIRECT("Descriptif!F"&amp;S$13),"")</f>
        <v/>
      </c>
    </row>
    <row r="36" spans="2:20" x14ac:dyDescent="0.4">
      <c r="B36" s="897"/>
      <c r="C36" s="900"/>
      <c r="D36" s="160" t="str">
        <f>$D$9</f>
        <v>Préleveur</v>
      </c>
      <c r="E36" s="160"/>
      <c r="F36" s="13" t="str">
        <f ca="1">IF(AND(OR(INDIRECT("Descriptif!I"&amp;E$13)=Recap_equipements!$B34,INDIRECT("Descriptif!I"&amp;E$13)=Recap_equipements!$C34),INDIRECT("Descriptif!M"&amp;E$13)=$D36),INDIRECT("Descriptif!F"&amp;E$13),"")</f>
        <v/>
      </c>
      <c r="G36" s="13" t="str">
        <f ca="1">IF(AND(OR(INDIRECT("Descriptif!I"&amp;F$13)=Recap_equipements!$B34,INDIRECT("Descriptif!I"&amp;F$13)=Recap_equipements!$C34),INDIRECT("Descriptif!M"&amp;F$13)=$D36),INDIRECT("Descriptif!F"&amp;F$13),"")</f>
        <v/>
      </c>
      <c r="H36" s="13" t="str">
        <f ca="1">IF(AND(OR(INDIRECT("Descriptif!I"&amp;G$13)=Recap_equipements!$B34,INDIRECT("Descriptif!I"&amp;G$13)=Recap_equipements!$C34),INDIRECT("Descriptif!M"&amp;G$13)=$D36),INDIRECT("Descriptif!F"&amp;G$13),"")</f>
        <v/>
      </c>
      <c r="I36" s="13" t="str">
        <f ca="1">IF(AND(OR(INDIRECT("Descriptif!I"&amp;H$13)=Recap_equipements!$B34,INDIRECT("Descriptif!I"&amp;H$13)=Recap_equipements!$C34),INDIRECT("Descriptif!M"&amp;H$13)=$D36),INDIRECT("Descriptif!F"&amp;H$13),"")</f>
        <v/>
      </c>
      <c r="J36" s="13" t="str">
        <f ca="1">IF(AND(OR(INDIRECT("Descriptif!I"&amp;I$13)=Recap_equipements!$B34,INDIRECT("Descriptif!I"&amp;I$13)=Recap_equipements!$C34),INDIRECT("Descriptif!M"&amp;I$13)=$D36),INDIRECT("Descriptif!F"&amp;I$13),"")</f>
        <v/>
      </c>
      <c r="K36" s="13" t="str">
        <f ca="1">IF(AND(OR(INDIRECT("Descriptif!I"&amp;J$13)=Recap_equipements!$B34,INDIRECT("Descriptif!I"&amp;J$13)=Recap_equipements!$C34),INDIRECT("Descriptif!M"&amp;J$13)=$D36),INDIRECT("Descriptif!F"&amp;J$13),"")</f>
        <v/>
      </c>
      <c r="L36" s="13" t="str">
        <f ca="1">IF(AND(OR(INDIRECT("Descriptif!I"&amp;K$13)=Recap_equipements!$B34,INDIRECT("Descriptif!I"&amp;K$13)=Recap_equipements!$C34),INDIRECT("Descriptif!M"&amp;K$13)=$D36),INDIRECT("Descriptif!F"&amp;K$13),"")</f>
        <v/>
      </c>
      <c r="M36" s="13" t="str">
        <f ca="1">IF(AND(OR(INDIRECT("Descriptif!I"&amp;L$13)=Recap_equipements!$B34,INDIRECT("Descriptif!I"&amp;L$13)=Recap_equipements!$C34),INDIRECT("Descriptif!M"&amp;L$13)=$D36),INDIRECT("Descriptif!F"&amp;L$13),"")</f>
        <v/>
      </c>
      <c r="N36" s="13" t="str">
        <f ca="1">IF(AND(OR(INDIRECT("Descriptif!I"&amp;M$13)=Recap_equipements!$B34,INDIRECT("Descriptif!I"&amp;M$13)=Recap_equipements!$C34),INDIRECT("Descriptif!M"&amp;M$13)=$D36),INDIRECT("Descriptif!F"&amp;M$13),"")</f>
        <v/>
      </c>
      <c r="O36" s="13" t="str">
        <f ca="1">IF(AND(OR(INDIRECT("Descriptif!I"&amp;N$13)=Recap_equipements!$B34,INDIRECT("Descriptif!I"&amp;N$13)=Recap_equipements!$C34),INDIRECT("Descriptif!M"&amp;N$13)=$D36),INDIRECT("Descriptif!F"&amp;N$13),"")</f>
        <v/>
      </c>
      <c r="P36" s="13" t="str">
        <f ca="1">IF(AND(OR(INDIRECT("Descriptif!I"&amp;O$13)=Recap_equipements!$B34,INDIRECT("Descriptif!I"&amp;O$13)=Recap_equipements!$C34),INDIRECT("Descriptif!M"&amp;O$13)=$D36),INDIRECT("Descriptif!F"&amp;O$13),"")</f>
        <v/>
      </c>
      <c r="Q36" s="13" t="str">
        <f ca="1">IF(AND(OR(INDIRECT("Descriptif!I"&amp;P$13)=Recap_equipements!$B34,INDIRECT("Descriptif!I"&amp;P$13)=Recap_equipements!$C34),INDIRECT("Descriptif!M"&amp;P$13)=$D36),INDIRECT("Descriptif!F"&amp;P$13),"")</f>
        <v/>
      </c>
      <c r="R36" s="13" t="str">
        <f ca="1">IF(AND(OR(INDIRECT("Descriptif!I"&amp;Q$13)=Recap_equipements!$B34,INDIRECT("Descriptif!I"&amp;Q$13)=Recap_equipements!$C34),INDIRECT("Descriptif!M"&amp;Q$13)=$D36),INDIRECT("Descriptif!F"&amp;Q$13),"")</f>
        <v/>
      </c>
      <c r="S36" s="13" t="str">
        <f ca="1">IF(AND(OR(INDIRECT("Descriptif!I"&amp;R$13)=Recap_equipements!$B34,INDIRECT("Descriptif!I"&amp;R$13)=Recap_equipements!$C34),INDIRECT("Descriptif!M"&amp;R$13)=$D36),INDIRECT("Descriptif!F"&amp;R$13),"")</f>
        <v/>
      </c>
      <c r="T36" s="164" t="str">
        <f ca="1">IF(AND(OR(INDIRECT("Descriptif!I"&amp;S$13)=Recap_equipements!$B34,INDIRECT("Descriptif!I"&amp;S$13)=Recap_equipements!$C34),INDIRECT("Descriptif!M"&amp;S$13)=$D36),INDIRECT("Descriptif!F"&amp;S$13),"")</f>
        <v/>
      </c>
    </row>
    <row r="37" spans="2:20" ht="13" thickBot="1" x14ac:dyDescent="0.45">
      <c r="B37" s="898"/>
      <c r="C37" s="901"/>
      <c r="D37" s="165" t="str">
        <f>$D$10</f>
        <v>Sonde de température</v>
      </c>
      <c r="E37" s="165"/>
      <c r="F37" s="166" t="str">
        <f ca="1">IF(AND(OR(INDIRECT("Descriptif!I"&amp;E$13)=Recap_equipements!$B34,INDIRECT("Descriptif!I"&amp;E$13)=Recap_equipements!$C34),INDIRECT("Descriptif!M"&amp;E$13)=$D37),INDIRECT("Descriptif!F"&amp;E$13),"")</f>
        <v/>
      </c>
      <c r="G37" s="166" t="str">
        <f ca="1">IF(AND(OR(INDIRECT("Descriptif!I"&amp;F$13)=Recap_equipements!$B34,INDIRECT("Descriptif!I"&amp;F$13)=Recap_equipements!$C34),INDIRECT("Descriptif!M"&amp;F$13)=$D37),INDIRECT("Descriptif!F"&amp;F$13),"")</f>
        <v/>
      </c>
      <c r="H37" s="166" t="str">
        <f ca="1">IF(AND(OR(INDIRECT("Descriptif!I"&amp;G$13)=Recap_equipements!$B34,INDIRECT("Descriptif!I"&amp;G$13)=Recap_equipements!$C34),INDIRECT("Descriptif!M"&amp;G$13)=$D37),INDIRECT("Descriptif!F"&amp;G$13),"")</f>
        <v/>
      </c>
      <c r="I37" s="166" t="str">
        <f ca="1">IF(AND(OR(INDIRECT("Descriptif!I"&amp;H$13)=Recap_equipements!$B34,INDIRECT("Descriptif!I"&amp;H$13)=Recap_equipements!$C34),INDIRECT("Descriptif!M"&amp;H$13)=$D37),INDIRECT("Descriptif!F"&amp;H$13),"")</f>
        <v/>
      </c>
      <c r="J37" s="166" t="str">
        <f ca="1">IF(AND(OR(INDIRECT("Descriptif!I"&amp;I$13)=Recap_equipements!$B34,INDIRECT("Descriptif!I"&amp;I$13)=Recap_equipements!$C34),INDIRECT("Descriptif!M"&amp;I$13)=$D37),INDIRECT("Descriptif!F"&amp;I$13),"")</f>
        <v/>
      </c>
      <c r="K37" s="166" t="str">
        <f ca="1">IF(AND(OR(INDIRECT("Descriptif!I"&amp;J$13)=Recap_equipements!$B34,INDIRECT("Descriptif!I"&amp;J$13)=Recap_equipements!$C34),INDIRECT("Descriptif!M"&amp;J$13)=$D37),INDIRECT("Descriptif!F"&amp;J$13),"")</f>
        <v/>
      </c>
      <c r="L37" s="166" t="str">
        <f ca="1">IF(AND(OR(INDIRECT("Descriptif!I"&amp;K$13)=Recap_equipements!$B34,INDIRECT("Descriptif!I"&amp;K$13)=Recap_equipements!$C34),INDIRECT("Descriptif!M"&amp;K$13)=$D37),INDIRECT("Descriptif!F"&amp;K$13),"")</f>
        <v/>
      </c>
      <c r="M37" s="166" t="str">
        <f ca="1">IF(AND(OR(INDIRECT("Descriptif!I"&amp;L$13)=Recap_equipements!$B34,INDIRECT("Descriptif!I"&amp;L$13)=Recap_equipements!$C34),INDIRECT("Descriptif!M"&amp;L$13)=$D37),INDIRECT("Descriptif!F"&amp;L$13),"")</f>
        <v/>
      </c>
      <c r="N37" s="166" t="str">
        <f ca="1">IF(AND(OR(INDIRECT("Descriptif!I"&amp;M$13)=Recap_equipements!$B34,INDIRECT("Descriptif!I"&amp;M$13)=Recap_equipements!$C34),INDIRECT("Descriptif!M"&amp;M$13)=$D37),INDIRECT("Descriptif!F"&amp;M$13),"")</f>
        <v/>
      </c>
      <c r="O37" s="166" t="str">
        <f ca="1">IF(AND(OR(INDIRECT("Descriptif!I"&amp;N$13)=Recap_equipements!$B34,INDIRECT("Descriptif!I"&amp;N$13)=Recap_equipements!$C34),INDIRECT("Descriptif!M"&amp;N$13)=$D37),INDIRECT("Descriptif!F"&amp;N$13),"")</f>
        <v/>
      </c>
      <c r="P37" s="166" t="str">
        <f ca="1">IF(AND(OR(INDIRECT("Descriptif!I"&amp;O$13)=Recap_equipements!$B34,INDIRECT("Descriptif!I"&amp;O$13)=Recap_equipements!$C34),INDIRECT("Descriptif!M"&amp;O$13)=$D37),INDIRECT("Descriptif!F"&amp;O$13),"")</f>
        <v/>
      </c>
      <c r="Q37" s="166" t="str">
        <f ca="1">IF(AND(OR(INDIRECT("Descriptif!I"&amp;P$13)=Recap_equipements!$B34,INDIRECT("Descriptif!I"&amp;P$13)=Recap_equipements!$C34),INDIRECT("Descriptif!M"&amp;P$13)=$D37),INDIRECT("Descriptif!F"&amp;P$13),"")</f>
        <v/>
      </c>
      <c r="R37" s="166" t="str">
        <f ca="1">IF(AND(OR(INDIRECT("Descriptif!I"&amp;Q$13)=Recap_equipements!$B34,INDIRECT("Descriptif!I"&amp;Q$13)=Recap_equipements!$C34),INDIRECT("Descriptif!M"&amp;Q$13)=$D37),INDIRECT("Descriptif!F"&amp;Q$13),"")</f>
        <v/>
      </c>
      <c r="S37" s="166" t="str">
        <f ca="1">IF(AND(OR(INDIRECT("Descriptif!I"&amp;R$13)=Recap_equipements!$B34,INDIRECT("Descriptif!I"&amp;R$13)=Recap_equipements!$C34),INDIRECT("Descriptif!M"&amp;R$13)=$D37),INDIRECT("Descriptif!F"&amp;R$13),"")</f>
        <v/>
      </c>
      <c r="T37" s="167" t="str">
        <f ca="1">IF(AND(OR(INDIRECT("Descriptif!I"&amp;S$13)=Recap_equipements!$B34,INDIRECT("Descriptif!I"&amp;S$13)=Recap_equipements!$C34),INDIRECT("Descriptif!M"&amp;S$13)=$D37),INDIRECT("Descriptif!F"&amp;S$13),"")</f>
        <v/>
      </c>
    </row>
    <row r="38" spans="2:20" x14ac:dyDescent="0.4">
      <c r="B38" s="896" t="s">
        <v>119</v>
      </c>
      <c r="C38" s="899" t="s">
        <v>127</v>
      </c>
      <c r="D38" s="161" t="str">
        <f>$D$7</f>
        <v>Débitmètre en charge</v>
      </c>
      <c r="E38" s="161"/>
      <c r="F38" s="162" t="str">
        <f ca="1">IF(AND(OR(INDIRECT("Descriptif!I"&amp;E$13)=Recap_equipements!$B38,INDIRECT("Descriptif!I"&amp;E$13)=Recap_equipements!$C38),INDIRECT("Descriptif!M"&amp;E$13)=$D38),INDIRECT("Descriptif!F"&amp;E$13),"")</f>
        <v/>
      </c>
      <c r="G38" s="162" t="str">
        <f ca="1">IF(AND(OR(INDIRECT("Descriptif!I"&amp;F$13)=Recap_equipements!$B38,INDIRECT("Descriptif!I"&amp;F$13)=Recap_equipements!$C38),INDIRECT("Descriptif!M"&amp;F$13)=$D38),INDIRECT("Descriptif!F"&amp;F$13),"")</f>
        <v/>
      </c>
      <c r="H38" s="162" t="str">
        <f ca="1">IF(AND(OR(INDIRECT("Descriptif!I"&amp;G$13)=Recap_equipements!$B38,INDIRECT("Descriptif!I"&amp;G$13)=Recap_equipements!$C38),INDIRECT("Descriptif!M"&amp;G$13)=$D38),INDIRECT("Descriptif!F"&amp;G$13),"")</f>
        <v/>
      </c>
      <c r="I38" s="162" t="str">
        <f ca="1">IF(AND(OR(INDIRECT("Descriptif!I"&amp;H$13)=Recap_equipements!$B38,INDIRECT("Descriptif!I"&amp;H$13)=Recap_equipements!$C38),INDIRECT("Descriptif!M"&amp;H$13)=$D38),INDIRECT("Descriptif!F"&amp;H$13),"")</f>
        <v/>
      </c>
      <c r="J38" s="162" t="str">
        <f ca="1">IF(AND(OR(INDIRECT("Descriptif!I"&amp;I$13)=Recap_equipements!$B38,INDIRECT("Descriptif!I"&amp;I$13)=Recap_equipements!$C38),INDIRECT("Descriptif!M"&amp;I$13)=$D38),INDIRECT("Descriptif!F"&amp;I$13),"")</f>
        <v/>
      </c>
      <c r="K38" s="162" t="str">
        <f ca="1">IF(AND(OR(INDIRECT("Descriptif!I"&amp;J$13)=Recap_equipements!$B38,INDIRECT("Descriptif!I"&amp;J$13)=Recap_equipements!$C38),INDIRECT("Descriptif!M"&amp;J$13)=$D38),INDIRECT("Descriptif!F"&amp;J$13),"")</f>
        <v/>
      </c>
      <c r="L38" s="162" t="str">
        <f ca="1">IF(AND(OR(INDIRECT("Descriptif!I"&amp;K$13)=Recap_equipements!$B38,INDIRECT("Descriptif!I"&amp;K$13)=Recap_equipements!$C38),INDIRECT("Descriptif!M"&amp;K$13)=$D38),INDIRECT("Descriptif!F"&amp;K$13),"")</f>
        <v/>
      </c>
      <c r="M38" s="162" t="str">
        <f ca="1">IF(AND(OR(INDIRECT("Descriptif!I"&amp;L$13)=Recap_equipements!$B38,INDIRECT("Descriptif!I"&amp;L$13)=Recap_equipements!$C38),INDIRECT("Descriptif!M"&amp;L$13)=$D38),INDIRECT("Descriptif!F"&amp;L$13),"")</f>
        <v/>
      </c>
      <c r="N38" s="162" t="str">
        <f ca="1">IF(AND(OR(INDIRECT("Descriptif!I"&amp;M$13)=Recap_equipements!$B38,INDIRECT("Descriptif!I"&amp;M$13)=Recap_equipements!$C38),INDIRECT("Descriptif!M"&amp;M$13)=$D38),INDIRECT("Descriptif!F"&amp;M$13),"")</f>
        <v/>
      </c>
      <c r="O38" s="162" t="str">
        <f ca="1">IF(AND(OR(INDIRECT("Descriptif!I"&amp;N$13)=Recap_equipements!$B38,INDIRECT("Descriptif!I"&amp;N$13)=Recap_equipements!$C38),INDIRECT("Descriptif!M"&amp;N$13)=$D38),INDIRECT("Descriptif!F"&amp;N$13),"")</f>
        <v/>
      </c>
      <c r="P38" s="162" t="str">
        <f ca="1">IF(AND(OR(INDIRECT("Descriptif!I"&amp;O$13)=Recap_equipements!$B38,INDIRECT("Descriptif!I"&amp;O$13)=Recap_equipements!$C38),INDIRECT("Descriptif!M"&amp;O$13)=$D38),INDIRECT("Descriptif!F"&amp;O$13),"")</f>
        <v/>
      </c>
      <c r="Q38" s="162" t="str">
        <f ca="1">IF(AND(OR(INDIRECT("Descriptif!I"&amp;P$13)=Recap_equipements!$B38,INDIRECT("Descriptif!I"&amp;P$13)=Recap_equipements!$C38),INDIRECT("Descriptif!M"&amp;P$13)=$D38),INDIRECT("Descriptif!F"&amp;P$13),"")</f>
        <v/>
      </c>
      <c r="R38" s="162" t="str">
        <f ca="1">IF(AND(OR(INDIRECT("Descriptif!I"&amp;Q$13)=Recap_equipements!$B38,INDIRECT("Descriptif!I"&amp;Q$13)=Recap_equipements!$C38),INDIRECT("Descriptif!M"&amp;Q$13)=$D38),INDIRECT("Descriptif!F"&amp;Q$13),"")</f>
        <v/>
      </c>
      <c r="S38" s="162" t="str">
        <f ca="1">IF(AND(OR(INDIRECT("Descriptif!I"&amp;R$13)=Recap_equipements!$B38,INDIRECT("Descriptif!I"&amp;R$13)=Recap_equipements!$C38),INDIRECT("Descriptif!M"&amp;R$13)=$D38),INDIRECT("Descriptif!F"&amp;R$13),"")</f>
        <v/>
      </c>
      <c r="T38" s="163" t="str">
        <f ca="1">IF(AND(OR(INDIRECT("Descriptif!I"&amp;S$13)=Recap_equipements!$B38,INDIRECT("Descriptif!I"&amp;S$13)=Recap_equipements!$C38),INDIRECT("Descriptif!M"&amp;S$13)=$D38),INDIRECT("Descriptif!F"&amp;S$13),"")</f>
        <v/>
      </c>
    </row>
    <row r="39" spans="2:20" x14ac:dyDescent="0.4">
      <c r="B39" s="897"/>
      <c r="C39" s="900"/>
      <c r="D39" s="160" t="str">
        <f>$D$8</f>
        <v>Débitmètre gravitaire</v>
      </c>
      <c r="E39" s="160"/>
      <c r="F39" s="13" t="str">
        <f ca="1">IF(AND(OR(INDIRECT("Descriptif!I"&amp;E$13)=Recap_equipements!$B38,INDIRECT("Descriptif!I"&amp;E$13)=Recap_equipements!$C38),INDIRECT("Descriptif!M"&amp;E$13)=$D39),INDIRECT("Descriptif!F"&amp;E$13),"")</f>
        <v/>
      </c>
      <c r="G39" s="13" t="str">
        <f ca="1">IF(AND(OR(INDIRECT("Descriptif!I"&amp;F$13)=Recap_equipements!$B38,INDIRECT("Descriptif!I"&amp;F$13)=Recap_equipements!$C38),INDIRECT("Descriptif!M"&amp;F$13)=$D39),INDIRECT("Descriptif!F"&amp;F$13),"")</f>
        <v/>
      </c>
      <c r="H39" s="13" t="str">
        <f ca="1">IF(AND(OR(INDIRECT("Descriptif!I"&amp;G$13)=Recap_equipements!$B38,INDIRECT("Descriptif!I"&amp;G$13)=Recap_equipements!$C38),INDIRECT("Descriptif!M"&amp;G$13)=$D39),INDIRECT("Descriptif!F"&amp;G$13),"")</f>
        <v/>
      </c>
      <c r="I39" s="13" t="str">
        <f ca="1">IF(AND(OR(INDIRECT("Descriptif!I"&amp;H$13)=Recap_equipements!$B38,INDIRECT("Descriptif!I"&amp;H$13)=Recap_equipements!$C38),INDIRECT("Descriptif!M"&amp;H$13)=$D39),INDIRECT("Descriptif!F"&amp;H$13),"")</f>
        <v/>
      </c>
      <c r="J39" s="13" t="str">
        <f ca="1">IF(AND(OR(INDIRECT("Descriptif!I"&amp;I$13)=Recap_equipements!$B38,INDIRECT("Descriptif!I"&amp;I$13)=Recap_equipements!$C38),INDIRECT("Descriptif!M"&amp;I$13)=$D39),INDIRECT("Descriptif!F"&amp;I$13),"")</f>
        <v/>
      </c>
      <c r="K39" s="13" t="str">
        <f ca="1">IF(AND(OR(INDIRECT("Descriptif!I"&amp;J$13)=Recap_equipements!$B38,INDIRECT("Descriptif!I"&amp;J$13)=Recap_equipements!$C38),INDIRECT("Descriptif!M"&amp;J$13)=$D39),INDIRECT("Descriptif!F"&amp;J$13),"")</f>
        <v/>
      </c>
      <c r="L39" s="13" t="str">
        <f ca="1">IF(AND(OR(INDIRECT("Descriptif!I"&amp;K$13)=Recap_equipements!$B38,INDIRECT("Descriptif!I"&amp;K$13)=Recap_equipements!$C38),INDIRECT("Descriptif!M"&amp;K$13)=$D39),INDIRECT("Descriptif!F"&amp;K$13),"")</f>
        <v/>
      </c>
      <c r="M39" s="13" t="str">
        <f ca="1">IF(AND(OR(INDIRECT("Descriptif!I"&amp;L$13)=Recap_equipements!$B38,INDIRECT("Descriptif!I"&amp;L$13)=Recap_equipements!$C38),INDIRECT("Descriptif!M"&amp;L$13)=$D39),INDIRECT("Descriptif!F"&amp;L$13),"")</f>
        <v/>
      </c>
      <c r="N39" s="13" t="str">
        <f ca="1">IF(AND(OR(INDIRECT("Descriptif!I"&amp;M$13)=Recap_equipements!$B38,INDIRECT("Descriptif!I"&amp;M$13)=Recap_equipements!$C38),INDIRECT("Descriptif!M"&amp;M$13)=$D39),INDIRECT("Descriptif!F"&amp;M$13),"")</f>
        <v/>
      </c>
      <c r="O39" s="13" t="str">
        <f ca="1">IF(AND(OR(INDIRECT("Descriptif!I"&amp;N$13)=Recap_equipements!$B38,INDIRECT("Descriptif!I"&amp;N$13)=Recap_equipements!$C38),INDIRECT("Descriptif!M"&amp;N$13)=$D39),INDIRECT("Descriptif!F"&amp;N$13),"")</f>
        <v/>
      </c>
      <c r="P39" s="13" t="str">
        <f ca="1">IF(AND(OR(INDIRECT("Descriptif!I"&amp;O$13)=Recap_equipements!$B38,INDIRECT("Descriptif!I"&amp;O$13)=Recap_equipements!$C38),INDIRECT("Descriptif!M"&amp;O$13)=$D39),INDIRECT("Descriptif!F"&amp;O$13),"")</f>
        <v/>
      </c>
      <c r="Q39" s="13" t="str">
        <f ca="1">IF(AND(OR(INDIRECT("Descriptif!I"&amp;P$13)=Recap_equipements!$B38,INDIRECT("Descriptif!I"&amp;P$13)=Recap_equipements!$C38),INDIRECT("Descriptif!M"&amp;P$13)=$D39),INDIRECT("Descriptif!F"&amp;P$13),"")</f>
        <v/>
      </c>
      <c r="R39" s="13" t="str">
        <f ca="1">IF(AND(OR(INDIRECT("Descriptif!I"&amp;Q$13)=Recap_equipements!$B38,INDIRECT("Descriptif!I"&amp;Q$13)=Recap_equipements!$C38),INDIRECT("Descriptif!M"&amp;Q$13)=$D39),INDIRECT("Descriptif!F"&amp;Q$13),"")</f>
        <v/>
      </c>
      <c r="S39" s="13" t="str">
        <f ca="1">IF(AND(OR(INDIRECT("Descriptif!I"&amp;R$13)=Recap_equipements!$B38,INDIRECT("Descriptif!I"&amp;R$13)=Recap_equipements!$C38),INDIRECT("Descriptif!M"&amp;R$13)=$D39),INDIRECT("Descriptif!F"&amp;R$13),"")</f>
        <v/>
      </c>
      <c r="T39" s="164" t="str">
        <f ca="1">IF(AND(OR(INDIRECT("Descriptif!I"&amp;S$13)=Recap_equipements!$B38,INDIRECT("Descriptif!I"&amp;S$13)=Recap_equipements!$C38),INDIRECT("Descriptif!M"&amp;S$13)=$D39),INDIRECT("Descriptif!F"&amp;S$13),"")</f>
        <v/>
      </c>
    </row>
    <row r="40" spans="2:20" x14ac:dyDescent="0.4">
      <c r="B40" s="897"/>
      <c r="C40" s="900"/>
      <c r="D40" s="160" t="str">
        <f>$D$9</f>
        <v>Préleveur</v>
      </c>
      <c r="E40" s="160"/>
      <c r="F40" s="13" t="str">
        <f ca="1">IF(AND(OR(INDIRECT("Descriptif!I"&amp;E$13)=Recap_equipements!$B38,INDIRECT("Descriptif!I"&amp;E$13)=Recap_equipements!$C38),INDIRECT("Descriptif!M"&amp;E$13)=$D40),INDIRECT("Descriptif!F"&amp;E$13),"")</f>
        <v/>
      </c>
      <c r="G40" s="13" t="str">
        <f ca="1">IF(AND(OR(INDIRECT("Descriptif!I"&amp;F$13)=Recap_equipements!$B38,INDIRECT("Descriptif!I"&amp;F$13)=Recap_equipements!$C38),INDIRECT("Descriptif!M"&amp;F$13)=$D40),INDIRECT("Descriptif!F"&amp;F$13),"")</f>
        <v/>
      </c>
      <c r="H40" s="13" t="str">
        <f ca="1">IF(AND(OR(INDIRECT("Descriptif!I"&amp;G$13)=Recap_equipements!$B38,INDIRECT("Descriptif!I"&amp;G$13)=Recap_equipements!$C38),INDIRECT("Descriptif!M"&amp;G$13)=$D40),INDIRECT("Descriptif!F"&amp;G$13),"")</f>
        <v/>
      </c>
      <c r="I40" s="13" t="str">
        <f ca="1">IF(AND(OR(INDIRECT("Descriptif!I"&amp;H$13)=Recap_equipements!$B38,INDIRECT("Descriptif!I"&amp;H$13)=Recap_equipements!$C38),INDIRECT("Descriptif!M"&amp;H$13)=$D40),INDIRECT("Descriptif!F"&amp;H$13),"")</f>
        <v/>
      </c>
      <c r="J40" s="13" t="str">
        <f ca="1">IF(AND(OR(INDIRECT("Descriptif!I"&amp;I$13)=Recap_equipements!$B38,INDIRECT("Descriptif!I"&amp;I$13)=Recap_equipements!$C38),INDIRECT("Descriptif!M"&amp;I$13)=$D40),INDIRECT("Descriptif!F"&amp;I$13),"")</f>
        <v/>
      </c>
      <c r="K40" s="13" t="str">
        <f ca="1">IF(AND(OR(INDIRECT("Descriptif!I"&amp;J$13)=Recap_equipements!$B38,INDIRECT("Descriptif!I"&amp;J$13)=Recap_equipements!$C38),INDIRECT("Descriptif!M"&amp;J$13)=$D40),INDIRECT("Descriptif!F"&amp;J$13),"")</f>
        <v/>
      </c>
      <c r="L40" s="13" t="str">
        <f ca="1">IF(AND(OR(INDIRECT("Descriptif!I"&amp;K$13)=Recap_equipements!$B38,INDIRECT("Descriptif!I"&amp;K$13)=Recap_equipements!$C38),INDIRECT("Descriptif!M"&amp;K$13)=$D40),INDIRECT("Descriptif!F"&amp;K$13),"")</f>
        <v/>
      </c>
      <c r="M40" s="13" t="str">
        <f ca="1">IF(AND(OR(INDIRECT("Descriptif!I"&amp;L$13)=Recap_equipements!$B38,INDIRECT("Descriptif!I"&amp;L$13)=Recap_equipements!$C38),INDIRECT("Descriptif!M"&amp;L$13)=$D40),INDIRECT("Descriptif!F"&amp;L$13),"")</f>
        <v/>
      </c>
      <c r="N40" s="13" t="str">
        <f ca="1">IF(AND(OR(INDIRECT("Descriptif!I"&amp;M$13)=Recap_equipements!$B38,INDIRECT("Descriptif!I"&amp;M$13)=Recap_equipements!$C38),INDIRECT("Descriptif!M"&amp;M$13)=$D40),INDIRECT("Descriptif!F"&amp;M$13),"")</f>
        <v/>
      </c>
      <c r="O40" s="13" t="str">
        <f ca="1">IF(AND(OR(INDIRECT("Descriptif!I"&amp;N$13)=Recap_equipements!$B38,INDIRECT("Descriptif!I"&amp;N$13)=Recap_equipements!$C38),INDIRECT("Descriptif!M"&amp;N$13)=$D40),INDIRECT("Descriptif!F"&amp;N$13),"")</f>
        <v/>
      </c>
      <c r="P40" s="13" t="str">
        <f ca="1">IF(AND(OR(INDIRECT("Descriptif!I"&amp;O$13)=Recap_equipements!$B38,INDIRECT("Descriptif!I"&amp;O$13)=Recap_equipements!$C38),INDIRECT("Descriptif!M"&amp;O$13)=$D40),INDIRECT("Descriptif!F"&amp;O$13),"")</f>
        <v/>
      </c>
      <c r="Q40" s="13" t="str">
        <f ca="1">IF(AND(OR(INDIRECT("Descriptif!I"&amp;P$13)=Recap_equipements!$B38,INDIRECT("Descriptif!I"&amp;P$13)=Recap_equipements!$C38),INDIRECT("Descriptif!M"&amp;P$13)=$D40),INDIRECT("Descriptif!F"&amp;P$13),"")</f>
        <v/>
      </c>
      <c r="R40" s="13" t="str">
        <f ca="1">IF(AND(OR(INDIRECT("Descriptif!I"&amp;Q$13)=Recap_equipements!$B38,INDIRECT("Descriptif!I"&amp;Q$13)=Recap_equipements!$C38),INDIRECT("Descriptif!M"&amp;Q$13)=$D40),INDIRECT("Descriptif!F"&amp;Q$13),"")</f>
        <v/>
      </c>
      <c r="S40" s="13" t="str">
        <f ca="1">IF(AND(OR(INDIRECT("Descriptif!I"&amp;R$13)=Recap_equipements!$B38,INDIRECT("Descriptif!I"&amp;R$13)=Recap_equipements!$C38),INDIRECT("Descriptif!M"&amp;R$13)=$D40),INDIRECT("Descriptif!F"&amp;R$13),"")</f>
        <v/>
      </c>
      <c r="T40" s="164" t="str">
        <f ca="1">IF(AND(OR(INDIRECT("Descriptif!I"&amp;S$13)=Recap_equipements!$B38,INDIRECT("Descriptif!I"&amp;S$13)=Recap_equipements!$C38),INDIRECT("Descriptif!M"&amp;S$13)=$D40),INDIRECT("Descriptif!F"&amp;S$13),"")</f>
        <v/>
      </c>
    </row>
    <row r="41" spans="2:20" x14ac:dyDescent="0.4">
      <c r="B41" s="897"/>
      <c r="C41" s="900"/>
      <c r="D41" s="386" t="s">
        <v>482</v>
      </c>
      <c r="E41" s="386"/>
      <c r="F41" s="388" t="str">
        <f ca="1">IF(F40&lt;&gt;"",VLOOKUP(F40,Analytique!$X$3:$AD$36,1,FALSE),"")</f>
        <v/>
      </c>
      <c r="G41" s="388" t="str">
        <f ca="1">IF(G40&lt;&gt;"",VLOOKUP(G40,Analytique!$X$3:$AD$36,1,FALSE),"")</f>
        <v/>
      </c>
      <c r="H41" s="388" t="str">
        <f ca="1">IF(H40&lt;&gt;"",VLOOKUP(H40,Analytique!$X$3:$AD$36,1,FALSE),"")</f>
        <v/>
      </c>
      <c r="I41" s="388" t="str">
        <f ca="1">IF(I40&lt;&gt;"",VLOOKUP(I40,Analytique!$X$3:$AD$36,1,FALSE),"")</f>
        <v/>
      </c>
      <c r="J41" s="388" t="str">
        <f ca="1">IF(J40&lt;&gt;"",VLOOKUP(J40,Analytique!$X$3:$AD$36,1,FALSE),"")</f>
        <v/>
      </c>
      <c r="K41" s="388" t="str">
        <f ca="1">IF(K40&lt;&gt;"",VLOOKUP(K40,Analytique!$X$3:$AD$36,1,FALSE),"")</f>
        <v/>
      </c>
      <c r="L41" s="388" t="str">
        <f ca="1">IF(L40&lt;&gt;"",VLOOKUP(L40,Analytique!$X$3:$AD$36,1,FALSE),"")</f>
        <v/>
      </c>
      <c r="M41" s="388" t="str">
        <f ca="1">IF(M40&lt;&gt;"",VLOOKUP(M40,Analytique!$X$3:$AD$36,1,FALSE),"")</f>
        <v/>
      </c>
      <c r="N41" s="388" t="str">
        <f ca="1">IF(N40&lt;&gt;"",VLOOKUP(N40,Analytique!$X$3:$AD$36,1,FALSE),"")</f>
        <v/>
      </c>
      <c r="O41" s="388" t="str">
        <f ca="1">IF(O40&lt;&gt;"",VLOOKUP(O40,Analytique!$X$3:$AD$36,1,FALSE),"")</f>
        <v/>
      </c>
      <c r="P41" s="388" t="str">
        <f ca="1">IF(P40&lt;&gt;"",VLOOKUP(P40,Analytique!$X$3:$AD$36,1,FALSE),"")</f>
        <v/>
      </c>
      <c r="Q41" s="388" t="str">
        <f ca="1">IF(Q40&lt;&gt;"",VLOOKUP(Q40,Analytique!$X$3:$AD$36,1,FALSE),"")</f>
        <v/>
      </c>
      <c r="R41" s="388" t="str">
        <f ca="1">IF(R40&lt;&gt;"",VLOOKUP(R40,Analytique!$X$3:$AD$36,1,FALSE),"")</f>
        <v/>
      </c>
      <c r="S41" s="388" t="str">
        <f ca="1">IF(S40&lt;&gt;"",VLOOKUP(S40,Analytique!$X$3:$AD$36,1,FALSE),"")</f>
        <v/>
      </c>
      <c r="T41" s="389" t="str">
        <f ca="1">IF(T40&lt;&gt;"",VLOOKUP(T40,Analytique!$X$3:$AD$36,1,FALSE),"")</f>
        <v/>
      </c>
    </row>
    <row r="42" spans="2:20" ht="13" thickBot="1" x14ac:dyDescent="0.45">
      <c r="B42" s="898"/>
      <c r="C42" s="901"/>
      <c r="D42" s="165" t="str">
        <f>$D$10</f>
        <v>Sonde de température</v>
      </c>
      <c r="E42" s="165"/>
      <c r="F42" s="166" t="str">
        <f ca="1">IF(AND(OR(INDIRECT("Descriptif!I"&amp;E$13)=Recap_equipements!$B38,INDIRECT("Descriptif!I"&amp;E$13)=Recap_equipements!$C38),INDIRECT("Descriptif!M"&amp;E$13)=$D42),INDIRECT("Descriptif!F"&amp;E$13),"")</f>
        <v/>
      </c>
      <c r="G42" s="166" t="str">
        <f ca="1">IF(AND(OR(INDIRECT("Descriptif!I"&amp;F$13)=Recap_equipements!$B38,INDIRECT("Descriptif!I"&amp;F$13)=Recap_equipements!$C38),INDIRECT("Descriptif!M"&amp;F$13)=$D42),INDIRECT("Descriptif!F"&amp;F$13),"")</f>
        <v/>
      </c>
      <c r="H42" s="166" t="str">
        <f ca="1">IF(AND(OR(INDIRECT("Descriptif!I"&amp;G$13)=Recap_equipements!$B38,INDIRECT("Descriptif!I"&amp;G$13)=Recap_equipements!$C38),INDIRECT("Descriptif!M"&amp;G$13)=$D42),INDIRECT("Descriptif!F"&amp;G$13),"")</f>
        <v/>
      </c>
      <c r="I42" s="166" t="str">
        <f ca="1">IF(AND(OR(INDIRECT("Descriptif!I"&amp;H$13)=Recap_equipements!$B38,INDIRECT("Descriptif!I"&amp;H$13)=Recap_equipements!$C38),INDIRECT("Descriptif!M"&amp;H$13)=$D42),INDIRECT("Descriptif!F"&amp;H$13),"")</f>
        <v/>
      </c>
      <c r="J42" s="166" t="str">
        <f ca="1">IF(AND(OR(INDIRECT("Descriptif!I"&amp;I$13)=Recap_equipements!$B38,INDIRECT("Descriptif!I"&amp;I$13)=Recap_equipements!$C38),INDIRECT("Descriptif!M"&amp;I$13)=$D42),INDIRECT("Descriptif!F"&amp;I$13),"")</f>
        <v/>
      </c>
      <c r="K42" s="166" t="str">
        <f ca="1">IF(AND(OR(INDIRECT("Descriptif!I"&amp;J$13)=Recap_equipements!$B38,INDIRECT("Descriptif!I"&amp;J$13)=Recap_equipements!$C38),INDIRECT("Descriptif!M"&amp;J$13)=$D42),INDIRECT("Descriptif!F"&amp;J$13),"")</f>
        <v/>
      </c>
      <c r="L42" s="166" t="str">
        <f ca="1">IF(AND(OR(INDIRECT("Descriptif!I"&amp;K$13)=Recap_equipements!$B38,INDIRECT("Descriptif!I"&amp;K$13)=Recap_equipements!$C38),INDIRECT("Descriptif!M"&amp;K$13)=$D42),INDIRECT("Descriptif!F"&amp;K$13),"")</f>
        <v/>
      </c>
      <c r="M42" s="166" t="str">
        <f ca="1">IF(AND(OR(INDIRECT("Descriptif!I"&amp;L$13)=Recap_equipements!$B38,INDIRECT("Descriptif!I"&amp;L$13)=Recap_equipements!$C38),INDIRECT("Descriptif!M"&amp;L$13)=$D42),INDIRECT("Descriptif!F"&amp;L$13),"")</f>
        <v/>
      </c>
      <c r="N42" s="166" t="str">
        <f ca="1">IF(AND(OR(INDIRECT("Descriptif!I"&amp;M$13)=Recap_equipements!$B38,INDIRECT("Descriptif!I"&amp;M$13)=Recap_equipements!$C38),INDIRECT("Descriptif!M"&amp;M$13)=$D42),INDIRECT("Descriptif!F"&amp;M$13),"")</f>
        <v/>
      </c>
      <c r="O42" s="166" t="str">
        <f ca="1">IF(AND(OR(INDIRECT("Descriptif!I"&amp;N$13)=Recap_equipements!$B38,INDIRECT("Descriptif!I"&amp;N$13)=Recap_equipements!$C38),INDIRECT("Descriptif!M"&amp;N$13)=$D42),INDIRECT("Descriptif!F"&amp;N$13),"")</f>
        <v/>
      </c>
      <c r="P42" s="166" t="str">
        <f ca="1">IF(AND(OR(INDIRECT("Descriptif!I"&amp;O$13)=Recap_equipements!$B38,INDIRECT("Descriptif!I"&amp;O$13)=Recap_equipements!$C38),INDIRECT("Descriptif!M"&amp;O$13)=$D42),INDIRECT("Descriptif!F"&amp;O$13),"")</f>
        <v/>
      </c>
      <c r="Q42" s="166" t="str">
        <f ca="1">IF(AND(OR(INDIRECT("Descriptif!I"&amp;P$13)=Recap_equipements!$B38,INDIRECT("Descriptif!I"&amp;P$13)=Recap_equipements!$C38),INDIRECT("Descriptif!M"&amp;P$13)=$D42),INDIRECT("Descriptif!F"&amp;P$13),"")</f>
        <v/>
      </c>
      <c r="R42" s="166" t="str">
        <f ca="1">IF(AND(OR(INDIRECT("Descriptif!I"&amp;Q$13)=Recap_equipements!$B38,INDIRECT("Descriptif!I"&amp;Q$13)=Recap_equipements!$C38),INDIRECT("Descriptif!M"&amp;Q$13)=$D42),INDIRECT("Descriptif!F"&amp;Q$13),"")</f>
        <v/>
      </c>
      <c r="S42" s="166" t="str">
        <f ca="1">IF(AND(OR(INDIRECT("Descriptif!I"&amp;R$13)=Recap_equipements!$B38,INDIRECT("Descriptif!I"&amp;R$13)=Recap_equipements!$C38),INDIRECT("Descriptif!M"&amp;R$13)=$D42),INDIRECT("Descriptif!F"&amp;R$13),"")</f>
        <v/>
      </c>
      <c r="T42" s="167" t="str">
        <f ca="1">IF(AND(OR(INDIRECT("Descriptif!I"&amp;S$13)=Recap_equipements!$B38,INDIRECT("Descriptif!I"&amp;S$13)=Recap_equipements!$C38),INDIRECT("Descriptif!M"&amp;S$13)=$D42),INDIRECT("Descriptif!F"&amp;S$13),"")</f>
        <v/>
      </c>
    </row>
    <row r="43" spans="2:20" x14ac:dyDescent="0.4">
      <c r="B43" s="896" t="s">
        <v>121</v>
      </c>
      <c r="C43" s="899" t="s">
        <v>126</v>
      </c>
      <c r="D43" s="161" t="str">
        <f>$D$7</f>
        <v>Débitmètre en charge</v>
      </c>
      <c r="E43" s="161"/>
      <c r="F43" s="162" t="str">
        <f ca="1">IF(AND(OR(INDIRECT("Descriptif!I"&amp;E$13)=Recap_equipements!$B43,INDIRECT("Descriptif!I"&amp;E$13)=Recap_equipements!$C43),INDIRECT("Descriptif!M"&amp;E$13)=$D43),INDIRECT("Descriptif!F"&amp;E$13),"")</f>
        <v/>
      </c>
      <c r="G43" s="162" t="str">
        <f ca="1">IF(AND(OR(INDIRECT("Descriptif!I"&amp;F$13)=Recap_equipements!$B43,INDIRECT("Descriptif!I"&amp;F$13)=Recap_equipements!$C43),INDIRECT("Descriptif!M"&amp;F$13)=$D43),INDIRECT("Descriptif!F"&amp;F$13),"")</f>
        <v/>
      </c>
      <c r="H43" s="162" t="str">
        <f ca="1">IF(AND(OR(INDIRECT("Descriptif!I"&amp;G$13)=Recap_equipements!$B43,INDIRECT("Descriptif!I"&amp;G$13)=Recap_equipements!$C43),INDIRECT("Descriptif!M"&amp;G$13)=$D43),INDIRECT("Descriptif!F"&amp;G$13),"")</f>
        <v/>
      </c>
      <c r="I43" s="162" t="str">
        <f ca="1">IF(AND(OR(INDIRECT("Descriptif!I"&amp;H$13)=Recap_equipements!$B43,INDIRECT("Descriptif!I"&amp;H$13)=Recap_equipements!$C43),INDIRECT("Descriptif!M"&amp;H$13)=$D43),INDIRECT("Descriptif!F"&amp;H$13),"")</f>
        <v/>
      </c>
      <c r="J43" s="162" t="str">
        <f ca="1">IF(AND(OR(INDIRECT("Descriptif!I"&amp;I$13)=Recap_equipements!$B43,INDIRECT("Descriptif!I"&amp;I$13)=Recap_equipements!$C43),INDIRECT("Descriptif!M"&amp;I$13)=$D43),INDIRECT("Descriptif!F"&amp;I$13),"")</f>
        <v/>
      </c>
      <c r="K43" s="162" t="str">
        <f ca="1">IF(AND(OR(INDIRECT("Descriptif!I"&amp;J$13)=Recap_equipements!$B43,INDIRECT("Descriptif!I"&amp;J$13)=Recap_equipements!$C43),INDIRECT("Descriptif!M"&amp;J$13)=$D43),INDIRECT("Descriptif!F"&amp;J$13),"")</f>
        <v/>
      </c>
      <c r="L43" s="162" t="str">
        <f ca="1">IF(AND(OR(INDIRECT("Descriptif!I"&amp;K$13)=Recap_equipements!$B43,INDIRECT("Descriptif!I"&amp;K$13)=Recap_equipements!$C43),INDIRECT("Descriptif!M"&amp;K$13)=$D43),INDIRECT("Descriptif!F"&amp;K$13),"")</f>
        <v/>
      </c>
      <c r="M43" s="162" t="str">
        <f ca="1">IF(AND(OR(INDIRECT("Descriptif!I"&amp;L$13)=Recap_equipements!$B43,INDIRECT("Descriptif!I"&amp;L$13)=Recap_equipements!$C43),INDIRECT("Descriptif!M"&amp;L$13)=$D43),INDIRECT("Descriptif!F"&amp;L$13),"")</f>
        <v/>
      </c>
      <c r="N43" s="162" t="str">
        <f ca="1">IF(AND(OR(INDIRECT("Descriptif!I"&amp;M$13)=Recap_equipements!$B43,INDIRECT("Descriptif!I"&amp;M$13)=Recap_equipements!$C43),INDIRECT("Descriptif!M"&amp;M$13)=$D43),INDIRECT("Descriptif!F"&amp;M$13),"")</f>
        <v/>
      </c>
      <c r="O43" s="162" t="str">
        <f ca="1">IF(AND(OR(INDIRECT("Descriptif!I"&amp;N$13)=Recap_equipements!$B43,INDIRECT("Descriptif!I"&amp;N$13)=Recap_equipements!$C43),INDIRECT("Descriptif!M"&amp;N$13)=$D43),INDIRECT("Descriptif!F"&amp;N$13),"")</f>
        <v/>
      </c>
      <c r="P43" s="162" t="str">
        <f ca="1">IF(AND(OR(INDIRECT("Descriptif!I"&amp;O$13)=Recap_equipements!$B43,INDIRECT("Descriptif!I"&amp;O$13)=Recap_equipements!$C43),INDIRECT("Descriptif!M"&amp;O$13)=$D43),INDIRECT("Descriptif!F"&amp;O$13),"")</f>
        <v/>
      </c>
      <c r="Q43" s="162" t="str">
        <f ca="1">IF(AND(OR(INDIRECT("Descriptif!I"&amp;P$13)=Recap_equipements!$B43,INDIRECT("Descriptif!I"&amp;P$13)=Recap_equipements!$C43),INDIRECT("Descriptif!M"&amp;P$13)=$D43),INDIRECT("Descriptif!F"&amp;P$13),"")</f>
        <v/>
      </c>
      <c r="R43" s="162" t="str">
        <f ca="1">IF(AND(OR(INDIRECT("Descriptif!I"&amp;Q$13)=Recap_equipements!$B43,INDIRECT("Descriptif!I"&amp;Q$13)=Recap_equipements!$C43),INDIRECT("Descriptif!M"&amp;Q$13)=$D43),INDIRECT("Descriptif!F"&amp;Q$13),"")</f>
        <v/>
      </c>
      <c r="S43" s="162" t="str">
        <f ca="1">IF(AND(OR(INDIRECT("Descriptif!I"&amp;R$13)=Recap_equipements!$B43,INDIRECT("Descriptif!I"&amp;R$13)=Recap_equipements!$C43),INDIRECT("Descriptif!M"&amp;R$13)=$D43),INDIRECT("Descriptif!F"&amp;R$13),"")</f>
        <v/>
      </c>
      <c r="T43" s="163" t="str">
        <f ca="1">IF(AND(OR(INDIRECT("Descriptif!I"&amp;S$13)=Recap_equipements!$B43,INDIRECT("Descriptif!I"&amp;S$13)=Recap_equipements!$C43),INDIRECT("Descriptif!M"&amp;S$13)=$D43),INDIRECT("Descriptif!F"&amp;S$13),"")</f>
        <v/>
      </c>
    </row>
    <row r="44" spans="2:20" x14ac:dyDescent="0.4">
      <c r="B44" s="897"/>
      <c r="C44" s="900"/>
      <c r="D44" s="160" t="str">
        <f>$D$8</f>
        <v>Débitmètre gravitaire</v>
      </c>
      <c r="E44" s="160"/>
      <c r="F44" s="13" t="str">
        <f ca="1">IF(AND(OR(INDIRECT("Descriptif!I"&amp;E$13)=Recap_equipements!$B43,INDIRECT("Descriptif!I"&amp;E$13)=Recap_equipements!$C43),INDIRECT("Descriptif!M"&amp;E$13)=$D44),INDIRECT("Descriptif!F"&amp;E$13),"")</f>
        <v/>
      </c>
      <c r="G44" s="13" t="str">
        <f ca="1">IF(AND(OR(INDIRECT("Descriptif!I"&amp;F$13)=Recap_equipements!$B43,INDIRECT("Descriptif!I"&amp;F$13)=Recap_equipements!$C43),INDIRECT("Descriptif!M"&amp;F$13)=$D44),INDIRECT("Descriptif!F"&amp;F$13),"")</f>
        <v/>
      </c>
      <c r="H44" s="13" t="str">
        <f ca="1">IF(AND(OR(INDIRECT("Descriptif!I"&amp;G$13)=Recap_equipements!$B43,INDIRECT("Descriptif!I"&amp;G$13)=Recap_equipements!$C43),INDIRECT("Descriptif!M"&amp;G$13)=$D44),INDIRECT("Descriptif!F"&amp;G$13),"")</f>
        <v/>
      </c>
      <c r="I44" s="13" t="str">
        <f ca="1">IF(AND(OR(INDIRECT("Descriptif!I"&amp;H$13)=Recap_equipements!$B43,INDIRECT("Descriptif!I"&amp;H$13)=Recap_equipements!$C43),INDIRECT("Descriptif!M"&amp;H$13)=$D44),INDIRECT("Descriptif!F"&amp;H$13),"")</f>
        <v/>
      </c>
      <c r="J44" s="13" t="str">
        <f ca="1">IF(AND(OR(INDIRECT("Descriptif!I"&amp;I$13)=Recap_equipements!$B43,INDIRECT("Descriptif!I"&amp;I$13)=Recap_equipements!$C43),INDIRECT("Descriptif!M"&amp;I$13)=$D44),INDIRECT("Descriptif!F"&amp;I$13),"")</f>
        <v/>
      </c>
      <c r="K44" s="13" t="str">
        <f ca="1">IF(AND(OR(INDIRECT("Descriptif!I"&amp;J$13)=Recap_equipements!$B43,INDIRECT("Descriptif!I"&amp;J$13)=Recap_equipements!$C43),INDIRECT("Descriptif!M"&amp;J$13)=$D44),INDIRECT("Descriptif!F"&amp;J$13),"")</f>
        <v/>
      </c>
      <c r="L44" s="13" t="str">
        <f ca="1">IF(AND(OR(INDIRECT("Descriptif!I"&amp;K$13)=Recap_equipements!$B43,INDIRECT("Descriptif!I"&amp;K$13)=Recap_equipements!$C43),INDIRECT("Descriptif!M"&amp;K$13)=$D44),INDIRECT("Descriptif!F"&amp;K$13),"")</f>
        <v/>
      </c>
      <c r="M44" s="13" t="str">
        <f ca="1">IF(AND(OR(INDIRECT("Descriptif!I"&amp;L$13)=Recap_equipements!$B43,INDIRECT("Descriptif!I"&amp;L$13)=Recap_equipements!$C43),INDIRECT("Descriptif!M"&amp;L$13)=$D44),INDIRECT("Descriptif!F"&amp;L$13),"")</f>
        <v/>
      </c>
      <c r="N44" s="13" t="str">
        <f ca="1">IF(AND(OR(INDIRECT("Descriptif!I"&amp;M$13)=Recap_equipements!$B43,INDIRECT("Descriptif!I"&amp;M$13)=Recap_equipements!$C43),INDIRECT("Descriptif!M"&amp;M$13)=$D44),INDIRECT("Descriptif!F"&amp;M$13),"")</f>
        <v/>
      </c>
      <c r="O44" s="13" t="str">
        <f ca="1">IF(AND(OR(INDIRECT("Descriptif!I"&amp;N$13)=Recap_equipements!$B43,INDIRECT("Descriptif!I"&amp;N$13)=Recap_equipements!$C43),INDIRECT("Descriptif!M"&amp;N$13)=$D44),INDIRECT("Descriptif!F"&amp;N$13),"")</f>
        <v/>
      </c>
      <c r="P44" s="13" t="str">
        <f ca="1">IF(AND(OR(INDIRECT("Descriptif!I"&amp;O$13)=Recap_equipements!$B43,INDIRECT("Descriptif!I"&amp;O$13)=Recap_equipements!$C43),INDIRECT("Descriptif!M"&amp;O$13)=$D44),INDIRECT("Descriptif!F"&amp;O$13),"")</f>
        <v/>
      </c>
      <c r="Q44" s="13" t="str">
        <f ca="1">IF(AND(OR(INDIRECT("Descriptif!I"&amp;P$13)=Recap_equipements!$B43,INDIRECT("Descriptif!I"&amp;P$13)=Recap_equipements!$C43),INDIRECT("Descriptif!M"&amp;P$13)=$D44),INDIRECT("Descriptif!F"&amp;P$13),"")</f>
        <v/>
      </c>
      <c r="R44" s="13" t="str">
        <f ca="1">IF(AND(OR(INDIRECT("Descriptif!I"&amp;Q$13)=Recap_equipements!$B43,INDIRECT("Descriptif!I"&amp;Q$13)=Recap_equipements!$C43),INDIRECT("Descriptif!M"&amp;Q$13)=$D44),INDIRECT("Descriptif!F"&amp;Q$13),"")</f>
        <v/>
      </c>
      <c r="S44" s="13" t="str">
        <f ca="1">IF(AND(OR(INDIRECT("Descriptif!I"&amp;R$13)=Recap_equipements!$B43,INDIRECT("Descriptif!I"&amp;R$13)=Recap_equipements!$C43),INDIRECT("Descriptif!M"&amp;R$13)=$D44),INDIRECT("Descriptif!F"&amp;R$13),"")</f>
        <v/>
      </c>
      <c r="T44" s="164" t="str">
        <f ca="1">IF(AND(OR(INDIRECT("Descriptif!I"&amp;S$13)=Recap_equipements!$B43,INDIRECT("Descriptif!I"&amp;S$13)=Recap_equipements!$C43),INDIRECT("Descriptif!M"&amp;S$13)=$D44),INDIRECT("Descriptif!F"&amp;S$13),"")</f>
        <v/>
      </c>
    </row>
    <row r="45" spans="2:20" x14ac:dyDescent="0.4">
      <c r="B45" s="897"/>
      <c r="C45" s="900"/>
      <c r="D45" s="160" t="str">
        <f>$D$9</f>
        <v>Préleveur</v>
      </c>
      <c r="E45" s="160"/>
      <c r="F45" s="13" t="str">
        <f ca="1">IF(AND(OR(INDIRECT("Descriptif!I"&amp;E$13)=Recap_equipements!$B43,INDIRECT("Descriptif!I"&amp;E$13)=Recap_equipements!$C43),INDIRECT("Descriptif!M"&amp;E$13)=$D45),INDIRECT("Descriptif!F"&amp;E$13),"")</f>
        <v/>
      </c>
      <c r="G45" s="13" t="str">
        <f ca="1">IF(AND(OR(INDIRECT("Descriptif!I"&amp;F$13)=Recap_equipements!$B43,INDIRECT("Descriptif!I"&amp;F$13)=Recap_equipements!$C43),INDIRECT("Descriptif!M"&amp;F$13)=$D45),INDIRECT("Descriptif!F"&amp;F$13),"")</f>
        <v/>
      </c>
      <c r="H45" s="13" t="str">
        <f ca="1">IF(AND(OR(INDIRECT("Descriptif!I"&amp;G$13)=Recap_equipements!$B43,INDIRECT("Descriptif!I"&amp;G$13)=Recap_equipements!$C43),INDIRECT("Descriptif!M"&amp;G$13)=$D45),INDIRECT("Descriptif!F"&amp;G$13),"")</f>
        <v/>
      </c>
      <c r="I45" s="13" t="str">
        <f ca="1">IF(AND(OR(INDIRECT("Descriptif!I"&amp;H$13)=Recap_equipements!$B43,INDIRECT("Descriptif!I"&amp;H$13)=Recap_equipements!$C43),INDIRECT("Descriptif!M"&amp;H$13)=$D45),INDIRECT("Descriptif!F"&amp;H$13),"")</f>
        <v/>
      </c>
      <c r="J45" s="13" t="str">
        <f ca="1">IF(AND(OR(INDIRECT("Descriptif!I"&amp;I$13)=Recap_equipements!$B43,INDIRECT("Descriptif!I"&amp;I$13)=Recap_equipements!$C43),INDIRECT("Descriptif!M"&amp;I$13)=$D45),INDIRECT("Descriptif!F"&amp;I$13),"")</f>
        <v/>
      </c>
      <c r="K45" s="13" t="str">
        <f ca="1">IF(AND(OR(INDIRECT("Descriptif!I"&amp;J$13)=Recap_equipements!$B43,INDIRECT("Descriptif!I"&amp;J$13)=Recap_equipements!$C43),INDIRECT("Descriptif!M"&amp;J$13)=$D45),INDIRECT("Descriptif!F"&amp;J$13),"")</f>
        <v/>
      </c>
      <c r="L45" s="13" t="str">
        <f ca="1">IF(AND(OR(INDIRECT("Descriptif!I"&amp;K$13)=Recap_equipements!$B43,INDIRECT("Descriptif!I"&amp;K$13)=Recap_equipements!$C43),INDIRECT("Descriptif!M"&amp;K$13)=$D45),INDIRECT("Descriptif!F"&amp;K$13),"")</f>
        <v/>
      </c>
      <c r="M45" s="13" t="str">
        <f ca="1">IF(AND(OR(INDIRECT("Descriptif!I"&amp;L$13)=Recap_equipements!$B43,INDIRECT("Descriptif!I"&amp;L$13)=Recap_equipements!$C43),INDIRECT("Descriptif!M"&amp;L$13)=$D45),INDIRECT("Descriptif!F"&amp;L$13),"")</f>
        <v/>
      </c>
      <c r="N45" s="13" t="str">
        <f ca="1">IF(AND(OR(INDIRECT("Descriptif!I"&amp;M$13)=Recap_equipements!$B43,INDIRECT("Descriptif!I"&amp;M$13)=Recap_equipements!$C43),INDIRECT("Descriptif!M"&amp;M$13)=$D45),INDIRECT("Descriptif!F"&amp;M$13),"")</f>
        <v/>
      </c>
      <c r="O45" s="13" t="str">
        <f ca="1">IF(AND(OR(INDIRECT("Descriptif!I"&amp;N$13)=Recap_equipements!$B43,INDIRECT("Descriptif!I"&amp;N$13)=Recap_equipements!$C43),INDIRECT("Descriptif!M"&amp;N$13)=$D45),INDIRECT("Descriptif!F"&amp;N$13),"")</f>
        <v/>
      </c>
      <c r="P45" s="13" t="str">
        <f ca="1">IF(AND(OR(INDIRECT("Descriptif!I"&amp;O$13)=Recap_equipements!$B43,INDIRECT("Descriptif!I"&amp;O$13)=Recap_equipements!$C43),INDIRECT("Descriptif!M"&amp;O$13)=$D45),INDIRECT("Descriptif!F"&amp;O$13),"")</f>
        <v/>
      </c>
      <c r="Q45" s="13" t="str">
        <f ca="1">IF(AND(OR(INDIRECT("Descriptif!I"&amp;P$13)=Recap_equipements!$B43,INDIRECT("Descriptif!I"&amp;P$13)=Recap_equipements!$C43),INDIRECT("Descriptif!M"&amp;P$13)=$D45),INDIRECT("Descriptif!F"&amp;P$13),"")</f>
        <v/>
      </c>
      <c r="R45" s="13" t="str">
        <f ca="1">IF(AND(OR(INDIRECT("Descriptif!I"&amp;Q$13)=Recap_equipements!$B43,INDIRECT("Descriptif!I"&amp;Q$13)=Recap_equipements!$C43),INDIRECT("Descriptif!M"&amp;Q$13)=$D45),INDIRECT("Descriptif!F"&amp;Q$13),"")</f>
        <v/>
      </c>
      <c r="S45" s="13" t="str">
        <f ca="1">IF(AND(OR(INDIRECT("Descriptif!I"&amp;R$13)=Recap_equipements!$B43,INDIRECT("Descriptif!I"&amp;R$13)=Recap_equipements!$C43),INDIRECT("Descriptif!M"&amp;R$13)=$D45),INDIRECT("Descriptif!F"&amp;R$13),"")</f>
        <v/>
      </c>
      <c r="T45" s="164" t="str">
        <f ca="1">IF(AND(OR(INDIRECT("Descriptif!I"&amp;S$13)=Recap_equipements!$B43,INDIRECT("Descriptif!I"&amp;S$13)=Recap_equipements!$C43),INDIRECT("Descriptif!M"&amp;S$13)=$D45),INDIRECT("Descriptif!F"&amp;S$13),"")</f>
        <v/>
      </c>
    </row>
    <row r="46" spans="2:20" x14ac:dyDescent="0.4">
      <c r="B46" s="897"/>
      <c r="C46" s="900"/>
      <c r="D46" s="386" t="s">
        <v>482</v>
      </c>
      <c r="E46" s="386"/>
      <c r="F46" s="388" t="str">
        <f ca="1">IF(F45&lt;&gt;"",VLOOKUP(F45,Analytique!$X$3:$AD$36,1,FALSE),"")</f>
        <v/>
      </c>
      <c r="G46" s="388" t="str">
        <f ca="1">IF(G45&lt;&gt;"",VLOOKUP(G45,Analytique!$X$3:$AD$36,1,FALSE),"")</f>
        <v/>
      </c>
      <c r="H46" s="388" t="str">
        <f ca="1">IF(H45&lt;&gt;"",VLOOKUP(H45,Analytique!$X$3:$AD$36,1,FALSE),"")</f>
        <v/>
      </c>
      <c r="I46" s="388" t="str">
        <f ca="1">IF(I45&lt;&gt;"",VLOOKUP(I45,Analytique!$X$3:$AD$36,1,FALSE),"")</f>
        <v/>
      </c>
      <c r="J46" s="388" t="str">
        <f ca="1">IF(J45&lt;&gt;"",VLOOKUP(J45,Analytique!$X$3:$AD$36,1,FALSE),"")</f>
        <v/>
      </c>
      <c r="K46" s="388" t="str">
        <f ca="1">IF(K45&lt;&gt;"",VLOOKUP(K45,Analytique!$X$3:$AD$36,1,FALSE),"")</f>
        <v/>
      </c>
      <c r="L46" s="388" t="str">
        <f ca="1">IF(L45&lt;&gt;"",VLOOKUP(L45,Analytique!$X$3:$AD$36,1,FALSE),"")</f>
        <v/>
      </c>
      <c r="M46" s="388" t="str">
        <f ca="1">IF(M45&lt;&gt;"",VLOOKUP(M45,Analytique!$X$3:$AD$36,1,FALSE),"")</f>
        <v/>
      </c>
      <c r="N46" s="388" t="str">
        <f ca="1">IF(N45&lt;&gt;"",VLOOKUP(N45,Analytique!$X$3:$AD$36,1,FALSE),"")</f>
        <v/>
      </c>
      <c r="O46" s="388" t="str">
        <f ca="1">IF(O45&lt;&gt;"",VLOOKUP(O45,Analytique!$X$3:$AD$36,1,FALSE),"")</f>
        <v/>
      </c>
      <c r="P46" s="388" t="str">
        <f ca="1">IF(P45&lt;&gt;"",VLOOKUP(P45,Analytique!$X$3:$AD$36,1,FALSE),"")</f>
        <v/>
      </c>
      <c r="Q46" s="388" t="str">
        <f ca="1">IF(Q45&lt;&gt;"",VLOOKUP(Q45,Analytique!$X$3:$AD$36,1,FALSE),"")</f>
        <v/>
      </c>
      <c r="R46" s="388" t="str">
        <f ca="1">IF(R45&lt;&gt;"",VLOOKUP(R45,Analytique!$X$3:$AD$36,1,FALSE),"")</f>
        <v/>
      </c>
      <c r="S46" s="388" t="str">
        <f ca="1">IF(S45&lt;&gt;"",VLOOKUP(S45,Analytique!$X$3:$AD$36,1,FALSE),"")</f>
        <v/>
      </c>
      <c r="T46" s="389" t="str">
        <f ca="1">IF(T45&lt;&gt;"",VLOOKUP(T45,Analytique!$X$3:$AD$36,1,FALSE),"")</f>
        <v/>
      </c>
    </row>
    <row r="47" spans="2:20" ht="13" thickBot="1" x14ac:dyDescent="0.45">
      <c r="B47" s="898"/>
      <c r="C47" s="901"/>
      <c r="D47" s="165" t="str">
        <f>$D$10</f>
        <v>Sonde de température</v>
      </c>
      <c r="E47" s="165"/>
      <c r="F47" s="166" t="str">
        <f ca="1">IF(AND(OR(INDIRECT("Descriptif!I"&amp;E$13)=Recap_equipements!$B43,INDIRECT("Descriptif!I"&amp;E$13)=Recap_equipements!$C43),INDIRECT("Descriptif!M"&amp;E$13)=$D47),INDIRECT("Descriptif!F"&amp;E$13),"")</f>
        <v/>
      </c>
      <c r="G47" s="166" t="str">
        <f ca="1">IF(AND(OR(INDIRECT("Descriptif!I"&amp;F$13)=Recap_equipements!$B43,INDIRECT("Descriptif!I"&amp;F$13)=Recap_equipements!$C43),INDIRECT("Descriptif!M"&amp;F$13)=$D47),INDIRECT("Descriptif!F"&amp;F$13),"")</f>
        <v/>
      </c>
      <c r="H47" s="166" t="str">
        <f ca="1">IF(AND(OR(INDIRECT("Descriptif!I"&amp;G$13)=Recap_equipements!$B43,INDIRECT("Descriptif!I"&amp;G$13)=Recap_equipements!$C43),INDIRECT("Descriptif!M"&amp;G$13)=$D47),INDIRECT("Descriptif!F"&amp;G$13),"")</f>
        <v/>
      </c>
      <c r="I47" s="166" t="str">
        <f ca="1">IF(AND(OR(INDIRECT("Descriptif!I"&amp;H$13)=Recap_equipements!$B43,INDIRECT("Descriptif!I"&amp;H$13)=Recap_equipements!$C43),INDIRECT("Descriptif!M"&amp;H$13)=$D47),INDIRECT("Descriptif!F"&amp;H$13),"")</f>
        <v/>
      </c>
      <c r="J47" s="166" t="str">
        <f ca="1">IF(AND(OR(INDIRECT("Descriptif!I"&amp;I$13)=Recap_equipements!$B43,INDIRECT("Descriptif!I"&amp;I$13)=Recap_equipements!$C43),INDIRECT("Descriptif!M"&amp;I$13)=$D47),INDIRECT("Descriptif!F"&amp;I$13),"")</f>
        <v/>
      </c>
      <c r="K47" s="166" t="str">
        <f ca="1">IF(AND(OR(INDIRECT("Descriptif!I"&amp;J$13)=Recap_equipements!$B43,INDIRECT("Descriptif!I"&amp;J$13)=Recap_equipements!$C43),INDIRECT("Descriptif!M"&amp;J$13)=$D47),INDIRECT("Descriptif!F"&amp;J$13),"")</f>
        <v/>
      </c>
      <c r="L47" s="166" t="str">
        <f ca="1">IF(AND(OR(INDIRECT("Descriptif!I"&amp;K$13)=Recap_equipements!$B43,INDIRECT("Descriptif!I"&amp;K$13)=Recap_equipements!$C43),INDIRECT("Descriptif!M"&amp;K$13)=$D47),INDIRECT("Descriptif!F"&amp;K$13),"")</f>
        <v/>
      </c>
      <c r="M47" s="166" t="str">
        <f ca="1">IF(AND(OR(INDIRECT("Descriptif!I"&amp;L$13)=Recap_equipements!$B43,INDIRECT("Descriptif!I"&amp;L$13)=Recap_equipements!$C43),INDIRECT("Descriptif!M"&amp;L$13)=$D47),INDIRECT("Descriptif!F"&amp;L$13),"")</f>
        <v/>
      </c>
      <c r="N47" s="166" t="str">
        <f ca="1">IF(AND(OR(INDIRECT("Descriptif!I"&amp;M$13)=Recap_equipements!$B43,INDIRECT("Descriptif!I"&amp;M$13)=Recap_equipements!$C43),INDIRECT("Descriptif!M"&amp;M$13)=$D47),INDIRECT("Descriptif!F"&amp;M$13),"")</f>
        <v/>
      </c>
      <c r="O47" s="166" t="str">
        <f ca="1">IF(AND(OR(INDIRECT("Descriptif!I"&amp;N$13)=Recap_equipements!$B43,INDIRECT("Descriptif!I"&amp;N$13)=Recap_equipements!$C43),INDIRECT("Descriptif!M"&amp;N$13)=$D47),INDIRECT("Descriptif!F"&amp;N$13),"")</f>
        <v/>
      </c>
      <c r="P47" s="166" t="str">
        <f ca="1">IF(AND(OR(INDIRECT("Descriptif!I"&amp;O$13)=Recap_equipements!$B43,INDIRECT("Descriptif!I"&amp;O$13)=Recap_equipements!$C43),INDIRECT("Descriptif!M"&amp;O$13)=$D47),INDIRECT("Descriptif!F"&amp;O$13),"")</f>
        <v/>
      </c>
      <c r="Q47" s="166" t="str">
        <f ca="1">IF(AND(OR(INDIRECT("Descriptif!I"&amp;P$13)=Recap_equipements!$B43,INDIRECT("Descriptif!I"&amp;P$13)=Recap_equipements!$C43),INDIRECT("Descriptif!M"&amp;P$13)=$D47),INDIRECT("Descriptif!F"&amp;P$13),"")</f>
        <v/>
      </c>
      <c r="R47" s="166" t="str">
        <f ca="1">IF(AND(OR(INDIRECT("Descriptif!I"&amp;Q$13)=Recap_equipements!$B43,INDIRECT("Descriptif!I"&amp;Q$13)=Recap_equipements!$C43),INDIRECT("Descriptif!M"&amp;Q$13)=$D47),INDIRECT("Descriptif!F"&amp;Q$13),"")</f>
        <v/>
      </c>
      <c r="S47" s="166" t="str">
        <f ca="1">IF(AND(OR(INDIRECT("Descriptif!I"&amp;R$13)=Recap_equipements!$B43,INDIRECT("Descriptif!I"&amp;R$13)=Recap_equipements!$C43),INDIRECT("Descriptif!M"&amp;R$13)=$D47),INDIRECT("Descriptif!F"&amp;R$13),"")</f>
        <v/>
      </c>
      <c r="T47" s="167" t="str">
        <f ca="1">IF(AND(OR(INDIRECT("Descriptif!I"&amp;S$13)=Recap_equipements!$B43,INDIRECT("Descriptif!I"&amp;S$13)=Recap_equipements!$C43),INDIRECT("Descriptif!M"&amp;S$13)=$D47),INDIRECT("Descriptif!F"&amp;S$13),"")</f>
        <v/>
      </c>
    </row>
    <row r="48" spans="2:20" x14ac:dyDescent="0.4">
      <c r="B48" s="896" t="s">
        <v>108</v>
      </c>
      <c r="C48" s="899" t="s">
        <v>110</v>
      </c>
      <c r="D48" s="161" t="str">
        <f>$D$7</f>
        <v>Débitmètre en charge</v>
      </c>
      <c r="E48" s="161"/>
      <c r="F48" s="162" t="str">
        <f ca="1">IF(AND(OR(INDIRECT("Descriptif!I"&amp;E$14)=Recap_equipements!$B48,INDIRECT("Descriptif!I"&amp;E$14)=Recap_equipements!$C48),INDIRECT("Descriptif!M"&amp;E$14)=$D48),INDIRECT("Descriptif!F"&amp;E$14),"")</f>
        <v/>
      </c>
      <c r="G48" s="162" t="str">
        <f ca="1">IF(AND(OR(INDIRECT("Descriptif!I"&amp;F$14)=Recap_equipements!$B48,INDIRECT("Descriptif!I"&amp;F$14)=Recap_equipements!$C48),INDIRECT("Descriptif!M"&amp;F$14)=$D48),INDIRECT("Descriptif!F"&amp;F$14),"")</f>
        <v/>
      </c>
      <c r="H48" s="162" t="str">
        <f ca="1">IF(AND(OR(INDIRECT("Descriptif!I"&amp;G$14)=Recap_equipements!$B48,INDIRECT("Descriptif!I"&amp;G$14)=Recap_equipements!$C48),INDIRECT("Descriptif!M"&amp;G$14)=$D48),INDIRECT("Descriptif!F"&amp;G$14),"")</f>
        <v/>
      </c>
      <c r="I48" s="162" t="str">
        <f ca="1">IF(AND(OR(INDIRECT("Descriptif!I"&amp;H$14)=Recap_equipements!$B48,INDIRECT("Descriptif!I"&amp;H$14)=Recap_equipements!$C48),INDIRECT("Descriptif!M"&amp;H$14)=$D48),INDIRECT("Descriptif!F"&amp;H$14),"")</f>
        <v/>
      </c>
      <c r="J48" s="162" t="str">
        <f ca="1">IF(AND(OR(INDIRECT("Descriptif!I"&amp;I$14)=Recap_equipements!$B48,INDIRECT("Descriptif!I"&amp;I$14)=Recap_equipements!$C48),INDIRECT("Descriptif!M"&amp;I$14)=$D48),INDIRECT("Descriptif!F"&amp;I$14),"")</f>
        <v/>
      </c>
      <c r="K48" s="162" t="str">
        <f ca="1">IF(AND(OR(INDIRECT("Descriptif!I"&amp;J$14)=Recap_equipements!$B48,INDIRECT("Descriptif!I"&amp;J$14)=Recap_equipements!$C48),INDIRECT("Descriptif!M"&amp;J$14)=$D48),INDIRECT("Descriptif!F"&amp;J$14),"")</f>
        <v/>
      </c>
      <c r="L48" s="162" t="str">
        <f ca="1">IF(AND(OR(INDIRECT("Descriptif!I"&amp;K$14)=Recap_equipements!$B48,INDIRECT("Descriptif!I"&amp;K$14)=Recap_equipements!$C48),INDIRECT("Descriptif!M"&amp;K$14)=$D48),INDIRECT("Descriptif!F"&amp;K$14),"")</f>
        <v/>
      </c>
      <c r="M48" s="162" t="str">
        <f ca="1">IF(AND(OR(INDIRECT("Descriptif!I"&amp;L$14)=Recap_equipements!$B48,INDIRECT("Descriptif!I"&amp;L$14)=Recap_equipements!$C48),INDIRECT("Descriptif!M"&amp;L$14)=$D48),INDIRECT("Descriptif!F"&amp;L$14),"")</f>
        <v/>
      </c>
      <c r="N48" s="162" t="str">
        <f ca="1">IF(AND(OR(INDIRECT("Descriptif!I"&amp;M$14)=Recap_equipements!$B48,INDIRECT("Descriptif!I"&amp;M$14)=Recap_equipements!$C48),INDIRECT("Descriptif!M"&amp;M$14)=$D48),INDIRECT("Descriptif!F"&amp;M$14),"")</f>
        <v/>
      </c>
      <c r="O48" s="162" t="str">
        <f ca="1">IF(AND(OR(INDIRECT("Descriptif!I"&amp;N$14)=Recap_equipements!$B48,INDIRECT("Descriptif!I"&amp;N$14)=Recap_equipements!$C48),INDIRECT("Descriptif!M"&amp;N$14)=$D48),INDIRECT("Descriptif!F"&amp;N$14),"")</f>
        <v/>
      </c>
      <c r="P48" s="162" t="str">
        <f ca="1">IF(AND(OR(INDIRECT("Descriptif!I"&amp;O$14)=Recap_equipements!$B48,INDIRECT("Descriptif!I"&amp;O$14)=Recap_equipements!$C48),INDIRECT("Descriptif!M"&amp;O$14)=$D48),INDIRECT("Descriptif!F"&amp;O$14),"")</f>
        <v/>
      </c>
      <c r="Q48" s="162" t="str">
        <f ca="1">IF(AND(OR(INDIRECT("Descriptif!I"&amp;P$14)=Recap_equipements!$B48,INDIRECT("Descriptif!I"&amp;P$14)=Recap_equipements!$C48),INDIRECT("Descriptif!M"&amp;P$14)=$D48),INDIRECT("Descriptif!F"&amp;P$14),"")</f>
        <v/>
      </c>
      <c r="R48" s="162" t="str">
        <f ca="1">IF(AND(OR(INDIRECT("Descriptif!I"&amp;Q$14)=Recap_equipements!$B48,INDIRECT("Descriptif!I"&amp;Q$14)=Recap_equipements!$C48),INDIRECT("Descriptif!M"&amp;Q$14)=$D48),INDIRECT("Descriptif!F"&amp;Q$14),"")</f>
        <v/>
      </c>
      <c r="S48" s="162" t="str">
        <f ca="1">IF(AND(OR(INDIRECT("Descriptif!I"&amp;R$14)=Recap_equipements!$B48,INDIRECT("Descriptif!I"&amp;R$14)=Recap_equipements!$C48),INDIRECT("Descriptif!M"&amp;R$14)=$D48),INDIRECT("Descriptif!F"&amp;R$14),"")</f>
        <v/>
      </c>
      <c r="T48" s="163" t="str">
        <f ca="1">IF(AND(OR(INDIRECT("Descriptif!I"&amp;S$14)=Recap_equipements!$B48,INDIRECT("Descriptif!I"&amp;S$14)=Recap_equipements!$C48),INDIRECT("Descriptif!M"&amp;S$14)=$D48),INDIRECT("Descriptif!F"&amp;S$14),"")</f>
        <v/>
      </c>
    </row>
    <row r="49" spans="2:21" x14ac:dyDescent="0.4">
      <c r="B49" s="897"/>
      <c r="C49" s="900"/>
      <c r="D49" s="160" t="str">
        <f>$D$8</f>
        <v>Débitmètre gravitaire</v>
      </c>
      <c r="E49" s="160"/>
      <c r="F49" s="13" t="str">
        <f ca="1">IF(AND(OR(INDIRECT("Descriptif!I"&amp;E$14)=Recap_equipements!$B48,INDIRECT("Descriptif!I"&amp;E$14)=Recap_equipements!$C48),INDIRECT("Descriptif!M"&amp;E$14)=$D49),INDIRECT("Descriptif!F"&amp;E$14),"")</f>
        <v/>
      </c>
      <c r="G49" s="13" t="str">
        <f ca="1">IF(AND(OR(INDIRECT("Descriptif!I"&amp;F$14)=Recap_equipements!$B48,INDIRECT("Descriptif!I"&amp;F$14)=Recap_equipements!$C48),INDIRECT("Descriptif!M"&amp;F$14)=$D49),INDIRECT("Descriptif!F"&amp;F$14),"")</f>
        <v/>
      </c>
      <c r="H49" s="13" t="str">
        <f ca="1">IF(AND(OR(INDIRECT("Descriptif!I"&amp;G$14)=Recap_equipements!$B48,INDIRECT("Descriptif!I"&amp;G$14)=Recap_equipements!$C48),INDIRECT("Descriptif!M"&amp;G$14)=$D49),INDIRECT("Descriptif!F"&amp;G$14),"")</f>
        <v/>
      </c>
      <c r="I49" s="13" t="str">
        <f ca="1">IF(AND(OR(INDIRECT("Descriptif!I"&amp;H$14)=Recap_equipements!$B48,INDIRECT("Descriptif!I"&amp;H$14)=Recap_equipements!$C48),INDIRECT("Descriptif!M"&amp;H$14)=$D49),INDIRECT("Descriptif!F"&amp;H$14),"")</f>
        <v/>
      </c>
      <c r="J49" s="13" t="str">
        <f ca="1">IF(AND(OR(INDIRECT("Descriptif!I"&amp;I$14)=Recap_equipements!$B48,INDIRECT("Descriptif!I"&amp;I$14)=Recap_equipements!$C48),INDIRECT("Descriptif!M"&amp;I$14)=$D49),INDIRECT("Descriptif!F"&amp;I$14),"")</f>
        <v/>
      </c>
      <c r="K49" s="13" t="str">
        <f ca="1">IF(AND(OR(INDIRECT("Descriptif!I"&amp;J$14)=Recap_equipements!$B48,INDIRECT("Descriptif!I"&amp;J$14)=Recap_equipements!$C48),INDIRECT("Descriptif!M"&amp;J$14)=$D49),INDIRECT("Descriptif!F"&amp;J$14),"")</f>
        <v/>
      </c>
      <c r="L49" s="13" t="str">
        <f ca="1">IF(AND(OR(INDIRECT("Descriptif!I"&amp;K$14)=Recap_equipements!$B48,INDIRECT("Descriptif!I"&amp;K$14)=Recap_equipements!$C48),INDIRECT("Descriptif!M"&amp;K$14)=$D49),INDIRECT("Descriptif!F"&amp;K$14),"")</f>
        <v/>
      </c>
      <c r="M49" s="13" t="str">
        <f ca="1">IF(AND(OR(INDIRECT("Descriptif!I"&amp;L$14)=Recap_equipements!$B48,INDIRECT("Descriptif!I"&amp;L$14)=Recap_equipements!$C48),INDIRECT("Descriptif!M"&amp;L$14)=$D49),INDIRECT("Descriptif!F"&amp;L$14),"")</f>
        <v/>
      </c>
      <c r="N49" s="13" t="str">
        <f ca="1">IF(AND(OR(INDIRECT("Descriptif!I"&amp;M$14)=Recap_equipements!$B48,INDIRECT("Descriptif!I"&amp;M$14)=Recap_equipements!$C48),INDIRECT("Descriptif!M"&amp;M$14)=$D49),INDIRECT("Descriptif!F"&amp;M$14),"")</f>
        <v/>
      </c>
      <c r="O49" s="13" t="str">
        <f ca="1">IF(AND(OR(INDIRECT("Descriptif!I"&amp;N$14)=Recap_equipements!$B48,INDIRECT("Descriptif!I"&amp;N$14)=Recap_equipements!$C48),INDIRECT("Descriptif!M"&amp;N$14)=$D49),INDIRECT("Descriptif!F"&amp;N$14),"")</f>
        <v/>
      </c>
      <c r="P49" s="13" t="str">
        <f ca="1">IF(AND(OR(INDIRECT("Descriptif!I"&amp;O$14)=Recap_equipements!$B48,INDIRECT("Descriptif!I"&amp;O$14)=Recap_equipements!$C48),INDIRECT("Descriptif!M"&amp;O$14)=$D49),INDIRECT("Descriptif!F"&amp;O$14),"")</f>
        <v/>
      </c>
      <c r="Q49" s="13" t="str">
        <f ca="1">IF(AND(OR(INDIRECT("Descriptif!I"&amp;P$14)=Recap_equipements!$B48,INDIRECT("Descriptif!I"&amp;P$14)=Recap_equipements!$C48),INDIRECT("Descriptif!M"&amp;P$14)=$D49),INDIRECT("Descriptif!F"&amp;P$14),"")</f>
        <v/>
      </c>
      <c r="R49" s="13" t="str">
        <f ca="1">IF(AND(OR(INDIRECT("Descriptif!I"&amp;Q$14)=Recap_equipements!$B48,INDIRECT("Descriptif!I"&amp;Q$14)=Recap_equipements!$C48),INDIRECT("Descriptif!M"&amp;Q$14)=$D49),INDIRECT("Descriptif!F"&amp;Q$14),"")</f>
        <v/>
      </c>
      <c r="S49" s="13" t="str">
        <f ca="1">IF(AND(OR(INDIRECT("Descriptif!I"&amp;R$14)=Recap_equipements!$B48,INDIRECT("Descriptif!I"&amp;R$14)=Recap_equipements!$C48),INDIRECT("Descriptif!M"&amp;R$14)=$D49),INDIRECT("Descriptif!F"&amp;R$14),"")</f>
        <v/>
      </c>
      <c r="T49" s="164" t="str">
        <f ca="1">IF(AND(OR(INDIRECT("Descriptif!I"&amp;S$14)=Recap_equipements!$B48,INDIRECT("Descriptif!I"&amp;S$14)=Recap_equipements!$C48),INDIRECT("Descriptif!M"&amp;S$14)=$D49),INDIRECT("Descriptif!F"&amp;S$14),"")</f>
        <v/>
      </c>
    </row>
    <row r="50" spans="2:21" x14ac:dyDescent="0.4">
      <c r="B50" s="897"/>
      <c r="C50" s="900"/>
      <c r="D50" s="160" t="str">
        <f>$D$9</f>
        <v>Préleveur</v>
      </c>
      <c r="E50" s="160"/>
      <c r="F50" s="13" t="str">
        <f ca="1">IF(AND(OR(INDIRECT("Descriptif!I"&amp;E$14)=Recap_equipements!$B48,INDIRECT("Descriptif!I"&amp;E$14)=Recap_equipements!$C48),INDIRECT("Descriptif!M"&amp;E$14)=$D50),INDIRECT("Descriptif!F"&amp;E$14),"")</f>
        <v/>
      </c>
      <c r="G50" s="13" t="str">
        <f ca="1">IF(AND(OR(INDIRECT("Descriptif!I"&amp;F$14)=Recap_equipements!$B48,INDIRECT("Descriptif!I"&amp;F$14)=Recap_equipements!$C48),INDIRECT("Descriptif!M"&amp;F$14)=$D50),INDIRECT("Descriptif!F"&amp;F$14),"")</f>
        <v/>
      </c>
      <c r="H50" s="13" t="str">
        <f ca="1">IF(AND(OR(INDIRECT("Descriptif!I"&amp;G$14)=Recap_equipements!$B48,INDIRECT("Descriptif!I"&amp;G$14)=Recap_equipements!$C48),INDIRECT("Descriptif!M"&amp;G$14)=$D50),INDIRECT("Descriptif!F"&amp;G$14),"")</f>
        <v/>
      </c>
      <c r="I50" s="13" t="str">
        <f ca="1">IF(AND(OR(INDIRECT("Descriptif!I"&amp;H$14)=Recap_equipements!$B48,INDIRECT("Descriptif!I"&amp;H$14)=Recap_equipements!$C48),INDIRECT("Descriptif!M"&amp;H$14)=$D50),INDIRECT("Descriptif!F"&amp;H$14),"")</f>
        <v/>
      </c>
      <c r="J50" s="13" t="str">
        <f ca="1">IF(AND(OR(INDIRECT("Descriptif!I"&amp;I$14)=Recap_equipements!$B48,INDIRECT("Descriptif!I"&amp;I$14)=Recap_equipements!$C48),INDIRECT("Descriptif!M"&amp;I$14)=$D50),INDIRECT("Descriptif!F"&amp;I$14),"")</f>
        <v/>
      </c>
      <c r="K50" s="13" t="str">
        <f ca="1">IF(AND(OR(INDIRECT("Descriptif!I"&amp;J$14)=Recap_equipements!$B48,INDIRECT("Descriptif!I"&amp;J$14)=Recap_equipements!$C48),INDIRECT("Descriptif!M"&amp;J$14)=$D50),INDIRECT("Descriptif!F"&amp;J$14),"")</f>
        <v/>
      </c>
      <c r="L50" s="13" t="str">
        <f ca="1">IF(AND(OR(INDIRECT("Descriptif!I"&amp;K$14)=Recap_equipements!$B48,INDIRECT("Descriptif!I"&amp;K$14)=Recap_equipements!$C48),INDIRECT("Descriptif!M"&amp;K$14)=$D50),INDIRECT("Descriptif!F"&amp;K$14),"")</f>
        <v/>
      </c>
      <c r="M50" s="13" t="str">
        <f ca="1">IF(AND(OR(INDIRECT("Descriptif!I"&amp;L$14)=Recap_equipements!$B48,INDIRECT("Descriptif!I"&amp;L$14)=Recap_equipements!$C48),INDIRECT("Descriptif!M"&amp;L$14)=$D50),INDIRECT("Descriptif!F"&amp;L$14),"")</f>
        <v/>
      </c>
      <c r="N50" s="13" t="str">
        <f ca="1">IF(AND(OR(INDIRECT("Descriptif!I"&amp;M$14)=Recap_equipements!$B48,INDIRECT("Descriptif!I"&amp;M$14)=Recap_equipements!$C48),INDIRECT("Descriptif!M"&amp;M$14)=$D50),INDIRECT("Descriptif!F"&amp;M$14),"")</f>
        <v/>
      </c>
      <c r="O50" s="13" t="str">
        <f ca="1">IF(AND(OR(INDIRECT("Descriptif!I"&amp;N$14)=Recap_equipements!$B48,INDIRECT("Descriptif!I"&amp;N$14)=Recap_equipements!$C48),INDIRECT("Descriptif!M"&amp;N$14)=$D50),INDIRECT("Descriptif!F"&amp;N$14),"")</f>
        <v/>
      </c>
      <c r="P50" s="13" t="str">
        <f ca="1">IF(AND(OR(INDIRECT("Descriptif!I"&amp;O$14)=Recap_equipements!$B48,INDIRECT("Descriptif!I"&amp;O$14)=Recap_equipements!$C48),INDIRECT("Descriptif!M"&amp;O$14)=$D50),INDIRECT("Descriptif!F"&amp;O$14),"")</f>
        <v/>
      </c>
      <c r="Q50" s="13" t="str">
        <f ca="1">IF(AND(OR(INDIRECT("Descriptif!I"&amp;P$14)=Recap_equipements!$B48,INDIRECT("Descriptif!I"&amp;P$14)=Recap_equipements!$C48),INDIRECT("Descriptif!M"&amp;P$14)=$D50),INDIRECT("Descriptif!F"&amp;P$14),"")</f>
        <v/>
      </c>
      <c r="R50" s="13" t="str">
        <f ca="1">IF(AND(OR(INDIRECT("Descriptif!I"&amp;Q$14)=Recap_equipements!$B48,INDIRECT("Descriptif!I"&amp;Q$14)=Recap_equipements!$C48),INDIRECT("Descriptif!M"&amp;Q$14)=$D50),INDIRECT("Descriptif!F"&amp;Q$14),"")</f>
        <v/>
      </c>
      <c r="S50" s="13" t="str">
        <f ca="1">IF(AND(OR(INDIRECT("Descriptif!I"&amp;R$14)=Recap_equipements!$B48,INDIRECT("Descriptif!I"&amp;R$14)=Recap_equipements!$C48),INDIRECT("Descriptif!M"&amp;R$14)=$D50),INDIRECT("Descriptif!F"&amp;R$14),"")</f>
        <v/>
      </c>
      <c r="T50" s="164" t="str">
        <f ca="1">IF(AND(OR(INDIRECT("Descriptif!I"&amp;S$14)=Recap_equipements!$B48,INDIRECT("Descriptif!I"&amp;S$14)=Recap_equipements!$C48),INDIRECT("Descriptif!M"&amp;S$14)=$D50),INDIRECT("Descriptif!F"&amp;S$14),"")</f>
        <v/>
      </c>
    </row>
    <row r="51" spans="2:21" x14ac:dyDescent="0.4">
      <c r="B51" s="897"/>
      <c r="C51" s="900"/>
      <c r="D51" s="386" t="s">
        <v>482</v>
      </c>
      <c r="E51" s="386"/>
      <c r="F51" s="388" t="str">
        <f ca="1">IF(F50&lt;&gt;"",VLOOKUP(F50,Analytique!$X$3:$AD$36,1,FALSE),"")</f>
        <v/>
      </c>
      <c r="G51" s="388" t="str">
        <f ca="1">IF(G50&lt;&gt;"",VLOOKUP(G50,Analytique!$X$3:$AD$36,1,FALSE),"")</f>
        <v/>
      </c>
      <c r="H51" s="388" t="str">
        <f ca="1">IF(H50&lt;&gt;"",VLOOKUP(H50,Analytique!$X$3:$AD$36,1,FALSE),"")</f>
        <v/>
      </c>
      <c r="I51" s="388" t="str">
        <f ca="1">IF(I50&lt;&gt;"",VLOOKUP(I50,Analytique!$X$3:$AD$36,1,FALSE),"")</f>
        <v/>
      </c>
      <c r="J51" s="388" t="str">
        <f ca="1">IF(J50&lt;&gt;"",VLOOKUP(J50,Analytique!$X$3:$AD$36,1,FALSE),"")</f>
        <v/>
      </c>
      <c r="K51" s="388" t="str">
        <f ca="1">IF(K50&lt;&gt;"",VLOOKUP(K50,Analytique!$X$3:$AD$36,1,FALSE),"")</f>
        <v/>
      </c>
      <c r="L51" s="388" t="str">
        <f ca="1">IF(L50&lt;&gt;"",VLOOKUP(L50,Analytique!$X$3:$AD$36,1,FALSE),"")</f>
        <v/>
      </c>
      <c r="M51" s="388" t="str">
        <f ca="1">IF(M50&lt;&gt;"",VLOOKUP(M50,Analytique!$X$3:$AD$36,1,FALSE),"")</f>
        <v/>
      </c>
      <c r="N51" s="388" t="str">
        <f ca="1">IF(N50&lt;&gt;"",VLOOKUP(N50,Analytique!$X$3:$AD$36,1,FALSE),"")</f>
        <v/>
      </c>
      <c r="O51" s="388" t="str">
        <f ca="1">IF(O50&lt;&gt;"",VLOOKUP(O50,Analytique!$X$3:$AD$36,1,FALSE),"")</f>
        <v/>
      </c>
      <c r="P51" s="388" t="str">
        <f ca="1">IF(P50&lt;&gt;"",VLOOKUP(P50,Analytique!$X$3:$AD$36,1,FALSE),"")</f>
        <v/>
      </c>
      <c r="Q51" s="388" t="str">
        <f ca="1">IF(Q50&lt;&gt;"",VLOOKUP(Q50,Analytique!$X$3:$AD$36,1,FALSE),"")</f>
        <v/>
      </c>
      <c r="R51" s="388" t="str">
        <f ca="1">IF(R50&lt;&gt;"",VLOOKUP(R50,Analytique!$X$3:$AD$36,1,FALSE),"")</f>
        <v/>
      </c>
      <c r="S51" s="388" t="str">
        <f ca="1">IF(S50&lt;&gt;"",VLOOKUP(S50,Analytique!$X$3:$AD$36,1,FALSE),"")</f>
        <v/>
      </c>
      <c r="T51" s="389" t="str">
        <f ca="1">IF(T50&lt;&gt;"",VLOOKUP(T50,Analytique!$X$3:$AD$36,1,FALSE),"")</f>
        <v/>
      </c>
    </row>
    <row r="52" spans="2:21" ht="13" thickBot="1" x14ac:dyDescent="0.45">
      <c r="B52" s="898"/>
      <c r="C52" s="901"/>
      <c r="D52" s="165" t="str">
        <f>$D$10</f>
        <v>Sonde de température</v>
      </c>
      <c r="E52" s="165"/>
      <c r="F52" s="166" t="str">
        <f ca="1">IF(AND(OR(INDIRECT("Descriptif!I"&amp;E$14)=Recap_equipements!$B48,INDIRECT("Descriptif!I"&amp;E$14)=Recap_equipements!$C48),INDIRECT("Descriptif!M"&amp;E$14)=$D52),INDIRECT("Descriptif!F"&amp;E$14),"")</f>
        <v/>
      </c>
      <c r="G52" s="166" t="str">
        <f ca="1">IF(AND(OR(INDIRECT("Descriptif!I"&amp;F$14)=Recap_equipements!$B48,INDIRECT("Descriptif!I"&amp;F$14)=Recap_equipements!$C48),INDIRECT("Descriptif!M"&amp;F$14)=$D52),INDIRECT("Descriptif!F"&amp;F$14),"")</f>
        <v/>
      </c>
      <c r="H52" s="166" t="str">
        <f ca="1">IF(AND(OR(INDIRECT("Descriptif!I"&amp;G$14)=Recap_equipements!$B48,INDIRECT("Descriptif!I"&amp;G$14)=Recap_equipements!$C48),INDIRECT("Descriptif!M"&amp;G$14)=$D52),INDIRECT("Descriptif!F"&amp;G$14),"")</f>
        <v/>
      </c>
      <c r="I52" s="166" t="str">
        <f ca="1">IF(AND(OR(INDIRECT("Descriptif!I"&amp;H$14)=Recap_equipements!$B48,INDIRECT("Descriptif!I"&amp;H$14)=Recap_equipements!$C48),INDIRECT("Descriptif!M"&amp;H$14)=$D52),INDIRECT("Descriptif!F"&amp;H$14),"")</f>
        <v/>
      </c>
      <c r="J52" s="166" t="str">
        <f ca="1">IF(AND(OR(INDIRECT("Descriptif!I"&amp;I$14)=Recap_equipements!$B48,INDIRECT("Descriptif!I"&amp;I$14)=Recap_equipements!$C48),INDIRECT("Descriptif!M"&amp;I$14)=$D52),INDIRECT("Descriptif!F"&amp;I$14),"")</f>
        <v/>
      </c>
      <c r="K52" s="166" t="str">
        <f ca="1">IF(AND(OR(INDIRECT("Descriptif!I"&amp;J$14)=Recap_equipements!$B48,INDIRECT("Descriptif!I"&amp;J$14)=Recap_equipements!$C48),INDIRECT("Descriptif!M"&amp;J$14)=$D52),INDIRECT("Descriptif!F"&amp;J$14),"")</f>
        <v/>
      </c>
      <c r="L52" s="166" t="str">
        <f ca="1">IF(AND(OR(INDIRECT("Descriptif!I"&amp;K$14)=Recap_equipements!$B48,INDIRECT("Descriptif!I"&amp;K$14)=Recap_equipements!$C48),INDIRECT("Descriptif!M"&amp;K$14)=$D52),INDIRECT("Descriptif!F"&amp;K$14),"")</f>
        <v/>
      </c>
      <c r="M52" s="166" t="str">
        <f ca="1">IF(AND(OR(INDIRECT("Descriptif!I"&amp;L$14)=Recap_equipements!$B48,INDIRECT("Descriptif!I"&amp;L$14)=Recap_equipements!$C48),INDIRECT("Descriptif!M"&amp;L$14)=$D52),INDIRECT("Descriptif!F"&amp;L$14),"")</f>
        <v/>
      </c>
      <c r="N52" s="166" t="str">
        <f ca="1">IF(AND(OR(INDIRECT("Descriptif!I"&amp;M$14)=Recap_equipements!$B48,INDIRECT("Descriptif!I"&amp;M$14)=Recap_equipements!$C48),INDIRECT("Descriptif!M"&amp;M$14)=$D52),INDIRECT("Descriptif!F"&amp;M$14),"")</f>
        <v/>
      </c>
      <c r="O52" s="166" t="str">
        <f ca="1">IF(AND(OR(INDIRECT("Descriptif!I"&amp;N$14)=Recap_equipements!$B48,INDIRECT("Descriptif!I"&amp;N$14)=Recap_equipements!$C48),INDIRECT("Descriptif!M"&amp;N$14)=$D52),INDIRECT("Descriptif!F"&amp;N$14),"")</f>
        <v/>
      </c>
      <c r="P52" s="166" t="str">
        <f ca="1">IF(AND(OR(INDIRECT("Descriptif!I"&amp;O$14)=Recap_equipements!$B48,INDIRECT("Descriptif!I"&amp;O$14)=Recap_equipements!$C48),INDIRECT("Descriptif!M"&amp;O$14)=$D52),INDIRECT("Descriptif!F"&amp;O$14),"")</f>
        <v/>
      </c>
      <c r="Q52" s="166" t="str">
        <f ca="1">IF(AND(OR(INDIRECT("Descriptif!I"&amp;P$14)=Recap_equipements!$B48,INDIRECT("Descriptif!I"&amp;P$14)=Recap_equipements!$C48),INDIRECT("Descriptif!M"&amp;P$14)=$D52),INDIRECT("Descriptif!F"&amp;P$14),"")</f>
        <v/>
      </c>
      <c r="R52" s="166" t="str">
        <f ca="1">IF(AND(OR(INDIRECT("Descriptif!I"&amp;Q$14)=Recap_equipements!$B48,INDIRECT("Descriptif!I"&amp;Q$14)=Recap_equipements!$C48),INDIRECT("Descriptif!M"&amp;Q$14)=$D52),INDIRECT("Descriptif!F"&amp;Q$14),"")</f>
        <v/>
      </c>
      <c r="S52" s="166" t="str">
        <f ca="1">IF(AND(OR(INDIRECT("Descriptif!I"&amp;R$14)=Recap_equipements!$B48,INDIRECT("Descriptif!I"&amp;R$14)=Recap_equipements!$C48),INDIRECT("Descriptif!M"&amp;R$14)=$D52),INDIRECT("Descriptif!F"&amp;R$14),"")</f>
        <v/>
      </c>
      <c r="T52" s="167" t="str">
        <f ca="1">IF(AND(OR(INDIRECT("Descriptif!I"&amp;S$14)=Recap_equipements!$B48,INDIRECT("Descriptif!I"&amp;S$14)=Recap_equipements!$C48),INDIRECT("Descriptif!M"&amp;S$14)=$D52),INDIRECT("Descriptif!F"&amp;S$14),"")</f>
        <v/>
      </c>
    </row>
    <row r="53" spans="2:21" x14ac:dyDescent="0.4">
      <c r="B53" s="896" t="s">
        <v>123</v>
      </c>
      <c r="C53" s="899" t="s">
        <v>130</v>
      </c>
      <c r="D53" s="161" t="str">
        <f>$D$7</f>
        <v>Débitmètre en charge</v>
      </c>
      <c r="E53" s="161"/>
      <c r="F53" s="162" t="str">
        <f ca="1">IF(AND(OR(INDIRECT("Descriptif!I"&amp;E$13)=Recap_equipements!$B53,INDIRECT("Descriptif!I"&amp;E$13)=Recap_equipements!$C53),INDIRECT("Descriptif!M"&amp;E$13)=$D53),INDIRECT("Descriptif!F"&amp;E$13),"")</f>
        <v/>
      </c>
      <c r="G53" s="162" t="str">
        <f ca="1">IF(AND(OR(INDIRECT("Descriptif!I"&amp;F$13)=Recap_equipements!$B53,INDIRECT("Descriptif!I"&amp;F$13)=Recap_equipements!$C53),INDIRECT("Descriptif!M"&amp;F$13)=$D53),INDIRECT("Descriptif!F"&amp;F$13),"")</f>
        <v/>
      </c>
      <c r="H53" s="162" t="str">
        <f ca="1">IF(AND(OR(INDIRECT("Descriptif!I"&amp;G$13)=Recap_equipements!$B53,INDIRECT("Descriptif!I"&amp;G$13)=Recap_equipements!$C53),INDIRECT("Descriptif!M"&amp;G$13)=$D53),INDIRECT("Descriptif!F"&amp;G$13),"")</f>
        <v/>
      </c>
      <c r="I53" s="162" t="str">
        <f ca="1">IF(AND(OR(INDIRECT("Descriptif!I"&amp;H$13)=Recap_equipements!$B53,INDIRECT("Descriptif!I"&amp;H$13)=Recap_equipements!$C53),INDIRECT("Descriptif!M"&amp;H$13)=$D53),INDIRECT("Descriptif!F"&amp;H$13),"")</f>
        <v/>
      </c>
      <c r="J53" s="162" t="str">
        <f ca="1">IF(AND(OR(INDIRECT("Descriptif!I"&amp;I$13)=Recap_equipements!$B53,INDIRECT("Descriptif!I"&amp;I$13)=Recap_equipements!$C53),INDIRECT("Descriptif!M"&amp;I$13)=$D53),INDIRECT("Descriptif!F"&amp;I$13),"")</f>
        <v/>
      </c>
      <c r="K53" s="162" t="str">
        <f ca="1">IF(AND(OR(INDIRECT("Descriptif!I"&amp;J$13)=Recap_equipements!$B53,INDIRECT("Descriptif!I"&amp;J$13)=Recap_equipements!$C53),INDIRECT("Descriptif!M"&amp;J$13)=$D53),INDIRECT("Descriptif!F"&amp;J$13),"")</f>
        <v/>
      </c>
      <c r="L53" s="162" t="str">
        <f ca="1">IF(AND(OR(INDIRECT("Descriptif!I"&amp;K$13)=Recap_equipements!$B53,INDIRECT("Descriptif!I"&amp;K$13)=Recap_equipements!$C53),INDIRECT("Descriptif!M"&amp;K$13)=$D53),INDIRECT("Descriptif!F"&amp;K$13),"")</f>
        <v/>
      </c>
      <c r="M53" s="162" t="str">
        <f ca="1">IF(AND(OR(INDIRECT("Descriptif!I"&amp;L$13)=Recap_equipements!$B53,INDIRECT("Descriptif!I"&amp;L$13)=Recap_equipements!$C53),INDIRECT("Descriptif!M"&amp;L$13)=$D53),INDIRECT("Descriptif!F"&amp;L$13),"")</f>
        <v/>
      </c>
      <c r="N53" s="162" t="str">
        <f ca="1">IF(AND(OR(INDIRECT("Descriptif!I"&amp;M$13)=Recap_equipements!$B53,INDIRECT("Descriptif!I"&amp;M$13)=Recap_equipements!$C53),INDIRECT("Descriptif!M"&amp;M$13)=$D53),INDIRECT("Descriptif!F"&amp;M$13),"")</f>
        <v/>
      </c>
      <c r="O53" s="162" t="str">
        <f ca="1">IF(AND(OR(INDIRECT("Descriptif!I"&amp;N$13)=Recap_equipements!$B53,INDIRECT("Descriptif!I"&amp;N$13)=Recap_equipements!$C53),INDIRECT("Descriptif!M"&amp;N$13)=$D53),INDIRECT("Descriptif!F"&amp;N$13),"")</f>
        <v/>
      </c>
      <c r="P53" s="162" t="str">
        <f ca="1">IF(AND(OR(INDIRECT("Descriptif!I"&amp;O$13)=Recap_equipements!$B53,INDIRECT("Descriptif!I"&amp;O$13)=Recap_equipements!$C53),INDIRECT("Descriptif!M"&amp;O$13)=$D53),INDIRECT("Descriptif!F"&amp;O$13),"")</f>
        <v/>
      </c>
      <c r="Q53" s="162" t="str">
        <f ca="1">IF(AND(OR(INDIRECT("Descriptif!I"&amp;P$13)=Recap_equipements!$B53,INDIRECT("Descriptif!I"&amp;P$13)=Recap_equipements!$C53),INDIRECT("Descriptif!M"&amp;P$13)=$D53),INDIRECT("Descriptif!F"&amp;P$13),"")</f>
        <v/>
      </c>
      <c r="R53" s="162" t="str">
        <f ca="1">IF(AND(OR(INDIRECT("Descriptif!I"&amp;Q$13)=Recap_equipements!$B53,INDIRECT("Descriptif!I"&amp;Q$13)=Recap_equipements!$C53),INDIRECT("Descriptif!M"&amp;Q$13)=$D53),INDIRECT("Descriptif!F"&amp;Q$13),"")</f>
        <v/>
      </c>
      <c r="S53" s="162" t="str">
        <f ca="1">IF(AND(OR(INDIRECT("Descriptif!I"&amp;R$13)=Recap_equipements!$B53,INDIRECT("Descriptif!I"&amp;R$13)=Recap_equipements!$C53),INDIRECT("Descriptif!M"&amp;R$13)=$D53),INDIRECT("Descriptif!F"&amp;R$13),"")</f>
        <v/>
      </c>
      <c r="T53" s="163" t="str">
        <f ca="1">IF(AND(OR(INDIRECT("Descriptif!I"&amp;S$13)=Recap_equipements!$B53,INDIRECT("Descriptif!I"&amp;S$13)=Recap_equipements!$C53),INDIRECT("Descriptif!M"&amp;S$13)=$D53),INDIRECT("Descriptif!F"&amp;S$13),"")</f>
        <v/>
      </c>
    </row>
    <row r="54" spans="2:21" x14ac:dyDescent="0.4">
      <c r="B54" s="897"/>
      <c r="C54" s="900"/>
      <c r="D54" s="160" t="str">
        <f>$D$8</f>
        <v>Débitmètre gravitaire</v>
      </c>
      <c r="E54" s="160"/>
      <c r="F54" s="13" t="str">
        <f ca="1">IF(AND(OR(INDIRECT("Descriptif!I"&amp;E$13)=Recap_equipements!$B53,INDIRECT("Descriptif!I"&amp;E$13)=Recap_equipements!$C53),INDIRECT("Descriptif!M"&amp;E$13)=$D54),INDIRECT("Descriptif!F"&amp;E$13),"")</f>
        <v/>
      </c>
      <c r="G54" s="13" t="str">
        <f ca="1">IF(AND(OR(INDIRECT("Descriptif!I"&amp;F$13)=Recap_equipements!$B53,INDIRECT("Descriptif!I"&amp;F$13)=Recap_equipements!$C53),INDIRECT("Descriptif!M"&amp;F$13)=$D54),INDIRECT("Descriptif!F"&amp;F$13),"")</f>
        <v/>
      </c>
      <c r="H54" s="13" t="str">
        <f ca="1">IF(AND(OR(INDIRECT("Descriptif!I"&amp;G$13)=Recap_equipements!$B53,INDIRECT("Descriptif!I"&amp;G$13)=Recap_equipements!$C53),INDIRECT("Descriptif!M"&amp;G$13)=$D54),INDIRECT("Descriptif!F"&amp;G$13),"")</f>
        <v/>
      </c>
      <c r="I54" s="13" t="str">
        <f ca="1">IF(AND(OR(INDIRECT("Descriptif!I"&amp;H$13)=Recap_equipements!$B53,INDIRECT("Descriptif!I"&amp;H$13)=Recap_equipements!$C53),INDIRECT("Descriptif!M"&amp;H$13)=$D54),INDIRECT("Descriptif!F"&amp;H$13),"")</f>
        <v/>
      </c>
      <c r="J54" s="13" t="str">
        <f ca="1">IF(AND(OR(INDIRECT("Descriptif!I"&amp;I$13)=Recap_equipements!$B53,INDIRECT("Descriptif!I"&amp;I$13)=Recap_equipements!$C53),INDIRECT("Descriptif!M"&amp;I$13)=$D54),INDIRECT("Descriptif!F"&amp;I$13),"")</f>
        <v/>
      </c>
      <c r="K54" s="13" t="str">
        <f ca="1">IF(AND(OR(INDIRECT("Descriptif!I"&amp;J$13)=Recap_equipements!$B53,INDIRECT("Descriptif!I"&amp;J$13)=Recap_equipements!$C53),INDIRECT("Descriptif!M"&amp;J$13)=$D54),INDIRECT("Descriptif!F"&amp;J$13),"")</f>
        <v/>
      </c>
      <c r="L54" s="13" t="str">
        <f ca="1">IF(AND(OR(INDIRECT("Descriptif!I"&amp;K$13)=Recap_equipements!$B53,INDIRECT("Descriptif!I"&amp;K$13)=Recap_equipements!$C53),INDIRECT("Descriptif!M"&amp;K$13)=$D54),INDIRECT("Descriptif!F"&amp;K$13),"")</f>
        <v/>
      </c>
      <c r="M54" s="13" t="str">
        <f ca="1">IF(AND(OR(INDIRECT("Descriptif!I"&amp;L$13)=Recap_equipements!$B53,INDIRECT("Descriptif!I"&amp;L$13)=Recap_equipements!$C53),INDIRECT("Descriptif!M"&amp;L$13)=$D54),INDIRECT("Descriptif!F"&amp;L$13),"")</f>
        <v/>
      </c>
      <c r="N54" s="13" t="str">
        <f ca="1">IF(AND(OR(INDIRECT("Descriptif!I"&amp;M$13)=Recap_equipements!$B53,INDIRECT("Descriptif!I"&amp;M$13)=Recap_equipements!$C53),INDIRECT("Descriptif!M"&amp;M$13)=$D54),INDIRECT("Descriptif!F"&amp;M$13),"")</f>
        <v/>
      </c>
      <c r="O54" s="13" t="str">
        <f ca="1">IF(AND(OR(INDIRECT("Descriptif!I"&amp;N$13)=Recap_equipements!$B53,INDIRECT("Descriptif!I"&amp;N$13)=Recap_equipements!$C53),INDIRECT("Descriptif!M"&amp;N$13)=$D54),INDIRECT("Descriptif!F"&amp;N$13),"")</f>
        <v/>
      </c>
      <c r="P54" s="13" t="str">
        <f ca="1">IF(AND(OR(INDIRECT("Descriptif!I"&amp;O$13)=Recap_equipements!$B53,INDIRECT("Descriptif!I"&amp;O$13)=Recap_equipements!$C53),INDIRECT("Descriptif!M"&amp;O$13)=$D54),INDIRECT("Descriptif!F"&amp;O$13),"")</f>
        <v/>
      </c>
      <c r="Q54" s="13" t="str">
        <f ca="1">IF(AND(OR(INDIRECT("Descriptif!I"&amp;P$13)=Recap_equipements!$B53,INDIRECT("Descriptif!I"&amp;P$13)=Recap_equipements!$C53),INDIRECT("Descriptif!M"&amp;P$13)=$D54),INDIRECT("Descriptif!F"&amp;P$13),"")</f>
        <v/>
      </c>
      <c r="R54" s="13" t="str">
        <f ca="1">IF(AND(OR(INDIRECT("Descriptif!I"&amp;Q$13)=Recap_equipements!$B53,INDIRECT("Descriptif!I"&amp;Q$13)=Recap_equipements!$C53),INDIRECT("Descriptif!M"&amp;Q$13)=$D54),INDIRECT("Descriptif!F"&amp;Q$13),"")</f>
        <v/>
      </c>
      <c r="S54" s="13" t="str">
        <f ca="1">IF(AND(OR(INDIRECT("Descriptif!I"&amp;R$13)=Recap_equipements!$B53,INDIRECT("Descriptif!I"&amp;R$13)=Recap_equipements!$C53),INDIRECT("Descriptif!M"&amp;R$13)=$D54),INDIRECT("Descriptif!F"&amp;R$13),"")</f>
        <v/>
      </c>
      <c r="T54" s="164" t="str">
        <f ca="1">IF(AND(OR(INDIRECT("Descriptif!I"&amp;S$13)=Recap_equipements!$B53,INDIRECT("Descriptif!I"&amp;S$13)=Recap_equipements!$C53),INDIRECT("Descriptif!M"&amp;S$13)=$D54),INDIRECT("Descriptif!F"&amp;S$13),"")</f>
        <v/>
      </c>
    </row>
    <row r="55" spans="2:21" x14ac:dyDescent="0.4">
      <c r="B55" s="897"/>
      <c r="C55" s="900"/>
      <c r="D55" s="160" t="str">
        <f>$D$9</f>
        <v>Préleveur</v>
      </c>
      <c r="E55" s="160"/>
      <c r="F55" s="13" t="str">
        <f ca="1">IF(AND(OR(INDIRECT("Descriptif!I"&amp;E$13)=Recap_equipements!$B53,INDIRECT("Descriptif!I"&amp;E$13)=Recap_equipements!$C53),INDIRECT("Descriptif!M"&amp;E$13)=$D55),INDIRECT("Descriptif!F"&amp;E$13),"")</f>
        <v/>
      </c>
      <c r="G55" s="13" t="str">
        <f ca="1">IF(AND(OR(INDIRECT("Descriptif!I"&amp;F$13)=Recap_equipements!$B53,INDIRECT("Descriptif!I"&amp;F$13)=Recap_equipements!$C53),INDIRECT("Descriptif!M"&amp;F$13)=$D55),INDIRECT("Descriptif!F"&amp;F$13),"")</f>
        <v/>
      </c>
      <c r="H55" s="13" t="str">
        <f ca="1">IF(AND(OR(INDIRECT("Descriptif!I"&amp;G$13)=Recap_equipements!$B53,INDIRECT("Descriptif!I"&amp;G$13)=Recap_equipements!$C53),INDIRECT("Descriptif!M"&amp;G$13)=$D55),INDIRECT("Descriptif!F"&amp;G$13),"")</f>
        <v/>
      </c>
      <c r="I55" s="13" t="str">
        <f ca="1">IF(AND(OR(INDIRECT("Descriptif!I"&amp;H$13)=Recap_equipements!$B53,INDIRECT("Descriptif!I"&amp;H$13)=Recap_equipements!$C53),INDIRECT("Descriptif!M"&amp;H$13)=$D55),INDIRECT("Descriptif!F"&amp;H$13),"")</f>
        <v/>
      </c>
      <c r="J55" s="13" t="str">
        <f ca="1">IF(AND(OR(INDIRECT("Descriptif!I"&amp;I$13)=Recap_equipements!$B53,INDIRECT("Descriptif!I"&amp;I$13)=Recap_equipements!$C53),INDIRECT("Descriptif!M"&amp;I$13)=$D55),INDIRECT("Descriptif!F"&amp;I$13),"")</f>
        <v/>
      </c>
      <c r="K55" s="13" t="str">
        <f ca="1">IF(AND(OR(INDIRECT("Descriptif!I"&amp;J$13)=Recap_equipements!$B53,INDIRECT("Descriptif!I"&amp;J$13)=Recap_equipements!$C53),INDIRECT("Descriptif!M"&amp;J$13)=$D55),INDIRECT("Descriptif!F"&amp;J$13),"")</f>
        <v/>
      </c>
      <c r="L55" s="13" t="str">
        <f ca="1">IF(AND(OR(INDIRECT("Descriptif!I"&amp;K$13)=Recap_equipements!$B53,INDIRECT("Descriptif!I"&amp;K$13)=Recap_equipements!$C53),INDIRECT("Descriptif!M"&amp;K$13)=$D55),INDIRECT("Descriptif!F"&amp;K$13),"")</f>
        <v/>
      </c>
      <c r="M55" s="13" t="str">
        <f ca="1">IF(AND(OR(INDIRECT("Descriptif!I"&amp;L$13)=Recap_equipements!$B53,INDIRECT("Descriptif!I"&amp;L$13)=Recap_equipements!$C53),INDIRECT("Descriptif!M"&amp;L$13)=$D55),INDIRECT("Descriptif!F"&amp;L$13),"")</f>
        <v/>
      </c>
      <c r="N55" s="13" t="str">
        <f ca="1">IF(AND(OR(INDIRECT("Descriptif!I"&amp;M$13)=Recap_equipements!$B53,INDIRECT("Descriptif!I"&amp;M$13)=Recap_equipements!$C53),INDIRECT("Descriptif!M"&amp;M$13)=$D55),INDIRECT("Descriptif!F"&amp;M$13),"")</f>
        <v/>
      </c>
      <c r="O55" s="13" t="str">
        <f ca="1">IF(AND(OR(INDIRECT("Descriptif!I"&amp;N$13)=Recap_equipements!$B53,INDIRECT("Descriptif!I"&amp;N$13)=Recap_equipements!$C53),INDIRECT("Descriptif!M"&amp;N$13)=$D55),INDIRECT("Descriptif!F"&amp;N$13),"")</f>
        <v/>
      </c>
      <c r="P55" s="13" t="str">
        <f ca="1">IF(AND(OR(INDIRECT("Descriptif!I"&amp;O$13)=Recap_equipements!$B53,INDIRECT("Descriptif!I"&amp;O$13)=Recap_equipements!$C53),INDIRECT("Descriptif!M"&amp;O$13)=$D55),INDIRECT("Descriptif!F"&amp;O$13),"")</f>
        <v/>
      </c>
      <c r="Q55" s="13" t="str">
        <f ca="1">IF(AND(OR(INDIRECT("Descriptif!I"&amp;P$13)=Recap_equipements!$B53,INDIRECT("Descriptif!I"&amp;P$13)=Recap_equipements!$C53),INDIRECT("Descriptif!M"&amp;P$13)=$D55),INDIRECT("Descriptif!F"&amp;P$13),"")</f>
        <v/>
      </c>
      <c r="R55" s="13" t="str">
        <f ca="1">IF(AND(OR(INDIRECT("Descriptif!I"&amp;Q$13)=Recap_equipements!$B53,INDIRECT("Descriptif!I"&amp;Q$13)=Recap_equipements!$C53),INDIRECT("Descriptif!M"&amp;Q$13)=$D55),INDIRECT("Descriptif!F"&amp;Q$13),"")</f>
        <v/>
      </c>
      <c r="S55" s="13" t="str">
        <f ca="1">IF(AND(OR(INDIRECT("Descriptif!I"&amp;R$13)=Recap_equipements!$B53,INDIRECT("Descriptif!I"&amp;R$13)=Recap_equipements!$C53),INDIRECT("Descriptif!M"&amp;R$13)=$D55),INDIRECT("Descriptif!F"&amp;R$13),"")</f>
        <v/>
      </c>
      <c r="T55" s="164" t="str">
        <f ca="1">IF(AND(OR(INDIRECT("Descriptif!I"&amp;S$13)=Recap_equipements!$B53,INDIRECT("Descriptif!I"&amp;S$13)=Recap_equipements!$C53),INDIRECT("Descriptif!M"&amp;S$13)=$D55),INDIRECT("Descriptif!F"&amp;S$13),"")</f>
        <v/>
      </c>
    </row>
    <row r="56" spans="2:21" x14ac:dyDescent="0.4">
      <c r="B56" s="897"/>
      <c r="C56" s="900"/>
      <c r="D56" s="386" t="s">
        <v>482</v>
      </c>
      <c r="E56" s="386"/>
      <c r="F56" s="388" t="str">
        <f ca="1">IF(F55&lt;&gt;"",VLOOKUP(F55,Analytique!$X$3:$AD$36,1,FALSE),"")</f>
        <v/>
      </c>
      <c r="G56" s="388" t="str">
        <f ca="1">IF(G55&lt;&gt;"",VLOOKUP(G55,Analytique!$X$3:$AD$36,1,FALSE),"")</f>
        <v/>
      </c>
      <c r="H56" s="388" t="str">
        <f ca="1">IF(H55&lt;&gt;"",VLOOKUP(H55,Analytique!$X$3:$AD$36,1,FALSE),"")</f>
        <v/>
      </c>
      <c r="I56" s="388" t="str">
        <f ca="1">IF(I55&lt;&gt;"",VLOOKUP(I55,Analytique!$X$3:$AD$36,1,FALSE),"")</f>
        <v/>
      </c>
      <c r="J56" s="388" t="str">
        <f ca="1">IF(J55&lt;&gt;"",VLOOKUP(J55,Analytique!$X$3:$AD$36,1,FALSE),"")</f>
        <v/>
      </c>
      <c r="K56" s="388" t="str">
        <f ca="1">IF(K55&lt;&gt;"",VLOOKUP(K55,Analytique!$X$3:$AD$36,1,FALSE),"")</f>
        <v/>
      </c>
      <c r="L56" s="388" t="str">
        <f ca="1">IF(L55&lt;&gt;"",VLOOKUP(L55,Analytique!$X$3:$AD$36,1,FALSE),"")</f>
        <v/>
      </c>
      <c r="M56" s="388" t="str">
        <f ca="1">IF(M55&lt;&gt;"",VLOOKUP(M55,Analytique!$X$3:$AD$36,1,FALSE),"")</f>
        <v/>
      </c>
      <c r="N56" s="388" t="str">
        <f ca="1">IF(N55&lt;&gt;"",VLOOKUP(N55,Analytique!$X$3:$AD$36,1,FALSE),"")</f>
        <v/>
      </c>
      <c r="O56" s="388" t="str">
        <f ca="1">IF(O55&lt;&gt;"",VLOOKUP(O55,Analytique!$X$3:$AD$36,1,FALSE),"")</f>
        <v/>
      </c>
      <c r="P56" s="388" t="str">
        <f ca="1">IF(P55&lt;&gt;"",VLOOKUP(P55,Analytique!$X$3:$AD$36,1,FALSE),"")</f>
        <v/>
      </c>
      <c r="Q56" s="388" t="str">
        <f ca="1">IF(Q55&lt;&gt;"",VLOOKUP(Q55,Analytique!$X$3:$AD$36,1,FALSE),"")</f>
        <v/>
      </c>
      <c r="R56" s="388" t="str">
        <f ca="1">IF(R55&lt;&gt;"",VLOOKUP(R55,Analytique!$X$3:$AD$36,1,FALSE),"")</f>
        <v/>
      </c>
      <c r="S56" s="388" t="str">
        <f ca="1">IF(S55&lt;&gt;"",VLOOKUP(S55,Analytique!$X$3:$AD$36,1,FALSE),"")</f>
        <v/>
      </c>
      <c r="T56" s="389" t="str">
        <f ca="1">IF(T55&lt;&gt;"",VLOOKUP(T55,Analytique!$X$3:$AD$36,1,FALSE),"")</f>
        <v/>
      </c>
    </row>
    <row r="57" spans="2:21" ht="13" thickBot="1" x14ac:dyDescent="0.45">
      <c r="B57" s="898"/>
      <c r="C57" s="901"/>
      <c r="D57" s="165" t="str">
        <f>$D$10</f>
        <v>Sonde de température</v>
      </c>
      <c r="E57" s="165"/>
      <c r="F57" s="166" t="str">
        <f ca="1">IF(AND(OR(INDIRECT("Descriptif!I"&amp;E$13)=Recap_equipements!$B53,INDIRECT("Descriptif!I"&amp;E$13)=Recap_equipements!$C53),INDIRECT("Descriptif!M"&amp;E$13)=$D57),INDIRECT("Descriptif!F"&amp;E$13),"")</f>
        <v/>
      </c>
      <c r="G57" s="166" t="str">
        <f ca="1">IF(AND(OR(INDIRECT("Descriptif!I"&amp;F$13)=Recap_equipements!$B53,INDIRECT("Descriptif!I"&amp;F$13)=Recap_equipements!$C53),INDIRECT("Descriptif!M"&amp;F$13)=$D57),INDIRECT("Descriptif!F"&amp;F$13),"")</f>
        <v/>
      </c>
      <c r="H57" s="166" t="str">
        <f ca="1">IF(AND(OR(INDIRECT("Descriptif!I"&amp;G$13)=Recap_equipements!$B53,INDIRECT("Descriptif!I"&amp;G$13)=Recap_equipements!$C53),INDIRECT("Descriptif!M"&amp;G$13)=$D57),INDIRECT("Descriptif!F"&amp;G$13),"")</f>
        <v/>
      </c>
      <c r="I57" s="166" t="str">
        <f ca="1">IF(AND(OR(INDIRECT("Descriptif!I"&amp;H$13)=Recap_equipements!$B53,INDIRECT("Descriptif!I"&amp;H$13)=Recap_equipements!$C53),INDIRECT("Descriptif!M"&amp;H$13)=$D57),INDIRECT("Descriptif!F"&amp;H$13),"")</f>
        <v/>
      </c>
      <c r="J57" s="166" t="str">
        <f ca="1">IF(AND(OR(INDIRECT("Descriptif!I"&amp;I$13)=Recap_equipements!$B53,INDIRECT("Descriptif!I"&amp;I$13)=Recap_equipements!$C53),INDIRECT("Descriptif!M"&amp;I$13)=$D57),INDIRECT("Descriptif!F"&amp;I$13),"")</f>
        <v/>
      </c>
      <c r="K57" s="166" t="str">
        <f ca="1">IF(AND(OR(INDIRECT("Descriptif!I"&amp;J$13)=Recap_equipements!$B53,INDIRECT("Descriptif!I"&amp;J$13)=Recap_equipements!$C53),INDIRECT("Descriptif!M"&amp;J$13)=$D57),INDIRECT("Descriptif!F"&amp;J$13),"")</f>
        <v/>
      </c>
      <c r="L57" s="166" t="str">
        <f ca="1">IF(AND(OR(INDIRECT("Descriptif!I"&amp;K$13)=Recap_equipements!$B53,INDIRECT("Descriptif!I"&amp;K$13)=Recap_equipements!$C53),INDIRECT("Descriptif!M"&amp;K$13)=$D57),INDIRECT("Descriptif!F"&amp;K$13),"")</f>
        <v/>
      </c>
      <c r="M57" s="166" t="str">
        <f ca="1">IF(AND(OR(INDIRECT("Descriptif!I"&amp;L$13)=Recap_equipements!$B53,INDIRECT("Descriptif!I"&amp;L$13)=Recap_equipements!$C53),INDIRECT("Descriptif!M"&amp;L$13)=$D57),INDIRECT("Descriptif!F"&amp;L$13),"")</f>
        <v/>
      </c>
      <c r="N57" s="166" t="str">
        <f ca="1">IF(AND(OR(INDIRECT("Descriptif!I"&amp;M$13)=Recap_equipements!$B53,INDIRECT("Descriptif!I"&amp;M$13)=Recap_equipements!$C53),INDIRECT("Descriptif!M"&amp;M$13)=$D57),INDIRECT("Descriptif!F"&amp;M$13),"")</f>
        <v/>
      </c>
      <c r="O57" s="166" t="str">
        <f ca="1">IF(AND(OR(INDIRECT("Descriptif!I"&amp;N$13)=Recap_equipements!$B53,INDIRECT("Descriptif!I"&amp;N$13)=Recap_equipements!$C53),INDIRECT("Descriptif!M"&amp;N$13)=$D57),INDIRECT("Descriptif!F"&amp;N$13),"")</f>
        <v/>
      </c>
      <c r="P57" s="166" t="str">
        <f ca="1">IF(AND(OR(INDIRECT("Descriptif!I"&amp;O$13)=Recap_equipements!$B53,INDIRECT("Descriptif!I"&amp;O$13)=Recap_equipements!$C53),INDIRECT("Descriptif!M"&amp;O$13)=$D57),INDIRECT("Descriptif!F"&amp;O$13),"")</f>
        <v/>
      </c>
      <c r="Q57" s="166" t="str">
        <f ca="1">IF(AND(OR(INDIRECT("Descriptif!I"&amp;P$13)=Recap_equipements!$B53,INDIRECT("Descriptif!I"&amp;P$13)=Recap_equipements!$C53),INDIRECT("Descriptif!M"&amp;P$13)=$D57),INDIRECT("Descriptif!F"&amp;P$13),"")</f>
        <v/>
      </c>
      <c r="R57" s="166" t="str">
        <f ca="1">IF(AND(OR(INDIRECT("Descriptif!I"&amp;Q$13)=Recap_equipements!$B53,INDIRECT("Descriptif!I"&amp;Q$13)=Recap_equipements!$C53),INDIRECT("Descriptif!M"&amp;Q$13)=$D57),INDIRECT("Descriptif!F"&amp;Q$13),"")</f>
        <v/>
      </c>
      <c r="S57" s="166" t="str">
        <f ca="1">IF(AND(OR(INDIRECT("Descriptif!I"&amp;R$13)=Recap_equipements!$B53,INDIRECT("Descriptif!I"&amp;R$13)=Recap_equipements!$C53),INDIRECT("Descriptif!M"&amp;R$13)=$D57),INDIRECT("Descriptif!F"&amp;R$13),"")</f>
        <v/>
      </c>
      <c r="T57" s="167" t="str">
        <f ca="1">IF(AND(OR(INDIRECT("Descriptif!I"&amp;S$13)=Recap_equipements!$B53,INDIRECT("Descriptif!I"&amp;S$13)=Recap_equipements!$C53),INDIRECT("Descriptif!M"&amp;S$13)=$D57),INDIRECT("Descriptif!F"&amp;S$13),"")</f>
        <v/>
      </c>
    </row>
    <row r="59" spans="2:21" s="156" customFormat="1" ht="23.1" customHeight="1" x14ac:dyDescent="0.4">
      <c r="B59" s="157" t="s">
        <v>352</v>
      </c>
    </row>
    <row r="60" spans="2:21" ht="13" thickBot="1" x14ac:dyDescent="0.45">
      <c r="B60" t="s">
        <v>500</v>
      </c>
    </row>
    <row r="61" spans="2:21" s="12" customFormat="1" ht="27.95" customHeight="1" thickBot="1" x14ac:dyDescent="0.45">
      <c r="B61" s="181" t="s">
        <v>345</v>
      </c>
      <c r="C61" s="182" t="s">
        <v>346</v>
      </c>
      <c r="D61" s="187"/>
      <c r="E61" s="200" t="s">
        <v>354</v>
      </c>
      <c r="F61" s="188" t="s">
        <v>353</v>
      </c>
      <c r="G61" s="179" t="s">
        <v>9</v>
      </c>
      <c r="H61" s="179" t="s">
        <v>10</v>
      </c>
      <c r="I61" s="179" t="s">
        <v>11</v>
      </c>
      <c r="J61" s="179" t="s">
        <v>22</v>
      </c>
      <c r="K61" s="179" t="s">
        <v>23</v>
      </c>
      <c r="L61" s="179" t="s">
        <v>24</v>
      </c>
      <c r="M61" s="179" t="s">
        <v>25</v>
      </c>
      <c r="N61" s="179" t="s">
        <v>26</v>
      </c>
      <c r="O61" s="179" t="s">
        <v>27</v>
      </c>
      <c r="P61" s="179" t="s">
        <v>28</v>
      </c>
      <c r="Q61" s="179" t="s">
        <v>29</v>
      </c>
      <c r="R61" s="180" t="s">
        <v>30</v>
      </c>
      <c r="S61" s="180" t="s">
        <v>339</v>
      </c>
      <c r="T61" s="180" t="s">
        <v>340</v>
      </c>
      <c r="U61" s="180" t="s">
        <v>341</v>
      </c>
    </row>
    <row r="62" spans="2:21" x14ac:dyDescent="0.4">
      <c r="B62" s="896" t="s">
        <v>104</v>
      </c>
      <c r="C62" s="899" t="s">
        <v>105</v>
      </c>
      <c r="D62" s="161" t="str">
        <f>$D$7</f>
        <v>Débitmètre en charge</v>
      </c>
      <c r="E62" s="882" t="str">
        <f ca="1">IFERROR(AVERAGE(F64:F66)*$B$5,"")</f>
        <v/>
      </c>
      <c r="F62" s="197" t="str">
        <f ca="1">IFERROR(AVERAGE(G62:U62),"")</f>
        <v/>
      </c>
      <c r="G62" s="192" t="str">
        <f t="shared" ref="G62:U62" ca="1" si="4">IF(F19&lt;&gt;"",_xlfn.SINGLE(INDIRECT(F19&amp;"!"&amp;$F$7)),"")</f>
        <v/>
      </c>
      <c r="H62" s="162" t="str">
        <f t="shared" ca="1" si="4"/>
        <v/>
      </c>
      <c r="I62" s="162" t="str">
        <f t="shared" ca="1" si="4"/>
        <v/>
      </c>
      <c r="J62" s="162" t="str">
        <f t="shared" ca="1" si="4"/>
        <v/>
      </c>
      <c r="K62" s="162" t="str">
        <f t="shared" ca="1" si="4"/>
        <v/>
      </c>
      <c r="L62" s="162" t="str">
        <f t="shared" ca="1" si="4"/>
        <v/>
      </c>
      <c r="M62" s="162" t="str">
        <f t="shared" ca="1" si="4"/>
        <v/>
      </c>
      <c r="N62" s="162" t="str">
        <f t="shared" ca="1" si="4"/>
        <v/>
      </c>
      <c r="O62" s="162" t="str">
        <f t="shared" ca="1" si="4"/>
        <v/>
      </c>
      <c r="P62" s="162" t="str">
        <f t="shared" ca="1" si="4"/>
        <v/>
      </c>
      <c r="Q62" s="162" t="str">
        <f t="shared" ca="1" si="4"/>
        <v/>
      </c>
      <c r="R62" s="162" t="str">
        <f t="shared" ca="1" si="4"/>
        <v/>
      </c>
      <c r="S62" s="162" t="str">
        <f t="shared" ca="1" si="4"/>
        <v/>
      </c>
      <c r="T62" s="162" t="str">
        <f t="shared" ca="1" si="4"/>
        <v/>
      </c>
      <c r="U62" s="163" t="str">
        <f t="shared" ca="1" si="4"/>
        <v/>
      </c>
    </row>
    <row r="63" spans="2:21" x14ac:dyDescent="0.4">
      <c r="B63" s="897"/>
      <c r="C63" s="900"/>
      <c r="D63" s="160" t="str">
        <f>$D$8</f>
        <v>Débitmètre gravitaire</v>
      </c>
      <c r="E63" s="883"/>
      <c r="F63" s="198" t="str">
        <f t="shared" ref="F63:F109" ca="1" si="5">IFERROR(AVERAGE(G63:U63),"")</f>
        <v/>
      </c>
      <c r="G63" s="193" t="str">
        <f t="shared" ref="G63:U63" ca="1" si="6">IF(F20&lt;&gt;"",_xlfn.SINGLE(INDIRECT(F20&amp;"!"&amp;$F$8)),"")</f>
        <v/>
      </c>
      <c r="H63" s="13" t="str">
        <f t="shared" ca="1" si="6"/>
        <v/>
      </c>
      <c r="I63" s="13" t="str">
        <f t="shared" ca="1" si="6"/>
        <v/>
      </c>
      <c r="J63" s="13" t="str">
        <f t="shared" ca="1" si="6"/>
        <v/>
      </c>
      <c r="K63" s="13" t="str">
        <f t="shared" ca="1" si="6"/>
        <v/>
      </c>
      <c r="L63" s="13" t="str">
        <f t="shared" ca="1" si="6"/>
        <v/>
      </c>
      <c r="M63" s="13" t="str">
        <f t="shared" ca="1" si="6"/>
        <v/>
      </c>
      <c r="N63" s="13" t="str">
        <f t="shared" ca="1" si="6"/>
        <v/>
      </c>
      <c r="O63" s="13" t="str">
        <f t="shared" ca="1" si="6"/>
        <v/>
      </c>
      <c r="P63" s="13" t="str">
        <f t="shared" ca="1" si="6"/>
        <v/>
      </c>
      <c r="Q63" s="13" t="str">
        <f t="shared" ca="1" si="6"/>
        <v/>
      </c>
      <c r="R63" s="13" t="str">
        <f t="shared" ca="1" si="6"/>
        <v/>
      </c>
      <c r="S63" s="13" t="str">
        <f t="shared" ca="1" si="6"/>
        <v/>
      </c>
      <c r="T63" s="13" t="str">
        <f t="shared" ca="1" si="6"/>
        <v/>
      </c>
      <c r="U63" s="164" t="str">
        <f t="shared" ca="1" si="6"/>
        <v/>
      </c>
    </row>
    <row r="64" spans="2:21" x14ac:dyDescent="0.4">
      <c r="B64" s="897"/>
      <c r="C64" s="900"/>
      <c r="D64" s="160" t="s">
        <v>493</v>
      </c>
      <c r="E64" s="883"/>
      <c r="F64" s="198" t="str">
        <f t="shared" ca="1" si="5"/>
        <v/>
      </c>
      <c r="G64" s="194" t="str">
        <f ca="1">IF(COUNT(G62:G63)&gt;0,SUM(G62:G63),"")</f>
        <v/>
      </c>
      <c r="H64" s="183" t="str">
        <f t="shared" ref="H64:U64" ca="1" si="7">IF(COUNT(H62:H63)&gt;0,SUM(H62:H63),"")</f>
        <v/>
      </c>
      <c r="I64" s="183" t="str">
        <f t="shared" ca="1" si="7"/>
        <v/>
      </c>
      <c r="J64" s="183" t="str">
        <f t="shared" ca="1" si="7"/>
        <v/>
      </c>
      <c r="K64" s="183" t="str">
        <f t="shared" ca="1" si="7"/>
        <v/>
      </c>
      <c r="L64" s="183" t="str">
        <f t="shared" ca="1" si="7"/>
        <v/>
      </c>
      <c r="M64" s="183" t="str">
        <f t="shared" ca="1" si="7"/>
        <v/>
      </c>
      <c r="N64" s="183" t="str">
        <f t="shared" ca="1" si="7"/>
        <v/>
      </c>
      <c r="O64" s="183" t="str">
        <f t="shared" ca="1" si="7"/>
        <v/>
      </c>
      <c r="P64" s="183" t="str">
        <f t="shared" ca="1" si="7"/>
        <v/>
      </c>
      <c r="Q64" s="183" t="str">
        <f t="shared" ca="1" si="7"/>
        <v/>
      </c>
      <c r="R64" s="183" t="str">
        <f t="shared" ca="1" si="7"/>
        <v/>
      </c>
      <c r="S64" s="183" t="str">
        <f t="shared" ca="1" si="7"/>
        <v/>
      </c>
      <c r="T64" s="183" t="str">
        <f t="shared" ca="1" si="7"/>
        <v/>
      </c>
      <c r="U64" s="184" t="str">
        <f t="shared" ca="1" si="7"/>
        <v/>
      </c>
    </row>
    <row r="65" spans="2:21" x14ac:dyDescent="0.4">
      <c r="B65" s="897"/>
      <c r="C65" s="900"/>
      <c r="D65" s="160" t="str">
        <f>$D$9</f>
        <v>Préleveur</v>
      </c>
      <c r="E65" s="883"/>
      <c r="F65" s="198" t="str">
        <f t="shared" ca="1" si="5"/>
        <v/>
      </c>
      <c r="G65" s="193" t="str">
        <f t="shared" ref="G65:U65" ca="1" si="8">IF(F21&lt;&gt;"",_xlfn.SINGLE(INDIRECT(F21&amp;"!"&amp;$F$9)),"")</f>
        <v/>
      </c>
      <c r="H65" s="13" t="str">
        <f t="shared" ca="1" si="8"/>
        <v/>
      </c>
      <c r="I65" s="13" t="str">
        <f t="shared" ca="1" si="8"/>
        <v/>
      </c>
      <c r="J65" s="13" t="str">
        <f t="shared" ca="1" si="8"/>
        <v/>
      </c>
      <c r="K65" s="13" t="str">
        <f t="shared" ca="1" si="8"/>
        <v/>
      </c>
      <c r="L65" s="13" t="str">
        <f t="shared" ca="1" si="8"/>
        <v/>
      </c>
      <c r="M65" s="13" t="str">
        <f t="shared" ca="1" si="8"/>
        <v/>
      </c>
      <c r="N65" s="13" t="str">
        <f t="shared" ca="1" si="8"/>
        <v/>
      </c>
      <c r="O65" s="13" t="str">
        <f t="shared" ca="1" si="8"/>
        <v/>
      </c>
      <c r="P65" s="13" t="str">
        <f t="shared" ca="1" si="8"/>
        <v/>
      </c>
      <c r="Q65" s="13" t="str">
        <f t="shared" ca="1" si="8"/>
        <v/>
      </c>
      <c r="R65" s="13" t="str">
        <f t="shared" ca="1" si="8"/>
        <v/>
      </c>
      <c r="S65" s="13" t="str">
        <f t="shared" ca="1" si="8"/>
        <v/>
      </c>
      <c r="T65" s="13" t="str">
        <f t="shared" ca="1" si="8"/>
        <v/>
      </c>
      <c r="U65" s="164" t="str">
        <f t="shared" ca="1" si="8"/>
        <v/>
      </c>
    </row>
    <row r="66" spans="2:21" x14ac:dyDescent="0.4">
      <c r="B66" s="897"/>
      <c r="C66" s="900"/>
      <c r="D66" s="386" t="s">
        <v>482</v>
      </c>
      <c r="E66" s="883"/>
      <c r="F66" s="198" t="str">
        <f t="shared" ca="1" si="5"/>
        <v/>
      </c>
      <c r="G66" s="388" t="str">
        <f ca="1">IF(F21&lt;&gt;"",VLOOKUP(F21,Analytique!$X$3:$AD$36,6,FALSE),"")</f>
        <v/>
      </c>
      <c r="H66" s="388" t="str">
        <f ca="1">IF(G21&lt;&gt;"",VLOOKUP(G21,Analytique!$X$3:$AD$36,6,FALSE),"")</f>
        <v/>
      </c>
      <c r="I66" s="388" t="str">
        <f ca="1">IF(H21&lt;&gt;"",VLOOKUP(H21,Analytique!$X$3:$AD$36,6,FALSE),"")</f>
        <v/>
      </c>
      <c r="J66" s="388" t="str">
        <f ca="1">IF(I21&lt;&gt;"",VLOOKUP(I21,Analytique!$X$3:$AD$36,6,FALSE),"")</f>
        <v/>
      </c>
      <c r="K66" s="388" t="str">
        <f ca="1">IF(J21&lt;&gt;"",VLOOKUP(J21,Analytique!$X$3:$AD$36,6,FALSE),"")</f>
        <v/>
      </c>
      <c r="L66" s="388" t="str">
        <f ca="1">IF(K21&lt;&gt;"",VLOOKUP(K21,Analytique!$X$3:$AD$36,6,FALSE),"")</f>
        <v/>
      </c>
      <c r="M66" s="388" t="str">
        <f ca="1">IF(L21&lt;&gt;"",VLOOKUP(L21,Analytique!$X$3:$AD$36,6,FALSE),"")</f>
        <v/>
      </c>
      <c r="N66" s="388" t="str">
        <f ca="1">IF(M21&lt;&gt;"",VLOOKUP(M21,Analytique!$X$3:$AD$36,6,FALSE),"")</f>
        <v/>
      </c>
      <c r="O66" s="388" t="str">
        <f ca="1">IF(N21&lt;&gt;"",VLOOKUP(N21,Analytique!$X$3:$AD$36,6,FALSE),"")</f>
        <v/>
      </c>
      <c r="P66" s="388" t="str">
        <f ca="1">IF(O21&lt;&gt;"",VLOOKUP(O21,Analytique!$X$3:$AD$36,6,FALSE),"")</f>
        <v/>
      </c>
      <c r="Q66" s="388" t="str">
        <f ca="1">IF(P21&lt;&gt;"",VLOOKUP(P21,Analytique!$X$3:$AD$36,6,FALSE),"")</f>
        <v/>
      </c>
      <c r="R66" s="388" t="str">
        <f ca="1">IF(Q21&lt;&gt;"",VLOOKUP(Q21,Analytique!$X$3:$AD$36,6,FALSE),"")</f>
        <v/>
      </c>
      <c r="S66" s="388" t="str">
        <f ca="1">IF(R21&lt;&gt;"",VLOOKUP(R21,Analytique!$X$3:$AD$36,6,FALSE),"")</f>
        <v/>
      </c>
      <c r="T66" s="388" t="str">
        <f ca="1">IF(S21&lt;&gt;"",VLOOKUP(S21,Analytique!$X$3:$AD$36,6,FALSE),"")</f>
        <v/>
      </c>
      <c r="U66" s="389" t="str">
        <f ca="1">IF(T21&lt;&gt;"",VLOOKUP(T21,Analytique!$X$3:$AD$36,6,FALSE),"")</f>
        <v/>
      </c>
    </row>
    <row r="67" spans="2:21" ht="13" thickBot="1" x14ac:dyDescent="0.45">
      <c r="B67" s="898"/>
      <c r="C67" s="901"/>
      <c r="D67" s="165" t="str">
        <f>$D$10</f>
        <v>Sonde de température</v>
      </c>
      <c r="E67" s="884"/>
      <c r="F67" s="199" t="str">
        <f t="shared" ca="1" si="5"/>
        <v/>
      </c>
      <c r="G67" s="195" t="str">
        <f t="shared" ref="G67:U67" ca="1" si="9">IF(F23&lt;&gt;"",_xlfn.SINGLE(INDIRECT(F23&amp;"!"&amp;$F$10)),"")</f>
        <v/>
      </c>
      <c r="H67" s="168" t="str">
        <f t="shared" ca="1" si="9"/>
        <v/>
      </c>
      <c r="I67" s="168" t="str">
        <f t="shared" ca="1" si="9"/>
        <v/>
      </c>
      <c r="J67" s="168" t="str">
        <f t="shared" ca="1" si="9"/>
        <v/>
      </c>
      <c r="K67" s="168" t="str">
        <f t="shared" ca="1" si="9"/>
        <v/>
      </c>
      <c r="L67" s="168" t="str">
        <f t="shared" ca="1" si="9"/>
        <v/>
      </c>
      <c r="M67" s="168" t="str">
        <f t="shared" ca="1" si="9"/>
        <v/>
      </c>
      <c r="N67" s="168" t="str">
        <f t="shared" ca="1" si="9"/>
        <v/>
      </c>
      <c r="O67" s="168" t="str">
        <f t="shared" ca="1" si="9"/>
        <v/>
      </c>
      <c r="P67" s="168" t="str">
        <f t="shared" ca="1" si="9"/>
        <v/>
      </c>
      <c r="Q67" s="168" t="str">
        <f t="shared" ca="1" si="9"/>
        <v/>
      </c>
      <c r="R67" s="168" t="str">
        <f t="shared" ca="1" si="9"/>
        <v/>
      </c>
      <c r="S67" s="168" t="str">
        <f t="shared" ca="1" si="9"/>
        <v/>
      </c>
      <c r="T67" s="168" t="str">
        <f t="shared" ca="1" si="9"/>
        <v/>
      </c>
      <c r="U67" s="169" t="str">
        <f t="shared" ca="1" si="9"/>
        <v/>
      </c>
    </row>
    <row r="68" spans="2:21" x14ac:dyDescent="0.4">
      <c r="B68" s="896" t="s">
        <v>65</v>
      </c>
      <c r="C68" s="899" t="s">
        <v>114</v>
      </c>
      <c r="D68" s="161" t="str">
        <f>$D$7</f>
        <v>Débitmètre en charge</v>
      </c>
      <c r="E68" s="893" t="str">
        <f ca="1">IFERROR(AVERAGE(F70:F72)*$B$5,"")</f>
        <v/>
      </c>
      <c r="F68" s="197" t="str">
        <f t="shared" ca="1" si="5"/>
        <v/>
      </c>
      <c r="G68" s="192" t="str">
        <f t="shared" ref="G68:U68" ca="1" si="10">IF(F24&lt;&gt;"",_xlfn.SINGLE(INDIRECT(F24&amp;"!"&amp;$F$7)),"")</f>
        <v/>
      </c>
      <c r="H68" s="162" t="str">
        <f t="shared" ca="1" si="10"/>
        <v/>
      </c>
      <c r="I68" s="162" t="str">
        <f t="shared" ca="1" si="10"/>
        <v/>
      </c>
      <c r="J68" s="162" t="str">
        <f t="shared" ca="1" si="10"/>
        <v/>
      </c>
      <c r="K68" s="162" t="str">
        <f t="shared" ca="1" si="10"/>
        <v/>
      </c>
      <c r="L68" s="162" t="str">
        <f t="shared" ca="1" si="10"/>
        <v/>
      </c>
      <c r="M68" s="162" t="str">
        <f t="shared" ca="1" si="10"/>
        <v/>
      </c>
      <c r="N68" s="162" t="str">
        <f t="shared" ca="1" si="10"/>
        <v/>
      </c>
      <c r="O68" s="162" t="str">
        <f t="shared" ca="1" si="10"/>
        <v/>
      </c>
      <c r="P68" s="162" t="str">
        <f t="shared" ca="1" si="10"/>
        <v/>
      </c>
      <c r="Q68" s="162" t="str">
        <f t="shared" ca="1" si="10"/>
        <v/>
      </c>
      <c r="R68" s="162" t="str">
        <f t="shared" ca="1" si="10"/>
        <v/>
      </c>
      <c r="S68" s="162" t="str">
        <f t="shared" ca="1" si="10"/>
        <v/>
      </c>
      <c r="T68" s="162" t="str">
        <f t="shared" ca="1" si="10"/>
        <v/>
      </c>
      <c r="U68" s="163" t="str">
        <f t="shared" ca="1" si="10"/>
        <v/>
      </c>
    </row>
    <row r="69" spans="2:21" x14ac:dyDescent="0.4">
      <c r="B69" s="897"/>
      <c r="C69" s="900"/>
      <c r="D69" s="160" t="str">
        <f>$D$8</f>
        <v>Débitmètre gravitaire</v>
      </c>
      <c r="E69" s="894"/>
      <c r="F69" s="198" t="str">
        <f t="shared" ca="1" si="5"/>
        <v/>
      </c>
      <c r="G69" s="193" t="str">
        <f t="shared" ref="G69:U69" ca="1" si="11">IF(F25&lt;&gt;"",_xlfn.SINGLE(INDIRECT(F25&amp;"!"&amp;$F$8)),"")</f>
        <v/>
      </c>
      <c r="H69" s="13" t="str">
        <f t="shared" ca="1" si="11"/>
        <v/>
      </c>
      <c r="I69" s="13" t="str">
        <f t="shared" ca="1" si="11"/>
        <v/>
      </c>
      <c r="J69" s="13" t="str">
        <f t="shared" ca="1" si="11"/>
        <v/>
      </c>
      <c r="K69" s="13" t="str">
        <f t="shared" ca="1" si="11"/>
        <v/>
      </c>
      <c r="L69" s="13" t="str">
        <f t="shared" ca="1" si="11"/>
        <v/>
      </c>
      <c r="M69" s="13" t="str">
        <f t="shared" ca="1" si="11"/>
        <v/>
      </c>
      <c r="N69" s="13" t="str">
        <f t="shared" ca="1" si="11"/>
        <v/>
      </c>
      <c r="O69" s="13" t="str">
        <f t="shared" ca="1" si="11"/>
        <v/>
      </c>
      <c r="P69" s="13" t="str">
        <f t="shared" ca="1" si="11"/>
        <v/>
      </c>
      <c r="Q69" s="13" t="str">
        <f t="shared" ca="1" si="11"/>
        <v/>
      </c>
      <c r="R69" s="13" t="str">
        <f t="shared" ca="1" si="11"/>
        <v/>
      </c>
      <c r="S69" s="13" t="str">
        <f t="shared" ca="1" si="11"/>
        <v/>
      </c>
      <c r="T69" s="13" t="str">
        <f t="shared" ca="1" si="11"/>
        <v/>
      </c>
      <c r="U69" s="164" t="str">
        <f t="shared" ca="1" si="11"/>
        <v/>
      </c>
    </row>
    <row r="70" spans="2:21" x14ac:dyDescent="0.4">
      <c r="B70" s="897"/>
      <c r="C70" s="900"/>
      <c r="D70" s="160" t="s">
        <v>493</v>
      </c>
      <c r="E70" s="894"/>
      <c r="F70" s="198" t="str">
        <f t="shared" ref="F70" ca="1" si="12">IFERROR(AVERAGE(G70:U70),"")</f>
        <v/>
      </c>
      <c r="G70" s="194" t="str">
        <f ca="1">IF(COUNT(G68:G69)&gt;0,SUM(G68:G69),"")</f>
        <v/>
      </c>
      <c r="H70" s="183" t="str">
        <f t="shared" ref="H70" ca="1" si="13">IF(COUNT(H68:H69)&gt;0,SUM(H68:H69),"")</f>
        <v/>
      </c>
      <c r="I70" s="183" t="str">
        <f t="shared" ref="I70" ca="1" si="14">IF(COUNT(I68:I69)&gt;0,SUM(I68:I69),"")</f>
        <v/>
      </c>
      <c r="J70" s="183" t="str">
        <f t="shared" ref="J70" ca="1" si="15">IF(COUNT(J68:J69)&gt;0,SUM(J68:J69),"")</f>
        <v/>
      </c>
      <c r="K70" s="183" t="str">
        <f t="shared" ref="K70" ca="1" si="16">IF(COUNT(K68:K69)&gt;0,SUM(K68:K69),"")</f>
        <v/>
      </c>
      <c r="L70" s="183" t="str">
        <f t="shared" ref="L70" ca="1" si="17">IF(COUNT(L68:L69)&gt;0,SUM(L68:L69),"")</f>
        <v/>
      </c>
      <c r="M70" s="183" t="str">
        <f t="shared" ref="M70" ca="1" si="18">IF(COUNT(M68:M69)&gt;0,SUM(M68:M69),"")</f>
        <v/>
      </c>
      <c r="N70" s="183" t="str">
        <f t="shared" ref="N70" ca="1" si="19">IF(COUNT(N68:N69)&gt;0,SUM(N68:N69),"")</f>
        <v/>
      </c>
      <c r="O70" s="183" t="str">
        <f t="shared" ref="O70" ca="1" si="20">IF(COUNT(O68:O69)&gt;0,SUM(O68:O69),"")</f>
        <v/>
      </c>
      <c r="P70" s="183" t="str">
        <f t="shared" ref="P70" ca="1" si="21">IF(COUNT(P68:P69)&gt;0,SUM(P68:P69),"")</f>
        <v/>
      </c>
      <c r="Q70" s="183" t="str">
        <f t="shared" ref="Q70" ca="1" si="22">IF(COUNT(Q68:Q69)&gt;0,SUM(Q68:Q69),"")</f>
        <v/>
      </c>
      <c r="R70" s="183" t="str">
        <f t="shared" ref="R70" ca="1" si="23">IF(COUNT(R68:R69)&gt;0,SUM(R68:R69),"")</f>
        <v/>
      </c>
      <c r="S70" s="183" t="str">
        <f t="shared" ref="S70" ca="1" si="24">IF(COUNT(S68:S69)&gt;0,SUM(S68:S69),"")</f>
        <v/>
      </c>
      <c r="T70" s="183" t="str">
        <f t="shared" ref="T70" ca="1" si="25">IF(COUNT(T68:T69)&gt;0,SUM(T68:T69),"")</f>
        <v/>
      </c>
      <c r="U70" s="184" t="str">
        <f t="shared" ref="U70" ca="1" si="26">IF(COUNT(U68:U69)&gt;0,SUM(U68:U69),"")</f>
        <v/>
      </c>
    </row>
    <row r="71" spans="2:21" x14ac:dyDescent="0.4">
      <c r="B71" s="897"/>
      <c r="C71" s="900"/>
      <c r="D71" s="160" t="str">
        <f>$D$9</f>
        <v>Préleveur</v>
      </c>
      <c r="E71" s="894"/>
      <c r="F71" s="198" t="str">
        <f t="shared" ca="1" si="5"/>
        <v/>
      </c>
      <c r="G71" s="193" t="str">
        <f t="shared" ref="G71:U71" ca="1" si="27">IF(F26&lt;&gt;"",_xlfn.SINGLE(INDIRECT(F26&amp;"!"&amp;$F$9)),"")</f>
        <v/>
      </c>
      <c r="H71" s="13" t="str">
        <f t="shared" ca="1" si="27"/>
        <v/>
      </c>
      <c r="I71" s="13" t="str">
        <f t="shared" ca="1" si="27"/>
        <v/>
      </c>
      <c r="J71" s="13" t="str">
        <f t="shared" ca="1" si="27"/>
        <v/>
      </c>
      <c r="K71" s="13" t="str">
        <f t="shared" ca="1" si="27"/>
        <v/>
      </c>
      <c r="L71" s="13" t="str">
        <f t="shared" ca="1" si="27"/>
        <v/>
      </c>
      <c r="M71" s="13" t="str">
        <f t="shared" ca="1" si="27"/>
        <v/>
      </c>
      <c r="N71" s="13" t="str">
        <f t="shared" ca="1" si="27"/>
        <v/>
      </c>
      <c r="O71" s="13" t="str">
        <f t="shared" ca="1" si="27"/>
        <v/>
      </c>
      <c r="P71" s="13" t="str">
        <f t="shared" ca="1" si="27"/>
        <v/>
      </c>
      <c r="Q71" s="13" t="str">
        <f t="shared" ca="1" si="27"/>
        <v/>
      </c>
      <c r="R71" s="13" t="str">
        <f t="shared" ca="1" si="27"/>
        <v/>
      </c>
      <c r="S71" s="13" t="str">
        <f t="shared" ca="1" si="27"/>
        <v/>
      </c>
      <c r="T71" s="13" t="str">
        <f t="shared" ca="1" si="27"/>
        <v/>
      </c>
      <c r="U71" s="164" t="str">
        <f t="shared" ca="1" si="27"/>
        <v/>
      </c>
    </row>
    <row r="72" spans="2:21" x14ac:dyDescent="0.4">
      <c r="B72" s="897"/>
      <c r="C72" s="900"/>
      <c r="D72" s="386" t="s">
        <v>482</v>
      </c>
      <c r="E72" s="894"/>
      <c r="F72" s="198" t="str">
        <f t="shared" ca="1" si="5"/>
        <v/>
      </c>
      <c r="G72" s="388" t="str">
        <f ca="1">IF(F27&lt;&gt;"",VLOOKUP(F27,Analytique!$X$3:$AD$36,6,FALSE),"")</f>
        <v/>
      </c>
      <c r="H72" s="388" t="str">
        <f ca="1">IF(G27&lt;&gt;"",VLOOKUP(G27,Analytique!$X$3:$AD$36,6,FALSE),"")</f>
        <v/>
      </c>
      <c r="I72" s="388" t="str">
        <f ca="1">IF(H27&lt;&gt;"",VLOOKUP(H27,Analytique!$X$3:$AD$36,6,FALSE),"")</f>
        <v/>
      </c>
      <c r="J72" s="388" t="str">
        <f ca="1">IF(I27&lt;&gt;"",VLOOKUP(I27,Analytique!$X$3:$AD$36,6,FALSE),"")</f>
        <v/>
      </c>
      <c r="K72" s="388" t="str">
        <f ca="1">IF(J27&lt;&gt;"",VLOOKUP(J27,Analytique!$X$3:$AD$36,6,FALSE),"")</f>
        <v/>
      </c>
      <c r="L72" s="388" t="str">
        <f ca="1">IF(K27&lt;&gt;"",VLOOKUP(K27,Analytique!$X$3:$AD$36,6,FALSE),"")</f>
        <v/>
      </c>
      <c r="M72" s="388" t="str">
        <f ca="1">IF(L27&lt;&gt;"",VLOOKUP(L27,Analytique!$X$3:$AD$36,6,FALSE),"")</f>
        <v/>
      </c>
      <c r="N72" s="388" t="str">
        <f ca="1">IF(M27&lt;&gt;"",VLOOKUP(M27,Analytique!$X$3:$AD$36,6,FALSE),"")</f>
        <v/>
      </c>
      <c r="O72" s="388" t="str">
        <f ca="1">IF(N27&lt;&gt;"",VLOOKUP(N27,Analytique!$X$3:$AD$36,6,FALSE),"")</f>
        <v/>
      </c>
      <c r="P72" s="388" t="str">
        <f ca="1">IF(O27&lt;&gt;"",VLOOKUP(O27,Analytique!$X$3:$AD$36,6,FALSE),"")</f>
        <v/>
      </c>
      <c r="Q72" s="388" t="str">
        <f ca="1">IF(P27&lt;&gt;"",VLOOKUP(P27,Analytique!$X$3:$AD$36,6,FALSE),"")</f>
        <v/>
      </c>
      <c r="R72" s="388" t="str">
        <f ca="1">IF(Q27&lt;&gt;"",VLOOKUP(Q27,Analytique!$X$3:$AD$36,6,FALSE),"")</f>
        <v/>
      </c>
      <c r="S72" s="388" t="str">
        <f ca="1">IF(R27&lt;&gt;"",VLOOKUP(R27,Analytique!$X$3:$AD$36,6,FALSE),"")</f>
        <v/>
      </c>
      <c r="T72" s="388" t="str">
        <f ca="1">IF(S27&lt;&gt;"",VLOOKUP(S27,Analytique!$X$3:$AD$36,6,FALSE),"")</f>
        <v/>
      </c>
      <c r="U72" s="389" t="str">
        <f ca="1">IF(T27&lt;&gt;"",VLOOKUP(T27,Analytique!$X$3:$AD$36,6,FALSE),"")</f>
        <v/>
      </c>
    </row>
    <row r="73" spans="2:21" ht="13" thickBot="1" x14ac:dyDescent="0.45">
      <c r="B73" s="898"/>
      <c r="C73" s="901"/>
      <c r="D73" s="165" t="str">
        <f>$D$10</f>
        <v>Sonde de température</v>
      </c>
      <c r="E73" s="895"/>
      <c r="F73" s="199" t="str">
        <f t="shared" ca="1" si="5"/>
        <v/>
      </c>
      <c r="G73" s="195" t="str">
        <f t="shared" ref="G73:U73" ca="1" si="28">IF(F28&lt;&gt;"",_xlfn.SINGLE(INDIRECT(F28&amp;"!"&amp;$F$10)),"")</f>
        <v/>
      </c>
      <c r="H73" s="168" t="str">
        <f t="shared" ca="1" si="28"/>
        <v/>
      </c>
      <c r="I73" s="168" t="str">
        <f t="shared" ca="1" si="28"/>
        <v/>
      </c>
      <c r="J73" s="168" t="str">
        <f t="shared" ca="1" si="28"/>
        <v/>
      </c>
      <c r="K73" s="168" t="str">
        <f t="shared" ca="1" si="28"/>
        <v/>
      </c>
      <c r="L73" s="168" t="str">
        <f t="shared" ca="1" si="28"/>
        <v/>
      </c>
      <c r="M73" s="168" t="str">
        <f t="shared" ca="1" si="28"/>
        <v/>
      </c>
      <c r="N73" s="168" t="str">
        <f t="shared" ca="1" si="28"/>
        <v/>
      </c>
      <c r="O73" s="168" t="str">
        <f t="shared" ca="1" si="28"/>
        <v/>
      </c>
      <c r="P73" s="168" t="str">
        <f t="shared" ca="1" si="28"/>
        <v/>
      </c>
      <c r="Q73" s="168" t="str">
        <f t="shared" ca="1" si="28"/>
        <v/>
      </c>
      <c r="R73" s="168" t="str">
        <f t="shared" ca="1" si="28"/>
        <v/>
      </c>
      <c r="S73" s="168" t="str">
        <f t="shared" ca="1" si="28"/>
        <v/>
      </c>
      <c r="T73" s="168" t="str">
        <f t="shared" ca="1" si="28"/>
        <v/>
      </c>
      <c r="U73" s="169" t="str">
        <f t="shared" ca="1" si="28"/>
        <v/>
      </c>
    </row>
    <row r="74" spans="2:21" x14ac:dyDescent="0.4">
      <c r="B74" s="896" t="s">
        <v>107</v>
      </c>
      <c r="C74" s="899" t="s">
        <v>122</v>
      </c>
      <c r="D74" s="161" t="str">
        <f>$D$7</f>
        <v>Débitmètre en charge</v>
      </c>
      <c r="E74" s="882" t="str">
        <f ca="1">IFERROR(AVERAGE(F76:F78)*$B$5,"")</f>
        <v/>
      </c>
      <c r="F74" s="197" t="str">
        <f t="shared" ca="1" si="5"/>
        <v/>
      </c>
      <c r="G74" s="192" t="str">
        <f t="shared" ref="G74:U74" ca="1" si="29">IF(F29&lt;&gt;"",_xlfn.SINGLE(INDIRECT(F29&amp;"!"&amp;$F$7)),"")</f>
        <v/>
      </c>
      <c r="H74" s="162" t="str">
        <f t="shared" ca="1" si="29"/>
        <v/>
      </c>
      <c r="I74" s="162" t="str">
        <f t="shared" ca="1" si="29"/>
        <v/>
      </c>
      <c r="J74" s="162" t="str">
        <f t="shared" ca="1" si="29"/>
        <v/>
      </c>
      <c r="K74" s="162" t="str">
        <f t="shared" ca="1" si="29"/>
        <v/>
      </c>
      <c r="L74" s="162" t="str">
        <f t="shared" ca="1" si="29"/>
        <v/>
      </c>
      <c r="M74" s="162" t="str">
        <f t="shared" ca="1" si="29"/>
        <v/>
      </c>
      <c r="N74" s="162" t="str">
        <f t="shared" ca="1" si="29"/>
        <v/>
      </c>
      <c r="O74" s="162" t="str">
        <f t="shared" ca="1" si="29"/>
        <v/>
      </c>
      <c r="P74" s="162" t="str">
        <f t="shared" ca="1" si="29"/>
        <v/>
      </c>
      <c r="Q74" s="162" t="str">
        <f t="shared" ca="1" si="29"/>
        <v/>
      </c>
      <c r="R74" s="162" t="str">
        <f t="shared" ca="1" si="29"/>
        <v/>
      </c>
      <c r="S74" s="162" t="str">
        <f t="shared" ca="1" si="29"/>
        <v/>
      </c>
      <c r="T74" s="162" t="str">
        <f t="shared" ca="1" si="29"/>
        <v/>
      </c>
      <c r="U74" s="163" t="str">
        <f t="shared" ca="1" si="29"/>
        <v/>
      </c>
    </row>
    <row r="75" spans="2:21" x14ac:dyDescent="0.4">
      <c r="B75" s="897"/>
      <c r="C75" s="900"/>
      <c r="D75" s="160" t="str">
        <f>$D$8</f>
        <v>Débitmètre gravitaire</v>
      </c>
      <c r="E75" s="883"/>
      <c r="F75" s="198" t="str">
        <f t="shared" ca="1" si="5"/>
        <v/>
      </c>
      <c r="G75" s="193" t="str">
        <f t="shared" ref="G75:U75" ca="1" si="30">IF(F30&lt;&gt;"",_xlfn.SINGLE(INDIRECT(F30&amp;"!"&amp;$F$8)),"")</f>
        <v/>
      </c>
      <c r="H75" s="13" t="str">
        <f t="shared" ca="1" si="30"/>
        <v/>
      </c>
      <c r="I75" s="13" t="str">
        <f t="shared" ca="1" si="30"/>
        <v/>
      </c>
      <c r="J75" s="13" t="str">
        <f t="shared" ca="1" si="30"/>
        <v/>
      </c>
      <c r="K75" s="13" t="str">
        <f t="shared" ca="1" si="30"/>
        <v/>
      </c>
      <c r="L75" s="13" t="str">
        <f t="shared" ca="1" si="30"/>
        <v/>
      </c>
      <c r="M75" s="13" t="str">
        <f t="shared" ca="1" si="30"/>
        <v/>
      </c>
      <c r="N75" s="13" t="str">
        <f t="shared" ca="1" si="30"/>
        <v/>
      </c>
      <c r="O75" s="13" t="str">
        <f t="shared" ca="1" si="30"/>
        <v/>
      </c>
      <c r="P75" s="13" t="str">
        <f t="shared" ca="1" si="30"/>
        <v/>
      </c>
      <c r="Q75" s="13" t="str">
        <f t="shared" ca="1" si="30"/>
        <v/>
      </c>
      <c r="R75" s="13" t="str">
        <f t="shared" ca="1" si="30"/>
        <v/>
      </c>
      <c r="S75" s="13" t="str">
        <f t="shared" ca="1" si="30"/>
        <v/>
      </c>
      <c r="T75" s="13" t="str">
        <f t="shared" ca="1" si="30"/>
        <v/>
      </c>
      <c r="U75" s="164" t="str">
        <f t="shared" ca="1" si="30"/>
        <v/>
      </c>
    </row>
    <row r="76" spans="2:21" x14ac:dyDescent="0.4">
      <c r="B76" s="897"/>
      <c r="C76" s="900"/>
      <c r="D76" s="160" t="s">
        <v>493</v>
      </c>
      <c r="E76" s="883"/>
      <c r="F76" s="198" t="str">
        <f t="shared" ref="F76" ca="1" si="31">IFERROR(AVERAGE(G76:U76),"")</f>
        <v/>
      </c>
      <c r="G76" s="194" t="str">
        <f ca="1">IF(COUNT(G74:G75)&gt;0,SUM(G74:G75),"")</f>
        <v/>
      </c>
      <c r="H76" s="183" t="str">
        <f t="shared" ref="H76" ca="1" si="32">IF(COUNT(H74:H75)&gt;0,SUM(H74:H75),"")</f>
        <v/>
      </c>
      <c r="I76" s="183" t="str">
        <f t="shared" ref="I76" ca="1" si="33">IF(COUNT(I74:I75)&gt;0,SUM(I74:I75),"")</f>
        <v/>
      </c>
      <c r="J76" s="183" t="str">
        <f t="shared" ref="J76" ca="1" si="34">IF(COUNT(J74:J75)&gt;0,SUM(J74:J75),"")</f>
        <v/>
      </c>
      <c r="K76" s="183" t="str">
        <f t="shared" ref="K76" ca="1" si="35">IF(COUNT(K74:K75)&gt;0,SUM(K74:K75),"")</f>
        <v/>
      </c>
      <c r="L76" s="183" t="str">
        <f t="shared" ref="L76" ca="1" si="36">IF(COUNT(L74:L75)&gt;0,SUM(L74:L75),"")</f>
        <v/>
      </c>
      <c r="M76" s="183" t="str">
        <f t="shared" ref="M76" ca="1" si="37">IF(COUNT(M74:M75)&gt;0,SUM(M74:M75),"")</f>
        <v/>
      </c>
      <c r="N76" s="183" t="str">
        <f t="shared" ref="N76" ca="1" si="38">IF(COUNT(N74:N75)&gt;0,SUM(N74:N75),"")</f>
        <v/>
      </c>
      <c r="O76" s="183" t="str">
        <f t="shared" ref="O76" ca="1" si="39">IF(COUNT(O74:O75)&gt;0,SUM(O74:O75),"")</f>
        <v/>
      </c>
      <c r="P76" s="183" t="str">
        <f t="shared" ref="P76" ca="1" si="40">IF(COUNT(P74:P75)&gt;0,SUM(P74:P75),"")</f>
        <v/>
      </c>
      <c r="Q76" s="183" t="str">
        <f t="shared" ref="Q76" ca="1" si="41">IF(COUNT(Q74:Q75)&gt;0,SUM(Q74:Q75),"")</f>
        <v/>
      </c>
      <c r="R76" s="183" t="str">
        <f t="shared" ref="R76" ca="1" si="42">IF(COUNT(R74:R75)&gt;0,SUM(R74:R75),"")</f>
        <v/>
      </c>
      <c r="S76" s="183" t="str">
        <f t="shared" ref="S76" ca="1" si="43">IF(COUNT(S74:S75)&gt;0,SUM(S74:S75),"")</f>
        <v/>
      </c>
      <c r="T76" s="183" t="str">
        <f t="shared" ref="T76" ca="1" si="44">IF(COUNT(T74:T75)&gt;0,SUM(T74:T75),"")</f>
        <v/>
      </c>
      <c r="U76" s="184" t="str">
        <f t="shared" ref="U76" ca="1" si="45">IF(COUNT(U74:U75)&gt;0,SUM(U74:U75),"")</f>
        <v/>
      </c>
    </row>
    <row r="77" spans="2:21" x14ac:dyDescent="0.4">
      <c r="B77" s="897"/>
      <c r="C77" s="900"/>
      <c r="D77" s="160" t="str">
        <f>$D$9</f>
        <v>Préleveur</v>
      </c>
      <c r="E77" s="883"/>
      <c r="F77" s="198" t="str">
        <f t="shared" ca="1" si="5"/>
        <v/>
      </c>
      <c r="G77" s="193" t="str">
        <f t="shared" ref="G77:U77" ca="1" si="46">IF(F31&lt;&gt;"",_xlfn.SINGLE(INDIRECT(F31&amp;"!"&amp;$F$9)),"")</f>
        <v/>
      </c>
      <c r="H77" s="13" t="str">
        <f t="shared" ca="1" si="46"/>
        <v/>
      </c>
      <c r="I77" s="13" t="str">
        <f t="shared" ca="1" si="46"/>
        <v/>
      </c>
      <c r="J77" s="13" t="str">
        <f t="shared" ca="1" si="46"/>
        <v/>
      </c>
      <c r="K77" s="13" t="str">
        <f t="shared" ca="1" si="46"/>
        <v/>
      </c>
      <c r="L77" s="13" t="str">
        <f t="shared" ca="1" si="46"/>
        <v/>
      </c>
      <c r="M77" s="13" t="str">
        <f t="shared" ca="1" si="46"/>
        <v/>
      </c>
      <c r="N77" s="13" t="str">
        <f t="shared" ca="1" si="46"/>
        <v/>
      </c>
      <c r="O77" s="13" t="str">
        <f t="shared" ca="1" si="46"/>
        <v/>
      </c>
      <c r="P77" s="13" t="str">
        <f t="shared" ca="1" si="46"/>
        <v/>
      </c>
      <c r="Q77" s="13" t="str">
        <f t="shared" ca="1" si="46"/>
        <v/>
      </c>
      <c r="R77" s="13" t="str">
        <f t="shared" ca="1" si="46"/>
        <v/>
      </c>
      <c r="S77" s="13" t="str">
        <f t="shared" ca="1" si="46"/>
        <v/>
      </c>
      <c r="T77" s="13" t="str">
        <f t="shared" ca="1" si="46"/>
        <v/>
      </c>
      <c r="U77" s="164" t="str">
        <f t="shared" ca="1" si="46"/>
        <v/>
      </c>
    </row>
    <row r="78" spans="2:21" x14ac:dyDescent="0.4">
      <c r="B78" s="897"/>
      <c r="C78" s="900"/>
      <c r="D78" s="386" t="s">
        <v>482</v>
      </c>
      <c r="E78" s="883"/>
      <c r="F78" s="198" t="str">
        <f t="shared" ca="1" si="5"/>
        <v/>
      </c>
      <c r="G78" s="388" t="str">
        <f ca="1">IF(F33&lt;&gt;"",VLOOKUP(F33,Analytique!$X$3:$AD$36,6,FALSE),"")</f>
        <v/>
      </c>
      <c r="H78" s="388" t="str">
        <f ca="1">IF(G33&lt;&gt;"",VLOOKUP(G33,Analytique!$X$3:$AD$36,6,FALSE),"")</f>
        <v/>
      </c>
      <c r="I78" s="388" t="str">
        <f ca="1">IF(H33&lt;&gt;"",VLOOKUP(H33,Analytique!$X$3:$AD$36,6,FALSE),"")</f>
        <v/>
      </c>
      <c r="J78" s="388" t="str">
        <f ca="1">IF(I33&lt;&gt;"",VLOOKUP(I33,Analytique!$X$3:$AD$36,6,FALSE),"")</f>
        <v/>
      </c>
      <c r="K78" s="388" t="str">
        <f ca="1">IF(J33&lt;&gt;"",VLOOKUP(J33,Analytique!$X$3:$AD$36,6,FALSE),"")</f>
        <v/>
      </c>
      <c r="L78" s="388" t="str">
        <f ca="1">IF(K33&lt;&gt;"",VLOOKUP(K33,Analytique!$X$3:$AD$36,6,FALSE),"")</f>
        <v/>
      </c>
      <c r="M78" s="388" t="str">
        <f ca="1">IF(L33&lt;&gt;"",VLOOKUP(L33,Analytique!$X$3:$AD$36,6,FALSE),"")</f>
        <v/>
      </c>
      <c r="N78" s="388" t="str">
        <f ca="1">IF(M33&lt;&gt;"",VLOOKUP(M33,Analytique!$X$3:$AD$36,6,FALSE),"")</f>
        <v/>
      </c>
      <c r="O78" s="388" t="str">
        <f ca="1">IF(N33&lt;&gt;"",VLOOKUP(N33,Analytique!$X$3:$AD$36,6,FALSE),"")</f>
        <v/>
      </c>
      <c r="P78" s="388" t="str">
        <f ca="1">IF(O33&lt;&gt;"",VLOOKUP(O33,Analytique!$X$3:$AD$36,6,FALSE),"")</f>
        <v/>
      </c>
      <c r="Q78" s="388" t="str">
        <f ca="1">IF(P33&lt;&gt;"",VLOOKUP(P33,Analytique!$X$3:$AD$36,6,FALSE),"")</f>
        <v/>
      </c>
      <c r="R78" s="388" t="str">
        <f ca="1">IF(Q33&lt;&gt;"",VLOOKUP(Q33,Analytique!$X$3:$AD$36,6,FALSE),"")</f>
        <v/>
      </c>
      <c r="S78" s="388" t="str">
        <f ca="1">IF(R33&lt;&gt;"",VLOOKUP(R33,Analytique!$X$3:$AD$36,6,FALSE),"")</f>
        <v/>
      </c>
      <c r="T78" s="388" t="str">
        <f ca="1">IF(S33&lt;&gt;"",VLOOKUP(S33,Analytique!$X$3:$AD$36,6,FALSE),"")</f>
        <v/>
      </c>
      <c r="U78" s="389" t="str">
        <f ca="1">IF(T33&lt;&gt;"",VLOOKUP(T33,Analytique!$X$3:$AD$36,6,FALSE),"")</f>
        <v/>
      </c>
    </row>
    <row r="79" spans="2:21" ht="13" thickBot="1" x14ac:dyDescent="0.45">
      <c r="B79" s="898"/>
      <c r="C79" s="901"/>
      <c r="D79" s="165" t="str">
        <f>$D$10</f>
        <v>Sonde de température</v>
      </c>
      <c r="E79" s="884"/>
      <c r="F79" s="199" t="str">
        <f t="shared" ca="1" si="5"/>
        <v/>
      </c>
      <c r="G79" s="195" t="str">
        <f t="shared" ref="G79:U79" ca="1" si="47">IF(F33&lt;&gt;"",_xlfn.SINGLE(INDIRECT(F33&amp;"!"&amp;$F$10)),"")</f>
        <v/>
      </c>
      <c r="H79" s="168" t="str">
        <f t="shared" ca="1" si="47"/>
        <v/>
      </c>
      <c r="I79" s="168" t="str">
        <f t="shared" ca="1" si="47"/>
        <v/>
      </c>
      <c r="J79" s="168" t="str">
        <f t="shared" ca="1" si="47"/>
        <v/>
      </c>
      <c r="K79" s="168" t="str">
        <f t="shared" ca="1" si="47"/>
        <v/>
      </c>
      <c r="L79" s="168" t="str">
        <f t="shared" ca="1" si="47"/>
        <v/>
      </c>
      <c r="M79" s="168" t="str">
        <f t="shared" ca="1" si="47"/>
        <v/>
      </c>
      <c r="N79" s="168" t="str">
        <f t="shared" ca="1" si="47"/>
        <v/>
      </c>
      <c r="O79" s="168" t="str">
        <f t="shared" ca="1" si="47"/>
        <v/>
      </c>
      <c r="P79" s="168" t="str">
        <f t="shared" ca="1" si="47"/>
        <v/>
      </c>
      <c r="Q79" s="168" t="str">
        <f t="shared" ca="1" si="47"/>
        <v/>
      </c>
      <c r="R79" s="168" t="str">
        <f t="shared" ca="1" si="47"/>
        <v/>
      </c>
      <c r="S79" s="168" t="str">
        <f t="shared" ca="1" si="47"/>
        <v/>
      </c>
      <c r="T79" s="168" t="str">
        <f t="shared" ca="1" si="47"/>
        <v/>
      </c>
      <c r="U79" s="169" t="str">
        <f t="shared" ca="1" si="47"/>
        <v/>
      </c>
    </row>
    <row r="80" spans="2:21" x14ac:dyDescent="0.4">
      <c r="B80" s="896" t="s">
        <v>116</v>
      </c>
      <c r="C80" s="899" t="s">
        <v>124</v>
      </c>
      <c r="D80" s="161" t="str">
        <f>$D$7</f>
        <v>Débitmètre en charge</v>
      </c>
      <c r="E80" s="882" t="str">
        <f ca="1">IFERROR(AVERAGE(F82:F84)*$B$5,"")</f>
        <v/>
      </c>
      <c r="F80" s="197" t="str">
        <f t="shared" ca="1" si="5"/>
        <v/>
      </c>
      <c r="G80" s="192" t="str">
        <f t="shared" ref="G80:U80" ca="1" si="48">IF(F34&lt;&gt;"",_xlfn.SINGLE(INDIRECT(F34&amp;"!"&amp;$F$7)),"")</f>
        <v/>
      </c>
      <c r="H80" s="162" t="str">
        <f t="shared" ca="1" si="48"/>
        <v/>
      </c>
      <c r="I80" s="162" t="str">
        <f t="shared" ca="1" si="48"/>
        <v/>
      </c>
      <c r="J80" s="162" t="str">
        <f t="shared" ca="1" si="48"/>
        <v/>
      </c>
      <c r="K80" s="162" t="str">
        <f t="shared" ca="1" si="48"/>
        <v/>
      </c>
      <c r="L80" s="162" t="str">
        <f t="shared" ca="1" si="48"/>
        <v/>
      </c>
      <c r="M80" s="162" t="str">
        <f t="shared" ca="1" si="48"/>
        <v/>
      </c>
      <c r="N80" s="162" t="str">
        <f t="shared" ca="1" si="48"/>
        <v/>
      </c>
      <c r="O80" s="162" t="str">
        <f t="shared" ca="1" si="48"/>
        <v/>
      </c>
      <c r="P80" s="162" t="str">
        <f t="shared" ca="1" si="48"/>
        <v/>
      </c>
      <c r="Q80" s="162" t="str">
        <f t="shared" ca="1" si="48"/>
        <v/>
      </c>
      <c r="R80" s="162" t="str">
        <f t="shared" ca="1" si="48"/>
        <v/>
      </c>
      <c r="S80" s="162" t="str">
        <f t="shared" ca="1" si="48"/>
        <v/>
      </c>
      <c r="T80" s="162" t="str">
        <f t="shared" ca="1" si="48"/>
        <v/>
      </c>
      <c r="U80" s="163" t="str">
        <f t="shared" ca="1" si="48"/>
        <v/>
      </c>
    </row>
    <row r="81" spans="2:21" x14ac:dyDescent="0.4">
      <c r="B81" s="897"/>
      <c r="C81" s="900"/>
      <c r="D81" s="160" t="str">
        <f>$D$8</f>
        <v>Débitmètre gravitaire</v>
      </c>
      <c r="E81" s="883"/>
      <c r="F81" s="198" t="str">
        <f t="shared" ca="1" si="5"/>
        <v/>
      </c>
      <c r="G81" s="193" t="str">
        <f t="shared" ref="G81:U81" ca="1" si="49">IF(F35&lt;&gt;"",_xlfn.SINGLE(INDIRECT(F35&amp;"!"&amp;$F$8)),"")</f>
        <v/>
      </c>
      <c r="H81" s="13" t="str">
        <f t="shared" ca="1" si="49"/>
        <v/>
      </c>
      <c r="I81" s="13" t="str">
        <f t="shared" ca="1" si="49"/>
        <v/>
      </c>
      <c r="J81" s="13" t="str">
        <f t="shared" ca="1" si="49"/>
        <v/>
      </c>
      <c r="K81" s="13" t="str">
        <f t="shared" ca="1" si="49"/>
        <v/>
      </c>
      <c r="L81" s="13" t="str">
        <f t="shared" ca="1" si="49"/>
        <v/>
      </c>
      <c r="M81" s="13" t="str">
        <f t="shared" ca="1" si="49"/>
        <v/>
      </c>
      <c r="N81" s="13" t="str">
        <f t="shared" ca="1" si="49"/>
        <v/>
      </c>
      <c r="O81" s="13" t="str">
        <f t="shared" ca="1" si="49"/>
        <v/>
      </c>
      <c r="P81" s="13" t="str">
        <f t="shared" ca="1" si="49"/>
        <v/>
      </c>
      <c r="Q81" s="13" t="str">
        <f t="shared" ca="1" si="49"/>
        <v/>
      </c>
      <c r="R81" s="13" t="str">
        <f t="shared" ca="1" si="49"/>
        <v/>
      </c>
      <c r="S81" s="13" t="str">
        <f t="shared" ca="1" si="49"/>
        <v/>
      </c>
      <c r="T81" s="13" t="str">
        <f t="shared" ca="1" si="49"/>
        <v/>
      </c>
      <c r="U81" s="164" t="str">
        <f t="shared" ca="1" si="49"/>
        <v/>
      </c>
    </row>
    <row r="82" spans="2:21" x14ac:dyDescent="0.4">
      <c r="B82" s="897"/>
      <c r="C82" s="900"/>
      <c r="D82" s="160" t="s">
        <v>493</v>
      </c>
      <c r="E82" s="883"/>
      <c r="F82" s="198" t="str">
        <f t="shared" ref="F82" ca="1" si="50">IFERROR(AVERAGE(G82:U82),"")</f>
        <v/>
      </c>
      <c r="G82" s="194" t="str">
        <f ca="1">IF(COUNT(G80:G81)&gt;0,SUM(G80:G81),"")</f>
        <v/>
      </c>
      <c r="H82" s="183" t="str">
        <f t="shared" ref="H82" ca="1" si="51">IF(COUNT(H80:H81)&gt;0,SUM(H80:H81),"")</f>
        <v/>
      </c>
      <c r="I82" s="183" t="str">
        <f t="shared" ref="I82" ca="1" si="52">IF(COUNT(I80:I81)&gt;0,SUM(I80:I81),"")</f>
        <v/>
      </c>
      <c r="J82" s="183" t="str">
        <f t="shared" ref="J82" ca="1" si="53">IF(COUNT(J80:J81)&gt;0,SUM(J80:J81),"")</f>
        <v/>
      </c>
      <c r="K82" s="183" t="str">
        <f t="shared" ref="K82" ca="1" si="54">IF(COUNT(K80:K81)&gt;0,SUM(K80:K81),"")</f>
        <v/>
      </c>
      <c r="L82" s="183" t="str">
        <f t="shared" ref="L82" ca="1" si="55">IF(COUNT(L80:L81)&gt;0,SUM(L80:L81),"")</f>
        <v/>
      </c>
      <c r="M82" s="183" t="str">
        <f t="shared" ref="M82" ca="1" si="56">IF(COUNT(M80:M81)&gt;0,SUM(M80:M81),"")</f>
        <v/>
      </c>
      <c r="N82" s="183" t="str">
        <f t="shared" ref="N82" ca="1" si="57">IF(COUNT(N80:N81)&gt;0,SUM(N80:N81),"")</f>
        <v/>
      </c>
      <c r="O82" s="183" t="str">
        <f t="shared" ref="O82" ca="1" si="58">IF(COUNT(O80:O81)&gt;0,SUM(O80:O81),"")</f>
        <v/>
      </c>
      <c r="P82" s="183" t="str">
        <f t="shared" ref="P82" ca="1" si="59">IF(COUNT(P80:P81)&gt;0,SUM(P80:P81),"")</f>
        <v/>
      </c>
      <c r="Q82" s="183" t="str">
        <f t="shared" ref="Q82" ca="1" si="60">IF(COUNT(Q80:Q81)&gt;0,SUM(Q80:Q81),"")</f>
        <v/>
      </c>
      <c r="R82" s="183" t="str">
        <f t="shared" ref="R82" ca="1" si="61">IF(COUNT(R80:R81)&gt;0,SUM(R80:R81),"")</f>
        <v/>
      </c>
      <c r="S82" s="183" t="str">
        <f t="shared" ref="S82" ca="1" si="62">IF(COUNT(S80:S81)&gt;0,SUM(S80:S81),"")</f>
        <v/>
      </c>
      <c r="T82" s="183" t="str">
        <f t="shared" ref="T82" ca="1" si="63">IF(COUNT(T80:T81)&gt;0,SUM(T80:T81),"")</f>
        <v/>
      </c>
      <c r="U82" s="184" t="str">
        <f t="shared" ref="U82" ca="1" si="64">IF(COUNT(U80:U81)&gt;0,SUM(U80:U81),"")</f>
        <v/>
      </c>
    </row>
    <row r="83" spans="2:21" x14ac:dyDescent="0.4">
      <c r="B83" s="897"/>
      <c r="C83" s="900"/>
      <c r="D83" s="160" t="str">
        <f>$D$9</f>
        <v>Préleveur</v>
      </c>
      <c r="E83" s="883"/>
      <c r="F83" s="198" t="str">
        <f t="shared" ca="1" si="5"/>
        <v/>
      </c>
      <c r="G83" s="193" t="str">
        <f t="shared" ref="G83:U83" ca="1" si="65">IF(F36&lt;&gt;"",_xlfn.SINGLE(INDIRECT(F36&amp;"!"&amp;$F$9)),"")</f>
        <v/>
      </c>
      <c r="H83" s="13" t="str">
        <f t="shared" ca="1" si="65"/>
        <v/>
      </c>
      <c r="I83" s="13" t="str">
        <f t="shared" ca="1" si="65"/>
        <v/>
      </c>
      <c r="J83" s="13" t="str">
        <f t="shared" ca="1" si="65"/>
        <v/>
      </c>
      <c r="K83" s="13" t="str">
        <f t="shared" ca="1" si="65"/>
        <v/>
      </c>
      <c r="L83" s="13" t="str">
        <f t="shared" ca="1" si="65"/>
        <v/>
      </c>
      <c r="M83" s="13" t="str">
        <f t="shared" ca="1" si="65"/>
        <v/>
      </c>
      <c r="N83" s="13" t="str">
        <f t="shared" ca="1" si="65"/>
        <v/>
      </c>
      <c r="O83" s="13" t="str">
        <f t="shared" ca="1" si="65"/>
        <v/>
      </c>
      <c r="P83" s="13" t="str">
        <f t="shared" ca="1" si="65"/>
        <v/>
      </c>
      <c r="Q83" s="13" t="str">
        <f t="shared" ca="1" si="65"/>
        <v/>
      </c>
      <c r="R83" s="13" t="str">
        <f t="shared" ca="1" si="65"/>
        <v/>
      </c>
      <c r="S83" s="13" t="str">
        <f t="shared" ca="1" si="65"/>
        <v/>
      </c>
      <c r="T83" s="13" t="str">
        <f t="shared" ca="1" si="65"/>
        <v/>
      </c>
      <c r="U83" s="164" t="str">
        <f t="shared" ca="1" si="65"/>
        <v/>
      </c>
    </row>
    <row r="84" spans="2:21" x14ac:dyDescent="0.4">
      <c r="B84" s="897"/>
      <c r="C84" s="900"/>
      <c r="D84" s="386" t="s">
        <v>482</v>
      </c>
      <c r="E84" s="883"/>
      <c r="F84" s="198" t="str">
        <f t="shared" ca="1" si="5"/>
        <v/>
      </c>
      <c r="G84" s="388" t="str">
        <f ca="1">IF(F39&lt;&gt;"",VLOOKUP(F39,Analytique!$X$3:$AD$36,6,FALSE),"")</f>
        <v/>
      </c>
      <c r="H84" s="388" t="str">
        <f ca="1">IF(G39&lt;&gt;"",VLOOKUP(G39,Analytique!$X$3:$AD$36,6,FALSE),"")</f>
        <v/>
      </c>
      <c r="I84" s="388" t="str">
        <f ca="1">IF(H39&lt;&gt;"",VLOOKUP(H39,Analytique!$X$3:$AD$36,6,FALSE),"")</f>
        <v/>
      </c>
      <c r="J84" s="388" t="str">
        <f ca="1">IF(I39&lt;&gt;"",VLOOKUP(I39,Analytique!$X$3:$AD$36,6,FALSE),"")</f>
        <v/>
      </c>
      <c r="K84" s="388" t="str">
        <f ca="1">IF(J39&lt;&gt;"",VLOOKUP(J39,Analytique!$X$3:$AD$36,6,FALSE),"")</f>
        <v/>
      </c>
      <c r="L84" s="388" t="str">
        <f ca="1">IF(K39&lt;&gt;"",VLOOKUP(K39,Analytique!$X$3:$AD$36,6,FALSE),"")</f>
        <v/>
      </c>
      <c r="M84" s="388" t="str">
        <f ca="1">IF(L39&lt;&gt;"",VLOOKUP(L39,Analytique!$X$3:$AD$36,6,FALSE),"")</f>
        <v/>
      </c>
      <c r="N84" s="388" t="str">
        <f ca="1">IF(M39&lt;&gt;"",VLOOKUP(M39,Analytique!$X$3:$AD$36,6,FALSE),"")</f>
        <v/>
      </c>
      <c r="O84" s="388" t="str">
        <f ca="1">IF(N39&lt;&gt;"",VLOOKUP(N39,Analytique!$X$3:$AD$36,6,FALSE),"")</f>
        <v/>
      </c>
      <c r="P84" s="388" t="str">
        <f ca="1">IF(O39&lt;&gt;"",VLOOKUP(O39,Analytique!$X$3:$AD$36,6,FALSE),"")</f>
        <v/>
      </c>
      <c r="Q84" s="388" t="str">
        <f ca="1">IF(P39&lt;&gt;"",VLOOKUP(P39,Analytique!$X$3:$AD$36,6,FALSE),"")</f>
        <v/>
      </c>
      <c r="R84" s="388" t="str">
        <f ca="1">IF(Q39&lt;&gt;"",VLOOKUP(Q39,Analytique!$X$3:$AD$36,6,FALSE),"")</f>
        <v/>
      </c>
      <c r="S84" s="388" t="str">
        <f ca="1">IF(R39&lt;&gt;"",VLOOKUP(R39,Analytique!$X$3:$AD$36,6,FALSE),"")</f>
        <v/>
      </c>
      <c r="T84" s="388" t="str">
        <f ca="1">IF(S39&lt;&gt;"",VLOOKUP(S39,Analytique!$X$3:$AD$36,6,FALSE),"")</f>
        <v/>
      </c>
      <c r="U84" s="389" t="str">
        <f ca="1">IF(T39&lt;&gt;"",VLOOKUP(T39,Analytique!$X$3:$AD$36,6,FALSE),"")</f>
        <v/>
      </c>
    </row>
    <row r="85" spans="2:21" ht="13" thickBot="1" x14ac:dyDescent="0.45">
      <c r="B85" s="898"/>
      <c r="C85" s="901"/>
      <c r="D85" s="165" t="str">
        <f>$D$10</f>
        <v>Sonde de température</v>
      </c>
      <c r="E85" s="884"/>
      <c r="F85" s="199" t="str">
        <f t="shared" ca="1" si="5"/>
        <v/>
      </c>
      <c r="G85" s="195" t="str">
        <f t="shared" ref="G85:U85" ca="1" si="66">IF(F37&lt;&gt;"",_xlfn.SINGLE(INDIRECT(F37&amp;"!"&amp;$F$10)),"")</f>
        <v/>
      </c>
      <c r="H85" s="168" t="str">
        <f t="shared" ca="1" si="66"/>
        <v/>
      </c>
      <c r="I85" s="168" t="str">
        <f t="shared" ca="1" si="66"/>
        <v/>
      </c>
      <c r="J85" s="168" t="str">
        <f t="shared" ca="1" si="66"/>
        <v/>
      </c>
      <c r="K85" s="168" t="str">
        <f t="shared" ca="1" si="66"/>
        <v/>
      </c>
      <c r="L85" s="168" t="str">
        <f t="shared" ca="1" si="66"/>
        <v/>
      </c>
      <c r="M85" s="168" t="str">
        <f t="shared" ca="1" si="66"/>
        <v/>
      </c>
      <c r="N85" s="168" t="str">
        <f t="shared" ca="1" si="66"/>
        <v/>
      </c>
      <c r="O85" s="168" t="str">
        <f t="shared" ca="1" si="66"/>
        <v/>
      </c>
      <c r="P85" s="168" t="str">
        <f t="shared" ca="1" si="66"/>
        <v/>
      </c>
      <c r="Q85" s="168" t="str">
        <f t="shared" ca="1" si="66"/>
        <v/>
      </c>
      <c r="R85" s="168" t="str">
        <f t="shared" ca="1" si="66"/>
        <v/>
      </c>
      <c r="S85" s="168" t="str">
        <f t="shared" ca="1" si="66"/>
        <v/>
      </c>
      <c r="T85" s="168" t="str">
        <f t="shared" ca="1" si="66"/>
        <v/>
      </c>
      <c r="U85" s="169" t="str">
        <f t="shared" ca="1" si="66"/>
        <v/>
      </c>
    </row>
    <row r="86" spans="2:21" x14ac:dyDescent="0.4">
      <c r="B86" s="896" t="s">
        <v>119</v>
      </c>
      <c r="C86" s="899" t="s">
        <v>127</v>
      </c>
      <c r="D86" s="161" t="str">
        <f>$D$7</f>
        <v>Débitmètre en charge</v>
      </c>
      <c r="E86" s="882" t="str">
        <f ca="1">IFERROR(AVERAGE(F88:F90)*$B$5,"")</f>
        <v/>
      </c>
      <c r="F86" s="197" t="str">
        <f t="shared" ca="1" si="5"/>
        <v/>
      </c>
      <c r="G86" s="192" t="str">
        <f t="shared" ref="G86:U86" ca="1" si="67">IF(F38&lt;&gt;"",_xlfn.SINGLE(INDIRECT(F38&amp;"!"&amp;$F$7)),"")</f>
        <v/>
      </c>
      <c r="H86" s="162" t="str">
        <f t="shared" ca="1" si="67"/>
        <v/>
      </c>
      <c r="I86" s="162" t="str">
        <f t="shared" ca="1" si="67"/>
        <v/>
      </c>
      <c r="J86" s="162" t="str">
        <f t="shared" ca="1" si="67"/>
        <v/>
      </c>
      <c r="K86" s="162" t="str">
        <f t="shared" ca="1" si="67"/>
        <v/>
      </c>
      <c r="L86" s="162" t="str">
        <f t="shared" ca="1" si="67"/>
        <v/>
      </c>
      <c r="M86" s="162" t="str">
        <f t="shared" ca="1" si="67"/>
        <v/>
      </c>
      <c r="N86" s="162" t="str">
        <f t="shared" ca="1" si="67"/>
        <v/>
      </c>
      <c r="O86" s="162" t="str">
        <f t="shared" ca="1" si="67"/>
        <v/>
      </c>
      <c r="P86" s="162" t="str">
        <f t="shared" ca="1" si="67"/>
        <v/>
      </c>
      <c r="Q86" s="162" t="str">
        <f t="shared" ca="1" si="67"/>
        <v/>
      </c>
      <c r="R86" s="162" t="str">
        <f t="shared" ca="1" si="67"/>
        <v/>
      </c>
      <c r="S86" s="162" t="str">
        <f t="shared" ca="1" si="67"/>
        <v/>
      </c>
      <c r="T86" s="162" t="str">
        <f t="shared" ca="1" si="67"/>
        <v/>
      </c>
      <c r="U86" s="163" t="str">
        <f t="shared" ca="1" si="67"/>
        <v/>
      </c>
    </row>
    <row r="87" spans="2:21" x14ac:dyDescent="0.4">
      <c r="B87" s="897"/>
      <c r="C87" s="900"/>
      <c r="D87" s="160" t="str">
        <f>$D$8</f>
        <v>Débitmètre gravitaire</v>
      </c>
      <c r="E87" s="883"/>
      <c r="F87" s="198" t="str">
        <f t="shared" ca="1" si="5"/>
        <v/>
      </c>
      <c r="G87" s="193" t="str">
        <f t="shared" ref="G87:U87" ca="1" si="68">IF(F39&lt;&gt;"",_xlfn.SINGLE(INDIRECT(F39&amp;"!"&amp;$F$8)),"")</f>
        <v/>
      </c>
      <c r="H87" s="13" t="str">
        <f t="shared" ca="1" si="68"/>
        <v/>
      </c>
      <c r="I87" s="13" t="str">
        <f t="shared" ca="1" si="68"/>
        <v/>
      </c>
      <c r="J87" s="13" t="str">
        <f t="shared" ca="1" si="68"/>
        <v/>
      </c>
      <c r="K87" s="13" t="str">
        <f t="shared" ca="1" si="68"/>
        <v/>
      </c>
      <c r="L87" s="13" t="str">
        <f t="shared" ca="1" si="68"/>
        <v/>
      </c>
      <c r="M87" s="13" t="str">
        <f t="shared" ca="1" si="68"/>
        <v/>
      </c>
      <c r="N87" s="13" t="str">
        <f t="shared" ca="1" si="68"/>
        <v/>
      </c>
      <c r="O87" s="13" t="str">
        <f t="shared" ca="1" si="68"/>
        <v/>
      </c>
      <c r="P87" s="13" t="str">
        <f t="shared" ca="1" si="68"/>
        <v/>
      </c>
      <c r="Q87" s="13" t="str">
        <f t="shared" ca="1" si="68"/>
        <v/>
      </c>
      <c r="R87" s="13" t="str">
        <f t="shared" ca="1" si="68"/>
        <v/>
      </c>
      <c r="S87" s="13" t="str">
        <f t="shared" ca="1" si="68"/>
        <v/>
      </c>
      <c r="T87" s="13" t="str">
        <f t="shared" ca="1" si="68"/>
        <v/>
      </c>
      <c r="U87" s="164" t="str">
        <f t="shared" ca="1" si="68"/>
        <v/>
      </c>
    </row>
    <row r="88" spans="2:21" x14ac:dyDescent="0.4">
      <c r="B88" s="897"/>
      <c r="C88" s="900"/>
      <c r="D88" s="160" t="s">
        <v>493</v>
      </c>
      <c r="E88" s="883"/>
      <c r="F88" s="198" t="str">
        <f t="shared" ref="F88" ca="1" si="69">IFERROR(AVERAGE(G88:U88),"")</f>
        <v/>
      </c>
      <c r="G88" s="194" t="str">
        <f ca="1">IF(COUNT(G86:G87)&gt;0,SUM(G86:G87),"")</f>
        <v/>
      </c>
      <c r="H88" s="183" t="str">
        <f t="shared" ref="H88" ca="1" si="70">IF(COUNT(H86:H87)&gt;0,SUM(H86:H87),"")</f>
        <v/>
      </c>
      <c r="I88" s="183" t="str">
        <f t="shared" ref="I88" ca="1" si="71">IF(COUNT(I86:I87)&gt;0,SUM(I86:I87),"")</f>
        <v/>
      </c>
      <c r="J88" s="183" t="str">
        <f t="shared" ref="J88" ca="1" si="72">IF(COUNT(J86:J87)&gt;0,SUM(J86:J87),"")</f>
        <v/>
      </c>
      <c r="K88" s="183" t="str">
        <f t="shared" ref="K88" ca="1" si="73">IF(COUNT(K86:K87)&gt;0,SUM(K86:K87),"")</f>
        <v/>
      </c>
      <c r="L88" s="183" t="str">
        <f t="shared" ref="L88" ca="1" si="74">IF(COUNT(L86:L87)&gt;0,SUM(L86:L87),"")</f>
        <v/>
      </c>
      <c r="M88" s="183" t="str">
        <f t="shared" ref="M88" ca="1" si="75">IF(COUNT(M86:M87)&gt;0,SUM(M86:M87),"")</f>
        <v/>
      </c>
      <c r="N88" s="183" t="str">
        <f t="shared" ref="N88" ca="1" si="76">IF(COUNT(N86:N87)&gt;0,SUM(N86:N87),"")</f>
        <v/>
      </c>
      <c r="O88" s="183" t="str">
        <f t="shared" ref="O88" ca="1" si="77">IF(COUNT(O86:O87)&gt;0,SUM(O86:O87),"")</f>
        <v/>
      </c>
      <c r="P88" s="183" t="str">
        <f t="shared" ref="P88" ca="1" si="78">IF(COUNT(P86:P87)&gt;0,SUM(P86:P87),"")</f>
        <v/>
      </c>
      <c r="Q88" s="183" t="str">
        <f t="shared" ref="Q88" ca="1" si="79">IF(COUNT(Q86:Q87)&gt;0,SUM(Q86:Q87),"")</f>
        <v/>
      </c>
      <c r="R88" s="183" t="str">
        <f t="shared" ref="R88" ca="1" si="80">IF(COUNT(R86:R87)&gt;0,SUM(R86:R87),"")</f>
        <v/>
      </c>
      <c r="S88" s="183" t="str">
        <f t="shared" ref="S88" ca="1" si="81">IF(COUNT(S86:S87)&gt;0,SUM(S86:S87),"")</f>
        <v/>
      </c>
      <c r="T88" s="183" t="str">
        <f t="shared" ref="T88" ca="1" si="82">IF(COUNT(T86:T87)&gt;0,SUM(T86:T87),"")</f>
        <v/>
      </c>
      <c r="U88" s="184" t="str">
        <f t="shared" ref="U88" ca="1" si="83">IF(COUNT(U86:U87)&gt;0,SUM(U86:U87),"")</f>
        <v/>
      </c>
    </row>
    <row r="89" spans="2:21" x14ac:dyDescent="0.4">
      <c r="B89" s="897"/>
      <c r="C89" s="900"/>
      <c r="D89" s="160" t="str">
        <f>$D$9</f>
        <v>Préleveur</v>
      </c>
      <c r="E89" s="883"/>
      <c r="F89" s="198" t="str">
        <f t="shared" ca="1" si="5"/>
        <v/>
      </c>
      <c r="G89" s="193" t="str">
        <f t="shared" ref="G89:U89" ca="1" si="84">IF(F40&lt;&gt;"",_xlfn.SINGLE(INDIRECT(F40&amp;"!"&amp;$F$9)),"")</f>
        <v/>
      </c>
      <c r="H89" s="13" t="str">
        <f t="shared" ca="1" si="84"/>
        <v/>
      </c>
      <c r="I89" s="13" t="str">
        <f t="shared" ca="1" si="84"/>
        <v/>
      </c>
      <c r="J89" s="13" t="str">
        <f t="shared" ca="1" si="84"/>
        <v/>
      </c>
      <c r="K89" s="13" t="str">
        <f t="shared" ca="1" si="84"/>
        <v/>
      </c>
      <c r="L89" s="13" t="str">
        <f t="shared" ca="1" si="84"/>
        <v/>
      </c>
      <c r="M89" s="13" t="str">
        <f t="shared" ca="1" si="84"/>
        <v/>
      </c>
      <c r="N89" s="13" t="str">
        <f t="shared" ca="1" si="84"/>
        <v/>
      </c>
      <c r="O89" s="13" t="str">
        <f t="shared" ca="1" si="84"/>
        <v/>
      </c>
      <c r="P89" s="13" t="str">
        <f t="shared" ca="1" si="84"/>
        <v/>
      </c>
      <c r="Q89" s="13" t="str">
        <f t="shared" ca="1" si="84"/>
        <v/>
      </c>
      <c r="R89" s="13" t="str">
        <f t="shared" ca="1" si="84"/>
        <v/>
      </c>
      <c r="S89" s="13" t="str">
        <f t="shared" ca="1" si="84"/>
        <v/>
      </c>
      <c r="T89" s="13" t="str">
        <f t="shared" ca="1" si="84"/>
        <v/>
      </c>
      <c r="U89" s="164" t="str">
        <f t="shared" ca="1" si="84"/>
        <v/>
      </c>
    </row>
    <row r="90" spans="2:21" x14ac:dyDescent="0.4">
      <c r="B90" s="897"/>
      <c r="C90" s="900"/>
      <c r="D90" s="386" t="s">
        <v>482</v>
      </c>
      <c r="E90" s="883"/>
      <c r="F90" s="198" t="str">
        <f t="shared" si="5"/>
        <v/>
      </c>
      <c r="G90" s="387"/>
      <c r="H90" s="388"/>
      <c r="I90" s="388"/>
      <c r="J90" s="388"/>
      <c r="K90" s="388"/>
      <c r="L90" s="388"/>
      <c r="M90" s="388"/>
      <c r="N90" s="388"/>
      <c r="O90" s="388"/>
      <c r="P90" s="388"/>
      <c r="Q90" s="388"/>
      <c r="R90" s="388"/>
      <c r="S90" s="388"/>
      <c r="T90" s="388"/>
      <c r="U90" s="389"/>
    </row>
    <row r="91" spans="2:21" ht="13" thickBot="1" x14ac:dyDescent="0.45">
      <c r="B91" s="898"/>
      <c r="C91" s="901"/>
      <c r="D91" s="165" t="str">
        <f>$D$10</f>
        <v>Sonde de température</v>
      </c>
      <c r="E91" s="884"/>
      <c r="F91" s="199" t="str">
        <f t="shared" ca="1" si="5"/>
        <v/>
      </c>
      <c r="G91" s="195" t="str">
        <f t="shared" ref="G91:U91" ca="1" si="85">IF(F42&lt;&gt;"",_xlfn.SINGLE(INDIRECT(F42&amp;"!"&amp;$F$10)),"")</f>
        <v/>
      </c>
      <c r="H91" s="168" t="str">
        <f t="shared" ca="1" si="85"/>
        <v/>
      </c>
      <c r="I91" s="168" t="str">
        <f t="shared" ca="1" si="85"/>
        <v/>
      </c>
      <c r="J91" s="168" t="str">
        <f t="shared" ca="1" si="85"/>
        <v/>
      </c>
      <c r="K91" s="168" t="str">
        <f t="shared" ca="1" si="85"/>
        <v/>
      </c>
      <c r="L91" s="168" t="str">
        <f t="shared" ca="1" si="85"/>
        <v/>
      </c>
      <c r="M91" s="168" t="str">
        <f t="shared" ca="1" si="85"/>
        <v/>
      </c>
      <c r="N91" s="168" t="str">
        <f t="shared" ca="1" si="85"/>
        <v/>
      </c>
      <c r="O91" s="168" t="str">
        <f t="shared" ca="1" si="85"/>
        <v/>
      </c>
      <c r="P91" s="168" t="str">
        <f t="shared" ca="1" si="85"/>
        <v/>
      </c>
      <c r="Q91" s="168" t="str">
        <f t="shared" ca="1" si="85"/>
        <v/>
      </c>
      <c r="R91" s="168" t="str">
        <f t="shared" ca="1" si="85"/>
        <v/>
      </c>
      <c r="S91" s="168" t="str">
        <f t="shared" ca="1" si="85"/>
        <v/>
      </c>
      <c r="T91" s="168" t="str">
        <f t="shared" ca="1" si="85"/>
        <v/>
      </c>
      <c r="U91" s="169" t="str">
        <f t="shared" ca="1" si="85"/>
        <v/>
      </c>
    </row>
    <row r="92" spans="2:21" x14ac:dyDescent="0.4">
      <c r="B92" s="896" t="s">
        <v>121</v>
      </c>
      <c r="C92" s="899" t="s">
        <v>126</v>
      </c>
      <c r="D92" s="161" t="str">
        <f>$D$7</f>
        <v>Débitmètre en charge</v>
      </c>
      <c r="E92" s="882" t="str">
        <f ca="1">IFERROR(AVERAGE(F94:F96)*$B$5,"")</f>
        <v/>
      </c>
      <c r="F92" s="197" t="str">
        <f t="shared" ca="1" si="5"/>
        <v/>
      </c>
      <c r="G92" s="192" t="str">
        <f t="shared" ref="G92:U92" ca="1" si="86">IF(F43&lt;&gt;"",_xlfn.SINGLE(INDIRECT(F43&amp;"!"&amp;$F$7)),"")</f>
        <v/>
      </c>
      <c r="H92" s="162" t="str">
        <f t="shared" ca="1" si="86"/>
        <v/>
      </c>
      <c r="I92" s="162" t="str">
        <f t="shared" ca="1" si="86"/>
        <v/>
      </c>
      <c r="J92" s="162" t="str">
        <f t="shared" ca="1" si="86"/>
        <v/>
      </c>
      <c r="K92" s="162" t="str">
        <f t="shared" ca="1" si="86"/>
        <v/>
      </c>
      <c r="L92" s="162" t="str">
        <f t="shared" ca="1" si="86"/>
        <v/>
      </c>
      <c r="M92" s="162" t="str">
        <f t="shared" ca="1" si="86"/>
        <v/>
      </c>
      <c r="N92" s="162" t="str">
        <f t="shared" ca="1" si="86"/>
        <v/>
      </c>
      <c r="O92" s="162" t="str">
        <f t="shared" ca="1" si="86"/>
        <v/>
      </c>
      <c r="P92" s="162" t="str">
        <f t="shared" ca="1" si="86"/>
        <v/>
      </c>
      <c r="Q92" s="162" t="str">
        <f t="shared" ca="1" si="86"/>
        <v/>
      </c>
      <c r="R92" s="162" t="str">
        <f t="shared" ca="1" si="86"/>
        <v/>
      </c>
      <c r="S92" s="162" t="str">
        <f t="shared" ca="1" si="86"/>
        <v/>
      </c>
      <c r="T92" s="162" t="str">
        <f t="shared" ca="1" si="86"/>
        <v/>
      </c>
      <c r="U92" s="163" t="str">
        <f t="shared" ca="1" si="86"/>
        <v/>
      </c>
    </row>
    <row r="93" spans="2:21" x14ac:dyDescent="0.4">
      <c r="B93" s="897"/>
      <c r="C93" s="900"/>
      <c r="D93" s="160" t="str">
        <f>$D$8</f>
        <v>Débitmètre gravitaire</v>
      </c>
      <c r="E93" s="883"/>
      <c r="F93" s="198" t="str">
        <f t="shared" ca="1" si="5"/>
        <v/>
      </c>
      <c r="G93" s="193" t="str">
        <f t="shared" ref="G93:U93" ca="1" si="87">IF(F44&lt;&gt;"",_xlfn.SINGLE(INDIRECT(F44&amp;"!"&amp;$F$8)),"")</f>
        <v/>
      </c>
      <c r="H93" s="13" t="str">
        <f t="shared" ca="1" si="87"/>
        <v/>
      </c>
      <c r="I93" s="13" t="str">
        <f t="shared" ca="1" si="87"/>
        <v/>
      </c>
      <c r="J93" s="13" t="str">
        <f t="shared" ca="1" si="87"/>
        <v/>
      </c>
      <c r="K93" s="13" t="str">
        <f t="shared" ca="1" si="87"/>
        <v/>
      </c>
      <c r="L93" s="13" t="str">
        <f t="shared" ca="1" si="87"/>
        <v/>
      </c>
      <c r="M93" s="13" t="str">
        <f t="shared" ca="1" si="87"/>
        <v/>
      </c>
      <c r="N93" s="13" t="str">
        <f t="shared" ca="1" si="87"/>
        <v/>
      </c>
      <c r="O93" s="13" t="str">
        <f t="shared" ca="1" si="87"/>
        <v/>
      </c>
      <c r="P93" s="13" t="str">
        <f t="shared" ca="1" si="87"/>
        <v/>
      </c>
      <c r="Q93" s="13" t="str">
        <f t="shared" ca="1" si="87"/>
        <v/>
      </c>
      <c r="R93" s="13" t="str">
        <f t="shared" ca="1" si="87"/>
        <v/>
      </c>
      <c r="S93" s="13" t="str">
        <f t="shared" ca="1" si="87"/>
        <v/>
      </c>
      <c r="T93" s="13" t="str">
        <f t="shared" ca="1" si="87"/>
        <v/>
      </c>
      <c r="U93" s="164" t="str">
        <f t="shared" ca="1" si="87"/>
        <v/>
      </c>
    </row>
    <row r="94" spans="2:21" x14ac:dyDescent="0.4">
      <c r="B94" s="897"/>
      <c r="C94" s="900"/>
      <c r="D94" s="160" t="s">
        <v>493</v>
      </c>
      <c r="E94" s="883"/>
      <c r="F94" s="198" t="str">
        <f t="shared" ref="F94" ca="1" si="88">IFERROR(AVERAGE(G94:U94),"")</f>
        <v/>
      </c>
      <c r="G94" s="194" t="str">
        <f ca="1">IF(COUNT(G92:G93)&gt;0,SUM(G92:G93),"")</f>
        <v/>
      </c>
      <c r="H94" s="183" t="str">
        <f t="shared" ref="H94" ca="1" si="89">IF(COUNT(H92:H93)&gt;0,SUM(H92:H93),"")</f>
        <v/>
      </c>
      <c r="I94" s="183" t="str">
        <f t="shared" ref="I94" ca="1" si="90">IF(COUNT(I92:I93)&gt;0,SUM(I92:I93),"")</f>
        <v/>
      </c>
      <c r="J94" s="183" t="str">
        <f t="shared" ref="J94" ca="1" si="91">IF(COUNT(J92:J93)&gt;0,SUM(J92:J93),"")</f>
        <v/>
      </c>
      <c r="K94" s="183" t="str">
        <f t="shared" ref="K94" ca="1" si="92">IF(COUNT(K92:K93)&gt;0,SUM(K92:K93),"")</f>
        <v/>
      </c>
      <c r="L94" s="183" t="str">
        <f t="shared" ref="L94" ca="1" si="93">IF(COUNT(L92:L93)&gt;0,SUM(L92:L93),"")</f>
        <v/>
      </c>
      <c r="M94" s="183" t="str">
        <f t="shared" ref="M94" ca="1" si="94">IF(COUNT(M92:M93)&gt;0,SUM(M92:M93),"")</f>
        <v/>
      </c>
      <c r="N94" s="183" t="str">
        <f t="shared" ref="N94" ca="1" si="95">IF(COUNT(N92:N93)&gt;0,SUM(N92:N93),"")</f>
        <v/>
      </c>
      <c r="O94" s="183" t="str">
        <f t="shared" ref="O94" ca="1" si="96">IF(COUNT(O92:O93)&gt;0,SUM(O92:O93),"")</f>
        <v/>
      </c>
      <c r="P94" s="183" t="str">
        <f t="shared" ref="P94" ca="1" si="97">IF(COUNT(P92:P93)&gt;0,SUM(P92:P93),"")</f>
        <v/>
      </c>
      <c r="Q94" s="183" t="str">
        <f t="shared" ref="Q94" ca="1" si="98">IF(COUNT(Q92:Q93)&gt;0,SUM(Q92:Q93),"")</f>
        <v/>
      </c>
      <c r="R94" s="183" t="str">
        <f t="shared" ref="R94" ca="1" si="99">IF(COUNT(R92:R93)&gt;0,SUM(R92:R93),"")</f>
        <v/>
      </c>
      <c r="S94" s="183" t="str">
        <f t="shared" ref="S94" ca="1" si="100">IF(COUNT(S92:S93)&gt;0,SUM(S92:S93),"")</f>
        <v/>
      </c>
      <c r="T94" s="183" t="str">
        <f t="shared" ref="T94" ca="1" si="101">IF(COUNT(T92:T93)&gt;0,SUM(T92:T93),"")</f>
        <v/>
      </c>
      <c r="U94" s="184" t="str">
        <f t="shared" ref="U94" ca="1" si="102">IF(COUNT(U92:U93)&gt;0,SUM(U92:U93),"")</f>
        <v/>
      </c>
    </row>
    <row r="95" spans="2:21" x14ac:dyDescent="0.4">
      <c r="B95" s="897"/>
      <c r="C95" s="900"/>
      <c r="D95" s="160" t="str">
        <f>$D$9</f>
        <v>Préleveur</v>
      </c>
      <c r="E95" s="883"/>
      <c r="F95" s="198" t="str">
        <f t="shared" ca="1" si="5"/>
        <v/>
      </c>
      <c r="G95" s="193" t="str">
        <f t="shared" ref="G95:U95" ca="1" si="103">IF(F45&lt;&gt;"",_xlfn.SINGLE(INDIRECT(F45&amp;"!"&amp;$F$9)),"")</f>
        <v/>
      </c>
      <c r="H95" s="13" t="str">
        <f t="shared" ca="1" si="103"/>
        <v/>
      </c>
      <c r="I95" s="13" t="str">
        <f t="shared" ca="1" si="103"/>
        <v/>
      </c>
      <c r="J95" s="13" t="str">
        <f t="shared" ca="1" si="103"/>
        <v/>
      </c>
      <c r="K95" s="13" t="str">
        <f t="shared" ca="1" si="103"/>
        <v/>
      </c>
      <c r="L95" s="13" t="str">
        <f t="shared" ca="1" si="103"/>
        <v/>
      </c>
      <c r="M95" s="13" t="str">
        <f t="shared" ca="1" si="103"/>
        <v/>
      </c>
      <c r="N95" s="13" t="str">
        <f t="shared" ca="1" si="103"/>
        <v/>
      </c>
      <c r="O95" s="13" t="str">
        <f t="shared" ca="1" si="103"/>
        <v/>
      </c>
      <c r="P95" s="13" t="str">
        <f t="shared" ca="1" si="103"/>
        <v/>
      </c>
      <c r="Q95" s="13" t="str">
        <f t="shared" ca="1" si="103"/>
        <v/>
      </c>
      <c r="R95" s="13" t="str">
        <f t="shared" ca="1" si="103"/>
        <v/>
      </c>
      <c r="S95" s="13" t="str">
        <f t="shared" ca="1" si="103"/>
        <v/>
      </c>
      <c r="T95" s="13" t="str">
        <f t="shared" ca="1" si="103"/>
        <v/>
      </c>
      <c r="U95" s="164" t="str">
        <f t="shared" ca="1" si="103"/>
        <v/>
      </c>
    </row>
    <row r="96" spans="2:21" x14ac:dyDescent="0.4">
      <c r="B96" s="897"/>
      <c r="C96" s="900"/>
      <c r="D96" s="386" t="s">
        <v>482</v>
      </c>
      <c r="E96" s="883"/>
      <c r="F96" s="198" t="str">
        <f t="shared" ca="1" si="5"/>
        <v/>
      </c>
      <c r="G96" s="388" t="str">
        <f ca="1">IF(F51&lt;&gt;"",VLOOKUP(F51,Analytique!$X$3:$AD$36,6,FALSE),"")</f>
        <v/>
      </c>
      <c r="H96" s="388" t="str">
        <f ca="1">IF(G51&lt;&gt;"",VLOOKUP(G51,Analytique!$X$3:$AD$36,6,FALSE),"")</f>
        <v/>
      </c>
      <c r="I96" s="388" t="str">
        <f ca="1">IF(H51&lt;&gt;"",VLOOKUP(H51,Analytique!$X$3:$AD$36,6,FALSE),"")</f>
        <v/>
      </c>
      <c r="J96" s="388" t="str">
        <f ca="1">IF(I51&lt;&gt;"",VLOOKUP(I51,Analytique!$X$3:$AD$36,6,FALSE),"")</f>
        <v/>
      </c>
      <c r="K96" s="388" t="str">
        <f ca="1">IF(J51&lt;&gt;"",VLOOKUP(J51,Analytique!$X$3:$AD$36,6,FALSE),"")</f>
        <v/>
      </c>
      <c r="L96" s="388" t="str">
        <f ca="1">IF(K51&lt;&gt;"",VLOOKUP(K51,Analytique!$X$3:$AD$36,6,FALSE),"")</f>
        <v/>
      </c>
      <c r="M96" s="388" t="str">
        <f ca="1">IF(L51&lt;&gt;"",VLOOKUP(L51,Analytique!$X$3:$AD$36,6,FALSE),"")</f>
        <v/>
      </c>
      <c r="N96" s="388" t="str">
        <f ca="1">IF(M51&lt;&gt;"",VLOOKUP(M51,Analytique!$X$3:$AD$36,6,FALSE),"")</f>
        <v/>
      </c>
      <c r="O96" s="388" t="str">
        <f ca="1">IF(N51&lt;&gt;"",VLOOKUP(N51,Analytique!$X$3:$AD$36,6,FALSE),"")</f>
        <v/>
      </c>
      <c r="P96" s="388" t="str">
        <f ca="1">IF(O51&lt;&gt;"",VLOOKUP(O51,Analytique!$X$3:$AD$36,6,FALSE),"")</f>
        <v/>
      </c>
      <c r="Q96" s="388" t="str">
        <f ca="1">IF(P51&lt;&gt;"",VLOOKUP(P51,Analytique!$X$3:$AD$36,6,FALSE),"")</f>
        <v/>
      </c>
      <c r="R96" s="388" t="str">
        <f ca="1">IF(Q51&lt;&gt;"",VLOOKUP(Q51,Analytique!$X$3:$AD$36,6,FALSE),"")</f>
        <v/>
      </c>
      <c r="S96" s="388" t="str">
        <f ca="1">IF(R51&lt;&gt;"",VLOOKUP(R51,Analytique!$X$3:$AD$36,6,FALSE),"")</f>
        <v/>
      </c>
      <c r="T96" s="388" t="str">
        <f ca="1">IF(S51&lt;&gt;"",VLOOKUP(S51,Analytique!$X$3:$AD$36,6,FALSE),"")</f>
        <v/>
      </c>
      <c r="U96" s="389" t="str">
        <f ca="1">IF(T51&lt;&gt;"",VLOOKUP(T51,Analytique!$X$3:$AD$36,6,FALSE),"")</f>
        <v/>
      </c>
    </row>
    <row r="97" spans="2:21" ht="13" thickBot="1" x14ac:dyDescent="0.45">
      <c r="B97" s="898"/>
      <c r="C97" s="901"/>
      <c r="D97" s="165" t="str">
        <f>$D$10</f>
        <v>Sonde de température</v>
      </c>
      <c r="E97" s="884"/>
      <c r="F97" s="199" t="str">
        <f t="shared" ca="1" si="5"/>
        <v/>
      </c>
      <c r="G97" s="195" t="str">
        <f t="shared" ref="G97:U97" ca="1" si="104">IF(F47&lt;&gt;"",_xlfn.SINGLE(INDIRECT(F47&amp;"!"&amp;$F$10)),"")</f>
        <v/>
      </c>
      <c r="H97" s="168" t="str">
        <f t="shared" ca="1" si="104"/>
        <v/>
      </c>
      <c r="I97" s="168" t="str">
        <f t="shared" ca="1" si="104"/>
        <v/>
      </c>
      <c r="J97" s="168" t="str">
        <f t="shared" ca="1" si="104"/>
        <v/>
      </c>
      <c r="K97" s="168" t="str">
        <f t="shared" ca="1" si="104"/>
        <v/>
      </c>
      <c r="L97" s="168" t="str">
        <f t="shared" ca="1" si="104"/>
        <v/>
      </c>
      <c r="M97" s="168" t="str">
        <f t="shared" ca="1" si="104"/>
        <v/>
      </c>
      <c r="N97" s="168" t="str">
        <f t="shared" ca="1" si="104"/>
        <v/>
      </c>
      <c r="O97" s="168" t="str">
        <f t="shared" ca="1" si="104"/>
        <v/>
      </c>
      <c r="P97" s="168" t="str">
        <f t="shared" ca="1" si="104"/>
        <v/>
      </c>
      <c r="Q97" s="168" t="str">
        <f t="shared" ca="1" si="104"/>
        <v/>
      </c>
      <c r="R97" s="168" t="str">
        <f t="shared" ca="1" si="104"/>
        <v/>
      </c>
      <c r="S97" s="168" t="str">
        <f t="shared" ca="1" si="104"/>
        <v/>
      </c>
      <c r="T97" s="168" t="str">
        <f t="shared" ca="1" si="104"/>
        <v/>
      </c>
      <c r="U97" s="169" t="str">
        <f t="shared" ca="1" si="104"/>
        <v/>
      </c>
    </row>
    <row r="98" spans="2:21" x14ac:dyDescent="0.4">
      <c r="B98" s="896" t="s">
        <v>108</v>
      </c>
      <c r="C98" s="899" t="s">
        <v>110</v>
      </c>
      <c r="D98" s="161" t="str">
        <f>$D$7</f>
        <v>Débitmètre en charge</v>
      </c>
      <c r="E98" s="882" t="str">
        <f ca="1">IFERROR(AVERAGE(F100:F102)*$B$5,"")</f>
        <v/>
      </c>
      <c r="F98" s="197" t="str">
        <f t="shared" ca="1" si="5"/>
        <v/>
      </c>
      <c r="G98" s="192" t="str">
        <f t="shared" ref="G98:U98" ca="1" si="105">IF(F48&lt;&gt;"",_xlfn.SINGLE(INDIRECT(F48&amp;"!"&amp;$F$7)),"")</f>
        <v/>
      </c>
      <c r="H98" s="162" t="str">
        <f t="shared" ca="1" si="105"/>
        <v/>
      </c>
      <c r="I98" s="162" t="str">
        <f t="shared" ca="1" si="105"/>
        <v/>
      </c>
      <c r="J98" s="162" t="str">
        <f t="shared" ca="1" si="105"/>
        <v/>
      </c>
      <c r="K98" s="162" t="str">
        <f t="shared" ca="1" si="105"/>
        <v/>
      </c>
      <c r="L98" s="162" t="str">
        <f t="shared" ca="1" si="105"/>
        <v/>
      </c>
      <c r="M98" s="162" t="str">
        <f t="shared" ca="1" si="105"/>
        <v/>
      </c>
      <c r="N98" s="162" t="str">
        <f t="shared" ca="1" si="105"/>
        <v/>
      </c>
      <c r="O98" s="162" t="str">
        <f t="shared" ca="1" si="105"/>
        <v/>
      </c>
      <c r="P98" s="162" t="str">
        <f t="shared" ca="1" si="105"/>
        <v/>
      </c>
      <c r="Q98" s="162" t="str">
        <f t="shared" ca="1" si="105"/>
        <v/>
      </c>
      <c r="R98" s="162" t="str">
        <f t="shared" ca="1" si="105"/>
        <v/>
      </c>
      <c r="S98" s="162" t="str">
        <f t="shared" ca="1" si="105"/>
        <v/>
      </c>
      <c r="T98" s="162" t="str">
        <f t="shared" ca="1" si="105"/>
        <v/>
      </c>
      <c r="U98" s="163" t="str">
        <f t="shared" ca="1" si="105"/>
        <v/>
      </c>
    </row>
    <row r="99" spans="2:21" x14ac:dyDescent="0.4">
      <c r="B99" s="897"/>
      <c r="C99" s="900"/>
      <c r="D99" s="160" t="str">
        <f>$D$8</f>
        <v>Débitmètre gravitaire</v>
      </c>
      <c r="E99" s="883"/>
      <c r="F99" s="198" t="str">
        <f t="shared" ca="1" si="5"/>
        <v/>
      </c>
      <c r="G99" s="193" t="str">
        <f t="shared" ref="G99:U99" ca="1" si="106">IF(F49&lt;&gt;"",_xlfn.SINGLE(INDIRECT(F49&amp;"!"&amp;$F$8)),"")</f>
        <v/>
      </c>
      <c r="H99" s="13" t="str">
        <f t="shared" ca="1" si="106"/>
        <v/>
      </c>
      <c r="I99" s="13" t="str">
        <f t="shared" ca="1" si="106"/>
        <v/>
      </c>
      <c r="J99" s="13" t="str">
        <f t="shared" ca="1" si="106"/>
        <v/>
      </c>
      <c r="K99" s="13" t="str">
        <f t="shared" ca="1" si="106"/>
        <v/>
      </c>
      <c r="L99" s="13" t="str">
        <f t="shared" ca="1" si="106"/>
        <v/>
      </c>
      <c r="M99" s="13" t="str">
        <f t="shared" ca="1" si="106"/>
        <v/>
      </c>
      <c r="N99" s="13" t="str">
        <f t="shared" ca="1" si="106"/>
        <v/>
      </c>
      <c r="O99" s="13" t="str">
        <f t="shared" ca="1" si="106"/>
        <v/>
      </c>
      <c r="P99" s="13" t="str">
        <f t="shared" ca="1" si="106"/>
        <v/>
      </c>
      <c r="Q99" s="13" t="str">
        <f t="shared" ca="1" si="106"/>
        <v/>
      </c>
      <c r="R99" s="13" t="str">
        <f t="shared" ca="1" si="106"/>
        <v/>
      </c>
      <c r="S99" s="13" t="str">
        <f t="shared" ca="1" si="106"/>
        <v/>
      </c>
      <c r="T99" s="13" t="str">
        <f t="shared" ca="1" si="106"/>
        <v/>
      </c>
      <c r="U99" s="164" t="str">
        <f t="shared" ca="1" si="106"/>
        <v/>
      </c>
    </row>
    <row r="100" spans="2:21" x14ac:dyDescent="0.4">
      <c r="B100" s="897"/>
      <c r="C100" s="900"/>
      <c r="D100" s="160" t="s">
        <v>493</v>
      </c>
      <c r="E100" s="883"/>
      <c r="F100" s="198" t="str">
        <f t="shared" ref="F100" ca="1" si="107">IFERROR(AVERAGE(G100:U100),"")</f>
        <v/>
      </c>
      <c r="G100" s="194" t="str">
        <f ca="1">IF(COUNT(G98:G99)&gt;0,SUM(G98:G99),"")</f>
        <v/>
      </c>
      <c r="H100" s="183" t="str">
        <f t="shared" ref="H100" ca="1" si="108">IF(COUNT(H98:H99)&gt;0,SUM(H98:H99),"")</f>
        <v/>
      </c>
      <c r="I100" s="183" t="str">
        <f t="shared" ref="I100" ca="1" si="109">IF(COUNT(I98:I99)&gt;0,SUM(I98:I99),"")</f>
        <v/>
      </c>
      <c r="J100" s="183" t="str">
        <f t="shared" ref="J100" ca="1" si="110">IF(COUNT(J98:J99)&gt;0,SUM(J98:J99),"")</f>
        <v/>
      </c>
      <c r="K100" s="183" t="str">
        <f t="shared" ref="K100" ca="1" si="111">IF(COUNT(K98:K99)&gt;0,SUM(K98:K99),"")</f>
        <v/>
      </c>
      <c r="L100" s="183" t="str">
        <f t="shared" ref="L100" ca="1" si="112">IF(COUNT(L98:L99)&gt;0,SUM(L98:L99),"")</f>
        <v/>
      </c>
      <c r="M100" s="183" t="str">
        <f t="shared" ref="M100" ca="1" si="113">IF(COUNT(M98:M99)&gt;0,SUM(M98:M99),"")</f>
        <v/>
      </c>
      <c r="N100" s="183" t="str">
        <f t="shared" ref="N100" ca="1" si="114">IF(COUNT(N98:N99)&gt;0,SUM(N98:N99),"")</f>
        <v/>
      </c>
      <c r="O100" s="183" t="str">
        <f t="shared" ref="O100" ca="1" si="115">IF(COUNT(O98:O99)&gt;0,SUM(O98:O99),"")</f>
        <v/>
      </c>
      <c r="P100" s="183" t="str">
        <f t="shared" ref="P100" ca="1" si="116">IF(COUNT(P98:P99)&gt;0,SUM(P98:P99),"")</f>
        <v/>
      </c>
      <c r="Q100" s="183" t="str">
        <f t="shared" ref="Q100" ca="1" si="117">IF(COUNT(Q98:Q99)&gt;0,SUM(Q98:Q99),"")</f>
        <v/>
      </c>
      <c r="R100" s="183" t="str">
        <f t="shared" ref="R100" ca="1" si="118">IF(COUNT(R98:R99)&gt;0,SUM(R98:R99),"")</f>
        <v/>
      </c>
      <c r="S100" s="183" t="str">
        <f t="shared" ref="S100" ca="1" si="119">IF(COUNT(S98:S99)&gt;0,SUM(S98:S99),"")</f>
        <v/>
      </c>
      <c r="T100" s="183" t="str">
        <f t="shared" ref="T100" ca="1" si="120">IF(COUNT(T98:T99)&gt;0,SUM(T98:T99),"")</f>
        <v/>
      </c>
      <c r="U100" s="184" t="str">
        <f t="shared" ref="U100" ca="1" si="121">IF(COUNT(U98:U99)&gt;0,SUM(U98:U99),"")</f>
        <v/>
      </c>
    </row>
    <row r="101" spans="2:21" x14ac:dyDescent="0.4">
      <c r="B101" s="897"/>
      <c r="C101" s="900"/>
      <c r="D101" s="160" t="str">
        <f>$D$9</f>
        <v>Préleveur</v>
      </c>
      <c r="E101" s="883"/>
      <c r="F101" s="198" t="str">
        <f t="shared" ca="1" si="5"/>
        <v/>
      </c>
      <c r="G101" s="193" t="str">
        <f t="shared" ref="G101:U101" ca="1" si="122">IF(F50&lt;&gt;"",_xlfn.SINGLE(INDIRECT(F50&amp;"!"&amp;$F$9)),"")</f>
        <v/>
      </c>
      <c r="H101" s="13" t="str">
        <f t="shared" ca="1" si="122"/>
        <v/>
      </c>
      <c r="I101" s="13" t="str">
        <f t="shared" ca="1" si="122"/>
        <v/>
      </c>
      <c r="J101" s="13" t="str">
        <f t="shared" ca="1" si="122"/>
        <v/>
      </c>
      <c r="K101" s="13" t="str">
        <f t="shared" ca="1" si="122"/>
        <v/>
      </c>
      <c r="L101" s="13" t="str">
        <f t="shared" ca="1" si="122"/>
        <v/>
      </c>
      <c r="M101" s="13" t="str">
        <f t="shared" ca="1" si="122"/>
        <v/>
      </c>
      <c r="N101" s="13" t="str">
        <f t="shared" ca="1" si="122"/>
        <v/>
      </c>
      <c r="O101" s="13" t="str">
        <f t="shared" ca="1" si="122"/>
        <v/>
      </c>
      <c r="P101" s="13" t="str">
        <f t="shared" ca="1" si="122"/>
        <v/>
      </c>
      <c r="Q101" s="13" t="str">
        <f t="shared" ca="1" si="122"/>
        <v/>
      </c>
      <c r="R101" s="13" t="str">
        <f t="shared" ca="1" si="122"/>
        <v/>
      </c>
      <c r="S101" s="13" t="str">
        <f t="shared" ca="1" si="122"/>
        <v/>
      </c>
      <c r="T101" s="13" t="str">
        <f t="shared" ca="1" si="122"/>
        <v/>
      </c>
      <c r="U101" s="164" t="str">
        <f t="shared" ca="1" si="122"/>
        <v/>
      </c>
    </row>
    <row r="102" spans="2:21" x14ac:dyDescent="0.4">
      <c r="B102" s="897"/>
      <c r="C102" s="900"/>
      <c r="D102" s="386" t="s">
        <v>482</v>
      </c>
      <c r="E102" s="883"/>
      <c r="F102" s="198" t="str">
        <f t="shared" ca="1" si="5"/>
        <v/>
      </c>
      <c r="G102" s="388" t="str">
        <f ca="1">IF(F57&lt;&gt;"",VLOOKUP(F57,Analytique!$X$3:$AD$36,6,FALSE),"")</f>
        <v/>
      </c>
      <c r="H102" s="388" t="str">
        <f ca="1">IF(G57&lt;&gt;"",VLOOKUP(G57,Analytique!$X$3:$AD$36,6,FALSE),"")</f>
        <v/>
      </c>
      <c r="I102" s="388" t="str">
        <f ca="1">IF(H57&lt;&gt;"",VLOOKUP(H57,Analytique!$X$3:$AD$36,6,FALSE),"")</f>
        <v/>
      </c>
      <c r="J102" s="388" t="str">
        <f ca="1">IF(I57&lt;&gt;"",VLOOKUP(I57,Analytique!$X$3:$AD$36,6,FALSE),"")</f>
        <v/>
      </c>
      <c r="K102" s="388" t="str">
        <f ca="1">IF(J57&lt;&gt;"",VLOOKUP(J57,Analytique!$X$3:$AD$36,6,FALSE),"")</f>
        <v/>
      </c>
      <c r="L102" s="388" t="str">
        <f ca="1">IF(K57&lt;&gt;"",VLOOKUP(K57,Analytique!$X$3:$AD$36,6,FALSE),"")</f>
        <v/>
      </c>
      <c r="M102" s="388" t="str">
        <f ca="1">IF(L57&lt;&gt;"",VLOOKUP(L57,Analytique!$X$3:$AD$36,6,FALSE),"")</f>
        <v/>
      </c>
      <c r="N102" s="388" t="str">
        <f ca="1">IF(M57&lt;&gt;"",VLOOKUP(M57,Analytique!$X$3:$AD$36,6,FALSE),"")</f>
        <v/>
      </c>
      <c r="O102" s="388" t="str">
        <f ca="1">IF(N57&lt;&gt;"",VLOOKUP(N57,Analytique!$X$3:$AD$36,6,FALSE),"")</f>
        <v/>
      </c>
      <c r="P102" s="388" t="str">
        <f ca="1">IF(O57&lt;&gt;"",VLOOKUP(O57,Analytique!$X$3:$AD$36,6,FALSE),"")</f>
        <v/>
      </c>
      <c r="Q102" s="388" t="str">
        <f ca="1">IF(P57&lt;&gt;"",VLOOKUP(P57,Analytique!$X$3:$AD$36,6,FALSE),"")</f>
        <v/>
      </c>
      <c r="R102" s="388" t="str">
        <f ca="1">IF(Q57&lt;&gt;"",VLOOKUP(Q57,Analytique!$X$3:$AD$36,6,FALSE),"")</f>
        <v/>
      </c>
      <c r="S102" s="388" t="str">
        <f ca="1">IF(R57&lt;&gt;"",VLOOKUP(R57,Analytique!$X$3:$AD$36,6,FALSE),"")</f>
        <v/>
      </c>
      <c r="T102" s="388" t="str">
        <f ca="1">IF(S57&lt;&gt;"",VLOOKUP(S57,Analytique!$X$3:$AD$36,6,FALSE),"")</f>
        <v/>
      </c>
      <c r="U102" s="389" t="str">
        <f ca="1">IF(T57&lt;&gt;"",VLOOKUP(T57,Analytique!$X$3:$AD$36,6,FALSE),"")</f>
        <v/>
      </c>
    </row>
    <row r="103" spans="2:21" ht="13" thickBot="1" x14ac:dyDescent="0.45">
      <c r="B103" s="898"/>
      <c r="C103" s="901"/>
      <c r="D103" s="165" t="str">
        <f>$D$10</f>
        <v>Sonde de température</v>
      </c>
      <c r="E103" s="884"/>
      <c r="F103" s="199" t="str">
        <f t="shared" ca="1" si="5"/>
        <v/>
      </c>
      <c r="G103" s="195" t="str">
        <f t="shared" ref="G103:U103" ca="1" si="123">IF(F52&lt;&gt;"",_xlfn.SINGLE(INDIRECT(F52&amp;"!"&amp;$F$10)),"")</f>
        <v/>
      </c>
      <c r="H103" s="168" t="str">
        <f t="shared" ca="1" si="123"/>
        <v/>
      </c>
      <c r="I103" s="168" t="str">
        <f t="shared" ca="1" si="123"/>
        <v/>
      </c>
      <c r="J103" s="168" t="str">
        <f t="shared" ca="1" si="123"/>
        <v/>
      </c>
      <c r="K103" s="168" t="str">
        <f t="shared" ca="1" si="123"/>
        <v/>
      </c>
      <c r="L103" s="168" t="str">
        <f t="shared" ca="1" si="123"/>
        <v/>
      </c>
      <c r="M103" s="168" t="str">
        <f t="shared" ca="1" si="123"/>
        <v/>
      </c>
      <c r="N103" s="168" t="str">
        <f t="shared" ca="1" si="123"/>
        <v/>
      </c>
      <c r="O103" s="168" t="str">
        <f t="shared" ca="1" si="123"/>
        <v/>
      </c>
      <c r="P103" s="168" t="str">
        <f t="shared" ca="1" si="123"/>
        <v/>
      </c>
      <c r="Q103" s="168" t="str">
        <f t="shared" ca="1" si="123"/>
        <v/>
      </c>
      <c r="R103" s="168" t="str">
        <f t="shared" ca="1" si="123"/>
        <v/>
      </c>
      <c r="S103" s="168" t="str">
        <f t="shared" ca="1" si="123"/>
        <v/>
      </c>
      <c r="T103" s="168" t="str">
        <f t="shared" ca="1" si="123"/>
        <v/>
      </c>
      <c r="U103" s="169" t="str">
        <f t="shared" ca="1" si="123"/>
        <v/>
      </c>
    </row>
    <row r="104" spans="2:21" x14ac:dyDescent="0.4">
      <c r="B104" s="896" t="s">
        <v>123</v>
      </c>
      <c r="C104" s="899" t="s">
        <v>130</v>
      </c>
      <c r="D104" s="161" t="str">
        <f>$D$7</f>
        <v>Débitmètre en charge</v>
      </c>
      <c r="E104" s="882" t="str">
        <f ca="1">IFERROR(AVERAGE(F106:F108)*$B$5,"")</f>
        <v/>
      </c>
      <c r="F104" s="197" t="str">
        <f t="shared" ca="1" si="5"/>
        <v/>
      </c>
      <c r="G104" s="192" t="str">
        <f t="shared" ref="G104:U104" ca="1" si="124">IF(F53&lt;&gt;"",_xlfn.SINGLE(INDIRECT(F53&amp;"!"&amp;$F$7)),"")</f>
        <v/>
      </c>
      <c r="H104" s="162" t="str">
        <f t="shared" ca="1" si="124"/>
        <v/>
      </c>
      <c r="I104" s="162" t="str">
        <f t="shared" ca="1" si="124"/>
        <v/>
      </c>
      <c r="J104" s="162" t="str">
        <f t="shared" ca="1" si="124"/>
        <v/>
      </c>
      <c r="K104" s="162" t="str">
        <f t="shared" ca="1" si="124"/>
        <v/>
      </c>
      <c r="L104" s="162" t="str">
        <f t="shared" ca="1" si="124"/>
        <v/>
      </c>
      <c r="M104" s="162" t="str">
        <f t="shared" ca="1" si="124"/>
        <v/>
      </c>
      <c r="N104" s="162" t="str">
        <f t="shared" ca="1" si="124"/>
        <v/>
      </c>
      <c r="O104" s="162" t="str">
        <f t="shared" ca="1" si="124"/>
        <v/>
      </c>
      <c r="P104" s="162" t="str">
        <f t="shared" ca="1" si="124"/>
        <v/>
      </c>
      <c r="Q104" s="162" t="str">
        <f t="shared" ca="1" si="124"/>
        <v/>
      </c>
      <c r="R104" s="162" t="str">
        <f t="shared" ca="1" si="124"/>
        <v/>
      </c>
      <c r="S104" s="162" t="str">
        <f t="shared" ca="1" si="124"/>
        <v/>
      </c>
      <c r="T104" s="162" t="str">
        <f t="shared" ca="1" si="124"/>
        <v/>
      </c>
      <c r="U104" s="163" t="str">
        <f t="shared" ca="1" si="124"/>
        <v/>
      </c>
    </row>
    <row r="105" spans="2:21" x14ac:dyDescent="0.4">
      <c r="B105" s="897"/>
      <c r="C105" s="900"/>
      <c r="D105" s="160" t="str">
        <f>$D$8</f>
        <v>Débitmètre gravitaire</v>
      </c>
      <c r="E105" s="883"/>
      <c r="F105" s="198" t="str">
        <f t="shared" ca="1" si="5"/>
        <v/>
      </c>
      <c r="G105" s="193" t="str">
        <f t="shared" ref="G105:U105" ca="1" si="125">IF(F54&lt;&gt;"",_xlfn.SINGLE(INDIRECT(F54&amp;"!"&amp;$F$8)),"")</f>
        <v/>
      </c>
      <c r="H105" s="13" t="str">
        <f t="shared" ca="1" si="125"/>
        <v/>
      </c>
      <c r="I105" s="13" t="str">
        <f t="shared" ca="1" si="125"/>
        <v/>
      </c>
      <c r="J105" s="13" t="str">
        <f t="shared" ca="1" si="125"/>
        <v/>
      </c>
      <c r="K105" s="13" t="str">
        <f t="shared" ca="1" si="125"/>
        <v/>
      </c>
      <c r="L105" s="13" t="str">
        <f t="shared" ca="1" si="125"/>
        <v/>
      </c>
      <c r="M105" s="13" t="str">
        <f t="shared" ca="1" si="125"/>
        <v/>
      </c>
      <c r="N105" s="13" t="str">
        <f t="shared" ca="1" si="125"/>
        <v/>
      </c>
      <c r="O105" s="13" t="str">
        <f t="shared" ca="1" si="125"/>
        <v/>
      </c>
      <c r="P105" s="13" t="str">
        <f t="shared" ca="1" si="125"/>
        <v/>
      </c>
      <c r="Q105" s="13" t="str">
        <f t="shared" ca="1" si="125"/>
        <v/>
      </c>
      <c r="R105" s="13" t="str">
        <f t="shared" ca="1" si="125"/>
        <v/>
      </c>
      <c r="S105" s="13" t="str">
        <f t="shared" ca="1" si="125"/>
        <v/>
      </c>
      <c r="T105" s="13" t="str">
        <f t="shared" ca="1" si="125"/>
        <v/>
      </c>
      <c r="U105" s="164" t="str">
        <f t="shared" ca="1" si="125"/>
        <v/>
      </c>
    </row>
    <row r="106" spans="2:21" x14ac:dyDescent="0.4">
      <c r="B106" s="897"/>
      <c r="C106" s="900"/>
      <c r="D106" s="160" t="s">
        <v>493</v>
      </c>
      <c r="E106" s="883"/>
      <c r="F106" s="198" t="str">
        <f t="shared" ref="F106" ca="1" si="126">IFERROR(AVERAGE(G106:U106),"")</f>
        <v/>
      </c>
      <c r="G106" s="194" t="str">
        <f ca="1">IF(COUNT(G104:G105)&gt;0,SUM(G104:G105),"")</f>
        <v/>
      </c>
      <c r="H106" s="183" t="str">
        <f t="shared" ref="H106" ca="1" si="127">IF(COUNT(H104:H105)&gt;0,SUM(H104:H105),"")</f>
        <v/>
      </c>
      <c r="I106" s="183" t="str">
        <f t="shared" ref="I106" ca="1" si="128">IF(COUNT(I104:I105)&gt;0,SUM(I104:I105),"")</f>
        <v/>
      </c>
      <c r="J106" s="183" t="str">
        <f t="shared" ref="J106" ca="1" si="129">IF(COUNT(J104:J105)&gt;0,SUM(J104:J105),"")</f>
        <v/>
      </c>
      <c r="K106" s="183" t="str">
        <f t="shared" ref="K106" ca="1" si="130">IF(COUNT(K104:K105)&gt;0,SUM(K104:K105),"")</f>
        <v/>
      </c>
      <c r="L106" s="183" t="str">
        <f t="shared" ref="L106" ca="1" si="131">IF(COUNT(L104:L105)&gt;0,SUM(L104:L105),"")</f>
        <v/>
      </c>
      <c r="M106" s="183" t="str">
        <f t="shared" ref="M106" ca="1" si="132">IF(COUNT(M104:M105)&gt;0,SUM(M104:M105),"")</f>
        <v/>
      </c>
      <c r="N106" s="183" t="str">
        <f t="shared" ref="N106" ca="1" si="133">IF(COUNT(N104:N105)&gt;0,SUM(N104:N105),"")</f>
        <v/>
      </c>
      <c r="O106" s="183" t="str">
        <f t="shared" ref="O106" ca="1" si="134">IF(COUNT(O104:O105)&gt;0,SUM(O104:O105),"")</f>
        <v/>
      </c>
      <c r="P106" s="183" t="str">
        <f t="shared" ref="P106" ca="1" si="135">IF(COUNT(P104:P105)&gt;0,SUM(P104:P105),"")</f>
        <v/>
      </c>
      <c r="Q106" s="183" t="str">
        <f t="shared" ref="Q106" ca="1" si="136">IF(COUNT(Q104:Q105)&gt;0,SUM(Q104:Q105),"")</f>
        <v/>
      </c>
      <c r="R106" s="183" t="str">
        <f t="shared" ref="R106" ca="1" si="137">IF(COUNT(R104:R105)&gt;0,SUM(R104:R105),"")</f>
        <v/>
      </c>
      <c r="S106" s="183" t="str">
        <f t="shared" ref="S106" ca="1" si="138">IF(COUNT(S104:S105)&gt;0,SUM(S104:S105),"")</f>
        <v/>
      </c>
      <c r="T106" s="183" t="str">
        <f t="shared" ref="T106" ca="1" si="139">IF(COUNT(T104:T105)&gt;0,SUM(T104:T105),"")</f>
        <v/>
      </c>
      <c r="U106" s="184" t="str">
        <f t="shared" ref="U106" ca="1" si="140">IF(COUNT(U104:U105)&gt;0,SUM(U104:U105),"")</f>
        <v/>
      </c>
    </row>
    <row r="107" spans="2:21" x14ac:dyDescent="0.4">
      <c r="B107" s="897"/>
      <c r="C107" s="900"/>
      <c r="D107" s="160" t="str">
        <f>$D$9</f>
        <v>Préleveur</v>
      </c>
      <c r="E107" s="883"/>
      <c r="F107" s="198" t="str">
        <f t="shared" ca="1" si="5"/>
        <v/>
      </c>
      <c r="G107" s="193" t="str">
        <f t="shared" ref="G107:U107" ca="1" si="141">IF(F55&lt;&gt;"",_xlfn.SINGLE(INDIRECT(F55&amp;"!"&amp;$F$9)),"")</f>
        <v/>
      </c>
      <c r="H107" s="13" t="str">
        <f t="shared" ca="1" si="141"/>
        <v/>
      </c>
      <c r="I107" s="13" t="str">
        <f t="shared" ca="1" si="141"/>
        <v/>
      </c>
      <c r="J107" s="13" t="str">
        <f t="shared" ca="1" si="141"/>
        <v/>
      </c>
      <c r="K107" s="13" t="str">
        <f t="shared" ca="1" si="141"/>
        <v/>
      </c>
      <c r="L107" s="13" t="str">
        <f t="shared" ca="1" si="141"/>
        <v/>
      </c>
      <c r="M107" s="13" t="str">
        <f t="shared" ca="1" si="141"/>
        <v/>
      </c>
      <c r="N107" s="13" t="str">
        <f t="shared" ca="1" si="141"/>
        <v/>
      </c>
      <c r="O107" s="13" t="str">
        <f t="shared" ca="1" si="141"/>
        <v/>
      </c>
      <c r="P107" s="13" t="str">
        <f t="shared" ca="1" si="141"/>
        <v/>
      </c>
      <c r="Q107" s="13" t="str">
        <f t="shared" ca="1" si="141"/>
        <v/>
      </c>
      <c r="R107" s="13" t="str">
        <f t="shared" ca="1" si="141"/>
        <v/>
      </c>
      <c r="S107" s="13" t="str">
        <f t="shared" ca="1" si="141"/>
        <v/>
      </c>
      <c r="T107" s="13" t="str">
        <f t="shared" ca="1" si="141"/>
        <v/>
      </c>
      <c r="U107" s="164" t="str">
        <f t="shared" ca="1" si="141"/>
        <v/>
      </c>
    </row>
    <row r="108" spans="2:21" x14ac:dyDescent="0.4">
      <c r="B108" s="897"/>
      <c r="C108" s="900"/>
      <c r="D108" s="386" t="s">
        <v>482</v>
      </c>
      <c r="E108" s="883"/>
      <c r="F108" s="198" t="str">
        <f t="shared" ca="1" si="5"/>
        <v/>
      </c>
      <c r="G108" s="388" t="str">
        <f ca="1">IF(F63&lt;&gt;"",VLOOKUP(F63,Analytique!$X$3:$AD$36,6,FALSE),"")</f>
        <v/>
      </c>
      <c r="H108" s="388" t="str">
        <f ca="1">IF(G63&lt;&gt;"",VLOOKUP(G63,Analytique!$X$3:$AD$36,6,FALSE),"")</f>
        <v/>
      </c>
      <c r="I108" s="388" t="str">
        <f ca="1">IF(H63&lt;&gt;"",VLOOKUP(H63,Analytique!$X$3:$AD$36,6,FALSE),"")</f>
        <v/>
      </c>
      <c r="J108" s="388" t="str">
        <f ca="1">IF(I63&lt;&gt;"",VLOOKUP(I63,Analytique!$X$3:$AD$36,6,FALSE),"")</f>
        <v/>
      </c>
      <c r="K108" s="388" t="str">
        <f ca="1">IF(J63&lt;&gt;"",VLOOKUP(J63,Analytique!$X$3:$AD$36,6,FALSE),"")</f>
        <v/>
      </c>
      <c r="L108" s="388" t="str">
        <f ca="1">IF(K63&lt;&gt;"",VLOOKUP(K63,Analytique!$X$3:$AD$36,6,FALSE),"")</f>
        <v/>
      </c>
      <c r="M108" s="388" t="str">
        <f ca="1">IF(L63&lt;&gt;"",VLOOKUP(L63,Analytique!$X$3:$AD$36,6,FALSE),"")</f>
        <v/>
      </c>
      <c r="N108" s="388" t="str">
        <f ca="1">IF(M63&lt;&gt;"",VLOOKUP(M63,Analytique!$X$3:$AD$36,6,FALSE),"")</f>
        <v/>
      </c>
      <c r="O108" s="388" t="str">
        <f ca="1">IF(N63&lt;&gt;"",VLOOKUP(N63,Analytique!$X$3:$AD$36,6,FALSE),"")</f>
        <v/>
      </c>
      <c r="P108" s="388" t="str">
        <f ca="1">IF(O63&lt;&gt;"",VLOOKUP(O63,Analytique!$X$3:$AD$36,6,FALSE),"")</f>
        <v/>
      </c>
      <c r="Q108" s="388" t="str">
        <f ca="1">IF(P63&lt;&gt;"",VLOOKUP(P63,Analytique!$X$3:$AD$36,6,FALSE),"")</f>
        <v/>
      </c>
      <c r="R108" s="388" t="str">
        <f ca="1">IF(Q63&lt;&gt;"",VLOOKUP(Q63,Analytique!$X$3:$AD$36,6,FALSE),"")</f>
        <v/>
      </c>
      <c r="S108" s="388" t="str">
        <f ca="1">IF(R63&lt;&gt;"",VLOOKUP(R63,Analytique!$X$3:$AD$36,6,FALSE),"")</f>
        <v/>
      </c>
      <c r="T108" s="388" t="str">
        <f ca="1">IF(S63&lt;&gt;"",VLOOKUP(S63,Analytique!$X$3:$AD$36,6,FALSE),"")</f>
        <v/>
      </c>
      <c r="U108" s="389" t="str">
        <f ca="1">IF(T63&lt;&gt;"",VLOOKUP(T63,Analytique!$X$3:$AD$36,6,FALSE),"")</f>
        <v/>
      </c>
    </row>
    <row r="109" spans="2:21" ht="13" thickBot="1" x14ac:dyDescent="0.45">
      <c r="B109" s="898"/>
      <c r="C109" s="901"/>
      <c r="D109" s="165" t="str">
        <f>$D$10</f>
        <v>Sonde de température</v>
      </c>
      <c r="E109" s="884"/>
      <c r="F109" s="199" t="str">
        <f t="shared" ca="1" si="5"/>
        <v/>
      </c>
      <c r="G109" s="195" t="str">
        <f t="shared" ref="G109:U109" ca="1" si="142">IF(F57&lt;&gt;"",_xlfn.SINGLE(INDIRECT(F57&amp;"!"&amp;$F$10)),"")</f>
        <v/>
      </c>
      <c r="H109" s="168" t="str">
        <f t="shared" ca="1" si="142"/>
        <v/>
      </c>
      <c r="I109" s="168" t="str">
        <f t="shared" ca="1" si="142"/>
        <v/>
      </c>
      <c r="J109" s="168" t="str">
        <f t="shared" ca="1" si="142"/>
        <v/>
      </c>
      <c r="K109" s="168" t="str">
        <f t="shared" ca="1" si="142"/>
        <v/>
      </c>
      <c r="L109" s="168" t="str">
        <f t="shared" ca="1" si="142"/>
        <v/>
      </c>
      <c r="M109" s="168" t="str">
        <f t="shared" ca="1" si="142"/>
        <v/>
      </c>
      <c r="N109" s="168" t="str">
        <f t="shared" ca="1" si="142"/>
        <v/>
      </c>
      <c r="O109" s="168" t="str">
        <f t="shared" ca="1" si="142"/>
        <v/>
      </c>
      <c r="P109" s="168" t="str">
        <f t="shared" ca="1" si="142"/>
        <v/>
      </c>
      <c r="Q109" s="168" t="str">
        <f t="shared" ca="1" si="142"/>
        <v/>
      </c>
      <c r="R109" s="168" t="str">
        <f t="shared" ca="1" si="142"/>
        <v/>
      </c>
      <c r="S109" s="168" t="str">
        <f t="shared" ca="1" si="142"/>
        <v/>
      </c>
      <c r="T109" s="168" t="str">
        <f t="shared" ca="1" si="142"/>
        <v/>
      </c>
      <c r="U109" s="169" t="str">
        <f t="shared" ca="1" si="142"/>
        <v/>
      </c>
    </row>
    <row r="112" spans="2:21" s="156" customFormat="1" ht="23.1" customHeight="1" x14ac:dyDescent="0.4">
      <c r="B112" s="157" t="s">
        <v>34</v>
      </c>
    </row>
    <row r="113" spans="2:21" ht="13" thickBot="1" x14ac:dyDescent="0.45">
      <c r="B113" t="s">
        <v>500</v>
      </c>
    </row>
    <row r="114" spans="2:21" s="12" customFormat="1" ht="15.95" customHeight="1" thickBot="1" x14ac:dyDescent="0.45">
      <c r="B114" s="181" t="s">
        <v>345</v>
      </c>
      <c r="C114" s="182" t="s">
        <v>346</v>
      </c>
      <c r="D114" s="187"/>
      <c r="E114" s="196" t="s">
        <v>356</v>
      </c>
      <c r="F114" s="188" t="s">
        <v>355</v>
      </c>
      <c r="G114" s="185" t="s">
        <v>9</v>
      </c>
      <c r="H114" s="185" t="s">
        <v>10</v>
      </c>
      <c r="I114" s="185" t="s">
        <v>11</v>
      </c>
      <c r="J114" s="185" t="s">
        <v>22</v>
      </c>
      <c r="K114" s="185" t="s">
        <v>23</v>
      </c>
      <c r="L114" s="185" t="s">
        <v>24</v>
      </c>
      <c r="M114" s="185" t="s">
        <v>25</v>
      </c>
      <c r="N114" s="185" t="s">
        <v>26</v>
      </c>
      <c r="O114" s="185" t="s">
        <v>27</v>
      </c>
      <c r="P114" s="185" t="s">
        <v>28</v>
      </c>
      <c r="Q114" s="185" t="s">
        <v>29</v>
      </c>
      <c r="R114" s="186" t="s">
        <v>30</v>
      </c>
      <c r="S114" s="186" t="s">
        <v>339</v>
      </c>
      <c r="T114" s="186" t="s">
        <v>340</v>
      </c>
      <c r="U114" s="186" t="s">
        <v>341</v>
      </c>
    </row>
    <row r="115" spans="2:21" ht="13" thickBot="1" x14ac:dyDescent="0.45">
      <c r="B115" s="885" t="s">
        <v>104</v>
      </c>
      <c r="C115" s="889" t="s">
        <v>105</v>
      </c>
      <c r="D115" s="190" t="str">
        <f>$D$7</f>
        <v>Débitmètre en charge</v>
      </c>
      <c r="E115" s="882" t="str" cm="1">
        <f t="array" aca="1" ref="E115" ca="1">IFERROR(LOOKUP(MIN(IF(LEFT(F115:F119,10)="Non validé",1,IF(F115:F119="Validé avec réserve",2,IF(F115:F119="Validé",3)))),{1,2,3},{"Non validé","Validé avec réserve","Validé"}),"")</f>
        <v/>
      </c>
      <c r="F115" s="190" t="str" cm="1">
        <f t="array" aca="1" ref="F115" ca="1">IFERROR(LOOKUP(MIN(IF(LEFT(G115:U115,10)="Non validé",1,IF(G115:U115="Validé avec réserve",2,IF(G115:U115="Validé",3)))),{1,2,3},{"Non validé","Validé avec réserve","Validé"}),"")</f>
        <v/>
      </c>
      <c r="G115" s="162" t="str">
        <f ca="1">IF(F19&lt;&gt;"",_xlfn.SINGLE(INDIRECT(F19&amp;"!"&amp;$G$7)),"")</f>
        <v/>
      </c>
      <c r="H115" s="162" t="str">
        <f ca="1">IF(G19&lt;&gt;"",_xlfn.SINGLE(INDIRECT(G19&amp;"!"&amp;$G$7)),"")</f>
        <v/>
      </c>
      <c r="I115" s="162" t="str">
        <f ca="1">IF(H19&lt;&gt;"",_xlfn.SINGLE(INDIRECT(H19&amp;"!"&amp;$G$7)),"")</f>
        <v/>
      </c>
      <c r="J115" s="162" t="str">
        <f t="shared" ref="J115:U115" ca="1" si="143">IF(I19&lt;&gt;"",_xlfn.SINGLE(INDIRECT(I19&amp;"!"&amp;$G$7)),"")</f>
        <v/>
      </c>
      <c r="K115" s="162" t="str">
        <f t="shared" ca="1" si="143"/>
        <v/>
      </c>
      <c r="L115" s="162" t="str">
        <f t="shared" ca="1" si="143"/>
        <v/>
      </c>
      <c r="M115" s="162" t="str">
        <f t="shared" ca="1" si="143"/>
        <v/>
      </c>
      <c r="N115" s="162" t="str">
        <f t="shared" ca="1" si="143"/>
        <v/>
      </c>
      <c r="O115" s="162" t="str">
        <f t="shared" ca="1" si="143"/>
        <v/>
      </c>
      <c r="P115" s="162" t="str">
        <f t="shared" ca="1" si="143"/>
        <v/>
      </c>
      <c r="Q115" s="162" t="str">
        <f t="shared" ca="1" si="143"/>
        <v/>
      </c>
      <c r="R115" s="162" t="str">
        <f t="shared" ca="1" si="143"/>
        <v/>
      </c>
      <c r="S115" s="162" t="str">
        <f t="shared" ca="1" si="143"/>
        <v/>
      </c>
      <c r="T115" s="162" t="str">
        <f t="shared" ca="1" si="143"/>
        <v/>
      </c>
      <c r="U115" s="162" t="str">
        <f t="shared" ca="1" si="143"/>
        <v/>
      </c>
    </row>
    <row r="116" spans="2:21" ht="13" thickBot="1" x14ac:dyDescent="0.45">
      <c r="B116" s="886"/>
      <c r="C116" s="890"/>
      <c r="D116" s="189" t="str">
        <f>$D$8</f>
        <v>Débitmètre gravitaire</v>
      </c>
      <c r="E116" s="883"/>
      <c r="F116" s="190" t="str" cm="1">
        <f t="array" aca="1" ref="F116" ca="1">IFERROR(LOOKUP(MIN(IF(LEFT(G116:U116,10)="Non validé",1,IF(G116:U116="Validé avec réserve",2,IF(G116:U116="Validé",3)))),{1,2,3},{"Non validé","Validé avec réserve","Validé"}),"")</f>
        <v/>
      </c>
      <c r="G116" s="13" t="str">
        <f t="shared" ref="G116:U116" ca="1" si="144">IF(F20&lt;&gt;"",_xlfn.SINGLE(INDIRECT(F20&amp;"!"&amp;$G$8)),"")</f>
        <v/>
      </c>
      <c r="H116" s="13" t="str">
        <f t="shared" ca="1" si="144"/>
        <v/>
      </c>
      <c r="I116" s="13" t="str">
        <f t="shared" ca="1" si="144"/>
        <v/>
      </c>
      <c r="J116" s="13" t="str">
        <f t="shared" ca="1" si="144"/>
        <v/>
      </c>
      <c r="K116" s="13" t="str">
        <f t="shared" ca="1" si="144"/>
        <v/>
      </c>
      <c r="L116" s="13" t="str">
        <f t="shared" ca="1" si="144"/>
        <v/>
      </c>
      <c r="M116" s="13" t="str">
        <f t="shared" ca="1" si="144"/>
        <v/>
      </c>
      <c r="N116" s="13" t="str">
        <f t="shared" ca="1" si="144"/>
        <v/>
      </c>
      <c r="O116" s="13" t="str">
        <f t="shared" ca="1" si="144"/>
        <v/>
      </c>
      <c r="P116" s="13" t="str">
        <f t="shared" ca="1" si="144"/>
        <v/>
      </c>
      <c r="Q116" s="13" t="str">
        <f t="shared" ca="1" si="144"/>
        <v/>
      </c>
      <c r="R116" s="13" t="str">
        <f t="shared" ca="1" si="144"/>
        <v/>
      </c>
      <c r="S116" s="13" t="str">
        <f t="shared" ca="1" si="144"/>
        <v/>
      </c>
      <c r="T116" s="13" t="str">
        <f t="shared" ca="1" si="144"/>
        <v/>
      </c>
      <c r="U116" s="13" t="str">
        <f t="shared" ca="1" si="144"/>
        <v/>
      </c>
    </row>
    <row r="117" spans="2:21" ht="13" thickBot="1" x14ac:dyDescent="0.45">
      <c r="B117" s="886"/>
      <c r="C117" s="890"/>
      <c r="D117" s="189" t="s">
        <v>493</v>
      </c>
      <c r="E117" s="883"/>
      <c r="F117" s="190" t="str" cm="1">
        <f t="array" aca="1" ref="F117" ca="1">IFERROR(LOOKUP(MIN(IF(LEFT(G117:U117,10)="Non validé",1,IF(G117:U117="Validé avec réserve",2,IF(G117:U117="Validé",3)))),{1,2,3},{"Non validé","Validé avec réserve","Validé"}),"")</f>
        <v/>
      </c>
      <c r="G117" s="183" t="str">
        <f ca="1">G115 &amp; G116</f>
        <v/>
      </c>
      <c r="H117" s="183" t="str">
        <f t="shared" ref="H117:U117" ca="1" si="145">H115 &amp; H116</f>
        <v/>
      </c>
      <c r="I117" s="183" t="str">
        <f t="shared" ca="1" si="145"/>
        <v/>
      </c>
      <c r="J117" s="183" t="str">
        <f t="shared" ca="1" si="145"/>
        <v/>
      </c>
      <c r="K117" s="183" t="str">
        <f t="shared" ca="1" si="145"/>
        <v/>
      </c>
      <c r="L117" s="183" t="str">
        <f t="shared" ca="1" si="145"/>
        <v/>
      </c>
      <c r="M117" s="183" t="str">
        <f t="shared" ca="1" si="145"/>
        <v/>
      </c>
      <c r="N117" s="183" t="str">
        <f t="shared" ca="1" si="145"/>
        <v/>
      </c>
      <c r="O117" s="183" t="str">
        <f t="shared" ca="1" si="145"/>
        <v/>
      </c>
      <c r="P117" s="183" t="str">
        <f t="shared" ca="1" si="145"/>
        <v/>
      </c>
      <c r="Q117" s="183" t="str">
        <f t="shared" ca="1" si="145"/>
        <v/>
      </c>
      <c r="R117" s="183" t="str">
        <f t="shared" ca="1" si="145"/>
        <v/>
      </c>
      <c r="S117" s="183" t="str">
        <f t="shared" ca="1" si="145"/>
        <v/>
      </c>
      <c r="T117" s="183" t="str">
        <f t="shared" ca="1" si="145"/>
        <v/>
      </c>
      <c r="U117" s="183" t="str">
        <f t="shared" ca="1" si="145"/>
        <v/>
      </c>
    </row>
    <row r="118" spans="2:21" ht="13" thickBot="1" x14ac:dyDescent="0.45">
      <c r="B118" s="886"/>
      <c r="C118" s="890"/>
      <c r="D118" s="189" t="str">
        <f>$D$9</f>
        <v>Préleveur</v>
      </c>
      <c r="E118" s="883"/>
      <c r="F118" s="190" t="str" cm="1">
        <f t="array" aca="1" ref="F118" ca="1">IFERROR(LOOKUP(MIN(IF(LEFT(G118:U118,10)="Non validé",1,IF(G118:U118="Validé avec réserve",2,IF(G118:U118="Validé",3)))),{1,2,3},{"Non validé","Validé avec réserve","Validé"}),"")</f>
        <v/>
      </c>
      <c r="G118" s="13" t="str">
        <f t="shared" ref="G118:U118" ca="1" si="146">IF(F21&lt;&gt;"",_xlfn.SINGLE(INDIRECT(F21&amp;"!"&amp;$G$9)),"")</f>
        <v/>
      </c>
      <c r="H118" s="13" t="str">
        <f t="shared" ca="1" si="146"/>
        <v/>
      </c>
      <c r="I118" s="13" t="str">
        <f t="shared" ca="1" si="146"/>
        <v/>
      </c>
      <c r="J118" s="13" t="str">
        <f t="shared" ca="1" si="146"/>
        <v/>
      </c>
      <c r="K118" s="13" t="str">
        <f t="shared" ca="1" si="146"/>
        <v/>
      </c>
      <c r="L118" s="13" t="str">
        <f t="shared" ca="1" si="146"/>
        <v/>
      </c>
      <c r="M118" s="13" t="str">
        <f t="shared" ca="1" si="146"/>
        <v/>
      </c>
      <c r="N118" s="13" t="str">
        <f t="shared" ca="1" si="146"/>
        <v/>
      </c>
      <c r="O118" s="13" t="str">
        <f t="shared" ca="1" si="146"/>
        <v/>
      </c>
      <c r="P118" s="13" t="str">
        <f t="shared" ca="1" si="146"/>
        <v/>
      </c>
      <c r="Q118" s="13" t="str">
        <f t="shared" ca="1" si="146"/>
        <v/>
      </c>
      <c r="R118" s="13" t="str">
        <f t="shared" ca="1" si="146"/>
        <v/>
      </c>
      <c r="S118" s="13" t="str">
        <f t="shared" ca="1" si="146"/>
        <v/>
      </c>
      <c r="T118" s="13" t="str">
        <f t="shared" ca="1" si="146"/>
        <v/>
      </c>
      <c r="U118" s="13" t="str">
        <f t="shared" ca="1" si="146"/>
        <v/>
      </c>
    </row>
    <row r="119" spans="2:21" ht="13" thickBot="1" x14ac:dyDescent="0.45">
      <c r="B119" s="887"/>
      <c r="C119" s="891"/>
      <c r="D119" s="390" t="s">
        <v>482</v>
      </c>
      <c r="E119" s="883"/>
      <c r="F119" s="190" t="str" cm="1">
        <f t="array" aca="1" ref="F119" ca="1">IFERROR(LOOKUP(MIN(IF(LEFT(G119:U119,10)="Non validé",1,IF(G119:U119="Validé avec réserve",2,IF(G119:U119="Validé",3)))),{1,2,3},{"Non validé","Validé avec réserve","Validé"}),"")</f>
        <v/>
      </c>
      <c r="G119" s="388" t="str">
        <f ca="1">IF(F21&lt;&gt;"",VLOOKUP(F21,Analytique!$X$3:$AD$36,7,FALSE),"")</f>
        <v/>
      </c>
      <c r="H119" s="388" t="str">
        <f ca="1">IF(G21&lt;&gt;"",VLOOKUP(G21,Analytique!$X$3:$AD$36,7,FALSE),"")</f>
        <v/>
      </c>
      <c r="I119" s="388" t="str">
        <f ca="1">IF(H21&lt;&gt;"",VLOOKUP(H21,Analytique!$X$3:$AD$36,7,FALSE),"")</f>
        <v/>
      </c>
      <c r="J119" s="388" t="str">
        <f ca="1">IF(I21&lt;&gt;"",VLOOKUP(I21,Analytique!$X$3:$AD$36,7,FALSE),"")</f>
        <v/>
      </c>
      <c r="K119" s="388" t="str">
        <f ca="1">IF(J21&lt;&gt;"",VLOOKUP(J21,Analytique!$X$3:$AD$36,7,FALSE),"")</f>
        <v/>
      </c>
      <c r="L119" s="388" t="str">
        <f ca="1">IF(K21&lt;&gt;"",VLOOKUP(K21,Analytique!$X$3:$AD$36,7,FALSE),"")</f>
        <v/>
      </c>
      <c r="M119" s="388" t="str">
        <f ca="1">IF(L21&lt;&gt;"",VLOOKUP(L21,Analytique!$X$3:$AD$36,7,FALSE),"")</f>
        <v/>
      </c>
      <c r="N119" s="388" t="str">
        <f ca="1">IF(M21&lt;&gt;"",VLOOKUP(M21,Analytique!$X$3:$AD$36,7,FALSE),"")</f>
        <v/>
      </c>
      <c r="O119" s="388" t="str">
        <f ca="1">IF(N21&lt;&gt;"",VLOOKUP(N21,Analytique!$X$3:$AD$36,7,FALSE),"")</f>
        <v/>
      </c>
      <c r="P119" s="388" t="str">
        <f ca="1">IF(O21&lt;&gt;"",VLOOKUP(O21,Analytique!$X$3:$AD$36,7,FALSE),"")</f>
        <v/>
      </c>
      <c r="Q119" s="388" t="str">
        <f ca="1">IF(P21&lt;&gt;"",VLOOKUP(P21,Analytique!$X$3:$AD$36,7,FALSE),"")</f>
        <v/>
      </c>
      <c r="R119" s="388" t="str">
        <f ca="1">IF(Q21&lt;&gt;"",VLOOKUP(Q21,Analytique!$X$3:$AD$36,7,FALSE),"")</f>
        <v/>
      </c>
      <c r="S119" s="388" t="str">
        <f ca="1">IF(R21&lt;&gt;"",VLOOKUP(R21,Analytique!$X$3:$AD$36,7,FALSE),"")</f>
        <v/>
      </c>
      <c r="T119" s="388" t="str">
        <f ca="1">IF(S21&lt;&gt;"",VLOOKUP(S21,Analytique!$X$3:$AD$36,7,FALSE),"")</f>
        <v/>
      </c>
      <c r="U119" s="388" t="str">
        <f ca="1">IF(T21&lt;&gt;"",VLOOKUP(T21,Analytique!$X$3:$AD$36,7,FALSE),"")</f>
        <v/>
      </c>
    </row>
    <row r="120" spans="2:21" ht="13" thickBot="1" x14ac:dyDescent="0.45">
      <c r="B120" s="888"/>
      <c r="C120" s="892"/>
      <c r="D120" s="191" t="str">
        <f>$D$10</f>
        <v>Sonde de température</v>
      </c>
      <c r="E120" s="884"/>
      <c r="F120" s="190" t="str" cm="1">
        <f t="array" aca="1" ref="F120" ca="1">IFERROR(LOOKUP(MIN(IF(LEFT(G120:U120,10)="Non validé",1,IF(G120:U120="Validé avec réserve",2,IF(G120:U120="Validé",3)))),{1,2,3},{"Non validé","Validé avec réserve","Validé"}),"")</f>
        <v/>
      </c>
      <c r="G120" s="168" t="str">
        <f t="shared" ref="G120:U120" ca="1" si="147">IF(F23&lt;&gt;"",_xlfn.SINGLE(INDIRECT(F23&amp;"!"&amp;$G$10)),"")</f>
        <v/>
      </c>
      <c r="H120" s="168" t="str">
        <f t="shared" ca="1" si="147"/>
        <v/>
      </c>
      <c r="I120" s="168" t="str">
        <f t="shared" ca="1" si="147"/>
        <v/>
      </c>
      <c r="J120" s="168" t="str">
        <f t="shared" ca="1" si="147"/>
        <v/>
      </c>
      <c r="K120" s="168" t="str">
        <f t="shared" ca="1" si="147"/>
        <v/>
      </c>
      <c r="L120" s="168" t="str">
        <f t="shared" ca="1" si="147"/>
        <v/>
      </c>
      <c r="M120" s="168" t="str">
        <f t="shared" ca="1" si="147"/>
        <v/>
      </c>
      <c r="N120" s="168" t="str">
        <f t="shared" ca="1" si="147"/>
        <v/>
      </c>
      <c r="O120" s="168" t="str">
        <f t="shared" ca="1" si="147"/>
        <v/>
      </c>
      <c r="P120" s="168" t="str">
        <f t="shared" ca="1" si="147"/>
        <v/>
      </c>
      <c r="Q120" s="168" t="str">
        <f t="shared" ca="1" si="147"/>
        <v/>
      </c>
      <c r="R120" s="168" t="str">
        <f t="shared" ca="1" si="147"/>
        <v/>
      </c>
      <c r="S120" s="168" t="str">
        <f t="shared" ca="1" si="147"/>
        <v/>
      </c>
      <c r="T120" s="168" t="str">
        <f t="shared" ca="1" si="147"/>
        <v/>
      </c>
      <c r="U120" s="168" t="str">
        <f t="shared" ca="1" si="147"/>
        <v/>
      </c>
    </row>
    <row r="121" spans="2:21" ht="13" thickBot="1" x14ac:dyDescent="0.45">
      <c r="B121" s="885" t="s">
        <v>65</v>
      </c>
      <c r="C121" s="889" t="s">
        <v>114</v>
      </c>
      <c r="D121" s="190" t="str">
        <f>$D$7</f>
        <v>Débitmètre en charge</v>
      </c>
      <c r="E121" s="882" t="str" cm="1">
        <f t="array" aca="1" ref="E121" ca="1">IFERROR(LOOKUP(MIN(IF(LEFT(F121:F125,10)="Non validé",1,IF(F121:F125="Validé avec réserve",2,IF(F121:F125="Validé",3)))),{1,2,3},{"Non validé","Validé avec réserve","Validé"}),"")</f>
        <v/>
      </c>
      <c r="F121" s="190" t="str" cm="1">
        <f t="array" aca="1" ref="F121" ca="1">IFERROR(LOOKUP(MIN(IF(LEFT(G121:U121,10)="Non validé",1,IF(G121:U121="Validé avec réserve",2,IF(G121:U121="Validé",3)))),{1,2,3},{"Non validé","Validé avec réserve","Validé"}),"")</f>
        <v/>
      </c>
      <c r="G121" s="162" t="str">
        <f t="shared" ref="G121:U121" ca="1" si="148">IF(F24&lt;&gt;"",_xlfn.SINGLE(INDIRECT(F24&amp;"!"&amp;$G$7)),"")</f>
        <v/>
      </c>
      <c r="H121" s="162" t="str">
        <f t="shared" ca="1" si="148"/>
        <v/>
      </c>
      <c r="I121" s="162" t="str">
        <f t="shared" ca="1" si="148"/>
        <v/>
      </c>
      <c r="J121" s="162" t="str">
        <f t="shared" ca="1" si="148"/>
        <v/>
      </c>
      <c r="K121" s="162" t="str">
        <f t="shared" ca="1" si="148"/>
        <v/>
      </c>
      <c r="L121" s="162" t="str">
        <f t="shared" ca="1" si="148"/>
        <v/>
      </c>
      <c r="M121" s="162" t="str">
        <f t="shared" ca="1" si="148"/>
        <v/>
      </c>
      <c r="N121" s="162" t="str">
        <f t="shared" ca="1" si="148"/>
        <v/>
      </c>
      <c r="O121" s="162" t="str">
        <f t="shared" ca="1" si="148"/>
        <v/>
      </c>
      <c r="P121" s="162" t="str">
        <f t="shared" ca="1" si="148"/>
        <v/>
      </c>
      <c r="Q121" s="162" t="str">
        <f t="shared" ca="1" si="148"/>
        <v/>
      </c>
      <c r="R121" s="162" t="str">
        <f t="shared" ca="1" si="148"/>
        <v/>
      </c>
      <c r="S121" s="162" t="str">
        <f t="shared" ca="1" si="148"/>
        <v/>
      </c>
      <c r="T121" s="162" t="str">
        <f t="shared" ca="1" si="148"/>
        <v/>
      </c>
      <c r="U121" s="162" t="str">
        <f t="shared" ca="1" si="148"/>
        <v/>
      </c>
    </row>
    <row r="122" spans="2:21" ht="13" thickBot="1" x14ac:dyDescent="0.45">
      <c r="B122" s="886"/>
      <c r="C122" s="890"/>
      <c r="D122" s="189" t="str">
        <f>$D$8</f>
        <v>Débitmètre gravitaire</v>
      </c>
      <c r="E122" s="883"/>
      <c r="F122" s="190" t="str" cm="1">
        <f t="array" aca="1" ref="F122" ca="1">IFERROR(LOOKUP(MIN(IF(LEFT(G122:U122,10)="Non validé",1,IF(G122:U122="Validé avec réserve",2,IF(G122:U122="Validé",3)))),{1,2,3},{"Non validé","Validé avec réserve","Validé"}),"")</f>
        <v/>
      </c>
      <c r="G122" s="13" t="str">
        <f t="shared" ref="G122:U122" ca="1" si="149">IF(F25&lt;&gt;"",_xlfn.SINGLE(INDIRECT(F25&amp;"!"&amp;$G$8)),"")</f>
        <v/>
      </c>
      <c r="H122" s="13" t="str">
        <f t="shared" ca="1" si="149"/>
        <v/>
      </c>
      <c r="I122" s="13" t="str">
        <f t="shared" ca="1" si="149"/>
        <v/>
      </c>
      <c r="J122" s="13" t="str">
        <f t="shared" ca="1" si="149"/>
        <v/>
      </c>
      <c r="K122" s="13" t="str">
        <f t="shared" ca="1" si="149"/>
        <v/>
      </c>
      <c r="L122" s="13" t="str">
        <f t="shared" ca="1" si="149"/>
        <v/>
      </c>
      <c r="M122" s="13" t="str">
        <f t="shared" ca="1" si="149"/>
        <v/>
      </c>
      <c r="N122" s="13" t="str">
        <f t="shared" ca="1" si="149"/>
        <v/>
      </c>
      <c r="O122" s="13" t="str">
        <f t="shared" ca="1" si="149"/>
        <v/>
      </c>
      <c r="P122" s="13" t="str">
        <f t="shared" ca="1" si="149"/>
        <v/>
      </c>
      <c r="Q122" s="13" t="str">
        <f t="shared" ca="1" si="149"/>
        <v/>
      </c>
      <c r="R122" s="13" t="str">
        <f t="shared" ca="1" si="149"/>
        <v/>
      </c>
      <c r="S122" s="13" t="str">
        <f t="shared" ca="1" si="149"/>
        <v/>
      </c>
      <c r="T122" s="13" t="str">
        <f t="shared" ca="1" si="149"/>
        <v/>
      </c>
      <c r="U122" s="13" t="str">
        <f t="shared" ca="1" si="149"/>
        <v/>
      </c>
    </row>
    <row r="123" spans="2:21" ht="13" thickBot="1" x14ac:dyDescent="0.45">
      <c r="B123" s="886"/>
      <c r="C123" s="890"/>
      <c r="D123" s="189" t="s">
        <v>493</v>
      </c>
      <c r="E123" s="883"/>
      <c r="F123" s="190" t="str" cm="1">
        <f t="array" aca="1" ref="F123" ca="1">IFERROR(LOOKUP(MIN(IF(LEFT(G123:U123,10)="Non validé",1,IF(G123:U123="Validé avec réserve",2,IF(G123:U123="Validé",3)))),{1,2,3},{"Non validé","Validé avec réserve","Validé"}),"")</f>
        <v/>
      </c>
      <c r="G123" s="183" t="str">
        <f ca="1">G121 &amp; G122</f>
        <v/>
      </c>
      <c r="H123" s="183" t="str">
        <f t="shared" ref="H123:U123" ca="1" si="150">H121 &amp; H122</f>
        <v/>
      </c>
      <c r="I123" s="183" t="str">
        <f t="shared" ca="1" si="150"/>
        <v/>
      </c>
      <c r="J123" s="183" t="str">
        <f t="shared" ca="1" si="150"/>
        <v/>
      </c>
      <c r="K123" s="183" t="str">
        <f t="shared" ca="1" si="150"/>
        <v/>
      </c>
      <c r="L123" s="183" t="str">
        <f t="shared" ca="1" si="150"/>
        <v/>
      </c>
      <c r="M123" s="183" t="str">
        <f t="shared" ca="1" si="150"/>
        <v/>
      </c>
      <c r="N123" s="183" t="str">
        <f t="shared" ca="1" si="150"/>
        <v/>
      </c>
      <c r="O123" s="183" t="str">
        <f t="shared" ca="1" si="150"/>
        <v/>
      </c>
      <c r="P123" s="183" t="str">
        <f t="shared" ca="1" si="150"/>
        <v/>
      </c>
      <c r="Q123" s="183" t="str">
        <f t="shared" ca="1" si="150"/>
        <v/>
      </c>
      <c r="R123" s="183" t="str">
        <f t="shared" ca="1" si="150"/>
        <v/>
      </c>
      <c r="S123" s="183" t="str">
        <f t="shared" ca="1" si="150"/>
        <v/>
      </c>
      <c r="T123" s="183" t="str">
        <f t="shared" ca="1" si="150"/>
        <v/>
      </c>
      <c r="U123" s="183" t="str">
        <f t="shared" ca="1" si="150"/>
        <v/>
      </c>
    </row>
    <row r="124" spans="2:21" ht="13" thickBot="1" x14ac:dyDescent="0.45">
      <c r="B124" s="886"/>
      <c r="C124" s="890"/>
      <c r="D124" s="189" t="str">
        <f>$D$9</f>
        <v>Préleveur</v>
      </c>
      <c r="E124" s="883"/>
      <c r="F124" s="190" t="str" cm="1">
        <f t="array" aca="1" ref="F124" ca="1">IFERROR(LOOKUP(MIN(IF(LEFT(G124:U124,10)="Non validé",1,IF(G124:U124="Validé avec réserve",2,IF(G124:U124="Validé",3)))),{1,2,3},{"Non validé","Validé avec réserve","Validé"}),"")</f>
        <v/>
      </c>
      <c r="G124" s="13" t="str">
        <f t="shared" ref="G124:U124" ca="1" si="151">IF(F26&lt;&gt;"",_xlfn.SINGLE(INDIRECT(F26&amp;"!"&amp;$G$9)),"")</f>
        <v/>
      </c>
      <c r="H124" s="13" t="str">
        <f t="shared" ca="1" si="151"/>
        <v/>
      </c>
      <c r="I124" s="13" t="str">
        <f t="shared" ca="1" si="151"/>
        <v/>
      </c>
      <c r="J124" s="13" t="str">
        <f t="shared" ca="1" si="151"/>
        <v/>
      </c>
      <c r="K124" s="13" t="str">
        <f t="shared" ca="1" si="151"/>
        <v/>
      </c>
      <c r="L124" s="13" t="str">
        <f t="shared" ca="1" si="151"/>
        <v/>
      </c>
      <c r="M124" s="13" t="str">
        <f t="shared" ca="1" si="151"/>
        <v/>
      </c>
      <c r="N124" s="13" t="str">
        <f t="shared" ca="1" si="151"/>
        <v/>
      </c>
      <c r="O124" s="13" t="str">
        <f t="shared" ca="1" si="151"/>
        <v/>
      </c>
      <c r="P124" s="13" t="str">
        <f t="shared" ca="1" si="151"/>
        <v/>
      </c>
      <c r="Q124" s="13" t="str">
        <f t="shared" ca="1" si="151"/>
        <v/>
      </c>
      <c r="R124" s="13" t="str">
        <f t="shared" ca="1" si="151"/>
        <v/>
      </c>
      <c r="S124" s="13" t="str">
        <f t="shared" ca="1" si="151"/>
        <v/>
      </c>
      <c r="T124" s="13" t="str">
        <f t="shared" ca="1" si="151"/>
        <v/>
      </c>
      <c r="U124" s="13" t="str">
        <f t="shared" ca="1" si="151"/>
        <v/>
      </c>
    </row>
    <row r="125" spans="2:21" ht="13" thickBot="1" x14ac:dyDescent="0.45">
      <c r="B125" s="887"/>
      <c r="C125" s="891"/>
      <c r="D125" s="390" t="s">
        <v>482</v>
      </c>
      <c r="E125" s="883"/>
      <c r="F125" s="190" t="str" cm="1">
        <f t="array" aca="1" ref="F125" ca="1">IFERROR(LOOKUP(MIN(IF(LEFT(G125:U125,10)="Non validé",1,IF(G125:U125="Validé avec réserve",2,IF(G125:U125="Validé",3)))),{1,2,3},{"Non validé","Validé avec réserve","Validé"}),"")</f>
        <v/>
      </c>
      <c r="G125" s="388" t="str">
        <f ca="1">IF(F27&lt;&gt;"",VLOOKUP(F27,Analytique!$X$3:$AD$36,7,FALSE),"")</f>
        <v/>
      </c>
      <c r="H125" s="388" t="str">
        <f ca="1">IF(G27&lt;&gt;"",VLOOKUP(G27,Analytique!$X$3:$AD$36,7,FALSE),"")</f>
        <v/>
      </c>
      <c r="I125" s="388" t="str">
        <f ca="1">IF(H27&lt;&gt;"",VLOOKUP(H27,Analytique!$X$3:$AD$36,7,FALSE),"")</f>
        <v/>
      </c>
      <c r="J125" s="388" t="str">
        <f ca="1">IF(I27&lt;&gt;"",VLOOKUP(I27,Analytique!$X$3:$AD$36,7,FALSE),"")</f>
        <v/>
      </c>
      <c r="K125" s="388" t="str">
        <f ca="1">IF(J27&lt;&gt;"",VLOOKUP(J27,Analytique!$X$3:$AD$36,7,FALSE),"")</f>
        <v/>
      </c>
      <c r="L125" s="388" t="str">
        <f ca="1">IF(K27&lt;&gt;"",VLOOKUP(K27,Analytique!$X$3:$AD$36,7,FALSE),"")</f>
        <v/>
      </c>
      <c r="M125" s="388" t="str">
        <f ca="1">IF(L27&lt;&gt;"",VLOOKUP(L27,Analytique!$X$3:$AD$36,7,FALSE),"")</f>
        <v/>
      </c>
      <c r="N125" s="388" t="str">
        <f ca="1">IF(M27&lt;&gt;"",VLOOKUP(M27,Analytique!$X$3:$AD$36,7,FALSE),"")</f>
        <v/>
      </c>
      <c r="O125" s="388" t="str">
        <f ca="1">IF(N27&lt;&gt;"",VLOOKUP(N27,Analytique!$X$3:$AD$36,7,FALSE),"")</f>
        <v/>
      </c>
      <c r="P125" s="388" t="str">
        <f ca="1">IF(O27&lt;&gt;"",VLOOKUP(O27,Analytique!$X$3:$AD$36,7,FALSE),"")</f>
        <v/>
      </c>
      <c r="Q125" s="388" t="str">
        <f ca="1">IF(P27&lt;&gt;"",VLOOKUP(P27,Analytique!$X$3:$AD$36,7,FALSE),"")</f>
        <v/>
      </c>
      <c r="R125" s="388" t="str">
        <f ca="1">IF(Q27&lt;&gt;"",VLOOKUP(Q27,Analytique!$X$3:$AD$36,7,FALSE),"")</f>
        <v/>
      </c>
      <c r="S125" s="388" t="str">
        <f ca="1">IF(R27&lt;&gt;"",VLOOKUP(R27,Analytique!$X$3:$AD$36,7,FALSE),"")</f>
        <v/>
      </c>
      <c r="T125" s="388" t="str">
        <f ca="1">IF(S27&lt;&gt;"",VLOOKUP(S27,Analytique!$X$3:$AD$36,7,FALSE),"")</f>
        <v/>
      </c>
      <c r="U125" s="388" t="str">
        <f ca="1">IF(T27&lt;&gt;"",VLOOKUP(T27,Analytique!$X$3:$AD$36,7,FALSE),"")</f>
        <v/>
      </c>
    </row>
    <row r="126" spans="2:21" ht="13" thickBot="1" x14ac:dyDescent="0.45">
      <c r="B126" s="888"/>
      <c r="C126" s="892"/>
      <c r="D126" s="191" t="str">
        <f>$D$10</f>
        <v>Sonde de température</v>
      </c>
      <c r="E126" s="884"/>
      <c r="F126" s="190" t="str" cm="1">
        <f t="array" aca="1" ref="F126" ca="1">IFERROR(LOOKUP(MIN(IF(LEFT(G126:U126,10)="Non validé",1,IF(G126:U126="Validé avec réserve",2,IF(G126:U126="Validé",3)))),{1,2,3},{"Non validé","Validé avec réserve","Validé"}),"")</f>
        <v/>
      </c>
      <c r="G126" s="168" t="str">
        <f t="shared" ref="G126:U126" ca="1" si="152">IF(F28&lt;&gt;"",_xlfn.SINGLE(INDIRECT(F28&amp;"!"&amp;$G$10)),"")</f>
        <v/>
      </c>
      <c r="H126" s="168" t="str">
        <f t="shared" ca="1" si="152"/>
        <v/>
      </c>
      <c r="I126" s="168" t="str">
        <f t="shared" ca="1" si="152"/>
        <v/>
      </c>
      <c r="J126" s="168" t="str">
        <f t="shared" ca="1" si="152"/>
        <v/>
      </c>
      <c r="K126" s="168" t="str">
        <f t="shared" ca="1" si="152"/>
        <v/>
      </c>
      <c r="L126" s="168" t="str">
        <f t="shared" ca="1" si="152"/>
        <v/>
      </c>
      <c r="M126" s="168" t="str">
        <f t="shared" ca="1" si="152"/>
        <v/>
      </c>
      <c r="N126" s="168" t="str">
        <f t="shared" ca="1" si="152"/>
        <v/>
      </c>
      <c r="O126" s="168" t="str">
        <f t="shared" ca="1" si="152"/>
        <v/>
      </c>
      <c r="P126" s="168" t="str">
        <f t="shared" ca="1" si="152"/>
        <v/>
      </c>
      <c r="Q126" s="168" t="str">
        <f t="shared" ca="1" si="152"/>
        <v/>
      </c>
      <c r="R126" s="168" t="str">
        <f t="shared" ca="1" si="152"/>
        <v/>
      </c>
      <c r="S126" s="168" t="str">
        <f t="shared" ca="1" si="152"/>
        <v/>
      </c>
      <c r="T126" s="168" t="str">
        <f t="shared" ca="1" si="152"/>
        <v/>
      </c>
      <c r="U126" s="168" t="str">
        <f t="shared" ca="1" si="152"/>
        <v/>
      </c>
    </row>
    <row r="127" spans="2:21" ht="13" thickBot="1" x14ac:dyDescent="0.45">
      <c r="B127" s="885" t="s">
        <v>107</v>
      </c>
      <c r="C127" s="889" t="s">
        <v>122</v>
      </c>
      <c r="D127" s="190" t="str">
        <f>$D$7</f>
        <v>Débitmètre en charge</v>
      </c>
      <c r="E127" s="882" t="str" cm="1">
        <f t="array" aca="1" ref="E127" ca="1">IFERROR(LOOKUP(MIN(IF(LEFT(F127:F131,10)="Non validé",1,IF(F127:F131="Validé avec réserve",2,IF(F127:F131="Validé",3)))),{1,2,3},{"Non validé","Validé avec réserve","Validé"}),"")</f>
        <v/>
      </c>
      <c r="F127" s="190" t="str" cm="1">
        <f t="array" aca="1" ref="F127" ca="1">IFERROR(LOOKUP(MIN(IF(LEFT(G127:U127,10)="Non validé",1,IF(G127:U127="Validé avec réserve",2,IF(G127:U127="Validé",3)))),{1,2,3},{"Non validé","Validé avec réserve","Validé"}),"")</f>
        <v/>
      </c>
      <c r="G127" s="162" t="str">
        <f t="shared" ref="G127:U127" ca="1" si="153">IF(F29&lt;&gt;"",_xlfn.SINGLE(INDIRECT(F29&amp;"!"&amp;$G$7)),"")</f>
        <v/>
      </c>
      <c r="H127" s="162" t="str">
        <f t="shared" ca="1" si="153"/>
        <v/>
      </c>
      <c r="I127" s="162" t="str">
        <f t="shared" ca="1" si="153"/>
        <v/>
      </c>
      <c r="J127" s="162" t="str">
        <f t="shared" ca="1" si="153"/>
        <v/>
      </c>
      <c r="K127" s="162" t="str">
        <f t="shared" ca="1" si="153"/>
        <v/>
      </c>
      <c r="L127" s="162" t="str">
        <f t="shared" ca="1" si="153"/>
        <v/>
      </c>
      <c r="M127" s="162" t="str">
        <f t="shared" ca="1" si="153"/>
        <v/>
      </c>
      <c r="N127" s="162" t="str">
        <f t="shared" ca="1" si="153"/>
        <v/>
      </c>
      <c r="O127" s="162" t="str">
        <f t="shared" ca="1" si="153"/>
        <v/>
      </c>
      <c r="P127" s="162" t="str">
        <f t="shared" ca="1" si="153"/>
        <v/>
      </c>
      <c r="Q127" s="162" t="str">
        <f t="shared" ca="1" si="153"/>
        <v/>
      </c>
      <c r="R127" s="162" t="str">
        <f t="shared" ca="1" si="153"/>
        <v/>
      </c>
      <c r="S127" s="162" t="str">
        <f t="shared" ca="1" si="153"/>
        <v/>
      </c>
      <c r="T127" s="162" t="str">
        <f t="shared" ca="1" si="153"/>
        <v/>
      </c>
      <c r="U127" s="162" t="str">
        <f t="shared" ca="1" si="153"/>
        <v/>
      </c>
    </row>
    <row r="128" spans="2:21" ht="13" thickBot="1" x14ac:dyDescent="0.45">
      <c r="B128" s="886"/>
      <c r="C128" s="890"/>
      <c r="D128" s="189" t="str">
        <f>$D$8</f>
        <v>Débitmètre gravitaire</v>
      </c>
      <c r="E128" s="883"/>
      <c r="F128" s="190" t="str" cm="1">
        <f t="array" aca="1" ref="F128" ca="1">IFERROR(LOOKUP(MIN(IF(LEFT(G128:U128,10)="Non validé",1,IF(G128:U128="Validé avec réserve",2,IF(G128:U128="Validé",3)))),{1,2,3},{"Non validé","Validé avec réserve","Validé"}),"")</f>
        <v/>
      </c>
      <c r="G128" s="13" t="str">
        <f t="shared" ref="G128:U128" ca="1" si="154">IF(F30&lt;&gt;"",_xlfn.SINGLE(INDIRECT(F30&amp;"!"&amp;$G$8)),"")</f>
        <v/>
      </c>
      <c r="H128" s="13" t="str">
        <f t="shared" ca="1" si="154"/>
        <v/>
      </c>
      <c r="I128" s="13" t="str">
        <f t="shared" ca="1" si="154"/>
        <v/>
      </c>
      <c r="J128" s="13" t="str">
        <f t="shared" ca="1" si="154"/>
        <v/>
      </c>
      <c r="K128" s="13" t="str">
        <f t="shared" ca="1" si="154"/>
        <v/>
      </c>
      <c r="L128" s="13" t="str">
        <f t="shared" ca="1" si="154"/>
        <v/>
      </c>
      <c r="M128" s="13" t="str">
        <f t="shared" ca="1" si="154"/>
        <v/>
      </c>
      <c r="N128" s="13" t="str">
        <f t="shared" ca="1" si="154"/>
        <v/>
      </c>
      <c r="O128" s="13" t="str">
        <f t="shared" ca="1" si="154"/>
        <v/>
      </c>
      <c r="P128" s="13" t="str">
        <f t="shared" ca="1" si="154"/>
        <v/>
      </c>
      <c r="Q128" s="13" t="str">
        <f t="shared" ca="1" si="154"/>
        <v/>
      </c>
      <c r="R128" s="13" t="str">
        <f t="shared" ca="1" si="154"/>
        <v/>
      </c>
      <c r="S128" s="13" t="str">
        <f t="shared" ca="1" si="154"/>
        <v/>
      </c>
      <c r="T128" s="13" t="str">
        <f t="shared" ca="1" si="154"/>
        <v/>
      </c>
      <c r="U128" s="13" t="str">
        <f t="shared" ca="1" si="154"/>
        <v/>
      </c>
    </row>
    <row r="129" spans="2:21" ht="13" thickBot="1" x14ac:dyDescent="0.45">
      <c r="B129" s="886"/>
      <c r="C129" s="890"/>
      <c r="D129" s="189" t="s">
        <v>493</v>
      </c>
      <c r="E129" s="883"/>
      <c r="F129" s="190" t="str" cm="1">
        <f t="array" aca="1" ref="F129" ca="1">IFERROR(LOOKUP(MIN(IF(LEFT(G129:U129,10)="Non validé",1,IF(G129:U129="Validé avec réserve",2,IF(G129:U129="Validé",3)))),{1,2,3},{"Non validé","Validé avec réserve","Validé"}),"")</f>
        <v/>
      </c>
      <c r="G129" s="183" t="str">
        <f ca="1">G127 &amp; G128</f>
        <v/>
      </c>
      <c r="H129" s="183" t="str">
        <f t="shared" ref="H129:U129" ca="1" si="155">H127 &amp; H128</f>
        <v/>
      </c>
      <c r="I129" s="183" t="str">
        <f t="shared" ca="1" si="155"/>
        <v/>
      </c>
      <c r="J129" s="183" t="str">
        <f t="shared" ca="1" si="155"/>
        <v/>
      </c>
      <c r="K129" s="183" t="str">
        <f t="shared" ca="1" si="155"/>
        <v/>
      </c>
      <c r="L129" s="183" t="str">
        <f t="shared" ca="1" si="155"/>
        <v/>
      </c>
      <c r="M129" s="183" t="str">
        <f t="shared" ca="1" si="155"/>
        <v/>
      </c>
      <c r="N129" s="183" t="str">
        <f t="shared" ca="1" si="155"/>
        <v/>
      </c>
      <c r="O129" s="183" t="str">
        <f t="shared" ca="1" si="155"/>
        <v/>
      </c>
      <c r="P129" s="183" t="str">
        <f t="shared" ca="1" si="155"/>
        <v/>
      </c>
      <c r="Q129" s="183" t="str">
        <f t="shared" ca="1" si="155"/>
        <v/>
      </c>
      <c r="R129" s="183" t="str">
        <f t="shared" ca="1" si="155"/>
        <v/>
      </c>
      <c r="S129" s="183" t="str">
        <f t="shared" ca="1" si="155"/>
        <v/>
      </c>
      <c r="T129" s="183" t="str">
        <f t="shared" ca="1" si="155"/>
        <v/>
      </c>
      <c r="U129" s="183" t="str">
        <f t="shared" ca="1" si="155"/>
        <v/>
      </c>
    </row>
    <row r="130" spans="2:21" ht="13" thickBot="1" x14ac:dyDescent="0.45">
      <c r="B130" s="886"/>
      <c r="C130" s="890"/>
      <c r="D130" s="189" t="str">
        <f>$D$9</f>
        <v>Préleveur</v>
      </c>
      <c r="E130" s="883"/>
      <c r="F130" s="190" t="str" cm="1">
        <f t="array" aca="1" ref="F130" ca="1">IFERROR(LOOKUP(MIN(IF(LEFT(G130:U130,10)="Non validé",1,IF(G130:U130="Validé avec réserve",2,IF(G130:U130="Validé",3)))),{1,2,3},{"Non validé","Validé avec réserve","Validé"}),"")</f>
        <v/>
      </c>
      <c r="G130" s="13" t="str">
        <f t="shared" ref="G130:U130" ca="1" si="156">IF(F31&lt;&gt;"",_xlfn.SINGLE(INDIRECT(F31&amp;"!"&amp;$G$9)),"")</f>
        <v/>
      </c>
      <c r="H130" s="13" t="str">
        <f t="shared" ca="1" si="156"/>
        <v/>
      </c>
      <c r="I130" s="13" t="str">
        <f t="shared" ca="1" si="156"/>
        <v/>
      </c>
      <c r="J130" s="13" t="str">
        <f t="shared" ca="1" si="156"/>
        <v/>
      </c>
      <c r="K130" s="13" t="str">
        <f t="shared" ca="1" si="156"/>
        <v/>
      </c>
      <c r="L130" s="13" t="str">
        <f t="shared" ca="1" si="156"/>
        <v/>
      </c>
      <c r="M130" s="13" t="str">
        <f t="shared" ca="1" si="156"/>
        <v/>
      </c>
      <c r="N130" s="13" t="str">
        <f t="shared" ca="1" si="156"/>
        <v/>
      </c>
      <c r="O130" s="13" t="str">
        <f t="shared" ca="1" si="156"/>
        <v/>
      </c>
      <c r="P130" s="13" t="str">
        <f t="shared" ca="1" si="156"/>
        <v/>
      </c>
      <c r="Q130" s="13" t="str">
        <f t="shared" ca="1" si="156"/>
        <v/>
      </c>
      <c r="R130" s="13" t="str">
        <f t="shared" ca="1" si="156"/>
        <v/>
      </c>
      <c r="S130" s="13" t="str">
        <f t="shared" ca="1" si="156"/>
        <v/>
      </c>
      <c r="T130" s="13" t="str">
        <f t="shared" ca="1" si="156"/>
        <v/>
      </c>
      <c r="U130" s="13" t="str">
        <f t="shared" ca="1" si="156"/>
        <v/>
      </c>
    </row>
    <row r="131" spans="2:21" ht="13" thickBot="1" x14ac:dyDescent="0.45">
      <c r="B131" s="887"/>
      <c r="C131" s="891"/>
      <c r="D131" s="390" t="s">
        <v>482</v>
      </c>
      <c r="E131" s="883"/>
      <c r="F131" s="190" t="str" cm="1">
        <f t="array" aca="1" ref="F131" ca="1">IFERROR(LOOKUP(MIN(IF(LEFT(G131:U131,10)="Non validé",1,IF(G131:U131="Validé avec réserve",2,IF(G131:U131="Validé",3)))),{1,2,3},{"Non validé","Validé avec réserve","Validé"}),"")</f>
        <v/>
      </c>
      <c r="G131" s="388" t="str">
        <f ca="1">IF(F33&lt;&gt;"",VLOOKUP(F33,Analytique!$X$3:$AD$36,7,FALSE),"")</f>
        <v/>
      </c>
      <c r="H131" s="388" t="str">
        <f ca="1">IF(G33&lt;&gt;"",VLOOKUP(G33,Analytique!$X$3:$AD$36,7,FALSE),"")</f>
        <v/>
      </c>
      <c r="I131" s="388" t="str">
        <f ca="1">IF(H33&lt;&gt;"",VLOOKUP(H33,Analytique!$X$3:$AD$36,7,FALSE),"")</f>
        <v/>
      </c>
      <c r="J131" s="388" t="str">
        <f ca="1">IF(I33&lt;&gt;"",VLOOKUP(I33,Analytique!$X$3:$AD$36,7,FALSE),"")</f>
        <v/>
      </c>
      <c r="K131" s="388" t="str">
        <f ca="1">IF(J33&lt;&gt;"",VLOOKUP(J33,Analytique!$X$3:$AD$36,7,FALSE),"")</f>
        <v/>
      </c>
      <c r="L131" s="388" t="str">
        <f ca="1">IF(K33&lt;&gt;"",VLOOKUP(K33,Analytique!$X$3:$AD$36,7,FALSE),"")</f>
        <v/>
      </c>
      <c r="M131" s="388" t="str">
        <f ca="1">IF(L33&lt;&gt;"",VLOOKUP(L33,Analytique!$X$3:$AD$36,7,FALSE),"")</f>
        <v/>
      </c>
      <c r="N131" s="388" t="str">
        <f ca="1">IF(M33&lt;&gt;"",VLOOKUP(M33,Analytique!$X$3:$AD$36,7,FALSE),"")</f>
        <v/>
      </c>
      <c r="O131" s="388" t="str">
        <f ca="1">IF(N33&lt;&gt;"",VLOOKUP(N33,Analytique!$X$3:$AD$36,7,FALSE),"")</f>
        <v/>
      </c>
      <c r="P131" s="388" t="str">
        <f ca="1">IF(O33&lt;&gt;"",VLOOKUP(O33,Analytique!$X$3:$AD$36,7,FALSE),"")</f>
        <v/>
      </c>
      <c r="Q131" s="388" t="str">
        <f ca="1">IF(P33&lt;&gt;"",VLOOKUP(P33,Analytique!$X$3:$AD$36,7,FALSE),"")</f>
        <v/>
      </c>
      <c r="R131" s="388" t="str">
        <f ca="1">IF(Q33&lt;&gt;"",VLOOKUP(Q33,Analytique!$X$3:$AD$36,7,FALSE),"")</f>
        <v/>
      </c>
      <c r="S131" s="388" t="str">
        <f ca="1">IF(R33&lt;&gt;"",VLOOKUP(R33,Analytique!$X$3:$AD$36,7,FALSE),"")</f>
        <v/>
      </c>
      <c r="T131" s="388" t="str">
        <f ca="1">IF(S33&lt;&gt;"",VLOOKUP(S33,Analytique!$X$3:$AD$36,7,FALSE),"")</f>
        <v/>
      </c>
      <c r="U131" s="388" t="str">
        <f ca="1">IF(T33&lt;&gt;"",VLOOKUP(T33,Analytique!$X$3:$AD$36,7,FALSE),"")</f>
        <v/>
      </c>
    </row>
    <row r="132" spans="2:21" ht="13" thickBot="1" x14ac:dyDescent="0.45">
      <c r="B132" s="888"/>
      <c r="C132" s="892"/>
      <c r="D132" s="191" t="str">
        <f>$D$10</f>
        <v>Sonde de température</v>
      </c>
      <c r="E132" s="884"/>
      <c r="F132" s="190" t="str" cm="1">
        <f t="array" aca="1" ref="F132" ca="1">IFERROR(LOOKUP(MIN(IF(LEFT(G132:U132,10)="Non validé",1,IF(G132:U132="Validé avec réserve",2,IF(G132:U132="Validé",3)))),{1,2,3},{"Non validé","Validé avec réserve","Validé"}),"")</f>
        <v/>
      </c>
      <c r="G132" s="168" t="str">
        <f t="shared" ref="G132:U132" ca="1" si="157">IF(F33&lt;&gt;"",_xlfn.SINGLE(INDIRECT(F33&amp;"!"&amp;$G$10)),"")</f>
        <v/>
      </c>
      <c r="H132" s="168" t="str">
        <f t="shared" ca="1" si="157"/>
        <v/>
      </c>
      <c r="I132" s="168" t="str">
        <f t="shared" ca="1" si="157"/>
        <v/>
      </c>
      <c r="J132" s="168" t="str">
        <f t="shared" ca="1" si="157"/>
        <v/>
      </c>
      <c r="K132" s="168" t="str">
        <f t="shared" ca="1" si="157"/>
        <v/>
      </c>
      <c r="L132" s="168" t="str">
        <f t="shared" ca="1" si="157"/>
        <v/>
      </c>
      <c r="M132" s="168" t="str">
        <f t="shared" ca="1" si="157"/>
        <v/>
      </c>
      <c r="N132" s="168" t="str">
        <f t="shared" ca="1" si="157"/>
        <v/>
      </c>
      <c r="O132" s="168" t="str">
        <f t="shared" ca="1" si="157"/>
        <v/>
      </c>
      <c r="P132" s="168" t="str">
        <f t="shared" ca="1" si="157"/>
        <v/>
      </c>
      <c r="Q132" s="168" t="str">
        <f t="shared" ca="1" si="157"/>
        <v/>
      </c>
      <c r="R132" s="168" t="str">
        <f t="shared" ca="1" si="157"/>
        <v/>
      </c>
      <c r="S132" s="168" t="str">
        <f t="shared" ca="1" si="157"/>
        <v/>
      </c>
      <c r="T132" s="168" t="str">
        <f t="shared" ca="1" si="157"/>
        <v/>
      </c>
      <c r="U132" s="168" t="str">
        <f t="shared" ca="1" si="157"/>
        <v/>
      </c>
    </row>
    <row r="133" spans="2:21" ht="13" thickBot="1" x14ac:dyDescent="0.45">
      <c r="B133" s="885" t="s">
        <v>116</v>
      </c>
      <c r="C133" s="889" t="s">
        <v>124</v>
      </c>
      <c r="D133" s="190" t="str">
        <f>$D$7</f>
        <v>Débitmètre en charge</v>
      </c>
      <c r="E133" s="882" t="str" cm="1">
        <f t="array" aca="1" ref="E133" ca="1">IFERROR(LOOKUP(MIN(IF(LEFT(F133:F137,10)="Non validé",1,IF(F133:F137="Validé avec réserve",2,IF(F133:F137="Validé",3)))),{1,2,3},{"Non validé","Validé avec réserve","Validé"}),"")</f>
        <v/>
      </c>
      <c r="F133" s="190" t="str" cm="1">
        <f t="array" aca="1" ref="F133" ca="1">IFERROR(LOOKUP(MIN(IF(LEFT(G133:U133,10)="Non validé",1,IF(G133:U133="Validé avec réserve",2,IF(G133:U133="Validé",3)))),{1,2,3},{"Non validé","Validé avec réserve","Validé"}),"")</f>
        <v/>
      </c>
      <c r="G133" s="162" t="str">
        <f t="shared" ref="G133:U133" ca="1" si="158">IF(F34&lt;&gt;"",_xlfn.SINGLE(INDIRECT(F34&amp;"!"&amp;$G$7)),"")</f>
        <v/>
      </c>
      <c r="H133" s="162" t="str">
        <f t="shared" ca="1" si="158"/>
        <v/>
      </c>
      <c r="I133" s="162" t="str">
        <f t="shared" ca="1" si="158"/>
        <v/>
      </c>
      <c r="J133" s="162" t="str">
        <f t="shared" ca="1" si="158"/>
        <v/>
      </c>
      <c r="K133" s="162" t="str">
        <f t="shared" ca="1" si="158"/>
        <v/>
      </c>
      <c r="L133" s="162" t="str">
        <f t="shared" ca="1" si="158"/>
        <v/>
      </c>
      <c r="M133" s="162" t="str">
        <f t="shared" ca="1" si="158"/>
        <v/>
      </c>
      <c r="N133" s="162" t="str">
        <f t="shared" ca="1" si="158"/>
        <v/>
      </c>
      <c r="O133" s="162" t="str">
        <f t="shared" ca="1" si="158"/>
        <v/>
      </c>
      <c r="P133" s="162" t="str">
        <f t="shared" ca="1" si="158"/>
        <v/>
      </c>
      <c r="Q133" s="162" t="str">
        <f t="shared" ca="1" si="158"/>
        <v/>
      </c>
      <c r="R133" s="162" t="str">
        <f t="shared" ca="1" si="158"/>
        <v/>
      </c>
      <c r="S133" s="162" t="str">
        <f t="shared" ca="1" si="158"/>
        <v/>
      </c>
      <c r="T133" s="162" t="str">
        <f t="shared" ca="1" si="158"/>
        <v/>
      </c>
      <c r="U133" s="162" t="str">
        <f t="shared" ca="1" si="158"/>
        <v/>
      </c>
    </row>
    <row r="134" spans="2:21" ht="13" thickBot="1" x14ac:dyDescent="0.45">
      <c r="B134" s="886"/>
      <c r="C134" s="890"/>
      <c r="D134" s="189" t="str">
        <f>$D$8</f>
        <v>Débitmètre gravitaire</v>
      </c>
      <c r="E134" s="883"/>
      <c r="F134" s="190" t="str" cm="1">
        <f t="array" aca="1" ref="F134" ca="1">IFERROR(LOOKUP(MIN(IF(LEFT(G134:U134,10)="Non validé",1,IF(G134:U134="Validé avec réserve",2,IF(G134:U134="Validé",3)))),{1,2,3},{"Non validé","Validé avec réserve","Validé"}),"")</f>
        <v/>
      </c>
      <c r="G134" s="13" t="str">
        <f t="shared" ref="G134:U134" ca="1" si="159">IF(F35&lt;&gt;"",_xlfn.SINGLE(INDIRECT(F35&amp;"!"&amp;$G$8)),"")</f>
        <v/>
      </c>
      <c r="H134" s="13" t="str">
        <f t="shared" ca="1" si="159"/>
        <v/>
      </c>
      <c r="I134" s="13" t="str">
        <f t="shared" ca="1" si="159"/>
        <v/>
      </c>
      <c r="J134" s="13" t="str">
        <f t="shared" ca="1" si="159"/>
        <v/>
      </c>
      <c r="K134" s="13" t="str">
        <f t="shared" ca="1" si="159"/>
        <v/>
      </c>
      <c r="L134" s="13" t="str">
        <f t="shared" ca="1" si="159"/>
        <v/>
      </c>
      <c r="M134" s="13" t="str">
        <f t="shared" ca="1" si="159"/>
        <v/>
      </c>
      <c r="N134" s="13" t="str">
        <f t="shared" ca="1" si="159"/>
        <v/>
      </c>
      <c r="O134" s="13" t="str">
        <f t="shared" ca="1" si="159"/>
        <v/>
      </c>
      <c r="P134" s="13" t="str">
        <f t="shared" ca="1" si="159"/>
        <v/>
      </c>
      <c r="Q134" s="13" t="str">
        <f t="shared" ca="1" si="159"/>
        <v/>
      </c>
      <c r="R134" s="13" t="str">
        <f t="shared" ca="1" si="159"/>
        <v/>
      </c>
      <c r="S134" s="13" t="str">
        <f t="shared" ca="1" si="159"/>
        <v/>
      </c>
      <c r="T134" s="13" t="str">
        <f t="shared" ca="1" si="159"/>
        <v/>
      </c>
      <c r="U134" s="13" t="str">
        <f t="shared" ca="1" si="159"/>
        <v/>
      </c>
    </row>
    <row r="135" spans="2:21" ht="13" thickBot="1" x14ac:dyDescent="0.45">
      <c r="B135" s="886"/>
      <c r="C135" s="890"/>
      <c r="D135" s="189" t="s">
        <v>493</v>
      </c>
      <c r="E135" s="883"/>
      <c r="F135" s="190" t="str" cm="1">
        <f t="array" aca="1" ref="F135" ca="1">IFERROR(LOOKUP(MIN(IF(LEFT(G135:U135,10)="Non validé",1,IF(G135:U135="Validé avec réserve",2,IF(G135:U135="Validé",3)))),{1,2,3},{"Non validé","Validé avec réserve","Validé"}),"")</f>
        <v/>
      </c>
      <c r="G135" s="183" t="str">
        <f ca="1">G133 &amp; G134</f>
        <v/>
      </c>
      <c r="H135" s="183" t="str">
        <f t="shared" ref="H135:U135" ca="1" si="160">H133 &amp; H134</f>
        <v/>
      </c>
      <c r="I135" s="183" t="str">
        <f t="shared" ca="1" si="160"/>
        <v/>
      </c>
      <c r="J135" s="183" t="str">
        <f t="shared" ca="1" si="160"/>
        <v/>
      </c>
      <c r="K135" s="183" t="str">
        <f t="shared" ca="1" si="160"/>
        <v/>
      </c>
      <c r="L135" s="183" t="str">
        <f t="shared" ca="1" si="160"/>
        <v/>
      </c>
      <c r="M135" s="183" t="str">
        <f t="shared" ca="1" si="160"/>
        <v/>
      </c>
      <c r="N135" s="183" t="str">
        <f t="shared" ca="1" si="160"/>
        <v/>
      </c>
      <c r="O135" s="183" t="str">
        <f t="shared" ca="1" si="160"/>
        <v/>
      </c>
      <c r="P135" s="183" t="str">
        <f t="shared" ca="1" si="160"/>
        <v/>
      </c>
      <c r="Q135" s="183" t="str">
        <f t="shared" ca="1" si="160"/>
        <v/>
      </c>
      <c r="R135" s="183" t="str">
        <f t="shared" ca="1" si="160"/>
        <v/>
      </c>
      <c r="S135" s="183" t="str">
        <f t="shared" ca="1" si="160"/>
        <v/>
      </c>
      <c r="T135" s="183" t="str">
        <f t="shared" ca="1" si="160"/>
        <v/>
      </c>
      <c r="U135" s="183" t="str">
        <f t="shared" ca="1" si="160"/>
        <v/>
      </c>
    </row>
    <row r="136" spans="2:21" ht="13" thickBot="1" x14ac:dyDescent="0.45">
      <c r="B136" s="886"/>
      <c r="C136" s="890"/>
      <c r="D136" s="189" t="str">
        <f>$D$9</f>
        <v>Préleveur</v>
      </c>
      <c r="E136" s="883"/>
      <c r="F136" s="190" t="str" cm="1">
        <f t="array" aca="1" ref="F136" ca="1">IFERROR(LOOKUP(MIN(IF(LEFT(G136:U136,10)="Non validé",1,IF(G136:U136="Validé avec réserve",2,IF(G136:U136="Validé",3)))),{1,2,3},{"Non validé","Validé avec réserve","Validé"}),"")</f>
        <v/>
      </c>
      <c r="G136" s="13" t="str">
        <f t="shared" ref="G136:U136" ca="1" si="161">IF(F36&lt;&gt;"",_xlfn.SINGLE(INDIRECT(F36&amp;"!"&amp;$G$9)),"")</f>
        <v/>
      </c>
      <c r="H136" s="13" t="str">
        <f t="shared" ca="1" si="161"/>
        <v/>
      </c>
      <c r="I136" s="13" t="str">
        <f t="shared" ca="1" si="161"/>
        <v/>
      </c>
      <c r="J136" s="13" t="str">
        <f t="shared" ca="1" si="161"/>
        <v/>
      </c>
      <c r="K136" s="13" t="str">
        <f t="shared" ca="1" si="161"/>
        <v/>
      </c>
      <c r="L136" s="13" t="str">
        <f t="shared" ca="1" si="161"/>
        <v/>
      </c>
      <c r="M136" s="13" t="str">
        <f t="shared" ca="1" si="161"/>
        <v/>
      </c>
      <c r="N136" s="13" t="str">
        <f t="shared" ca="1" si="161"/>
        <v/>
      </c>
      <c r="O136" s="13" t="str">
        <f t="shared" ca="1" si="161"/>
        <v/>
      </c>
      <c r="P136" s="13" t="str">
        <f t="shared" ca="1" si="161"/>
        <v/>
      </c>
      <c r="Q136" s="13" t="str">
        <f t="shared" ca="1" si="161"/>
        <v/>
      </c>
      <c r="R136" s="13" t="str">
        <f t="shared" ca="1" si="161"/>
        <v/>
      </c>
      <c r="S136" s="13" t="str">
        <f t="shared" ca="1" si="161"/>
        <v/>
      </c>
      <c r="T136" s="13" t="str">
        <f t="shared" ca="1" si="161"/>
        <v/>
      </c>
      <c r="U136" s="13" t="str">
        <f t="shared" ca="1" si="161"/>
        <v/>
      </c>
    </row>
    <row r="137" spans="2:21" ht="13" thickBot="1" x14ac:dyDescent="0.45">
      <c r="B137" s="887"/>
      <c r="C137" s="891"/>
      <c r="D137" s="390" t="s">
        <v>482</v>
      </c>
      <c r="E137" s="883"/>
      <c r="F137" s="190" t="str" cm="1">
        <f t="array" aca="1" ref="F137" ca="1">IFERROR(LOOKUP(MIN(IF(LEFT(G137:U137,10)="Non validé",1,IF(G137:U137="Validé avec réserve",2,IF(G137:U137="Validé",3)))),{1,2,3},{"Non validé","Validé avec réserve","Validé"}),"")</f>
        <v/>
      </c>
      <c r="G137" s="388" t="str">
        <f ca="1">IF(F39&lt;&gt;"",VLOOKUP(F39,Analytique!$X$3:$AD$36,7,FALSE),"")</f>
        <v/>
      </c>
      <c r="H137" s="388" t="str">
        <f ca="1">IF(G39&lt;&gt;"",VLOOKUP(G39,Analytique!$X$3:$AD$36,7,FALSE),"")</f>
        <v/>
      </c>
      <c r="I137" s="388" t="str">
        <f ca="1">IF(H39&lt;&gt;"",VLOOKUP(H39,Analytique!$X$3:$AD$36,7,FALSE),"")</f>
        <v/>
      </c>
      <c r="J137" s="388" t="str">
        <f ca="1">IF(I39&lt;&gt;"",VLOOKUP(I39,Analytique!$X$3:$AD$36,7,FALSE),"")</f>
        <v/>
      </c>
      <c r="K137" s="388" t="str">
        <f ca="1">IF(J39&lt;&gt;"",VLOOKUP(J39,Analytique!$X$3:$AD$36,7,FALSE),"")</f>
        <v/>
      </c>
      <c r="L137" s="388" t="str">
        <f ca="1">IF(K39&lt;&gt;"",VLOOKUP(K39,Analytique!$X$3:$AD$36,7,FALSE),"")</f>
        <v/>
      </c>
      <c r="M137" s="388" t="str">
        <f ca="1">IF(L39&lt;&gt;"",VLOOKUP(L39,Analytique!$X$3:$AD$36,7,FALSE),"")</f>
        <v/>
      </c>
      <c r="N137" s="388" t="str">
        <f ca="1">IF(M39&lt;&gt;"",VLOOKUP(M39,Analytique!$X$3:$AD$36,7,FALSE),"")</f>
        <v/>
      </c>
      <c r="O137" s="388" t="str">
        <f ca="1">IF(N39&lt;&gt;"",VLOOKUP(N39,Analytique!$X$3:$AD$36,7,FALSE),"")</f>
        <v/>
      </c>
      <c r="P137" s="388" t="str">
        <f ca="1">IF(O39&lt;&gt;"",VLOOKUP(O39,Analytique!$X$3:$AD$36,7,FALSE),"")</f>
        <v/>
      </c>
      <c r="Q137" s="388" t="str">
        <f ca="1">IF(P39&lt;&gt;"",VLOOKUP(P39,Analytique!$X$3:$AD$36,7,FALSE),"")</f>
        <v/>
      </c>
      <c r="R137" s="388" t="str">
        <f ca="1">IF(Q39&lt;&gt;"",VLOOKUP(Q39,Analytique!$X$3:$AD$36,7,FALSE),"")</f>
        <v/>
      </c>
      <c r="S137" s="388" t="str">
        <f ca="1">IF(R39&lt;&gt;"",VLOOKUP(R39,Analytique!$X$3:$AD$36,7,FALSE),"")</f>
        <v/>
      </c>
      <c r="T137" s="388" t="str">
        <f ca="1">IF(S39&lt;&gt;"",VLOOKUP(S39,Analytique!$X$3:$AD$36,7,FALSE),"")</f>
        <v/>
      </c>
      <c r="U137" s="388" t="str">
        <f ca="1">IF(T39&lt;&gt;"",VLOOKUP(T39,Analytique!$X$3:$AD$36,7,FALSE),"")</f>
        <v/>
      </c>
    </row>
    <row r="138" spans="2:21" ht="13" thickBot="1" x14ac:dyDescent="0.45">
      <c r="B138" s="888"/>
      <c r="C138" s="892"/>
      <c r="D138" s="191" t="str">
        <f>$D$10</f>
        <v>Sonde de température</v>
      </c>
      <c r="E138" s="884"/>
      <c r="F138" s="190" t="str" cm="1">
        <f t="array" aca="1" ref="F138" ca="1">IFERROR(LOOKUP(MIN(IF(LEFT(G138:U138,10)="Non validé",1,IF(G138:U138="Validé avec réserve",2,IF(G138:U138="Validé",3)))),{1,2,3},{"Non validé","Validé avec réserve","Validé"}),"")</f>
        <v/>
      </c>
      <c r="G138" s="168" t="str">
        <f t="shared" ref="G138:U138" ca="1" si="162">IF(F37&lt;&gt;"",_xlfn.SINGLE(INDIRECT(F37&amp;"!"&amp;$G$10)),"")</f>
        <v/>
      </c>
      <c r="H138" s="168" t="str">
        <f t="shared" ca="1" si="162"/>
        <v/>
      </c>
      <c r="I138" s="168" t="str">
        <f t="shared" ca="1" si="162"/>
        <v/>
      </c>
      <c r="J138" s="168" t="str">
        <f t="shared" ca="1" si="162"/>
        <v/>
      </c>
      <c r="K138" s="168" t="str">
        <f t="shared" ca="1" si="162"/>
        <v/>
      </c>
      <c r="L138" s="168" t="str">
        <f t="shared" ca="1" si="162"/>
        <v/>
      </c>
      <c r="M138" s="168" t="str">
        <f t="shared" ca="1" si="162"/>
        <v/>
      </c>
      <c r="N138" s="168" t="str">
        <f t="shared" ca="1" si="162"/>
        <v/>
      </c>
      <c r="O138" s="168" t="str">
        <f t="shared" ca="1" si="162"/>
        <v/>
      </c>
      <c r="P138" s="168" t="str">
        <f t="shared" ca="1" si="162"/>
        <v/>
      </c>
      <c r="Q138" s="168" t="str">
        <f t="shared" ca="1" si="162"/>
        <v/>
      </c>
      <c r="R138" s="168" t="str">
        <f t="shared" ca="1" si="162"/>
        <v/>
      </c>
      <c r="S138" s="168" t="str">
        <f t="shared" ca="1" si="162"/>
        <v/>
      </c>
      <c r="T138" s="168" t="str">
        <f t="shared" ca="1" si="162"/>
        <v/>
      </c>
      <c r="U138" s="168" t="str">
        <f t="shared" ca="1" si="162"/>
        <v/>
      </c>
    </row>
    <row r="139" spans="2:21" ht="13" thickBot="1" x14ac:dyDescent="0.45">
      <c r="B139" s="885" t="s">
        <v>119</v>
      </c>
      <c r="C139" s="889" t="s">
        <v>127</v>
      </c>
      <c r="D139" s="190" t="str">
        <f>$D$7</f>
        <v>Débitmètre en charge</v>
      </c>
      <c r="E139" s="882" t="str" cm="1">
        <f t="array" aca="1" ref="E139" ca="1">IFERROR(LOOKUP(MIN(IF(LEFT(F139:F143,10)="Non validé",1,IF(F139:F143="Validé avec réserve",2,IF(F139:F143="Validé",3)))),{1,2,3},{"Non validé","Validé avec réserve","Validé"}),"")</f>
        <v/>
      </c>
      <c r="F139" s="190" t="str" cm="1">
        <f t="array" aca="1" ref="F139" ca="1">IFERROR(LOOKUP(MIN(IF(LEFT(G139:U139,10)="Non validé",1,IF(G139:U139="Validé avec réserve",2,IF(G139:U139="Validé",3)))),{1,2,3},{"Non validé","Validé avec réserve","Validé"}),"")</f>
        <v/>
      </c>
      <c r="G139" s="162" t="str">
        <f t="shared" ref="G139:U139" ca="1" si="163">IF(F38&lt;&gt;"",_xlfn.SINGLE(INDIRECT(F38&amp;"!"&amp;$G$7)),"")</f>
        <v/>
      </c>
      <c r="H139" s="162" t="str">
        <f t="shared" ca="1" si="163"/>
        <v/>
      </c>
      <c r="I139" s="162" t="str">
        <f t="shared" ca="1" si="163"/>
        <v/>
      </c>
      <c r="J139" s="162" t="str">
        <f t="shared" ca="1" si="163"/>
        <v/>
      </c>
      <c r="K139" s="162" t="str">
        <f t="shared" ca="1" si="163"/>
        <v/>
      </c>
      <c r="L139" s="162" t="str">
        <f t="shared" ca="1" si="163"/>
        <v/>
      </c>
      <c r="M139" s="162" t="str">
        <f t="shared" ca="1" si="163"/>
        <v/>
      </c>
      <c r="N139" s="162" t="str">
        <f t="shared" ca="1" si="163"/>
        <v/>
      </c>
      <c r="O139" s="162" t="str">
        <f t="shared" ca="1" si="163"/>
        <v/>
      </c>
      <c r="P139" s="162" t="str">
        <f t="shared" ca="1" si="163"/>
        <v/>
      </c>
      <c r="Q139" s="162" t="str">
        <f t="shared" ca="1" si="163"/>
        <v/>
      </c>
      <c r="R139" s="162" t="str">
        <f t="shared" ca="1" si="163"/>
        <v/>
      </c>
      <c r="S139" s="162" t="str">
        <f t="shared" ca="1" si="163"/>
        <v/>
      </c>
      <c r="T139" s="162" t="str">
        <f t="shared" ca="1" si="163"/>
        <v/>
      </c>
      <c r="U139" s="162" t="str">
        <f t="shared" ca="1" si="163"/>
        <v/>
      </c>
    </row>
    <row r="140" spans="2:21" ht="13" thickBot="1" x14ac:dyDescent="0.45">
      <c r="B140" s="886"/>
      <c r="C140" s="890"/>
      <c r="D140" s="189" t="str">
        <f>$D$8</f>
        <v>Débitmètre gravitaire</v>
      </c>
      <c r="E140" s="883"/>
      <c r="F140" s="190" t="str" cm="1">
        <f t="array" aca="1" ref="F140" ca="1">IFERROR(LOOKUP(MIN(IF(LEFT(G140:U140,10)="Non validé",1,IF(G140:U140="Validé avec réserve",2,IF(G140:U140="Validé",3)))),{1,2,3},{"Non validé","Validé avec réserve","Validé"}),"")</f>
        <v/>
      </c>
      <c r="G140" s="13" t="str">
        <f t="shared" ref="G140:U140" ca="1" si="164">IF(F39&lt;&gt;"",_xlfn.SINGLE(INDIRECT(F39&amp;"!"&amp;$G$8)),"")</f>
        <v/>
      </c>
      <c r="H140" s="13" t="str">
        <f t="shared" ca="1" si="164"/>
        <v/>
      </c>
      <c r="I140" s="13" t="str">
        <f t="shared" ca="1" si="164"/>
        <v/>
      </c>
      <c r="J140" s="13" t="str">
        <f t="shared" ca="1" si="164"/>
        <v/>
      </c>
      <c r="K140" s="13" t="str">
        <f t="shared" ca="1" si="164"/>
        <v/>
      </c>
      <c r="L140" s="13" t="str">
        <f t="shared" ca="1" si="164"/>
        <v/>
      </c>
      <c r="M140" s="13" t="str">
        <f t="shared" ca="1" si="164"/>
        <v/>
      </c>
      <c r="N140" s="13" t="str">
        <f t="shared" ca="1" si="164"/>
        <v/>
      </c>
      <c r="O140" s="13" t="str">
        <f t="shared" ca="1" si="164"/>
        <v/>
      </c>
      <c r="P140" s="13" t="str">
        <f t="shared" ca="1" si="164"/>
        <v/>
      </c>
      <c r="Q140" s="13" t="str">
        <f t="shared" ca="1" si="164"/>
        <v/>
      </c>
      <c r="R140" s="13" t="str">
        <f t="shared" ca="1" si="164"/>
        <v/>
      </c>
      <c r="S140" s="13" t="str">
        <f t="shared" ca="1" si="164"/>
        <v/>
      </c>
      <c r="T140" s="13" t="str">
        <f t="shared" ca="1" si="164"/>
        <v/>
      </c>
      <c r="U140" s="13" t="str">
        <f t="shared" ca="1" si="164"/>
        <v/>
      </c>
    </row>
    <row r="141" spans="2:21" ht="13" thickBot="1" x14ac:dyDescent="0.45">
      <c r="B141" s="886"/>
      <c r="C141" s="890"/>
      <c r="D141" s="189" t="s">
        <v>493</v>
      </c>
      <c r="E141" s="883"/>
      <c r="F141" s="190" t="str" cm="1">
        <f t="array" aca="1" ref="F141" ca="1">IFERROR(LOOKUP(MIN(IF(LEFT(G141:U141,10)="Non validé",1,IF(G141:U141="Validé avec réserve",2,IF(G141:U141="Validé",3)))),{1,2,3},{"Non validé","Validé avec réserve","Validé"}),"")</f>
        <v/>
      </c>
      <c r="G141" s="183" t="str">
        <f ca="1">G139 &amp; G140</f>
        <v/>
      </c>
      <c r="H141" s="183" t="str">
        <f t="shared" ref="H141:U141" ca="1" si="165">H139 &amp; H140</f>
        <v/>
      </c>
      <c r="I141" s="183" t="str">
        <f t="shared" ca="1" si="165"/>
        <v/>
      </c>
      <c r="J141" s="183" t="str">
        <f t="shared" ca="1" si="165"/>
        <v/>
      </c>
      <c r="K141" s="183" t="str">
        <f t="shared" ca="1" si="165"/>
        <v/>
      </c>
      <c r="L141" s="183" t="str">
        <f t="shared" ca="1" si="165"/>
        <v/>
      </c>
      <c r="M141" s="183" t="str">
        <f t="shared" ca="1" si="165"/>
        <v/>
      </c>
      <c r="N141" s="183" t="str">
        <f t="shared" ca="1" si="165"/>
        <v/>
      </c>
      <c r="O141" s="183" t="str">
        <f t="shared" ca="1" si="165"/>
        <v/>
      </c>
      <c r="P141" s="183" t="str">
        <f t="shared" ca="1" si="165"/>
        <v/>
      </c>
      <c r="Q141" s="183" t="str">
        <f t="shared" ca="1" si="165"/>
        <v/>
      </c>
      <c r="R141" s="183" t="str">
        <f t="shared" ca="1" si="165"/>
        <v/>
      </c>
      <c r="S141" s="183" t="str">
        <f t="shared" ca="1" si="165"/>
        <v/>
      </c>
      <c r="T141" s="183" t="str">
        <f t="shared" ca="1" si="165"/>
        <v/>
      </c>
      <c r="U141" s="183" t="str">
        <f t="shared" ca="1" si="165"/>
        <v/>
      </c>
    </row>
    <row r="142" spans="2:21" ht="13" thickBot="1" x14ac:dyDescent="0.45">
      <c r="B142" s="886"/>
      <c r="C142" s="890"/>
      <c r="D142" s="189" t="str">
        <f>$D$9</f>
        <v>Préleveur</v>
      </c>
      <c r="E142" s="883"/>
      <c r="F142" s="190" t="str" cm="1">
        <f t="array" aca="1" ref="F142" ca="1">IFERROR(LOOKUP(MIN(IF(LEFT(G142:U142,10)="Non validé",1,IF(G142:U142="Validé avec réserve",2,IF(G142:U142="Validé",3)))),{1,2,3},{"Non validé","Validé avec réserve","Validé"}),"")</f>
        <v/>
      </c>
      <c r="G142" s="13" t="str">
        <f t="shared" ref="G142:U142" ca="1" si="166">IF(F40&lt;&gt;"",_xlfn.SINGLE(INDIRECT(F40&amp;"!"&amp;$G$9)),"")</f>
        <v/>
      </c>
      <c r="H142" s="13" t="str">
        <f t="shared" ca="1" si="166"/>
        <v/>
      </c>
      <c r="I142" s="13" t="str">
        <f t="shared" ca="1" si="166"/>
        <v/>
      </c>
      <c r="J142" s="13" t="str">
        <f t="shared" ca="1" si="166"/>
        <v/>
      </c>
      <c r="K142" s="13" t="str">
        <f t="shared" ca="1" si="166"/>
        <v/>
      </c>
      <c r="L142" s="13" t="str">
        <f t="shared" ca="1" si="166"/>
        <v/>
      </c>
      <c r="M142" s="13" t="str">
        <f t="shared" ca="1" si="166"/>
        <v/>
      </c>
      <c r="N142" s="13" t="str">
        <f t="shared" ca="1" si="166"/>
        <v/>
      </c>
      <c r="O142" s="13" t="str">
        <f t="shared" ca="1" si="166"/>
        <v/>
      </c>
      <c r="P142" s="13" t="str">
        <f t="shared" ca="1" si="166"/>
        <v/>
      </c>
      <c r="Q142" s="13" t="str">
        <f t="shared" ca="1" si="166"/>
        <v/>
      </c>
      <c r="R142" s="13" t="str">
        <f t="shared" ca="1" si="166"/>
        <v/>
      </c>
      <c r="S142" s="13" t="str">
        <f t="shared" ca="1" si="166"/>
        <v/>
      </c>
      <c r="T142" s="13" t="str">
        <f t="shared" ca="1" si="166"/>
        <v/>
      </c>
      <c r="U142" s="13" t="str">
        <f t="shared" ca="1" si="166"/>
        <v/>
      </c>
    </row>
    <row r="143" spans="2:21" ht="13" thickBot="1" x14ac:dyDescent="0.45">
      <c r="B143" s="887"/>
      <c r="C143" s="891"/>
      <c r="D143" s="390" t="s">
        <v>482</v>
      </c>
      <c r="E143" s="883"/>
      <c r="F143" s="190" t="str" cm="1">
        <f t="array" aca="1" ref="F143" ca="1">IFERROR(LOOKUP(MIN(IF(LEFT(G143:U143,10)="Non validé",1,IF(G143:U143="Validé avec réserve",2,IF(G143:U143="Validé",3)))),{1,2,3},{"Non validé","Validé avec réserve","Validé"}),"")</f>
        <v/>
      </c>
      <c r="G143" s="388" t="str">
        <f ca="1">IF(F45&lt;&gt;"",VLOOKUP(F45,Analytique!$X$3:$AD$36,7,FALSE),"")</f>
        <v/>
      </c>
      <c r="H143" s="388" t="str">
        <f ca="1">IF(G45&lt;&gt;"",VLOOKUP(G45,Analytique!$X$3:$AD$36,7,FALSE),"")</f>
        <v/>
      </c>
      <c r="I143" s="388" t="str">
        <f ca="1">IF(H45&lt;&gt;"",VLOOKUP(H45,Analytique!$X$3:$AD$36,7,FALSE),"")</f>
        <v/>
      </c>
      <c r="J143" s="388" t="str">
        <f ca="1">IF(I45&lt;&gt;"",VLOOKUP(I45,Analytique!$X$3:$AD$36,7,FALSE),"")</f>
        <v/>
      </c>
      <c r="K143" s="388" t="str">
        <f ca="1">IF(J45&lt;&gt;"",VLOOKUP(J45,Analytique!$X$3:$AD$36,7,FALSE),"")</f>
        <v/>
      </c>
      <c r="L143" s="388" t="str">
        <f ca="1">IF(K45&lt;&gt;"",VLOOKUP(K45,Analytique!$X$3:$AD$36,7,FALSE),"")</f>
        <v/>
      </c>
      <c r="M143" s="388" t="str">
        <f ca="1">IF(L45&lt;&gt;"",VLOOKUP(L45,Analytique!$X$3:$AD$36,7,FALSE),"")</f>
        <v/>
      </c>
      <c r="N143" s="388" t="str">
        <f ca="1">IF(M45&lt;&gt;"",VLOOKUP(M45,Analytique!$X$3:$AD$36,7,FALSE),"")</f>
        <v/>
      </c>
      <c r="O143" s="388" t="str">
        <f ca="1">IF(N45&lt;&gt;"",VLOOKUP(N45,Analytique!$X$3:$AD$36,7,FALSE),"")</f>
        <v/>
      </c>
      <c r="P143" s="388" t="str">
        <f ca="1">IF(O45&lt;&gt;"",VLOOKUP(O45,Analytique!$X$3:$AD$36,7,FALSE),"")</f>
        <v/>
      </c>
      <c r="Q143" s="388" t="str">
        <f ca="1">IF(P45&lt;&gt;"",VLOOKUP(P45,Analytique!$X$3:$AD$36,7,FALSE),"")</f>
        <v/>
      </c>
      <c r="R143" s="388" t="str">
        <f ca="1">IF(Q45&lt;&gt;"",VLOOKUP(Q45,Analytique!$X$3:$AD$36,7,FALSE),"")</f>
        <v/>
      </c>
      <c r="S143" s="388" t="str">
        <f ca="1">IF(R45&lt;&gt;"",VLOOKUP(R45,Analytique!$X$3:$AD$36,7,FALSE),"")</f>
        <v/>
      </c>
      <c r="T143" s="388" t="str">
        <f ca="1">IF(S45&lt;&gt;"",VLOOKUP(S45,Analytique!$X$3:$AD$36,7,FALSE),"")</f>
        <v/>
      </c>
      <c r="U143" s="388" t="str">
        <f ca="1">IF(T45&lt;&gt;"",VLOOKUP(T45,Analytique!$X$3:$AD$36,7,FALSE),"")</f>
        <v/>
      </c>
    </row>
    <row r="144" spans="2:21" ht="13" thickBot="1" x14ac:dyDescent="0.45">
      <c r="B144" s="888"/>
      <c r="C144" s="892"/>
      <c r="D144" s="191" t="str">
        <f>$D$10</f>
        <v>Sonde de température</v>
      </c>
      <c r="E144" s="884"/>
      <c r="F144" s="190" t="str" cm="1">
        <f t="array" aca="1" ref="F144" ca="1">IFERROR(LOOKUP(MIN(IF(LEFT(G144:U144,10)="Non validé",1,IF(G144:U144="Validé avec réserve",2,IF(G144:U144="Validé",3)))),{1,2,3},{"Non validé","Validé avec réserve","Validé"}),"")</f>
        <v/>
      </c>
      <c r="G144" s="168" t="str">
        <f t="shared" ref="G144:U144" ca="1" si="167">IF(F42&lt;&gt;"",_xlfn.SINGLE(INDIRECT(F42&amp;"!"&amp;$G$10)),"")</f>
        <v/>
      </c>
      <c r="H144" s="168" t="str">
        <f t="shared" ca="1" si="167"/>
        <v/>
      </c>
      <c r="I144" s="168" t="str">
        <f t="shared" ca="1" si="167"/>
        <v/>
      </c>
      <c r="J144" s="168" t="str">
        <f t="shared" ca="1" si="167"/>
        <v/>
      </c>
      <c r="K144" s="168" t="str">
        <f t="shared" ca="1" si="167"/>
        <v/>
      </c>
      <c r="L144" s="168" t="str">
        <f t="shared" ca="1" si="167"/>
        <v/>
      </c>
      <c r="M144" s="168" t="str">
        <f t="shared" ca="1" si="167"/>
        <v/>
      </c>
      <c r="N144" s="168" t="str">
        <f t="shared" ca="1" si="167"/>
        <v/>
      </c>
      <c r="O144" s="168" t="str">
        <f t="shared" ca="1" si="167"/>
        <v/>
      </c>
      <c r="P144" s="168" t="str">
        <f t="shared" ca="1" si="167"/>
        <v/>
      </c>
      <c r="Q144" s="168" t="str">
        <f t="shared" ca="1" si="167"/>
        <v/>
      </c>
      <c r="R144" s="168" t="str">
        <f t="shared" ca="1" si="167"/>
        <v/>
      </c>
      <c r="S144" s="168" t="str">
        <f t="shared" ca="1" si="167"/>
        <v/>
      </c>
      <c r="T144" s="168" t="str">
        <f t="shared" ca="1" si="167"/>
        <v/>
      </c>
      <c r="U144" s="168" t="str">
        <f t="shared" ca="1" si="167"/>
        <v/>
      </c>
    </row>
    <row r="145" spans="2:21" ht="13" thickBot="1" x14ac:dyDescent="0.45">
      <c r="B145" s="885" t="s">
        <v>121</v>
      </c>
      <c r="C145" s="889" t="s">
        <v>126</v>
      </c>
      <c r="D145" s="190" t="str">
        <f>$D$7</f>
        <v>Débitmètre en charge</v>
      </c>
      <c r="E145" s="882" t="str" cm="1">
        <f t="array" aca="1" ref="E145" ca="1">IFERROR(LOOKUP(MIN(IF(LEFT(F145:F149,10)="Non validé",1,IF(F145:F149="Validé avec réserve",2,IF(F145:F149="Validé",3)))),{1,2,3},{"Non validé","Validé avec réserve","Validé"}),"")</f>
        <v/>
      </c>
      <c r="F145" s="190" t="str" cm="1">
        <f t="array" aca="1" ref="F145" ca="1">IFERROR(LOOKUP(MIN(IF(LEFT(G145:U145,10)="Non validé",1,IF(G145:U145="Validé avec réserve",2,IF(G145:U145="Validé",3)))),{1,2,3},{"Non validé","Validé avec réserve","Validé"}),"")</f>
        <v/>
      </c>
      <c r="G145" s="162" t="str">
        <f t="shared" ref="G145:U145" ca="1" si="168">IF(F43&lt;&gt;"",_xlfn.SINGLE(INDIRECT(F43&amp;"!"&amp;$G$7)),"")</f>
        <v/>
      </c>
      <c r="H145" s="162" t="str">
        <f t="shared" ca="1" si="168"/>
        <v/>
      </c>
      <c r="I145" s="162" t="str">
        <f t="shared" ca="1" si="168"/>
        <v/>
      </c>
      <c r="J145" s="162" t="str">
        <f t="shared" ca="1" si="168"/>
        <v/>
      </c>
      <c r="K145" s="162" t="str">
        <f t="shared" ca="1" si="168"/>
        <v/>
      </c>
      <c r="L145" s="162" t="str">
        <f t="shared" ca="1" si="168"/>
        <v/>
      </c>
      <c r="M145" s="162" t="str">
        <f t="shared" ca="1" si="168"/>
        <v/>
      </c>
      <c r="N145" s="162" t="str">
        <f t="shared" ca="1" si="168"/>
        <v/>
      </c>
      <c r="O145" s="162" t="str">
        <f t="shared" ca="1" si="168"/>
        <v/>
      </c>
      <c r="P145" s="162" t="str">
        <f t="shared" ca="1" si="168"/>
        <v/>
      </c>
      <c r="Q145" s="162" t="str">
        <f t="shared" ca="1" si="168"/>
        <v/>
      </c>
      <c r="R145" s="162" t="str">
        <f t="shared" ca="1" si="168"/>
        <v/>
      </c>
      <c r="S145" s="162" t="str">
        <f t="shared" ca="1" si="168"/>
        <v/>
      </c>
      <c r="T145" s="162" t="str">
        <f t="shared" ca="1" si="168"/>
        <v/>
      </c>
      <c r="U145" s="162" t="str">
        <f t="shared" ca="1" si="168"/>
        <v/>
      </c>
    </row>
    <row r="146" spans="2:21" ht="13" thickBot="1" x14ac:dyDescent="0.45">
      <c r="B146" s="886"/>
      <c r="C146" s="890"/>
      <c r="D146" s="189" t="str">
        <f>$D$8</f>
        <v>Débitmètre gravitaire</v>
      </c>
      <c r="E146" s="883"/>
      <c r="F146" s="190" t="str" cm="1">
        <f t="array" aca="1" ref="F146" ca="1">IFERROR(LOOKUP(MIN(IF(LEFT(G146:U146,10)="Non validé",1,IF(G146:U146="Validé avec réserve",2,IF(G146:U146="Validé",3)))),{1,2,3},{"Non validé","Validé avec réserve","Validé"}),"")</f>
        <v/>
      </c>
      <c r="G146" s="13" t="str">
        <f t="shared" ref="G146:U146" ca="1" si="169">IF(F44&lt;&gt;"",_xlfn.SINGLE(INDIRECT(F44&amp;"!"&amp;$G$8)),"")</f>
        <v/>
      </c>
      <c r="H146" s="13" t="str">
        <f t="shared" ca="1" si="169"/>
        <v/>
      </c>
      <c r="I146" s="13" t="str">
        <f t="shared" ca="1" si="169"/>
        <v/>
      </c>
      <c r="J146" s="13" t="str">
        <f t="shared" ca="1" si="169"/>
        <v/>
      </c>
      <c r="K146" s="13" t="str">
        <f t="shared" ca="1" si="169"/>
        <v/>
      </c>
      <c r="L146" s="13" t="str">
        <f t="shared" ca="1" si="169"/>
        <v/>
      </c>
      <c r="M146" s="13" t="str">
        <f t="shared" ca="1" si="169"/>
        <v/>
      </c>
      <c r="N146" s="13" t="str">
        <f t="shared" ca="1" si="169"/>
        <v/>
      </c>
      <c r="O146" s="13" t="str">
        <f t="shared" ca="1" si="169"/>
        <v/>
      </c>
      <c r="P146" s="13" t="str">
        <f t="shared" ca="1" si="169"/>
        <v/>
      </c>
      <c r="Q146" s="13" t="str">
        <f t="shared" ca="1" si="169"/>
        <v/>
      </c>
      <c r="R146" s="13" t="str">
        <f t="shared" ca="1" si="169"/>
        <v/>
      </c>
      <c r="S146" s="13" t="str">
        <f t="shared" ca="1" si="169"/>
        <v/>
      </c>
      <c r="T146" s="13" t="str">
        <f t="shared" ca="1" si="169"/>
        <v/>
      </c>
      <c r="U146" s="13" t="str">
        <f t="shared" ca="1" si="169"/>
        <v/>
      </c>
    </row>
    <row r="147" spans="2:21" ht="13" thickBot="1" x14ac:dyDescent="0.45">
      <c r="B147" s="886"/>
      <c r="C147" s="890"/>
      <c r="D147" s="189" t="s">
        <v>493</v>
      </c>
      <c r="E147" s="883"/>
      <c r="F147" s="190" t="str" cm="1">
        <f t="array" aca="1" ref="F147" ca="1">IFERROR(LOOKUP(MIN(IF(LEFT(G147:U147,10)="Non validé",1,IF(G147:U147="Validé avec réserve",2,IF(G147:U147="Validé",3)))),{1,2,3},{"Non validé","Validé avec réserve","Validé"}),"")</f>
        <v/>
      </c>
      <c r="G147" s="183" t="str">
        <f ca="1">G145 &amp; G146</f>
        <v/>
      </c>
      <c r="H147" s="183" t="str">
        <f t="shared" ref="H147:U147" ca="1" si="170">H145 &amp; H146</f>
        <v/>
      </c>
      <c r="I147" s="183" t="str">
        <f t="shared" ca="1" si="170"/>
        <v/>
      </c>
      <c r="J147" s="183" t="str">
        <f t="shared" ca="1" si="170"/>
        <v/>
      </c>
      <c r="K147" s="183" t="str">
        <f t="shared" ca="1" si="170"/>
        <v/>
      </c>
      <c r="L147" s="183" t="str">
        <f t="shared" ca="1" si="170"/>
        <v/>
      </c>
      <c r="M147" s="183" t="str">
        <f t="shared" ca="1" si="170"/>
        <v/>
      </c>
      <c r="N147" s="183" t="str">
        <f t="shared" ca="1" si="170"/>
        <v/>
      </c>
      <c r="O147" s="183" t="str">
        <f t="shared" ca="1" si="170"/>
        <v/>
      </c>
      <c r="P147" s="183" t="str">
        <f t="shared" ca="1" si="170"/>
        <v/>
      </c>
      <c r="Q147" s="183" t="str">
        <f t="shared" ca="1" si="170"/>
        <v/>
      </c>
      <c r="R147" s="183" t="str">
        <f t="shared" ca="1" si="170"/>
        <v/>
      </c>
      <c r="S147" s="183" t="str">
        <f t="shared" ca="1" si="170"/>
        <v/>
      </c>
      <c r="T147" s="183" t="str">
        <f t="shared" ca="1" si="170"/>
        <v/>
      </c>
      <c r="U147" s="183" t="str">
        <f t="shared" ca="1" si="170"/>
        <v/>
      </c>
    </row>
    <row r="148" spans="2:21" ht="13" thickBot="1" x14ac:dyDescent="0.45">
      <c r="B148" s="886"/>
      <c r="C148" s="890"/>
      <c r="D148" s="189" t="str">
        <f>$D$9</f>
        <v>Préleveur</v>
      </c>
      <c r="E148" s="883"/>
      <c r="F148" s="190" t="str" cm="1">
        <f t="array" aca="1" ref="F148" ca="1">IFERROR(LOOKUP(MIN(IF(LEFT(G148:U148,10)="Non validé",1,IF(G148:U148="Validé avec réserve",2,IF(G148:U148="Validé",3)))),{1,2,3},{"Non validé","Validé avec réserve","Validé"}),"")</f>
        <v/>
      </c>
      <c r="G148" s="13" t="str">
        <f t="shared" ref="G148:U148" ca="1" si="171">IF(F45&lt;&gt;"",_xlfn.SINGLE(INDIRECT(F45&amp;"!"&amp;$G$9)),"")</f>
        <v/>
      </c>
      <c r="H148" s="13" t="str">
        <f t="shared" ca="1" si="171"/>
        <v/>
      </c>
      <c r="I148" s="13" t="str">
        <f t="shared" ca="1" si="171"/>
        <v/>
      </c>
      <c r="J148" s="13" t="str">
        <f t="shared" ca="1" si="171"/>
        <v/>
      </c>
      <c r="K148" s="13" t="str">
        <f t="shared" ca="1" si="171"/>
        <v/>
      </c>
      <c r="L148" s="13" t="str">
        <f t="shared" ca="1" si="171"/>
        <v/>
      </c>
      <c r="M148" s="13" t="str">
        <f t="shared" ca="1" si="171"/>
        <v/>
      </c>
      <c r="N148" s="13" t="str">
        <f t="shared" ca="1" si="171"/>
        <v/>
      </c>
      <c r="O148" s="13" t="str">
        <f t="shared" ca="1" si="171"/>
        <v/>
      </c>
      <c r="P148" s="13" t="str">
        <f t="shared" ca="1" si="171"/>
        <v/>
      </c>
      <c r="Q148" s="13" t="str">
        <f t="shared" ca="1" si="171"/>
        <v/>
      </c>
      <c r="R148" s="13" t="str">
        <f t="shared" ca="1" si="171"/>
        <v/>
      </c>
      <c r="S148" s="13" t="str">
        <f t="shared" ca="1" si="171"/>
        <v/>
      </c>
      <c r="T148" s="13" t="str">
        <f t="shared" ca="1" si="171"/>
        <v/>
      </c>
      <c r="U148" s="13" t="str">
        <f t="shared" ca="1" si="171"/>
        <v/>
      </c>
    </row>
    <row r="149" spans="2:21" ht="13" thickBot="1" x14ac:dyDescent="0.45">
      <c r="B149" s="887"/>
      <c r="C149" s="891"/>
      <c r="D149" s="390" t="s">
        <v>482</v>
      </c>
      <c r="E149" s="883"/>
      <c r="F149" s="190" t="str" cm="1">
        <f t="array" aca="1" ref="F149" ca="1">IFERROR(LOOKUP(MIN(IF(LEFT(G149:U149,10)="Non validé",1,IF(G149:U149="Validé avec réserve",2,IF(G149:U149="Validé",3)))),{1,2,3},{"Non validé","Validé avec réserve","Validé"}),"")</f>
        <v/>
      </c>
      <c r="G149" s="388" t="str">
        <f ca="1">IF(F51&lt;&gt;"",VLOOKUP(F51,Analytique!$X$3:$AD$36,7,FALSE),"")</f>
        <v/>
      </c>
      <c r="H149" s="388" t="str">
        <f ca="1">IF(G51&lt;&gt;"",VLOOKUP(G51,Analytique!$X$3:$AD$36,7,FALSE),"")</f>
        <v/>
      </c>
      <c r="I149" s="388" t="str">
        <f ca="1">IF(H51&lt;&gt;"",VLOOKUP(H51,Analytique!$X$3:$AD$36,7,FALSE),"")</f>
        <v/>
      </c>
      <c r="J149" s="388" t="str">
        <f ca="1">IF(I51&lt;&gt;"",VLOOKUP(I51,Analytique!$X$3:$AD$36,7,FALSE),"")</f>
        <v/>
      </c>
      <c r="K149" s="388" t="str">
        <f ca="1">IF(J51&lt;&gt;"",VLOOKUP(J51,Analytique!$X$3:$AD$36,7,FALSE),"")</f>
        <v/>
      </c>
      <c r="L149" s="388" t="str">
        <f ca="1">IF(K51&lt;&gt;"",VLOOKUP(K51,Analytique!$X$3:$AD$36,7,FALSE),"")</f>
        <v/>
      </c>
      <c r="M149" s="388" t="str">
        <f ca="1">IF(L51&lt;&gt;"",VLOOKUP(L51,Analytique!$X$3:$AD$36,7,FALSE),"")</f>
        <v/>
      </c>
      <c r="N149" s="388" t="str">
        <f ca="1">IF(M51&lt;&gt;"",VLOOKUP(M51,Analytique!$X$3:$AD$36,7,FALSE),"")</f>
        <v/>
      </c>
      <c r="O149" s="388" t="str">
        <f ca="1">IF(N51&lt;&gt;"",VLOOKUP(N51,Analytique!$X$3:$AD$36,7,FALSE),"")</f>
        <v/>
      </c>
      <c r="P149" s="388" t="str">
        <f ca="1">IF(O51&lt;&gt;"",VLOOKUP(O51,Analytique!$X$3:$AD$36,7,FALSE),"")</f>
        <v/>
      </c>
      <c r="Q149" s="388" t="str">
        <f ca="1">IF(P51&lt;&gt;"",VLOOKUP(P51,Analytique!$X$3:$AD$36,7,FALSE),"")</f>
        <v/>
      </c>
      <c r="R149" s="388" t="str">
        <f ca="1">IF(Q51&lt;&gt;"",VLOOKUP(Q51,Analytique!$X$3:$AD$36,7,FALSE),"")</f>
        <v/>
      </c>
      <c r="S149" s="388" t="str">
        <f ca="1">IF(R51&lt;&gt;"",VLOOKUP(R51,Analytique!$X$3:$AD$36,7,FALSE),"")</f>
        <v/>
      </c>
      <c r="T149" s="388" t="str">
        <f ca="1">IF(S51&lt;&gt;"",VLOOKUP(S51,Analytique!$X$3:$AD$36,7,FALSE),"")</f>
        <v/>
      </c>
      <c r="U149" s="388" t="str">
        <f ca="1">IF(T51&lt;&gt;"",VLOOKUP(T51,Analytique!$X$3:$AD$36,7,FALSE),"")</f>
        <v/>
      </c>
    </row>
    <row r="150" spans="2:21" ht="13" thickBot="1" x14ac:dyDescent="0.45">
      <c r="B150" s="888"/>
      <c r="C150" s="892"/>
      <c r="D150" s="191" t="str">
        <f>$D$10</f>
        <v>Sonde de température</v>
      </c>
      <c r="E150" s="884"/>
      <c r="F150" s="190" t="str" cm="1">
        <f t="array" aca="1" ref="F150" ca="1">IFERROR(LOOKUP(MIN(IF(LEFT(G150:U150,10)="Non validé",1,IF(G150:U150="Validé avec réserve",2,IF(G150:U150="Validé",3)))),{1,2,3},{"Non validé","Validé avec réserve","Validé"}),"")</f>
        <v/>
      </c>
      <c r="G150" s="168" t="str">
        <f t="shared" ref="G150:U150" ca="1" si="172">IF(F47&lt;&gt;"",_xlfn.SINGLE(INDIRECT(F47&amp;"!"&amp;$G$10)),"")</f>
        <v/>
      </c>
      <c r="H150" s="168" t="str">
        <f t="shared" ca="1" si="172"/>
        <v/>
      </c>
      <c r="I150" s="168" t="str">
        <f t="shared" ca="1" si="172"/>
        <v/>
      </c>
      <c r="J150" s="168" t="str">
        <f t="shared" ca="1" si="172"/>
        <v/>
      </c>
      <c r="K150" s="168" t="str">
        <f t="shared" ca="1" si="172"/>
        <v/>
      </c>
      <c r="L150" s="168" t="str">
        <f t="shared" ca="1" si="172"/>
        <v/>
      </c>
      <c r="M150" s="168" t="str">
        <f t="shared" ca="1" si="172"/>
        <v/>
      </c>
      <c r="N150" s="168" t="str">
        <f t="shared" ca="1" si="172"/>
        <v/>
      </c>
      <c r="O150" s="168" t="str">
        <f t="shared" ca="1" si="172"/>
        <v/>
      </c>
      <c r="P150" s="168" t="str">
        <f t="shared" ca="1" si="172"/>
        <v/>
      </c>
      <c r="Q150" s="168" t="str">
        <f t="shared" ca="1" si="172"/>
        <v/>
      </c>
      <c r="R150" s="168" t="str">
        <f t="shared" ca="1" si="172"/>
        <v/>
      </c>
      <c r="S150" s="168" t="str">
        <f t="shared" ca="1" si="172"/>
        <v/>
      </c>
      <c r="T150" s="168" t="str">
        <f t="shared" ca="1" si="172"/>
        <v/>
      </c>
      <c r="U150" s="168" t="str">
        <f t="shared" ca="1" si="172"/>
        <v/>
      </c>
    </row>
    <row r="151" spans="2:21" ht="13" thickBot="1" x14ac:dyDescent="0.45">
      <c r="B151" s="885" t="s">
        <v>108</v>
      </c>
      <c r="C151" s="889" t="s">
        <v>110</v>
      </c>
      <c r="D151" s="190" t="str">
        <f>$D$7</f>
        <v>Débitmètre en charge</v>
      </c>
      <c r="E151" s="882" t="str" cm="1">
        <f t="array" aca="1" ref="E151" ca="1">IFERROR(LOOKUP(MIN(IF(LEFT(F151:F155,10)="Non validé",1,IF(F151:F155="Validé avec réserve",2,IF(F151:F155="Validé",3)))),{1,2,3},{"Non validé","Validé avec réserve","Validé"}),"")</f>
        <v/>
      </c>
      <c r="F151" s="190" t="str" cm="1">
        <f t="array" aca="1" ref="F151" ca="1">IFERROR(LOOKUP(MIN(IF(LEFT(G151:U151,10)="Non validé",1,IF(G151:U151="Validé avec réserve",2,IF(G151:U151="Validé",3)))),{1,2,3},{"Non validé","Validé avec réserve","Validé"}),"")</f>
        <v/>
      </c>
      <c r="G151" s="162" t="str">
        <f t="shared" ref="G151:U151" ca="1" si="173">IF(F48&lt;&gt;"",_xlfn.SINGLE(INDIRECT(F48&amp;"!"&amp;$G$7)),"")</f>
        <v/>
      </c>
      <c r="H151" s="162" t="str">
        <f t="shared" ca="1" si="173"/>
        <v/>
      </c>
      <c r="I151" s="162" t="str">
        <f t="shared" ca="1" si="173"/>
        <v/>
      </c>
      <c r="J151" s="162" t="str">
        <f t="shared" ca="1" si="173"/>
        <v/>
      </c>
      <c r="K151" s="162" t="str">
        <f t="shared" ca="1" si="173"/>
        <v/>
      </c>
      <c r="L151" s="162" t="str">
        <f t="shared" ca="1" si="173"/>
        <v/>
      </c>
      <c r="M151" s="162" t="str">
        <f t="shared" ca="1" si="173"/>
        <v/>
      </c>
      <c r="N151" s="162" t="str">
        <f t="shared" ca="1" si="173"/>
        <v/>
      </c>
      <c r="O151" s="162" t="str">
        <f t="shared" ca="1" si="173"/>
        <v/>
      </c>
      <c r="P151" s="162" t="str">
        <f t="shared" ca="1" si="173"/>
        <v/>
      </c>
      <c r="Q151" s="162" t="str">
        <f t="shared" ca="1" si="173"/>
        <v/>
      </c>
      <c r="R151" s="162" t="str">
        <f t="shared" ca="1" si="173"/>
        <v/>
      </c>
      <c r="S151" s="162" t="str">
        <f t="shared" ca="1" si="173"/>
        <v/>
      </c>
      <c r="T151" s="162" t="str">
        <f t="shared" ca="1" si="173"/>
        <v/>
      </c>
      <c r="U151" s="162" t="str">
        <f t="shared" ca="1" si="173"/>
        <v/>
      </c>
    </row>
    <row r="152" spans="2:21" ht="13" thickBot="1" x14ac:dyDescent="0.45">
      <c r="B152" s="886"/>
      <c r="C152" s="890"/>
      <c r="D152" s="189" t="str">
        <f>$D$8</f>
        <v>Débitmètre gravitaire</v>
      </c>
      <c r="E152" s="883"/>
      <c r="F152" s="190" t="str" cm="1">
        <f t="array" aca="1" ref="F152" ca="1">IFERROR(LOOKUP(MIN(IF(LEFT(G152:U152,10)="Non validé",1,IF(G152:U152="Validé avec réserve",2,IF(G152:U152="Validé",3)))),{1,2,3},{"Non validé","Validé avec réserve","Validé"}),"")</f>
        <v/>
      </c>
      <c r="G152" s="13" t="str">
        <f t="shared" ref="G152:U152" ca="1" si="174">IF(F49&lt;&gt;"",_xlfn.SINGLE(INDIRECT(F49&amp;"!"&amp;$G$8)),"")</f>
        <v/>
      </c>
      <c r="H152" s="13" t="str">
        <f t="shared" ca="1" si="174"/>
        <v/>
      </c>
      <c r="I152" s="13" t="str">
        <f t="shared" ca="1" si="174"/>
        <v/>
      </c>
      <c r="J152" s="13" t="str">
        <f t="shared" ca="1" si="174"/>
        <v/>
      </c>
      <c r="K152" s="13" t="str">
        <f t="shared" ca="1" si="174"/>
        <v/>
      </c>
      <c r="L152" s="13" t="str">
        <f t="shared" ca="1" si="174"/>
        <v/>
      </c>
      <c r="M152" s="13" t="str">
        <f t="shared" ca="1" si="174"/>
        <v/>
      </c>
      <c r="N152" s="13" t="str">
        <f t="shared" ca="1" si="174"/>
        <v/>
      </c>
      <c r="O152" s="13" t="str">
        <f t="shared" ca="1" si="174"/>
        <v/>
      </c>
      <c r="P152" s="13" t="str">
        <f t="shared" ca="1" si="174"/>
        <v/>
      </c>
      <c r="Q152" s="13" t="str">
        <f t="shared" ca="1" si="174"/>
        <v/>
      </c>
      <c r="R152" s="13" t="str">
        <f t="shared" ca="1" si="174"/>
        <v/>
      </c>
      <c r="S152" s="13" t="str">
        <f t="shared" ca="1" si="174"/>
        <v/>
      </c>
      <c r="T152" s="13" t="str">
        <f t="shared" ca="1" si="174"/>
        <v/>
      </c>
      <c r="U152" s="13" t="str">
        <f t="shared" ca="1" si="174"/>
        <v/>
      </c>
    </row>
    <row r="153" spans="2:21" ht="13" thickBot="1" x14ac:dyDescent="0.45">
      <c r="B153" s="886"/>
      <c r="C153" s="890"/>
      <c r="D153" s="189" t="s">
        <v>493</v>
      </c>
      <c r="E153" s="883"/>
      <c r="F153" s="190" t="str" cm="1">
        <f t="array" aca="1" ref="F153" ca="1">IFERROR(LOOKUP(MIN(IF(LEFT(G153:U153,10)="Non validé",1,IF(G153:U153="Validé avec réserve",2,IF(G153:U153="Validé",3)))),{1,2,3},{"Non validé","Validé avec réserve","Validé"}),"")</f>
        <v/>
      </c>
      <c r="G153" s="183" t="str">
        <f ca="1">G151 &amp; G152</f>
        <v/>
      </c>
      <c r="H153" s="183" t="str">
        <f t="shared" ref="H153:U153" ca="1" si="175">H151 &amp; H152</f>
        <v/>
      </c>
      <c r="I153" s="183" t="str">
        <f t="shared" ca="1" si="175"/>
        <v/>
      </c>
      <c r="J153" s="183" t="str">
        <f t="shared" ca="1" si="175"/>
        <v/>
      </c>
      <c r="K153" s="183" t="str">
        <f t="shared" ca="1" si="175"/>
        <v/>
      </c>
      <c r="L153" s="183" t="str">
        <f t="shared" ca="1" si="175"/>
        <v/>
      </c>
      <c r="M153" s="183" t="str">
        <f t="shared" ca="1" si="175"/>
        <v/>
      </c>
      <c r="N153" s="183" t="str">
        <f t="shared" ca="1" si="175"/>
        <v/>
      </c>
      <c r="O153" s="183" t="str">
        <f t="shared" ca="1" si="175"/>
        <v/>
      </c>
      <c r="P153" s="183" t="str">
        <f t="shared" ca="1" si="175"/>
        <v/>
      </c>
      <c r="Q153" s="183" t="str">
        <f t="shared" ca="1" si="175"/>
        <v/>
      </c>
      <c r="R153" s="183" t="str">
        <f t="shared" ca="1" si="175"/>
        <v/>
      </c>
      <c r="S153" s="183" t="str">
        <f t="shared" ca="1" si="175"/>
        <v/>
      </c>
      <c r="T153" s="183" t="str">
        <f t="shared" ca="1" si="175"/>
        <v/>
      </c>
      <c r="U153" s="183" t="str">
        <f t="shared" ca="1" si="175"/>
        <v/>
      </c>
    </row>
    <row r="154" spans="2:21" ht="13" thickBot="1" x14ac:dyDescent="0.45">
      <c r="B154" s="886"/>
      <c r="C154" s="890"/>
      <c r="D154" s="189" t="str">
        <f>$D$9</f>
        <v>Préleveur</v>
      </c>
      <c r="E154" s="883"/>
      <c r="F154" s="190" t="str" cm="1">
        <f t="array" aca="1" ref="F154" ca="1">IFERROR(LOOKUP(MIN(IF(LEFT(G154:U154,10)="Non validé",1,IF(G154:U154="Validé avec réserve",2,IF(G154:U154="Validé",3)))),{1,2,3},{"Non validé","Validé avec réserve","Validé"}),"")</f>
        <v/>
      </c>
      <c r="G154" s="13" t="str">
        <f t="shared" ref="G154:U154" ca="1" si="176">IF(F50&lt;&gt;"",_xlfn.SINGLE(INDIRECT(F50&amp;"!"&amp;$G$9)),"")</f>
        <v/>
      </c>
      <c r="H154" s="13" t="str">
        <f t="shared" ca="1" si="176"/>
        <v/>
      </c>
      <c r="I154" s="13" t="str">
        <f t="shared" ca="1" si="176"/>
        <v/>
      </c>
      <c r="J154" s="13" t="str">
        <f t="shared" ca="1" si="176"/>
        <v/>
      </c>
      <c r="K154" s="13" t="str">
        <f t="shared" ca="1" si="176"/>
        <v/>
      </c>
      <c r="L154" s="13" t="str">
        <f t="shared" ca="1" si="176"/>
        <v/>
      </c>
      <c r="M154" s="13" t="str">
        <f t="shared" ca="1" si="176"/>
        <v/>
      </c>
      <c r="N154" s="13" t="str">
        <f t="shared" ca="1" si="176"/>
        <v/>
      </c>
      <c r="O154" s="13" t="str">
        <f t="shared" ca="1" si="176"/>
        <v/>
      </c>
      <c r="P154" s="13" t="str">
        <f t="shared" ca="1" si="176"/>
        <v/>
      </c>
      <c r="Q154" s="13" t="str">
        <f t="shared" ca="1" si="176"/>
        <v/>
      </c>
      <c r="R154" s="13" t="str">
        <f t="shared" ca="1" si="176"/>
        <v/>
      </c>
      <c r="S154" s="13" t="str">
        <f t="shared" ca="1" si="176"/>
        <v/>
      </c>
      <c r="T154" s="13" t="str">
        <f t="shared" ca="1" si="176"/>
        <v/>
      </c>
      <c r="U154" s="13" t="str">
        <f t="shared" ca="1" si="176"/>
        <v/>
      </c>
    </row>
    <row r="155" spans="2:21" ht="13" thickBot="1" x14ac:dyDescent="0.45">
      <c r="B155" s="887"/>
      <c r="C155" s="891"/>
      <c r="D155" s="390" t="s">
        <v>482</v>
      </c>
      <c r="E155" s="883"/>
      <c r="F155" s="190" t="str" cm="1">
        <f t="array" aca="1" ref="F155" ca="1">IFERROR(LOOKUP(MIN(IF(LEFT(G155:U155,10)="Non validé",1,IF(G155:U155="Validé avec réserve",2,IF(G155:U155="Validé",3)))),{1,2,3},{"Non validé","Validé avec réserve","Validé"}),"")</f>
        <v/>
      </c>
      <c r="G155" s="388" t="str">
        <f ca="1">IF(F57&lt;&gt;"",VLOOKUP(F57,Analytique!$X$3:$AD$36,7,FALSE),"")</f>
        <v/>
      </c>
      <c r="H155" s="388" t="str">
        <f ca="1">IF(G57&lt;&gt;"",VLOOKUP(G57,Analytique!$X$3:$AD$36,7,FALSE),"")</f>
        <v/>
      </c>
      <c r="I155" s="388" t="str">
        <f ca="1">IF(H57&lt;&gt;"",VLOOKUP(H57,Analytique!$X$3:$AD$36,7,FALSE),"")</f>
        <v/>
      </c>
      <c r="J155" s="388" t="str">
        <f ca="1">IF(I57&lt;&gt;"",VLOOKUP(I57,Analytique!$X$3:$AD$36,7,FALSE),"")</f>
        <v/>
      </c>
      <c r="K155" s="388" t="str">
        <f ca="1">IF(J57&lt;&gt;"",VLOOKUP(J57,Analytique!$X$3:$AD$36,7,FALSE),"")</f>
        <v/>
      </c>
      <c r="L155" s="388" t="str">
        <f ca="1">IF(K57&lt;&gt;"",VLOOKUP(K57,Analytique!$X$3:$AD$36,7,FALSE),"")</f>
        <v/>
      </c>
      <c r="M155" s="388" t="str">
        <f ca="1">IF(L57&lt;&gt;"",VLOOKUP(L57,Analytique!$X$3:$AD$36,7,FALSE),"")</f>
        <v/>
      </c>
      <c r="N155" s="388" t="str">
        <f ca="1">IF(M57&lt;&gt;"",VLOOKUP(M57,Analytique!$X$3:$AD$36,7,FALSE),"")</f>
        <v/>
      </c>
      <c r="O155" s="388" t="str">
        <f ca="1">IF(N57&lt;&gt;"",VLOOKUP(N57,Analytique!$X$3:$AD$36,7,FALSE),"")</f>
        <v/>
      </c>
      <c r="P155" s="388" t="str">
        <f ca="1">IF(O57&lt;&gt;"",VLOOKUP(O57,Analytique!$X$3:$AD$36,7,FALSE),"")</f>
        <v/>
      </c>
      <c r="Q155" s="388" t="str">
        <f ca="1">IF(P57&lt;&gt;"",VLOOKUP(P57,Analytique!$X$3:$AD$36,7,FALSE),"")</f>
        <v/>
      </c>
      <c r="R155" s="388" t="str">
        <f ca="1">IF(Q57&lt;&gt;"",VLOOKUP(Q57,Analytique!$X$3:$AD$36,7,FALSE),"")</f>
        <v/>
      </c>
      <c r="S155" s="388" t="str">
        <f ca="1">IF(R57&lt;&gt;"",VLOOKUP(R57,Analytique!$X$3:$AD$36,7,FALSE),"")</f>
        <v/>
      </c>
      <c r="T155" s="388" t="str">
        <f ca="1">IF(S57&lt;&gt;"",VLOOKUP(S57,Analytique!$X$3:$AD$36,7,FALSE),"")</f>
        <v/>
      </c>
      <c r="U155" s="388" t="str">
        <f ca="1">IF(T57&lt;&gt;"",VLOOKUP(T57,Analytique!$X$3:$AD$36,7,FALSE),"")</f>
        <v/>
      </c>
    </row>
    <row r="156" spans="2:21" ht="13" thickBot="1" x14ac:dyDescent="0.45">
      <c r="B156" s="888"/>
      <c r="C156" s="892"/>
      <c r="D156" s="191" t="str">
        <f>$D$10</f>
        <v>Sonde de température</v>
      </c>
      <c r="E156" s="884"/>
      <c r="F156" s="190" t="str" cm="1">
        <f t="array" aca="1" ref="F156" ca="1">IFERROR(LOOKUP(MIN(IF(LEFT(G156:U156,10)="Non validé",1,IF(G156:U156="Validé avec réserve",2,IF(G156:U156="Validé",3)))),{1,2,3},{"Non validé","Validé avec réserve","Validé"}),"")</f>
        <v/>
      </c>
      <c r="G156" s="168" t="str">
        <f t="shared" ref="G156:U156" ca="1" si="177">IF(F52&lt;&gt;"",_xlfn.SINGLE(INDIRECT(F52&amp;"!"&amp;$G$10)),"")</f>
        <v/>
      </c>
      <c r="H156" s="168" t="str">
        <f t="shared" ca="1" si="177"/>
        <v/>
      </c>
      <c r="I156" s="168" t="str">
        <f t="shared" ca="1" si="177"/>
        <v/>
      </c>
      <c r="J156" s="168" t="str">
        <f t="shared" ca="1" si="177"/>
        <v/>
      </c>
      <c r="K156" s="168" t="str">
        <f t="shared" ca="1" si="177"/>
        <v/>
      </c>
      <c r="L156" s="168" t="str">
        <f t="shared" ca="1" si="177"/>
        <v/>
      </c>
      <c r="M156" s="168" t="str">
        <f t="shared" ca="1" si="177"/>
        <v/>
      </c>
      <c r="N156" s="168" t="str">
        <f t="shared" ca="1" si="177"/>
        <v/>
      </c>
      <c r="O156" s="168" t="str">
        <f t="shared" ca="1" si="177"/>
        <v/>
      </c>
      <c r="P156" s="168" t="str">
        <f t="shared" ca="1" si="177"/>
        <v/>
      </c>
      <c r="Q156" s="168" t="str">
        <f t="shared" ca="1" si="177"/>
        <v/>
      </c>
      <c r="R156" s="168" t="str">
        <f t="shared" ca="1" si="177"/>
        <v/>
      </c>
      <c r="S156" s="168" t="str">
        <f t="shared" ca="1" si="177"/>
        <v/>
      </c>
      <c r="T156" s="168" t="str">
        <f t="shared" ca="1" si="177"/>
        <v/>
      </c>
      <c r="U156" s="168" t="str">
        <f t="shared" ca="1" si="177"/>
        <v/>
      </c>
    </row>
    <row r="157" spans="2:21" ht="13" thickBot="1" x14ac:dyDescent="0.45">
      <c r="B157" s="885" t="s">
        <v>123</v>
      </c>
      <c r="C157" s="889" t="s">
        <v>130</v>
      </c>
      <c r="D157" s="190" t="str">
        <f>$D$7</f>
        <v>Débitmètre en charge</v>
      </c>
      <c r="E157" s="882" t="str" cm="1">
        <f t="array" aca="1" ref="E157" ca="1">IFERROR(LOOKUP(MIN(IF(LEFT(F157:F161,10)="Non validé",1,IF(F157:F161="Validé avec réserve",2,IF(F157:F161="Validé",3)))),{1,2,3},{"Non validé","Validé avec réserve","Validé"}),"")</f>
        <v/>
      </c>
      <c r="F157" s="190" t="str" cm="1">
        <f t="array" aca="1" ref="F157" ca="1">IFERROR(LOOKUP(MIN(IF(LEFT(G157:U157,10)="Non validé",1,IF(G157:U157="Validé avec réserve",2,IF(G157:U157="Validé",3)))),{1,2,3},{"Non validé","Validé avec réserve","Validé"}),"")</f>
        <v/>
      </c>
      <c r="G157" s="162" t="str">
        <f t="shared" ref="G157:U157" ca="1" si="178">IF(F53&lt;&gt;"",_xlfn.SINGLE(INDIRECT(F53&amp;"!"&amp;$G$7)),"")</f>
        <v/>
      </c>
      <c r="H157" s="162" t="str">
        <f t="shared" ca="1" si="178"/>
        <v/>
      </c>
      <c r="I157" s="162" t="str">
        <f t="shared" ca="1" si="178"/>
        <v/>
      </c>
      <c r="J157" s="162" t="str">
        <f t="shared" ca="1" si="178"/>
        <v/>
      </c>
      <c r="K157" s="162" t="str">
        <f t="shared" ca="1" si="178"/>
        <v/>
      </c>
      <c r="L157" s="162" t="str">
        <f t="shared" ca="1" si="178"/>
        <v/>
      </c>
      <c r="M157" s="162" t="str">
        <f t="shared" ca="1" si="178"/>
        <v/>
      </c>
      <c r="N157" s="162" t="str">
        <f t="shared" ca="1" si="178"/>
        <v/>
      </c>
      <c r="O157" s="162" t="str">
        <f t="shared" ca="1" si="178"/>
        <v/>
      </c>
      <c r="P157" s="162" t="str">
        <f t="shared" ca="1" si="178"/>
        <v/>
      </c>
      <c r="Q157" s="162" t="str">
        <f t="shared" ca="1" si="178"/>
        <v/>
      </c>
      <c r="R157" s="162" t="str">
        <f t="shared" ca="1" si="178"/>
        <v/>
      </c>
      <c r="S157" s="162" t="str">
        <f t="shared" ca="1" si="178"/>
        <v/>
      </c>
      <c r="T157" s="162" t="str">
        <f t="shared" ca="1" si="178"/>
        <v/>
      </c>
      <c r="U157" s="162" t="str">
        <f t="shared" ca="1" si="178"/>
        <v/>
      </c>
    </row>
    <row r="158" spans="2:21" ht="13" thickBot="1" x14ac:dyDescent="0.45">
      <c r="B158" s="886"/>
      <c r="C158" s="890"/>
      <c r="D158" s="189" t="str">
        <f>$D$8</f>
        <v>Débitmètre gravitaire</v>
      </c>
      <c r="E158" s="883"/>
      <c r="F158" s="190" t="str" cm="1">
        <f t="array" aca="1" ref="F158" ca="1">IFERROR(LOOKUP(MIN(IF(LEFT(G158:U158,10)="Non validé",1,IF(G158:U158="Validé avec réserve",2,IF(G158:U158="Validé",3)))),{1,2,3},{"Non validé","Validé avec réserve","Validé"}),"")</f>
        <v/>
      </c>
      <c r="G158" s="13" t="str">
        <f t="shared" ref="G158:U158" ca="1" si="179">IF(F54&lt;&gt;"",_xlfn.SINGLE(INDIRECT(F54&amp;"!"&amp;$G$8)),"")</f>
        <v/>
      </c>
      <c r="H158" s="13" t="str">
        <f t="shared" ca="1" si="179"/>
        <v/>
      </c>
      <c r="I158" s="13" t="str">
        <f t="shared" ca="1" si="179"/>
        <v/>
      </c>
      <c r="J158" s="13" t="str">
        <f t="shared" ca="1" si="179"/>
        <v/>
      </c>
      <c r="K158" s="13" t="str">
        <f t="shared" ca="1" si="179"/>
        <v/>
      </c>
      <c r="L158" s="13" t="str">
        <f t="shared" ca="1" si="179"/>
        <v/>
      </c>
      <c r="M158" s="13" t="str">
        <f t="shared" ca="1" si="179"/>
        <v/>
      </c>
      <c r="N158" s="13" t="str">
        <f t="shared" ca="1" si="179"/>
        <v/>
      </c>
      <c r="O158" s="13" t="str">
        <f t="shared" ca="1" si="179"/>
        <v/>
      </c>
      <c r="P158" s="13" t="str">
        <f t="shared" ca="1" si="179"/>
        <v/>
      </c>
      <c r="Q158" s="13" t="str">
        <f t="shared" ca="1" si="179"/>
        <v/>
      </c>
      <c r="R158" s="13" t="str">
        <f t="shared" ca="1" si="179"/>
        <v/>
      </c>
      <c r="S158" s="13" t="str">
        <f t="shared" ca="1" si="179"/>
        <v/>
      </c>
      <c r="T158" s="13" t="str">
        <f t="shared" ca="1" si="179"/>
        <v/>
      </c>
      <c r="U158" s="13" t="str">
        <f t="shared" ca="1" si="179"/>
        <v/>
      </c>
    </row>
    <row r="159" spans="2:21" ht="13" thickBot="1" x14ac:dyDescent="0.45">
      <c r="B159" s="886"/>
      <c r="C159" s="890"/>
      <c r="D159" s="189" t="s">
        <v>493</v>
      </c>
      <c r="E159" s="883"/>
      <c r="F159" s="190" t="str" cm="1">
        <f t="array" aca="1" ref="F159" ca="1">IFERROR(LOOKUP(MIN(IF(LEFT(G159:U159,10)="Non validé",1,IF(G159:U159="Validé avec réserve",2,IF(G159:U159="Validé",3)))),{1,2,3},{"Non validé","Validé avec réserve","Validé"}),"")</f>
        <v/>
      </c>
      <c r="G159" s="183" t="str">
        <f ca="1">G157 &amp; G158</f>
        <v/>
      </c>
      <c r="H159" s="183" t="str">
        <f t="shared" ref="H159:U159" ca="1" si="180">H157 &amp; H158</f>
        <v/>
      </c>
      <c r="I159" s="183" t="str">
        <f t="shared" ca="1" si="180"/>
        <v/>
      </c>
      <c r="J159" s="183" t="str">
        <f t="shared" ca="1" si="180"/>
        <v/>
      </c>
      <c r="K159" s="183" t="str">
        <f t="shared" ca="1" si="180"/>
        <v/>
      </c>
      <c r="L159" s="183" t="str">
        <f t="shared" ca="1" si="180"/>
        <v/>
      </c>
      <c r="M159" s="183" t="str">
        <f t="shared" ca="1" si="180"/>
        <v/>
      </c>
      <c r="N159" s="183" t="str">
        <f t="shared" ca="1" si="180"/>
        <v/>
      </c>
      <c r="O159" s="183" t="str">
        <f t="shared" ca="1" si="180"/>
        <v/>
      </c>
      <c r="P159" s="183" t="str">
        <f t="shared" ca="1" si="180"/>
        <v/>
      </c>
      <c r="Q159" s="183" t="str">
        <f t="shared" ca="1" si="180"/>
        <v/>
      </c>
      <c r="R159" s="183" t="str">
        <f t="shared" ca="1" si="180"/>
        <v/>
      </c>
      <c r="S159" s="183" t="str">
        <f t="shared" ca="1" si="180"/>
        <v/>
      </c>
      <c r="T159" s="183" t="str">
        <f t="shared" ca="1" si="180"/>
        <v/>
      </c>
      <c r="U159" s="183" t="str">
        <f t="shared" ca="1" si="180"/>
        <v/>
      </c>
    </row>
    <row r="160" spans="2:21" ht="13" thickBot="1" x14ac:dyDescent="0.45">
      <c r="B160" s="886"/>
      <c r="C160" s="890"/>
      <c r="D160" s="189" t="str">
        <f>$D$9</f>
        <v>Préleveur</v>
      </c>
      <c r="E160" s="883"/>
      <c r="F160" s="190" t="str" cm="1">
        <f t="array" aca="1" ref="F160" ca="1">IFERROR(LOOKUP(MIN(IF(LEFT(G160:U160,10)="Non validé",1,IF(G160:U160="Validé avec réserve",2,IF(G160:U160="Validé",3)))),{1,2,3},{"Non validé","Validé avec réserve","Validé"}),"")</f>
        <v/>
      </c>
      <c r="G160" s="13" t="str">
        <f t="shared" ref="G160:U160" ca="1" si="181">IF(F55&lt;&gt;"",_xlfn.SINGLE(INDIRECT(F55&amp;"!"&amp;$G$9)),"")</f>
        <v/>
      </c>
      <c r="H160" s="13" t="str">
        <f t="shared" ca="1" si="181"/>
        <v/>
      </c>
      <c r="I160" s="13" t="str">
        <f t="shared" ca="1" si="181"/>
        <v/>
      </c>
      <c r="J160" s="13" t="str">
        <f t="shared" ca="1" si="181"/>
        <v/>
      </c>
      <c r="K160" s="13" t="str">
        <f t="shared" ca="1" si="181"/>
        <v/>
      </c>
      <c r="L160" s="13" t="str">
        <f t="shared" ca="1" si="181"/>
        <v/>
      </c>
      <c r="M160" s="13" t="str">
        <f t="shared" ca="1" si="181"/>
        <v/>
      </c>
      <c r="N160" s="13" t="str">
        <f t="shared" ca="1" si="181"/>
        <v/>
      </c>
      <c r="O160" s="13" t="str">
        <f t="shared" ca="1" si="181"/>
        <v/>
      </c>
      <c r="P160" s="13" t="str">
        <f t="shared" ca="1" si="181"/>
        <v/>
      </c>
      <c r="Q160" s="13" t="str">
        <f t="shared" ca="1" si="181"/>
        <v/>
      </c>
      <c r="R160" s="13" t="str">
        <f t="shared" ca="1" si="181"/>
        <v/>
      </c>
      <c r="S160" s="13" t="str">
        <f t="shared" ca="1" si="181"/>
        <v/>
      </c>
      <c r="T160" s="13" t="str">
        <f t="shared" ca="1" si="181"/>
        <v/>
      </c>
      <c r="U160" s="13" t="str">
        <f t="shared" ca="1" si="181"/>
        <v/>
      </c>
    </row>
    <row r="161" spans="2:21" ht="13" thickBot="1" x14ac:dyDescent="0.45">
      <c r="B161" s="887"/>
      <c r="C161" s="891"/>
      <c r="D161" s="390" t="s">
        <v>482</v>
      </c>
      <c r="E161" s="883"/>
      <c r="F161" s="190" t="str" cm="1">
        <f t="array" aca="1" ref="F161" ca="1">IFERROR(LOOKUP(MIN(IF(LEFT(G161:U161,10)="Non validé",1,IF(G161:U161="Validé avec réserve",2,IF(G161:U161="Validé",3)))),{1,2,3},{"Non validé","Validé avec réserve","Validé"}),"")</f>
        <v/>
      </c>
      <c r="G161" s="388" t="str">
        <f ca="1">IF(F63&lt;&gt;"",VLOOKUP(F63,Analytique!$X$3:$AD$36,7,FALSE),"")</f>
        <v/>
      </c>
      <c r="H161" s="388" t="str">
        <f ca="1">IF(G63&lt;&gt;"",VLOOKUP(G63,Analytique!$X$3:$AD$36,7,FALSE),"")</f>
        <v/>
      </c>
      <c r="I161" s="388" t="str">
        <f ca="1">IF(H63&lt;&gt;"",VLOOKUP(H63,Analytique!$X$3:$AD$36,7,FALSE),"")</f>
        <v/>
      </c>
      <c r="J161" s="388" t="str">
        <f ca="1">IF(I63&lt;&gt;"",VLOOKUP(I63,Analytique!$X$3:$AD$36,7,FALSE),"")</f>
        <v/>
      </c>
      <c r="K161" s="388" t="str">
        <f ca="1">IF(J63&lt;&gt;"",VLOOKUP(J63,Analytique!$X$3:$AD$36,7,FALSE),"")</f>
        <v/>
      </c>
      <c r="L161" s="388" t="str">
        <f ca="1">IF(K63&lt;&gt;"",VLOOKUP(K63,Analytique!$X$3:$AD$36,7,FALSE),"")</f>
        <v/>
      </c>
      <c r="M161" s="388" t="str">
        <f ca="1">IF(L63&lt;&gt;"",VLOOKUP(L63,Analytique!$X$3:$AD$36,7,FALSE),"")</f>
        <v/>
      </c>
      <c r="N161" s="388" t="str">
        <f ca="1">IF(M63&lt;&gt;"",VLOOKUP(M63,Analytique!$X$3:$AD$36,7,FALSE),"")</f>
        <v/>
      </c>
      <c r="O161" s="388" t="str">
        <f ca="1">IF(N63&lt;&gt;"",VLOOKUP(N63,Analytique!$X$3:$AD$36,7,FALSE),"")</f>
        <v/>
      </c>
      <c r="P161" s="388" t="str">
        <f ca="1">IF(O63&lt;&gt;"",VLOOKUP(O63,Analytique!$X$3:$AD$36,7,FALSE),"")</f>
        <v/>
      </c>
      <c r="Q161" s="388" t="str">
        <f ca="1">IF(P63&lt;&gt;"",VLOOKUP(P63,Analytique!$X$3:$AD$36,7,FALSE),"")</f>
        <v/>
      </c>
      <c r="R161" s="388" t="str">
        <f ca="1">IF(Q63&lt;&gt;"",VLOOKUP(Q63,Analytique!$X$3:$AD$36,7,FALSE),"")</f>
        <v/>
      </c>
      <c r="S161" s="388" t="str">
        <f ca="1">IF(R63&lt;&gt;"",VLOOKUP(R63,Analytique!$X$3:$AD$36,7,FALSE),"")</f>
        <v/>
      </c>
      <c r="T161" s="388" t="str">
        <f ca="1">IF(S63&lt;&gt;"",VLOOKUP(S63,Analytique!$X$3:$AD$36,7,FALSE),"")</f>
        <v/>
      </c>
      <c r="U161" s="388" t="str">
        <f ca="1">IF(T63&lt;&gt;"",VLOOKUP(T63,Analytique!$X$3:$AD$36,7,FALSE),"")</f>
        <v/>
      </c>
    </row>
    <row r="162" spans="2:21" ht="13" thickBot="1" x14ac:dyDescent="0.45">
      <c r="B162" s="888"/>
      <c r="C162" s="892"/>
      <c r="D162" s="191" t="str">
        <f>$D$10</f>
        <v>Sonde de température</v>
      </c>
      <c r="E162" s="884"/>
      <c r="F162" s="190" t="str" cm="1">
        <f t="array" aca="1" ref="F162" ca="1">IFERROR(LOOKUP(MIN(IF(LEFT(G162:U162,10)="Non validé",1,IF(G162:U162="Validé avec réserve",2,IF(G162:U162="Validé",3)))),{1,2,3},{"Non validé","Validé avec réserve","Validé"}),"")</f>
        <v/>
      </c>
      <c r="G162" s="168" t="str">
        <f t="shared" ref="G162:U162" ca="1" si="182">IF(F57&lt;&gt;"",_xlfn.SINGLE(INDIRECT(F57&amp;"!"&amp;$G$10)),"")</f>
        <v/>
      </c>
      <c r="H162" s="168" t="str">
        <f t="shared" ca="1" si="182"/>
        <v/>
      </c>
      <c r="I162" s="168" t="str">
        <f t="shared" ca="1" si="182"/>
        <v/>
      </c>
      <c r="J162" s="168" t="str">
        <f t="shared" ca="1" si="182"/>
        <v/>
      </c>
      <c r="K162" s="168" t="str">
        <f t="shared" ca="1" si="182"/>
        <v/>
      </c>
      <c r="L162" s="168" t="str">
        <f t="shared" ca="1" si="182"/>
        <v/>
      </c>
      <c r="M162" s="168" t="str">
        <f t="shared" ca="1" si="182"/>
        <v/>
      </c>
      <c r="N162" s="168" t="str">
        <f t="shared" ca="1" si="182"/>
        <v/>
      </c>
      <c r="O162" s="168" t="str">
        <f t="shared" ca="1" si="182"/>
        <v/>
      </c>
      <c r="P162" s="168" t="str">
        <f t="shared" ca="1" si="182"/>
        <v/>
      </c>
      <c r="Q162" s="168" t="str">
        <f t="shared" ca="1" si="182"/>
        <v/>
      </c>
      <c r="R162" s="168" t="str">
        <f t="shared" ca="1" si="182"/>
        <v/>
      </c>
      <c r="S162" s="168" t="str">
        <f t="shared" ca="1" si="182"/>
        <v/>
      </c>
      <c r="T162" s="168" t="str">
        <f t="shared" ca="1" si="182"/>
        <v/>
      </c>
      <c r="U162" s="168" t="str">
        <f t="shared" ca="1" si="182"/>
        <v/>
      </c>
    </row>
  </sheetData>
  <mergeCells count="68">
    <mergeCell ref="B19:B23"/>
    <mergeCell ref="C19:C23"/>
    <mergeCell ref="B24:B28"/>
    <mergeCell ref="B29:B33"/>
    <mergeCell ref="B34:B37"/>
    <mergeCell ref="B38:B42"/>
    <mergeCell ref="B43:B47"/>
    <mergeCell ref="B48:B52"/>
    <mergeCell ref="B53:B57"/>
    <mergeCell ref="C24:C28"/>
    <mergeCell ref="C29:C33"/>
    <mergeCell ref="C34:C37"/>
    <mergeCell ref="C38:C42"/>
    <mergeCell ref="C43:C47"/>
    <mergeCell ref="C48:C52"/>
    <mergeCell ref="E4:I4"/>
    <mergeCell ref="E12:S12"/>
    <mergeCell ref="E98:E103"/>
    <mergeCell ref="E104:E109"/>
    <mergeCell ref="B80:B85"/>
    <mergeCell ref="C80:C85"/>
    <mergeCell ref="B86:B91"/>
    <mergeCell ref="C86:C91"/>
    <mergeCell ref="B92:B97"/>
    <mergeCell ref="C92:C97"/>
    <mergeCell ref="C53:C57"/>
    <mergeCell ref="B62:B67"/>
    <mergeCell ref="C62:C67"/>
    <mergeCell ref="B68:B73"/>
    <mergeCell ref="C68:C73"/>
    <mergeCell ref="B74:B79"/>
    <mergeCell ref="B139:B144"/>
    <mergeCell ref="C139:C144"/>
    <mergeCell ref="B145:B150"/>
    <mergeCell ref="C145:C150"/>
    <mergeCell ref="B115:B120"/>
    <mergeCell ref="C115:C120"/>
    <mergeCell ref="B121:B126"/>
    <mergeCell ref="C121:C126"/>
    <mergeCell ref="B127:B132"/>
    <mergeCell ref="C127:C132"/>
    <mergeCell ref="E74:E79"/>
    <mergeCell ref="E80:E85"/>
    <mergeCell ref="E86:E91"/>
    <mergeCell ref="E92:E97"/>
    <mergeCell ref="B133:B138"/>
    <mergeCell ref="C133:C138"/>
    <mergeCell ref="B98:B103"/>
    <mergeCell ref="C98:C103"/>
    <mergeCell ref="B104:B109"/>
    <mergeCell ref="C104:C109"/>
    <mergeCell ref="C74:C79"/>
    <mergeCell ref="B4:C4"/>
    <mergeCell ref="B5:C7"/>
    <mergeCell ref="E151:E156"/>
    <mergeCell ref="E157:E162"/>
    <mergeCell ref="E115:E120"/>
    <mergeCell ref="E121:E126"/>
    <mergeCell ref="E127:E132"/>
    <mergeCell ref="E133:E138"/>
    <mergeCell ref="E139:E144"/>
    <mergeCell ref="E145:E150"/>
    <mergeCell ref="B151:B156"/>
    <mergeCell ref="C151:C156"/>
    <mergeCell ref="B157:B162"/>
    <mergeCell ref="C157:C162"/>
    <mergeCell ref="E62:E67"/>
    <mergeCell ref="E68:E73"/>
  </mergeCells>
  <phoneticPr fontId="13" type="noConversion"/>
  <conditionalFormatting sqref="B19:C19">
    <cfRule type="expression" priority="23">
      <formula>IF($C$19="Industrie",1,0)</formula>
    </cfRule>
  </conditionalFormatting>
  <conditionalFormatting sqref="B24:C24">
    <cfRule type="expression" priority="22">
      <formula>IF($C$19="Industrie",1,0)</formula>
    </cfRule>
  </conditionalFormatting>
  <conditionalFormatting sqref="B29:C29">
    <cfRule type="expression" priority="21">
      <formula>IF($C$19="Industrie",1,0)</formula>
    </cfRule>
  </conditionalFormatting>
  <conditionalFormatting sqref="B34:C34">
    <cfRule type="expression" priority="26">
      <formula>IF($C$19="Industrie",1,0)</formula>
    </cfRule>
  </conditionalFormatting>
  <conditionalFormatting sqref="B38:C38">
    <cfRule type="expression" priority="25">
      <formula>IF($C$19="Industrie",1,0)</formula>
    </cfRule>
  </conditionalFormatting>
  <conditionalFormatting sqref="B43:C43">
    <cfRule type="expression" priority="24">
      <formula>IF($C$19="Industrie",1,0)</formula>
    </cfRule>
  </conditionalFormatting>
  <conditionalFormatting sqref="B48:C48">
    <cfRule type="expression" priority="20">
      <formula>IF($C$19="Industrie",1,0)</formula>
    </cfRule>
  </conditionalFormatting>
  <conditionalFormatting sqref="B53:C53">
    <cfRule type="expression" priority="18">
      <formula>IF($C$19="Industrie",1,0)</formula>
    </cfRule>
  </conditionalFormatting>
  <conditionalFormatting sqref="B62:C62">
    <cfRule type="expression" priority="13">
      <formula>IF($C$19="Industrie",1,0)</formula>
    </cfRule>
  </conditionalFormatting>
  <conditionalFormatting sqref="B68:C68">
    <cfRule type="expression" priority="12">
      <formula>IF($C$19="Industrie",1,0)</formula>
    </cfRule>
  </conditionalFormatting>
  <conditionalFormatting sqref="B74:C74">
    <cfRule type="expression" priority="11">
      <formula>IF($C$19="Industrie",1,0)</formula>
    </cfRule>
  </conditionalFormatting>
  <conditionalFormatting sqref="B80:C80">
    <cfRule type="expression" priority="16">
      <formula>IF($C$19="Industrie",1,0)</formula>
    </cfRule>
  </conditionalFormatting>
  <conditionalFormatting sqref="B86:C86">
    <cfRule type="expression" priority="15">
      <formula>IF($C$19="Industrie",1,0)</formula>
    </cfRule>
  </conditionalFormatting>
  <conditionalFormatting sqref="B92:C92">
    <cfRule type="expression" priority="14">
      <formula>IF($C$19="Industrie",1,0)</formula>
    </cfRule>
  </conditionalFormatting>
  <conditionalFormatting sqref="B98:C98">
    <cfRule type="expression" priority="10">
      <formula>IF($C$19="Industrie",1,0)</formula>
    </cfRule>
  </conditionalFormatting>
  <conditionalFormatting sqref="B104:C104">
    <cfRule type="expression" priority="9">
      <formula>IF($C$19="Industrie",1,0)</formula>
    </cfRule>
  </conditionalFormatting>
  <conditionalFormatting sqref="B115:C115">
    <cfRule type="expression" priority="5">
      <formula>IF($C$19="Industrie",1,0)</formula>
    </cfRule>
  </conditionalFormatting>
  <conditionalFormatting sqref="B121:C121">
    <cfRule type="expression" priority="4">
      <formula>IF($C$19="Industrie",1,0)</formula>
    </cfRule>
  </conditionalFormatting>
  <conditionalFormatting sqref="B127:C127">
    <cfRule type="expression" priority="3">
      <formula>IF($C$19="Industrie",1,0)</formula>
    </cfRule>
  </conditionalFormatting>
  <conditionalFormatting sqref="B133:C133">
    <cfRule type="expression" priority="8">
      <formula>IF($C$19="Industrie",1,0)</formula>
    </cfRule>
  </conditionalFormatting>
  <conditionalFormatting sqref="B139:C139">
    <cfRule type="expression" priority="7">
      <formula>IF($C$19="Industrie",1,0)</formula>
    </cfRule>
  </conditionalFormatting>
  <conditionalFormatting sqref="B145:C145">
    <cfRule type="expression" priority="6">
      <formula>IF($C$19="Industrie",1,0)</formula>
    </cfRule>
  </conditionalFormatting>
  <conditionalFormatting sqref="B151:C151">
    <cfRule type="expression" priority="2">
      <formula>IF($C$19="Industrie",1,0)</formula>
    </cfRule>
  </conditionalFormatting>
  <conditionalFormatting sqref="B157:C157">
    <cfRule type="expression" priority="1">
      <formula>IF($C$19="Industrie",1,0)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Feuil24"/>
  <dimension ref="A1:AT72"/>
  <sheetViews>
    <sheetView workbookViewId="0">
      <selection activeCell="Y16" sqref="Y16"/>
    </sheetView>
  </sheetViews>
  <sheetFormatPr baseColWidth="10" defaultRowHeight="12.7" x14ac:dyDescent="0.4"/>
  <cols>
    <col min="1" max="1" width="25.41015625" customWidth="1"/>
    <col min="2" max="2" width="19.41015625" customWidth="1"/>
    <col min="3" max="3" width="16.1171875" customWidth="1"/>
    <col min="4" max="4" width="12.87890625" customWidth="1"/>
    <col min="5" max="5" width="19.41015625" customWidth="1"/>
    <col min="6" max="7" width="12.29296875" customWidth="1"/>
    <col min="8" max="8" width="19.5859375" customWidth="1"/>
    <col min="9" max="9" width="6.703125" customWidth="1"/>
    <col min="10" max="10" width="19.1171875" customWidth="1"/>
    <col min="11" max="14" width="16" customWidth="1"/>
  </cols>
  <sheetData>
    <row r="1" spans="1:46" x14ac:dyDescent="0.4">
      <c r="A1" s="201" t="s">
        <v>359</v>
      </c>
      <c r="B1" s="1">
        <f>Descriptif!$AD$2</f>
        <v>14</v>
      </c>
      <c r="C1" s="1">
        <f>Descriptif!$AF$2</f>
        <v>14</v>
      </c>
      <c r="D1" s="201" t="s">
        <v>360</v>
      </c>
      <c r="E1" s="1">
        <f>Descriptif!$AD$3</f>
        <v>34</v>
      </c>
      <c r="F1" s="1">
        <f>Descriptif!$AF$3</f>
        <v>34</v>
      </c>
      <c r="G1" s="1"/>
    </row>
    <row r="2" spans="1:46" x14ac:dyDescent="0.4">
      <c r="A2" t="s">
        <v>490</v>
      </c>
      <c r="B2" s="1">
        <f>Descriptif!$AH$2</f>
        <v>23</v>
      </c>
      <c r="C2" s="1">
        <f>Descriptif!$AI$2</f>
        <v>23</v>
      </c>
      <c r="D2" t="s">
        <v>491</v>
      </c>
      <c r="E2" s="1">
        <f>Descriptif!$AH$3</f>
        <v>43</v>
      </c>
      <c r="F2" s="1">
        <f>Descriptif!$AI$3</f>
        <v>43</v>
      </c>
      <c r="G2" s="1"/>
    </row>
    <row r="3" spans="1:46" x14ac:dyDescent="0.4">
      <c r="A3" s="174" t="s">
        <v>333</v>
      </c>
      <c r="B3" s="902" t="s">
        <v>178</v>
      </c>
      <c r="C3" s="902"/>
      <c r="D3" s="902"/>
      <c r="E3" s="902"/>
      <c r="F3" s="902"/>
      <c r="G3" s="455"/>
    </row>
    <row r="4" spans="1:46" x14ac:dyDescent="0.4">
      <c r="A4" s="154"/>
      <c r="B4" s="154" t="s">
        <v>334</v>
      </c>
      <c r="C4" s="154" t="s">
        <v>373</v>
      </c>
      <c r="D4" s="154" t="s">
        <v>374</v>
      </c>
      <c r="E4" s="154" t="s">
        <v>336</v>
      </c>
      <c r="F4" s="154" t="s">
        <v>337</v>
      </c>
      <c r="G4" s="1"/>
    </row>
    <row r="5" spans="1:46" x14ac:dyDescent="0.4">
      <c r="A5" s="154" t="s">
        <v>17</v>
      </c>
      <c r="B5" s="155" t="s">
        <v>410</v>
      </c>
      <c r="C5" s="155" t="s">
        <v>411</v>
      </c>
      <c r="D5" s="155" t="s">
        <v>412</v>
      </c>
      <c r="E5" s="155" t="s">
        <v>413</v>
      </c>
      <c r="F5" s="155" t="s">
        <v>414</v>
      </c>
      <c r="G5" s="456"/>
    </row>
    <row r="6" spans="1:46" x14ac:dyDescent="0.4">
      <c r="A6" s="154" t="str">
        <f>PARAM!$C4</f>
        <v>Débitmètre en charge</v>
      </c>
      <c r="B6" s="153" t="s">
        <v>413</v>
      </c>
      <c r="C6" s="153" t="s">
        <v>424</v>
      </c>
      <c r="D6" s="153" t="s">
        <v>425</v>
      </c>
      <c r="E6" s="153" t="s">
        <v>426</v>
      </c>
      <c r="F6" s="153" t="s">
        <v>427</v>
      </c>
    </row>
    <row r="7" spans="1:46" x14ac:dyDescent="0.4">
      <c r="A7" s="154" t="str">
        <f>PARAM!$C5</f>
        <v>Débitmètre gravitaire</v>
      </c>
      <c r="B7" s="153" t="s">
        <v>428</v>
      </c>
      <c r="C7" s="153" t="s">
        <v>429</v>
      </c>
      <c r="D7" s="153" t="s">
        <v>430</v>
      </c>
      <c r="E7" s="153" t="s">
        <v>335</v>
      </c>
      <c r="F7" s="153" t="s">
        <v>431</v>
      </c>
    </row>
    <row r="8" spans="1:46" x14ac:dyDescent="0.4">
      <c r="A8" s="154" t="str">
        <f>PARAM!$C6</f>
        <v>Préleveur</v>
      </c>
      <c r="B8" s="153" t="s">
        <v>419</v>
      </c>
      <c r="C8" s="153" t="s">
        <v>420</v>
      </c>
      <c r="D8" s="153" t="s">
        <v>421</v>
      </c>
      <c r="E8" s="153" t="s">
        <v>422</v>
      </c>
      <c r="F8" s="153" t="s">
        <v>423</v>
      </c>
    </row>
    <row r="9" spans="1:46" x14ac:dyDescent="0.4">
      <c r="A9" s="154" t="str">
        <f>PARAM!$C7</f>
        <v>Sonde de température</v>
      </c>
      <c r="B9" s="153" t="s">
        <v>415</v>
      </c>
      <c r="C9" s="153" t="s">
        <v>416</v>
      </c>
      <c r="D9" s="153" t="s">
        <v>417</v>
      </c>
      <c r="E9" s="153" t="s">
        <v>338</v>
      </c>
      <c r="F9" s="153" t="s">
        <v>418</v>
      </c>
    </row>
    <row r="10" spans="1:46" x14ac:dyDescent="0.4">
      <c r="C10" s="170"/>
    </row>
    <row r="11" spans="1:46" x14ac:dyDescent="0.4">
      <c r="C11" s="170"/>
    </row>
    <row r="12" spans="1:46" x14ac:dyDescent="0.4">
      <c r="B12">
        <f>$B$2+A42-1</f>
        <v>49</v>
      </c>
      <c r="C12" s="170"/>
    </row>
    <row r="13" spans="1:46" s="204" customFormat="1" ht="13" thickBot="1" x14ac:dyDescent="0.45">
      <c r="A13" s="203" t="s">
        <v>357</v>
      </c>
      <c r="C13" s="205"/>
    </row>
    <row r="14" spans="1:46" s="156" customFormat="1" ht="17.45" customHeight="1" x14ac:dyDescent="0.4">
      <c r="A14" s="908" t="s">
        <v>350</v>
      </c>
      <c r="B14" s="909"/>
      <c r="C14" s="452" t="s">
        <v>367</v>
      </c>
      <c r="D14" s="453"/>
      <c r="E14" s="453"/>
      <c r="F14" s="454"/>
      <c r="G14" s="453"/>
      <c r="H14" s="452" t="s">
        <v>368</v>
      </c>
      <c r="I14" s="453"/>
      <c r="J14" s="453"/>
      <c r="K14" s="453"/>
      <c r="L14" s="375"/>
      <c r="M14" s="375"/>
      <c r="N14" s="207" t="s">
        <v>377</v>
      </c>
      <c r="O14" s="906" t="s">
        <v>35</v>
      </c>
      <c r="P14" s="906"/>
      <c r="Q14" s="906" t="s">
        <v>175</v>
      </c>
      <c r="R14" s="906"/>
      <c r="S14" s="906" t="s">
        <v>369</v>
      </c>
      <c r="T14" s="906"/>
      <c r="U14" s="906" t="s">
        <v>372</v>
      </c>
      <c r="V14" s="907"/>
      <c r="W14" s="905" t="s">
        <v>518</v>
      </c>
      <c r="X14" s="906"/>
      <c r="Y14" s="906"/>
      <c r="Z14" s="906"/>
      <c r="AA14" s="906"/>
      <c r="AB14" s="906"/>
      <c r="AC14" s="906"/>
      <c r="AD14" s="906"/>
      <c r="AE14" s="906"/>
      <c r="AF14" s="906"/>
      <c r="AG14" s="906"/>
      <c r="AH14" s="907"/>
      <c r="AI14" s="905" t="s">
        <v>517</v>
      </c>
      <c r="AJ14" s="906"/>
      <c r="AK14" s="906"/>
      <c r="AL14" s="906"/>
      <c r="AM14" s="906"/>
      <c r="AN14" s="906"/>
      <c r="AO14" s="906"/>
      <c r="AP14" s="906"/>
      <c r="AQ14" s="906"/>
      <c r="AR14" s="906"/>
      <c r="AS14" s="906"/>
      <c r="AT14" s="907"/>
    </row>
    <row r="15" spans="1:46" s="201" customFormat="1" x14ac:dyDescent="0.4">
      <c r="A15" s="208" t="s">
        <v>365</v>
      </c>
      <c r="B15" s="209" t="s">
        <v>366</v>
      </c>
      <c r="C15" s="210" t="s">
        <v>432</v>
      </c>
      <c r="D15" s="202" t="s">
        <v>358</v>
      </c>
      <c r="E15" s="202" t="s">
        <v>437</v>
      </c>
      <c r="F15" s="316" t="s">
        <v>438</v>
      </c>
      <c r="G15" s="202" t="s">
        <v>561</v>
      </c>
      <c r="H15" s="210" t="s">
        <v>361</v>
      </c>
      <c r="I15" s="202" t="s">
        <v>362</v>
      </c>
      <c r="J15" s="202" t="s">
        <v>363</v>
      </c>
      <c r="K15" s="202" t="s">
        <v>364</v>
      </c>
      <c r="L15" s="202" t="s">
        <v>492</v>
      </c>
      <c r="M15" s="202" t="s">
        <v>562</v>
      </c>
      <c r="N15" s="215" t="s">
        <v>370</v>
      </c>
      <c r="O15" s="214" t="s">
        <v>370</v>
      </c>
      <c r="P15" s="214" t="s">
        <v>371</v>
      </c>
      <c r="Q15" s="214" t="s">
        <v>370</v>
      </c>
      <c r="R15" s="214" t="s">
        <v>371</v>
      </c>
      <c r="S15" s="214" t="s">
        <v>370</v>
      </c>
      <c r="T15" s="214" t="s">
        <v>371</v>
      </c>
      <c r="U15" s="214" t="s">
        <v>370</v>
      </c>
      <c r="V15" s="216" t="s">
        <v>371</v>
      </c>
      <c r="W15" s="393" t="s">
        <v>375</v>
      </c>
      <c r="X15" s="394" t="s">
        <v>376</v>
      </c>
      <c r="Y15" s="394">
        <v>1</v>
      </c>
      <c r="Z15" s="394">
        <v>2</v>
      </c>
      <c r="AA15" s="394">
        <v>3</v>
      </c>
      <c r="AB15" s="394">
        <v>4</v>
      </c>
      <c r="AC15" s="394">
        <v>5</v>
      </c>
      <c r="AD15" s="394">
        <v>6</v>
      </c>
      <c r="AE15" s="394">
        <v>7</v>
      </c>
      <c r="AF15" s="394">
        <v>8</v>
      </c>
      <c r="AG15" s="394">
        <v>9</v>
      </c>
      <c r="AH15" s="395">
        <v>10</v>
      </c>
      <c r="AI15" s="393" t="s">
        <v>375</v>
      </c>
      <c r="AJ15" s="394" t="s">
        <v>376</v>
      </c>
      <c r="AK15" s="394">
        <v>1</v>
      </c>
      <c r="AL15" s="394">
        <v>2</v>
      </c>
      <c r="AM15" s="394">
        <v>3</v>
      </c>
      <c r="AN15" s="394">
        <v>4</v>
      </c>
      <c r="AO15" s="394">
        <v>5</v>
      </c>
      <c r="AP15" s="394">
        <v>6</v>
      </c>
      <c r="AQ15" s="394">
        <v>7</v>
      </c>
      <c r="AR15" s="394">
        <v>8</v>
      </c>
      <c r="AS15" s="394">
        <v>9</v>
      </c>
      <c r="AT15" s="395">
        <v>10</v>
      </c>
    </row>
    <row r="16" spans="1:46" x14ac:dyDescent="0.4">
      <c r="A16" s="152">
        <v>1</v>
      </c>
      <c r="B16" s="206" t="b">
        <f>IF(OR(AND(($B$1+A16-1)&gt;=$B$1,($B$1+A16-1)&lt;$C$1),AND(($B$1+A16-1)&gt;=$E$1,($B$1+A16-1)&lt;$F$1),AND(($B$1+A16-1)&gt;=$B$2,($B$1+A16-1)&lt;$C$2),AND(($B$1+A16-1)&gt;=$E$2,($B$1+A16-1)&lt;$F$2)),TRUE,FALSE)</f>
        <v>0</v>
      </c>
      <c r="C16" s="211" t="str">
        <f ca="1">IF(
    AND(
        $B16,
        OR(
            _xlfn.SINGLE(INDIRECT("Descriptif!$M"&amp;($B$1+$A16-1)))="Préleveur",
            LEFT(_xlfn.SINGLE(INDIRECT("Descriptif!$M"&amp;($B$1+$A16-1))),5)="Sonde",
            LEFT(_xlfn.SINGLE(INDIRECT("Descriptif!$M"&amp;($B$1+$A16-1))),10)="Débitmètre",
            LEFT(_xlfn.SINGLE(INDIRECT("Descriptif!$F"&amp;($B$1+$A16-1))),6)="PLUVIO"
        )
    ),
    _xlfn.SINGLE(INDIRECT("Descriptif!$"&amp;C$15&amp;($B$1 +$A16 -1))),
    ""
)</f>
        <v/>
      </c>
      <c r="D16" s="376" t="str">
        <f ca="1">IF(
    AND(
        $B16,
        OR(
            _xlfn.SINGLE(INDIRECT("Descriptif!$M"&amp;($B$1+$A16-1)))="Préleveur",
            LEFT(_xlfn.SINGLE(INDIRECT("Descriptif!$M"&amp;($B$1+$A16-1))),5)="Sonde",
            LEFT(_xlfn.SINGLE(INDIRECT("Descriptif!$M"&amp;($B$1+$A16-1))),10)="Débitmètre",
            LEFT(_xlfn.SINGLE(INDIRECT("Descriptif!$F"&amp;($B$1+$A16-1))),6)="PLUVIO"
        )
    ),
    IF(
        LEFT(_xlfn.SINGLE(INDIRECT("Descriptif!$F"&amp;($B$1+$A16-1))),11)="PLUVIO_STEU",
        "A3",
        IF(
            LEFT(_xlfn.SINGLE(INDIRECT("Descriptif!$F"&amp;($B$1+$A16-1))),10)="PLUVIO_SCL",
            "A1",
            _xlfn.SINGLE(INDIRECT("Descriptif!$"&amp;D$15&amp;($B$1 +$A16 -1))
        ))
    ),
    ""
)</f>
        <v/>
      </c>
      <c r="E16" s="376" t="str">
        <f ca="1">IF(
    AND(
        $B16,
        OR(
            _xlfn.SINGLE(INDIRECT("Descriptif!$M"&amp;($B$1+$A16-1)))="Préleveur",
            LEFT(_xlfn.SINGLE(INDIRECT("Descriptif!$M"&amp;($B$1+$A16-1))),5)="Sonde",
            LEFT(_xlfn.SINGLE(INDIRECT("Descriptif!$M"&amp;($B$1+$A16-1))),10)="Débitmètre",
            LEFT(_xlfn.SINGLE(INDIRECT("Descriptif!$F"&amp;($B$1+$A16-1))),6)="PLUVIO"
        )
    ),
    IF(LEFT(_xlfn.SINGLE(INDIRECT("Descriptif!$F"&amp;($B$1+$A16-1))),6)="PLUVIO","Pluviomètre",_xlfn.SINGLE(INDIRECT("Descriptif!$"&amp;E$15&amp;($B$1 +$A16 -1)))),
    ""
)</f>
        <v/>
      </c>
      <c r="F16" s="59" t="str">
        <f ca="1">IF(
    AND(
        $B16,
        OR(
            _xlfn.SINGLE(INDIRECT("Descriptif!$M"&amp;($B$1+$A16-1)))="Préleveur",
            LEFT(_xlfn.SINGLE(INDIRECT("Descriptif!$M"&amp;($B$1+$A16-1))),5)="Sonde",
            LEFT(_xlfn.SINGLE(INDIRECT("Descriptif!$M"&amp;($B$1+$A16-1))),10)="Débitmètre",
            LEFT(_xlfn.SINGLE(INDIRECT("Descriptif!$F"&amp;($B$1+$A16-1))),6)="PLUVIO"
        )
    ),
    IF(LEFT(_xlfn.SINGLE(INDIRECT("Descriptif!$F"&amp;($B$1+$A16-1))),6)="PLUVIO","Pluviomètre",_xlfn.SINGLE(INDIRECT("Descriptif!$"&amp;F$15&amp;($B$1 +$A16 -1)))),
    ""
)</f>
        <v/>
      </c>
      <c r="G16" s="59" t="str">
        <f ca="1">IF(
    AND(
        $B16,
        OR(
            _xlfn.SINGLE(INDIRECT("Descriptif!$M"&amp;($B$1+$A16-1)))="Préleveur",
            LEFT(_xlfn.SINGLE(INDIRECT("Descriptif!$M"&amp;($B$1+$A16-1))),5)="Sonde",
            LEFT(_xlfn.SINGLE(INDIRECT("Descriptif!$M"&amp;($B$1+$A16-1))),10)="Débitmètre",
            LEFT(_xlfn.SINGLE(INDIRECT("Descriptif!$F"&amp;($B$1+$A16-1))),6)="PLUVIO"
        )
    ),
    IF(LEFT(_xlfn.SINGLE(INDIRECT("Descriptif!$F"&amp;($B$1+$A16-1))),6)="PLUVIO","Pluviomètre",_xlfn.SINGLE(INDIRECT("Descriptif!$"&amp;G$15&amp;($B$1 +$A16 -1)))),
    ""
)</f>
        <v/>
      </c>
      <c r="H16" s="213" t="str" cm="1">
        <f t="array" aca="1" ref="H16" ca="1">IFERROR(INDEX($C$16:$C$116,SMALL(IF($C$16:$C$116&lt;&gt;"",ROW($C$16:$C$116)-ROW($C$16)+1),ROW(A1))),"")</f>
        <v/>
      </c>
      <c r="I16" s="212" t="str" cm="1">
        <f t="array" aca="1" ref="I16" ca="1">IFERROR(INDEX($D$16:$D$116,SMALL(IF($D$16:$D$116&lt;&gt;"",ROW($D$16:$D$116)-ROW($D$16)+1),ROW(A1))),"")</f>
        <v/>
      </c>
      <c r="J16" s="212" t="str" cm="1">
        <f t="array" aca="1" ref="J16" ca="1">IFERROR(INDEX($E$16:$E$116,SMALL(IF($E$16:$E$116&lt;&gt;"",ROW($E$16:$E$116)-ROW($E$16)+1),ROW(A1))),"")</f>
        <v/>
      </c>
      <c r="K16" s="212" t="str" cm="1">
        <f t="array" aca="1" ref="K16" ca="1">IFERROR(INDEX($F$16:$F$116,SMALL(IF($F$16:$F$116&lt;&gt;"",ROW($F$16:$F$116)-ROW($F$16)+1),ROW(A1))),"")</f>
        <v/>
      </c>
      <c r="L16" s="212" t="str">
        <f t="shared" ref="L16:L47" ca="1" si="0">H16</f>
        <v/>
      </c>
      <c r="M16" s="212" t="str" cm="1">
        <f t="array" aca="1" ref="M16" ca="1">IFERROR(INDEX($G$16:$G$116,SMALL(IF($G$16:$G$116&lt;&gt;"",ROW($G$16:$G$116)-ROW($G$16)+1),ROW(A1))),"")</f>
        <v/>
      </c>
      <c r="N16" s="217" t="str">
        <f t="shared" ref="N16:N47" ca="1" si="1">IF($J16&lt;&gt;"",VLOOKUP($J16,$A$5:$F$9,2,FALSE),"")</f>
        <v/>
      </c>
      <c r="O16" s="218" t="str">
        <f t="shared" ref="O16:O47" ca="1" si="2">IF($J16&lt;&gt;"",VLOOKUP($J16,$A$5:$F$9,3,FALSE),"")</f>
        <v/>
      </c>
      <c r="P16" s="218" t="str">
        <f t="shared" ref="P16:P47" ca="1" si="3">IF($J16&lt;&gt;"",IF(_xlfn.SINGLE(INDIRECT($H16&amp;"!"&amp;$O16))&lt;&gt;"",_xlfn.SINGLE(INDIRECT($H16&amp;"!"&amp;$O16)),""),"")</f>
        <v/>
      </c>
      <c r="Q16" s="218" t="str">
        <f t="shared" ref="Q16:Q47" ca="1" si="4">IF($J16&lt;&gt;"",VLOOKUP($J16,$A$5:$F$9,4,FALSE),"")</f>
        <v/>
      </c>
      <c r="R16" s="218" t="str">
        <f t="shared" ref="R16:R47" ca="1" si="5">IF($J16&lt;&gt;"",IF(_xlfn.SINGLE(INDIRECT($H16&amp;"!"&amp;$Q16))&lt;&gt;"",_xlfn.SINGLE(INDIRECT($H16&amp;"!"&amp;$Q16)),""),"")</f>
        <v/>
      </c>
      <c r="S16" s="218" t="str">
        <f t="shared" ref="S16:S47" ca="1" si="6">IF($J16&lt;&gt;"",VLOOKUP($J16,$A$5:$F$9,5,FALSE),"")</f>
        <v/>
      </c>
      <c r="T16" s="218" t="str">
        <f t="shared" ref="T16:T47" ca="1" si="7">IF($J16&lt;&gt;"",IF(_xlfn.SINGLE(INDIRECT($H16&amp;"!"&amp;$S16))&lt;&gt;"",_xlfn.SINGLE(INDIRECT($H16&amp;"!"&amp;$S16)),""),"")</f>
        <v/>
      </c>
      <c r="U16" s="218" t="str">
        <f t="shared" ref="U16:U47" ca="1" si="8">IF($J16&lt;&gt;"",VLOOKUP($J16,$A$5:$F$9,6,FALSE),"")</f>
        <v/>
      </c>
      <c r="V16" s="219" t="str">
        <f t="shared" ref="V16:V47" ca="1" si="9">IF($J16&lt;&gt;"",IF(_xlfn.SINGLE(INDIRECT($H16&amp;"!"&amp;$U16))&lt;&gt;"",_xlfn.SINGLE(INDIRECT($H16&amp;"!"&amp;$U16)),""),"")</f>
        <v/>
      </c>
      <c r="W16" s="396" t="str">
        <f ca="1">LEFT($Q16,1)</f>
        <v/>
      </c>
      <c r="X16" s="397" t="str">
        <f ca="1">RIGHT($N16,2)</f>
        <v/>
      </c>
      <c r="Y16" s="398" t="str">
        <f t="shared" ref="Y16:AB35" ca="1" si="10">IF($H16&lt;&gt;"",IF(_xlfn.SINGLE(INDIRECT($H16&amp;"!"&amp;$W16&amp;($X16+Y$15+1)))&lt;&gt;"",_xlfn.SINGLE(INDIRECT($H16&amp;"!"&amp;$W16&amp;($X16+Y$15+1))),""),"")</f>
        <v/>
      </c>
      <c r="Z16" s="398" t="str">
        <f t="shared" ca="1" si="10"/>
        <v/>
      </c>
      <c r="AA16" s="398" t="str">
        <f t="shared" ca="1" si="10"/>
        <v/>
      </c>
      <c r="AB16" s="398" t="str">
        <f t="shared" ca="1" si="10"/>
        <v/>
      </c>
      <c r="AC16" s="398" t="str">
        <f t="shared" ref="AC16:AC47" ca="1" si="11">IF(LEFT($J16,5)="Sonde","",IF($H16&lt;&gt;"",IF(_xlfn.SINGLE(INDIRECT($H16&amp;"!"&amp;$W16&amp;($X16+AC$15+1)))&lt;&gt;"",_xlfn.SINGLE(INDIRECT($H16&amp;"!"&amp;$W16&amp;($X16+AC$15+1))),""),""))</f>
        <v/>
      </c>
      <c r="AD16" s="398" t="str">
        <f t="shared" ref="AD16:AH25" ca="1" si="12">IF(OR($J16="Pluviomètre",LEFT($J16,5)="Sonde"),"",IF($H16&lt;&gt;"",IF(_xlfn.SINGLE(INDIRECT($H16&amp;"!"&amp;$W16&amp;($X16+AD$15+1)))&lt;&gt;"",_xlfn.SINGLE(INDIRECT($H16&amp;"!"&amp;$W16&amp;($X16+AD$15+1))),""),""))</f>
        <v/>
      </c>
      <c r="AE16" s="398" t="str">
        <f t="shared" ca="1" si="12"/>
        <v/>
      </c>
      <c r="AF16" s="398" t="str">
        <f t="shared" ca="1" si="12"/>
        <v/>
      </c>
      <c r="AG16" s="398" t="str">
        <f t="shared" ca="1" si="12"/>
        <v/>
      </c>
      <c r="AH16" s="398" t="str">
        <f t="shared" ca="1" si="12"/>
        <v/>
      </c>
      <c r="AI16" s="396" t="str">
        <f ca="1">LEFT($O16,1)</f>
        <v/>
      </c>
      <c r="AJ16" s="397" t="str">
        <f ca="1">RIGHT($N16,2)</f>
        <v/>
      </c>
      <c r="AK16" s="398" t="str">
        <f t="shared" ref="AK16:AN35" ca="1" si="13">IF($H16&lt;&gt;"",IF(_xlfn.SINGLE(INDIRECT($H16&amp;"!"&amp;$AI16&amp;($AJ16+AK$15+1)))&lt;&gt;"",_xlfn.SINGLE(INDIRECT($H16&amp;"!"&amp;$AI16&amp;($AJ16+AK$15+1))),""),"")</f>
        <v/>
      </c>
      <c r="AL16" s="398" t="str">
        <f t="shared" ca="1" si="13"/>
        <v/>
      </c>
      <c r="AM16" s="398" t="str">
        <f t="shared" ca="1" si="13"/>
        <v/>
      </c>
      <c r="AN16" s="398" t="str">
        <f t="shared" ca="1" si="13"/>
        <v/>
      </c>
      <c r="AO16" s="398" t="str">
        <f t="shared" ref="AO16:AO47" ca="1" si="14">IF(LEFT($J16,5)="Sonde","",IF($H16&lt;&gt;"",IF(_xlfn.SINGLE(INDIRECT($H16&amp;"!"&amp;$AI16&amp;($AJ16+AO$15+1)))&lt;&gt;"",_xlfn.SINGLE(INDIRECT($H16&amp;"!"&amp;$AI16&amp;($AJ16+AO$15+1))),""),""))</f>
        <v/>
      </c>
      <c r="AP16" s="398" t="str">
        <f t="shared" ref="AP16:AT25" ca="1" si="15">IF(OR($J16="Pluviomètre",LEFT($J16,5)="Sonde"),"",IF($H16&lt;&gt;"",IF(_xlfn.SINGLE(INDIRECT($H16&amp;"!"&amp;$AI16&amp;($AJ16+AP$15+1)))&lt;&gt;"",_xlfn.SINGLE(INDIRECT($H16&amp;"!"&amp;$AI16&amp;($AJ16+AP$15+1))),""),""))</f>
        <v/>
      </c>
      <c r="AQ16" s="398" t="str">
        <f t="shared" ca="1" si="15"/>
        <v/>
      </c>
      <c r="AR16" s="398" t="str">
        <f t="shared" ca="1" si="15"/>
        <v/>
      </c>
      <c r="AS16" s="398" t="str">
        <f t="shared" ca="1" si="15"/>
        <v/>
      </c>
      <c r="AT16" s="398" t="str">
        <f t="shared" ca="1" si="15"/>
        <v/>
      </c>
    </row>
    <row r="17" spans="1:46" x14ac:dyDescent="0.4">
      <c r="A17" s="152">
        <v>2</v>
      </c>
      <c r="B17" s="206" t="b">
        <f t="shared" ref="B17:B72" si="16">IF(OR(AND(($B$1+A17-1)&gt;=$B$1,($B$1+A17-1)&lt;$C$1),AND(($B$1+A17-1)&gt;=$E$1,($B$1+A17-1)&lt;$F$1),AND(($B$1+A17-1)&gt;=$B$2,($B$1+A17-1)&lt;$C$2),AND(($B$1+A17-1)&gt;=$E$2,($B$1+A17-1)&lt;$F$2)),TRUE,FALSE)</f>
        <v>0</v>
      </c>
      <c r="C17" s="211" t="str">
        <f t="shared" ref="C17:C72" ca="1" si="17">IF(
    AND(
        $B17,
        OR(
            _xlfn.SINGLE(INDIRECT("Descriptif!$M"&amp;($B$1+$A17-1)))="Préleveur",
            LEFT(_xlfn.SINGLE(INDIRECT("Descriptif!$M"&amp;($B$1+$A17-1))),5)="Sonde",
            LEFT(_xlfn.SINGLE(INDIRECT("Descriptif!$M"&amp;($B$1+$A17-1))),10)="Débitmètre",
            LEFT(_xlfn.SINGLE(INDIRECT("Descriptif!$F"&amp;($B$1+$A17-1))),6)="PLUVIO"
        )
    ),
    _xlfn.SINGLE(INDIRECT("Descriptif!$"&amp;C$15&amp;($B$1 +$A17 -1))),
    ""
)</f>
        <v/>
      </c>
      <c r="D17" s="376" t="str">
        <f t="shared" ref="D17:D72" ca="1" si="18">IF(
    AND(
        $B17,
        OR(
            _xlfn.SINGLE(INDIRECT("Descriptif!$M"&amp;($B$1+$A17-1)))="Préleveur",
            LEFT(_xlfn.SINGLE(INDIRECT("Descriptif!$M"&amp;($B$1+$A17-1))),5)="Sonde",
            LEFT(_xlfn.SINGLE(INDIRECT("Descriptif!$M"&amp;($B$1+$A17-1))),10)="Débitmètre",
            LEFT(_xlfn.SINGLE(INDIRECT("Descriptif!$F"&amp;($B$1+$A17-1))),6)="PLUVIO"
        )
    ),
    IF(
        LEFT(_xlfn.SINGLE(INDIRECT("Descriptif!$F"&amp;($B$1+$A17-1))),11)="PLUVIO_STEU",
        "A3",
        IF(
            LEFT(_xlfn.SINGLE(INDIRECT("Descriptif!$F"&amp;($B$1+$A17-1))),10)="PLUVIO_SCL",
            "A1",
            _xlfn.SINGLE(INDIRECT("Descriptif!$"&amp;D$15&amp;($B$1 +$A17 -1))
        ))
    ),
    ""
)</f>
        <v/>
      </c>
      <c r="E17" s="376" t="str">
        <f t="shared" ref="E17:E72" ca="1" si="19">IF(
    AND(
        $B17,
        OR(
            _xlfn.SINGLE(INDIRECT("Descriptif!$M"&amp;($B$1+$A17-1)))="Préleveur",
            LEFT(_xlfn.SINGLE(INDIRECT("Descriptif!$M"&amp;($B$1+$A17-1))),5)="Sonde",
            LEFT(_xlfn.SINGLE(INDIRECT("Descriptif!$M"&amp;($B$1+$A17-1))),10)="Débitmètre",
            LEFT(_xlfn.SINGLE(INDIRECT("Descriptif!$F"&amp;($B$1+$A17-1))),6)="PLUVIO"
        )
    ),
    IF(LEFT(_xlfn.SINGLE(INDIRECT("Descriptif!$F"&amp;($B$1+$A17-1))),6)="PLUVIO","Pluviomètre",_xlfn.SINGLE(INDIRECT("Descriptif!$"&amp;E$15&amp;($B$1 +$A17 -1)))),
    ""
)</f>
        <v/>
      </c>
      <c r="F17" s="59" t="str">
        <f t="shared" ref="F17:G72" ca="1" si="20">IF(
    AND(
        $B17,
        OR(
            _xlfn.SINGLE(INDIRECT("Descriptif!$M"&amp;($B$1+$A17-1)))="Préleveur",
            LEFT(_xlfn.SINGLE(INDIRECT("Descriptif!$M"&amp;($B$1+$A17-1))),5)="Sonde",
            LEFT(_xlfn.SINGLE(INDIRECT("Descriptif!$M"&amp;($B$1+$A17-1))),10)="Débitmètre",
            LEFT(_xlfn.SINGLE(INDIRECT("Descriptif!$F"&amp;($B$1+$A17-1))),6)="PLUVIO"
        )
    ),
    IF(LEFT(_xlfn.SINGLE(INDIRECT("Descriptif!$F"&amp;($B$1+$A17-1))),6)="PLUVIO","Pluviomètre",_xlfn.SINGLE(INDIRECT("Descriptif!$"&amp;F$15&amp;($B$1 +$A17 -1)))),
    ""
)</f>
        <v/>
      </c>
      <c r="G17" s="59" t="str">
        <f t="shared" ca="1" si="20"/>
        <v/>
      </c>
      <c r="H17" s="213" t="str" cm="1">
        <f t="array" aca="1" ref="H17" ca="1">IFERROR(INDEX($C$16:$C$116,SMALL(IF($C$16:$C$116&lt;&gt;"",ROW($C$16:$C$116)-ROW($C$16)+1),ROW(A2))),"")</f>
        <v/>
      </c>
      <c r="I17" s="212" t="str" cm="1">
        <f t="array" aca="1" ref="I17" ca="1">IFERROR(INDEX($D$16:$D$116,SMALL(IF($D$16:$D$116&lt;&gt;"",ROW($D$16:$D$116)-ROW($D$16)+1),ROW(A2))),"")</f>
        <v/>
      </c>
      <c r="J17" s="212" t="str" cm="1">
        <f t="array" aca="1" ref="J17" ca="1">IFERROR(INDEX($E$16:$E$116,SMALL(IF($E$16:$E$116&lt;&gt;"",ROW($E$16:$E$116)-ROW($E$16)+1),ROW(A2))),"")</f>
        <v/>
      </c>
      <c r="K17" s="212" t="str" cm="1">
        <f t="array" aca="1" ref="K17" ca="1">IFERROR(INDEX($F$16:$F$116,SMALL(IF($F$16:$F$116&lt;&gt;"",ROW($F$16:$F$116)-ROW($F$16)+1),ROW(A2))),"")</f>
        <v/>
      </c>
      <c r="L17" s="212" t="str">
        <f t="shared" ca="1" si="0"/>
        <v/>
      </c>
      <c r="M17" s="212" t="str" cm="1">
        <f t="array" aca="1" ref="M17" ca="1">IFERROR(INDEX($G$16:$G$116,SMALL(IF($G$16:$G$116&lt;&gt;"",ROW($G$16:$G$116)-ROW($G$16)+1),ROW(A2))),"")</f>
        <v/>
      </c>
      <c r="N17" s="217" t="str">
        <f t="shared" ca="1" si="1"/>
        <v/>
      </c>
      <c r="O17" s="218" t="str">
        <f t="shared" ca="1" si="2"/>
        <v/>
      </c>
      <c r="P17" s="218" t="str">
        <f t="shared" ca="1" si="3"/>
        <v/>
      </c>
      <c r="Q17" s="218" t="str">
        <f t="shared" ca="1" si="4"/>
        <v/>
      </c>
      <c r="R17" s="218" t="str">
        <f t="shared" ca="1" si="5"/>
        <v/>
      </c>
      <c r="S17" s="218" t="str">
        <f t="shared" ca="1" si="6"/>
        <v/>
      </c>
      <c r="T17" s="218" t="str">
        <f t="shared" ca="1" si="7"/>
        <v/>
      </c>
      <c r="U17" s="218" t="str">
        <f t="shared" ca="1" si="8"/>
        <v/>
      </c>
      <c r="V17" s="219" t="str">
        <f t="shared" ca="1" si="9"/>
        <v/>
      </c>
      <c r="W17" s="396" t="str">
        <f t="shared" ref="W17:W72" ca="1" si="21">LEFT($Q17,1)</f>
        <v/>
      </c>
      <c r="X17" s="397" t="str">
        <f t="shared" ref="X17:X72" ca="1" si="22">RIGHT($N17,2)</f>
        <v/>
      </c>
      <c r="Y17" s="398" t="str">
        <f t="shared" ca="1" si="10"/>
        <v/>
      </c>
      <c r="Z17" s="398" t="str">
        <f t="shared" ca="1" si="10"/>
        <v/>
      </c>
      <c r="AA17" s="398" t="str">
        <f t="shared" ca="1" si="10"/>
        <v/>
      </c>
      <c r="AB17" s="398" t="str">
        <f t="shared" ca="1" si="10"/>
        <v/>
      </c>
      <c r="AC17" s="398" t="str">
        <f t="shared" ca="1" si="11"/>
        <v/>
      </c>
      <c r="AD17" s="398" t="str">
        <f t="shared" ca="1" si="12"/>
        <v/>
      </c>
      <c r="AE17" s="398" t="str">
        <f t="shared" ca="1" si="12"/>
        <v/>
      </c>
      <c r="AF17" s="398" t="str">
        <f t="shared" ca="1" si="12"/>
        <v/>
      </c>
      <c r="AG17" s="398" t="str">
        <f t="shared" ca="1" si="12"/>
        <v/>
      </c>
      <c r="AH17" s="398" t="str">
        <f t="shared" ca="1" si="12"/>
        <v/>
      </c>
      <c r="AI17" s="396" t="str">
        <f t="shared" ref="AI17:AI72" ca="1" si="23">LEFT($O17,1)</f>
        <v/>
      </c>
      <c r="AJ17" s="397" t="str">
        <f t="shared" ref="AJ17:AJ72" ca="1" si="24">RIGHT($N17,2)</f>
        <v/>
      </c>
      <c r="AK17" s="398" t="str">
        <f t="shared" ca="1" si="13"/>
        <v/>
      </c>
      <c r="AL17" s="398" t="str">
        <f t="shared" ca="1" si="13"/>
        <v/>
      </c>
      <c r="AM17" s="398" t="str">
        <f t="shared" ca="1" si="13"/>
        <v/>
      </c>
      <c r="AN17" s="398" t="str">
        <f t="shared" ca="1" si="13"/>
        <v/>
      </c>
      <c r="AO17" s="398" t="str">
        <f t="shared" ca="1" si="14"/>
        <v/>
      </c>
      <c r="AP17" s="398" t="str">
        <f t="shared" ca="1" si="15"/>
        <v/>
      </c>
      <c r="AQ17" s="398" t="str">
        <f t="shared" ca="1" si="15"/>
        <v/>
      </c>
      <c r="AR17" s="398" t="str">
        <f t="shared" ca="1" si="15"/>
        <v/>
      </c>
      <c r="AS17" s="398" t="str">
        <f t="shared" ca="1" si="15"/>
        <v/>
      </c>
      <c r="AT17" s="398" t="str">
        <f t="shared" ca="1" si="15"/>
        <v/>
      </c>
    </row>
    <row r="18" spans="1:46" x14ac:dyDescent="0.4">
      <c r="A18" s="152">
        <v>3</v>
      </c>
      <c r="B18" s="206" t="b">
        <f t="shared" si="16"/>
        <v>0</v>
      </c>
      <c r="C18" s="211" t="str">
        <f t="shared" ca="1" si="17"/>
        <v/>
      </c>
      <c r="D18" s="376" t="str">
        <f t="shared" ca="1" si="18"/>
        <v/>
      </c>
      <c r="E18" s="376" t="str">
        <f t="shared" ca="1" si="19"/>
        <v/>
      </c>
      <c r="F18" s="59" t="str">
        <f t="shared" ca="1" si="20"/>
        <v/>
      </c>
      <c r="G18" s="59" t="str">
        <f t="shared" ca="1" si="20"/>
        <v/>
      </c>
      <c r="H18" s="213" t="str" cm="1">
        <f t="array" aca="1" ref="H18" ca="1">IFERROR(INDEX($C$16:$C$116,SMALL(IF($C$16:$C$116&lt;&gt;"",ROW($C$16:$C$116)-ROW($C$16)+1),ROW(A3))),"")</f>
        <v/>
      </c>
      <c r="I18" s="212" t="str" cm="1">
        <f t="array" aca="1" ref="I18" ca="1">IFERROR(INDEX($D$16:$D$116,SMALL(IF($D$16:$D$116&lt;&gt;"",ROW($D$16:$D$116)-ROW($D$16)+1),ROW(A3))),"")</f>
        <v/>
      </c>
      <c r="J18" s="212" t="str" cm="1">
        <f t="array" aca="1" ref="J18" ca="1">IFERROR(INDEX($E$16:$E$116,SMALL(IF($E$16:$E$116&lt;&gt;"",ROW($E$16:$E$116)-ROW($E$16)+1),ROW(A3))),"")</f>
        <v/>
      </c>
      <c r="K18" s="212" t="str" cm="1">
        <f t="array" aca="1" ref="K18" ca="1">IFERROR(INDEX($F$16:$F$116,SMALL(IF($F$16:$F$116&lt;&gt;"",ROW($F$16:$F$116)-ROW($F$16)+1),ROW(A3))),"")</f>
        <v/>
      </c>
      <c r="L18" s="212" t="str">
        <f t="shared" ca="1" si="0"/>
        <v/>
      </c>
      <c r="M18" s="212" t="str" cm="1">
        <f t="array" aca="1" ref="M18" ca="1">IFERROR(INDEX($G$16:$G$116,SMALL(IF($G$16:$G$116&lt;&gt;"",ROW($G$16:$G$116)-ROW($G$16)+1),ROW(A3))),"")</f>
        <v/>
      </c>
      <c r="N18" s="217" t="str">
        <f t="shared" ca="1" si="1"/>
        <v/>
      </c>
      <c r="O18" s="218" t="str">
        <f t="shared" ca="1" si="2"/>
        <v/>
      </c>
      <c r="P18" s="218" t="str">
        <f t="shared" ca="1" si="3"/>
        <v/>
      </c>
      <c r="Q18" s="218" t="str">
        <f t="shared" ca="1" si="4"/>
        <v/>
      </c>
      <c r="R18" s="218" t="str">
        <f t="shared" ca="1" si="5"/>
        <v/>
      </c>
      <c r="S18" s="218" t="str">
        <f t="shared" ca="1" si="6"/>
        <v/>
      </c>
      <c r="T18" s="218" t="str">
        <f t="shared" ca="1" si="7"/>
        <v/>
      </c>
      <c r="U18" s="218" t="str">
        <f t="shared" ca="1" si="8"/>
        <v/>
      </c>
      <c r="V18" s="219" t="str">
        <f t="shared" ca="1" si="9"/>
        <v/>
      </c>
      <c r="W18" s="396" t="str">
        <f t="shared" ca="1" si="21"/>
        <v/>
      </c>
      <c r="X18" s="397" t="str">
        <f t="shared" ca="1" si="22"/>
        <v/>
      </c>
      <c r="Y18" s="398" t="str">
        <f t="shared" ca="1" si="10"/>
        <v/>
      </c>
      <c r="Z18" s="398" t="str">
        <f t="shared" ca="1" si="10"/>
        <v/>
      </c>
      <c r="AA18" s="398" t="str">
        <f t="shared" ca="1" si="10"/>
        <v/>
      </c>
      <c r="AB18" s="398" t="str">
        <f t="shared" ca="1" si="10"/>
        <v/>
      </c>
      <c r="AC18" s="398" t="str">
        <f t="shared" ca="1" si="11"/>
        <v/>
      </c>
      <c r="AD18" s="398" t="str">
        <f t="shared" ca="1" si="12"/>
        <v/>
      </c>
      <c r="AE18" s="398" t="str">
        <f t="shared" ca="1" si="12"/>
        <v/>
      </c>
      <c r="AF18" s="398" t="str">
        <f t="shared" ca="1" si="12"/>
        <v/>
      </c>
      <c r="AG18" s="398" t="str">
        <f t="shared" ca="1" si="12"/>
        <v/>
      </c>
      <c r="AH18" s="398" t="str">
        <f t="shared" ca="1" si="12"/>
        <v/>
      </c>
      <c r="AI18" s="396" t="str">
        <f t="shared" ca="1" si="23"/>
        <v/>
      </c>
      <c r="AJ18" s="397" t="str">
        <f t="shared" ca="1" si="24"/>
        <v/>
      </c>
      <c r="AK18" s="398" t="str">
        <f t="shared" ca="1" si="13"/>
        <v/>
      </c>
      <c r="AL18" s="398" t="str">
        <f t="shared" ca="1" si="13"/>
        <v/>
      </c>
      <c r="AM18" s="398" t="str">
        <f t="shared" ca="1" si="13"/>
        <v/>
      </c>
      <c r="AN18" s="398" t="str">
        <f t="shared" ca="1" si="13"/>
        <v/>
      </c>
      <c r="AO18" s="398" t="str">
        <f t="shared" ca="1" si="14"/>
        <v/>
      </c>
      <c r="AP18" s="398" t="str">
        <f t="shared" ca="1" si="15"/>
        <v/>
      </c>
      <c r="AQ18" s="398" t="str">
        <f t="shared" ca="1" si="15"/>
        <v/>
      </c>
      <c r="AR18" s="398" t="str">
        <f t="shared" ca="1" si="15"/>
        <v/>
      </c>
      <c r="AS18" s="398" t="str">
        <f t="shared" ca="1" si="15"/>
        <v/>
      </c>
      <c r="AT18" s="398" t="str">
        <f t="shared" ca="1" si="15"/>
        <v/>
      </c>
    </row>
    <row r="19" spans="1:46" x14ac:dyDescent="0.4">
      <c r="A19" s="152">
        <v>4</v>
      </c>
      <c r="B19" s="206" t="b">
        <f t="shared" si="16"/>
        <v>0</v>
      </c>
      <c r="C19" s="211" t="str">
        <f t="shared" ca="1" si="17"/>
        <v/>
      </c>
      <c r="D19" s="376" t="str">
        <f t="shared" ca="1" si="18"/>
        <v/>
      </c>
      <c r="E19" s="376" t="str">
        <f t="shared" ca="1" si="19"/>
        <v/>
      </c>
      <c r="F19" s="59" t="str">
        <f t="shared" ca="1" si="20"/>
        <v/>
      </c>
      <c r="G19" s="59" t="str">
        <f t="shared" ca="1" si="20"/>
        <v/>
      </c>
      <c r="H19" s="213" t="str" cm="1">
        <f t="array" aca="1" ref="H19" ca="1">IFERROR(INDEX($C$16:$C$116,SMALL(IF($C$16:$C$116&lt;&gt;"",ROW($C$16:$C$116)-ROW($C$16)+1),ROW(A4))),"")</f>
        <v/>
      </c>
      <c r="I19" s="212" t="str" cm="1">
        <f t="array" aca="1" ref="I19" ca="1">IFERROR(INDEX($D$16:$D$116,SMALL(IF($D$16:$D$116&lt;&gt;"",ROW($D$16:$D$116)-ROW($D$16)+1),ROW(A4))),"")</f>
        <v/>
      </c>
      <c r="J19" s="212" t="str" cm="1">
        <f t="array" aca="1" ref="J19" ca="1">IFERROR(INDEX($E$16:$E$116,SMALL(IF($E$16:$E$116&lt;&gt;"",ROW($E$16:$E$116)-ROW($E$16)+1),ROW(A4))),"")</f>
        <v/>
      </c>
      <c r="K19" s="212" t="str" cm="1">
        <f t="array" aca="1" ref="K19" ca="1">IFERROR(INDEX($F$16:$F$116,SMALL(IF($F$16:$F$116&lt;&gt;"",ROW($F$16:$F$116)-ROW($F$16)+1),ROW(A4))),"")</f>
        <v/>
      </c>
      <c r="L19" s="212" t="str">
        <f t="shared" ca="1" si="0"/>
        <v/>
      </c>
      <c r="M19" s="212" t="str" cm="1">
        <f t="array" aca="1" ref="M19" ca="1">IFERROR(INDEX($G$16:$G$116,SMALL(IF($G$16:$G$116&lt;&gt;"",ROW($G$16:$G$116)-ROW($G$16)+1),ROW(A4))),"")</f>
        <v/>
      </c>
      <c r="N19" s="217" t="str">
        <f t="shared" ca="1" si="1"/>
        <v/>
      </c>
      <c r="O19" s="218" t="str">
        <f t="shared" ca="1" si="2"/>
        <v/>
      </c>
      <c r="P19" s="218" t="str">
        <f t="shared" ca="1" si="3"/>
        <v/>
      </c>
      <c r="Q19" s="218" t="str">
        <f t="shared" ca="1" si="4"/>
        <v/>
      </c>
      <c r="R19" s="218" t="str">
        <f t="shared" ca="1" si="5"/>
        <v/>
      </c>
      <c r="S19" s="218" t="str">
        <f t="shared" ca="1" si="6"/>
        <v/>
      </c>
      <c r="T19" s="218" t="str">
        <f t="shared" ca="1" si="7"/>
        <v/>
      </c>
      <c r="U19" s="218" t="str">
        <f t="shared" ca="1" si="8"/>
        <v/>
      </c>
      <c r="V19" s="219" t="str">
        <f t="shared" ca="1" si="9"/>
        <v/>
      </c>
      <c r="W19" s="396" t="str">
        <f t="shared" ca="1" si="21"/>
        <v/>
      </c>
      <c r="X19" s="397" t="str">
        <f t="shared" ca="1" si="22"/>
        <v/>
      </c>
      <c r="Y19" s="398" t="str">
        <f t="shared" ca="1" si="10"/>
        <v/>
      </c>
      <c r="Z19" s="398" t="str">
        <f t="shared" ca="1" si="10"/>
        <v/>
      </c>
      <c r="AA19" s="398" t="str">
        <f t="shared" ca="1" si="10"/>
        <v/>
      </c>
      <c r="AB19" s="398" t="str">
        <f t="shared" ca="1" si="10"/>
        <v/>
      </c>
      <c r="AC19" s="398" t="str">
        <f t="shared" ca="1" si="11"/>
        <v/>
      </c>
      <c r="AD19" s="398" t="str">
        <f t="shared" ca="1" si="12"/>
        <v/>
      </c>
      <c r="AE19" s="398" t="str">
        <f t="shared" ca="1" si="12"/>
        <v/>
      </c>
      <c r="AF19" s="398" t="str">
        <f t="shared" ca="1" si="12"/>
        <v/>
      </c>
      <c r="AG19" s="398" t="str">
        <f t="shared" ca="1" si="12"/>
        <v/>
      </c>
      <c r="AH19" s="398" t="str">
        <f t="shared" ca="1" si="12"/>
        <v/>
      </c>
      <c r="AI19" s="396" t="str">
        <f t="shared" ca="1" si="23"/>
        <v/>
      </c>
      <c r="AJ19" s="397" t="str">
        <f t="shared" ca="1" si="24"/>
        <v/>
      </c>
      <c r="AK19" s="398" t="str">
        <f t="shared" ca="1" si="13"/>
        <v/>
      </c>
      <c r="AL19" s="398" t="str">
        <f t="shared" ca="1" si="13"/>
        <v/>
      </c>
      <c r="AM19" s="398" t="str">
        <f t="shared" ca="1" si="13"/>
        <v/>
      </c>
      <c r="AN19" s="398" t="str">
        <f t="shared" ca="1" si="13"/>
        <v/>
      </c>
      <c r="AO19" s="398" t="str">
        <f t="shared" ca="1" si="14"/>
        <v/>
      </c>
      <c r="AP19" s="398" t="str">
        <f t="shared" ca="1" si="15"/>
        <v/>
      </c>
      <c r="AQ19" s="398" t="str">
        <f t="shared" ca="1" si="15"/>
        <v/>
      </c>
      <c r="AR19" s="398" t="str">
        <f t="shared" ca="1" si="15"/>
        <v/>
      </c>
      <c r="AS19" s="398" t="str">
        <f t="shared" ca="1" si="15"/>
        <v/>
      </c>
      <c r="AT19" s="398" t="str">
        <f t="shared" ca="1" si="15"/>
        <v/>
      </c>
    </row>
    <row r="20" spans="1:46" x14ac:dyDescent="0.4">
      <c r="A20" s="152">
        <v>5</v>
      </c>
      <c r="B20" s="206" t="b">
        <f t="shared" si="16"/>
        <v>0</v>
      </c>
      <c r="C20" s="211" t="str">
        <f t="shared" ca="1" si="17"/>
        <v/>
      </c>
      <c r="D20" s="376" t="str">
        <f t="shared" ca="1" si="18"/>
        <v/>
      </c>
      <c r="E20" s="376" t="str">
        <f t="shared" ca="1" si="19"/>
        <v/>
      </c>
      <c r="F20" s="59" t="str">
        <f t="shared" ca="1" si="20"/>
        <v/>
      </c>
      <c r="G20" s="59" t="str">
        <f t="shared" ca="1" si="20"/>
        <v/>
      </c>
      <c r="H20" s="213" t="str" cm="1">
        <f t="array" aca="1" ref="H20" ca="1">IFERROR(INDEX($C$16:$C$116,SMALL(IF($C$16:$C$116&lt;&gt;"",ROW($C$16:$C$116)-ROW($C$16)+1),ROW(A5))),"")</f>
        <v/>
      </c>
      <c r="I20" s="212" t="str" cm="1">
        <f t="array" aca="1" ref="I20" ca="1">IFERROR(INDEX($D$16:$D$116,SMALL(IF($D$16:$D$116&lt;&gt;"",ROW($D$16:$D$116)-ROW($D$16)+1),ROW(A5))),"")</f>
        <v/>
      </c>
      <c r="J20" s="212" t="str" cm="1">
        <f t="array" aca="1" ref="J20" ca="1">IFERROR(INDEX($E$16:$E$116,SMALL(IF($E$16:$E$116&lt;&gt;"",ROW($E$16:$E$116)-ROW($E$16)+1),ROW(A5))),"")</f>
        <v/>
      </c>
      <c r="K20" s="212" t="str" cm="1">
        <f t="array" aca="1" ref="K20" ca="1">IFERROR(INDEX($F$16:$F$116,SMALL(IF($F$16:$F$116&lt;&gt;"",ROW($F$16:$F$116)-ROW($F$16)+1),ROW(A5))),"")</f>
        <v/>
      </c>
      <c r="L20" s="212" t="str">
        <f t="shared" ca="1" si="0"/>
        <v/>
      </c>
      <c r="M20" s="212" t="str" cm="1">
        <f t="array" aca="1" ref="M20" ca="1">IFERROR(INDEX($G$16:$G$116,SMALL(IF($G$16:$G$116&lt;&gt;"",ROW($G$16:$G$116)-ROW($G$16)+1),ROW(A5))),"")</f>
        <v/>
      </c>
      <c r="N20" s="217" t="str">
        <f t="shared" ca="1" si="1"/>
        <v/>
      </c>
      <c r="O20" s="218" t="str">
        <f t="shared" ca="1" si="2"/>
        <v/>
      </c>
      <c r="P20" s="218" t="str">
        <f t="shared" ca="1" si="3"/>
        <v/>
      </c>
      <c r="Q20" s="218" t="str">
        <f t="shared" ca="1" si="4"/>
        <v/>
      </c>
      <c r="R20" s="218" t="str">
        <f t="shared" ca="1" si="5"/>
        <v/>
      </c>
      <c r="S20" s="218" t="str">
        <f t="shared" ca="1" si="6"/>
        <v/>
      </c>
      <c r="T20" s="218" t="str">
        <f t="shared" ca="1" si="7"/>
        <v/>
      </c>
      <c r="U20" s="218" t="str">
        <f t="shared" ca="1" si="8"/>
        <v/>
      </c>
      <c r="V20" s="219" t="str">
        <f t="shared" ca="1" si="9"/>
        <v/>
      </c>
      <c r="W20" s="396" t="str">
        <f t="shared" ca="1" si="21"/>
        <v/>
      </c>
      <c r="X20" s="397" t="str">
        <f t="shared" ca="1" si="22"/>
        <v/>
      </c>
      <c r="Y20" s="398" t="str">
        <f t="shared" ca="1" si="10"/>
        <v/>
      </c>
      <c r="Z20" s="398" t="str">
        <f t="shared" ca="1" si="10"/>
        <v/>
      </c>
      <c r="AA20" s="398" t="str">
        <f t="shared" ca="1" si="10"/>
        <v/>
      </c>
      <c r="AB20" s="398" t="str">
        <f t="shared" ca="1" si="10"/>
        <v/>
      </c>
      <c r="AC20" s="398" t="str">
        <f t="shared" ca="1" si="11"/>
        <v/>
      </c>
      <c r="AD20" s="398" t="str">
        <f t="shared" ca="1" si="12"/>
        <v/>
      </c>
      <c r="AE20" s="398" t="str">
        <f t="shared" ca="1" si="12"/>
        <v/>
      </c>
      <c r="AF20" s="398" t="str">
        <f t="shared" ca="1" si="12"/>
        <v/>
      </c>
      <c r="AG20" s="398" t="str">
        <f t="shared" ca="1" si="12"/>
        <v/>
      </c>
      <c r="AH20" s="398" t="str">
        <f t="shared" ca="1" si="12"/>
        <v/>
      </c>
      <c r="AI20" s="396" t="str">
        <f t="shared" ca="1" si="23"/>
        <v/>
      </c>
      <c r="AJ20" s="397" t="str">
        <f t="shared" ca="1" si="24"/>
        <v/>
      </c>
      <c r="AK20" s="398" t="str">
        <f t="shared" ca="1" si="13"/>
        <v/>
      </c>
      <c r="AL20" s="398" t="str">
        <f t="shared" ca="1" si="13"/>
        <v/>
      </c>
      <c r="AM20" s="398" t="str">
        <f t="shared" ca="1" si="13"/>
        <v/>
      </c>
      <c r="AN20" s="398" t="str">
        <f t="shared" ca="1" si="13"/>
        <v/>
      </c>
      <c r="AO20" s="398" t="str">
        <f t="shared" ca="1" si="14"/>
        <v/>
      </c>
      <c r="AP20" s="398" t="str">
        <f t="shared" ca="1" si="15"/>
        <v/>
      </c>
      <c r="AQ20" s="398" t="str">
        <f t="shared" ca="1" si="15"/>
        <v/>
      </c>
      <c r="AR20" s="398" t="str">
        <f t="shared" ca="1" si="15"/>
        <v/>
      </c>
      <c r="AS20" s="398" t="str">
        <f t="shared" ca="1" si="15"/>
        <v/>
      </c>
      <c r="AT20" s="398" t="str">
        <f t="shared" ca="1" si="15"/>
        <v/>
      </c>
    </row>
    <row r="21" spans="1:46" x14ac:dyDescent="0.4">
      <c r="A21" s="152">
        <v>6</v>
      </c>
      <c r="B21" s="206" t="b">
        <f t="shared" si="16"/>
        <v>0</v>
      </c>
      <c r="C21" s="211" t="str">
        <f t="shared" ca="1" si="17"/>
        <v/>
      </c>
      <c r="D21" s="376" t="str">
        <f t="shared" ca="1" si="18"/>
        <v/>
      </c>
      <c r="E21" s="376" t="str">
        <f t="shared" ca="1" si="19"/>
        <v/>
      </c>
      <c r="F21" s="59" t="str">
        <f t="shared" ca="1" si="20"/>
        <v/>
      </c>
      <c r="G21" s="59" t="str">
        <f t="shared" ca="1" si="20"/>
        <v/>
      </c>
      <c r="H21" s="213" t="str" cm="1">
        <f t="array" aca="1" ref="H21" ca="1">IFERROR(INDEX($C$16:$C$116,SMALL(IF($C$16:$C$116&lt;&gt;"",ROW($C$16:$C$116)-ROW($C$16)+1),ROW(A6))),"")</f>
        <v/>
      </c>
      <c r="I21" s="212" t="str" cm="1">
        <f t="array" aca="1" ref="I21" ca="1">IFERROR(INDEX($D$16:$D$116,SMALL(IF($D$16:$D$116&lt;&gt;"",ROW($D$16:$D$116)-ROW($D$16)+1),ROW(A6))),"")</f>
        <v/>
      </c>
      <c r="J21" s="212" t="str" cm="1">
        <f t="array" aca="1" ref="J21" ca="1">IFERROR(INDEX($E$16:$E$116,SMALL(IF($E$16:$E$116&lt;&gt;"",ROW($E$16:$E$116)-ROW($E$16)+1),ROW(A6))),"")</f>
        <v/>
      </c>
      <c r="K21" s="212" t="str" cm="1">
        <f t="array" aca="1" ref="K21" ca="1">IFERROR(INDEX($F$16:$F$116,SMALL(IF($F$16:$F$116&lt;&gt;"",ROW($F$16:$F$116)-ROW($F$16)+1),ROW(A6))),"")</f>
        <v/>
      </c>
      <c r="L21" s="212" t="str">
        <f t="shared" ca="1" si="0"/>
        <v/>
      </c>
      <c r="M21" s="212" t="str" cm="1">
        <f t="array" aca="1" ref="M21" ca="1">IFERROR(INDEX($G$16:$G$116,SMALL(IF($G$16:$G$116&lt;&gt;"",ROW($G$16:$G$116)-ROW($G$16)+1),ROW(A6))),"")</f>
        <v/>
      </c>
      <c r="N21" s="217" t="str">
        <f t="shared" ca="1" si="1"/>
        <v/>
      </c>
      <c r="O21" s="218" t="str">
        <f t="shared" ca="1" si="2"/>
        <v/>
      </c>
      <c r="P21" s="218" t="str">
        <f t="shared" ca="1" si="3"/>
        <v/>
      </c>
      <c r="Q21" s="218" t="str">
        <f t="shared" ca="1" si="4"/>
        <v/>
      </c>
      <c r="R21" s="218" t="str">
        <f t="shared" ca="1" si="5"/>
        <v/>
      </c>
      <c r="S21" s="218" t="str">
        <f t="shared" ca="1" si="6"/>
        <v/>
      </c>
      <c r="T21" s="218" t="str">
        <f t="shared" ca="1" si="7"/>
        <v/>
      </c>
      <c r="U21" s="218" t="str">
        <f t="shared" ca="1" si="8"/>
        <v/>
      </c>
      <c r="V21" s="219" t="str">
        <f t="shared" ca="1" si="9"/>
        <v/>
      </c>
      <c r="W21" s="396" t="str">
        <f t="shared" ca="1" si="21"/>
        <v/>
      </c>
      <c r="X21" s="397" t="str">
        <f t="shared" ca="1" si="22"/>
        <v/>
      </c>
      <c r="Y21" s="398" t="str">
        <f t="shared" ca="1" si="10"/>
        <v/>
      </c>
      <c r="Z21" s="398" t="str">
        <f t="shared" ca="1" si="10"/>
        <v/>
      </c>
      <c r="AA21" s="398" t="str">
        <f t="shared" ca="1" si="10"/>
        <v/>
      </c>
      <c r="AB21" s="398" t="str">
        <f t="shared" ca="1" si="10"/>
        <v/>
      </c>
      <c r="AC21" s="398" t="str">
        <f t="shared" ca="1" si="11"/>
        <v/>
      </c>
      <c r="AD21" s="398" t="str">
        <f t="shared" ca="1" si="12"/>
        <v/>
      </c>
      <c r="AE21" s="398" t="str">
        <f t="shared" ca="1" si="12"/>
        <v/>
      </c>
      <c r="AF21" s="398" t="str">
        <f t="shared" ca="1" si="12"/>
        <v/>
      </c>
      <c r="AG21" s="398" t="str">
        <f t="shared" ca="1" si="12"/>
        <v/>
      </c>
      <c r="AH21" s="398" t="str">
        <f t="shared" ca="1" si="12"/>
        <v/>
      </c>
      <c r="AI21" s="396" t="str">
        <f t="shared" ca="1" si="23"/>
        <v/>
      </c>
      <c r="AJ21" s="397" t="str">
        <f t="shared" ca="1" si="24"/>
        <v/>
      </c>
      <c r="AK21" s="398" t="str">
        <f t="shared" ca="1" si="13"/>
        <v/>
      </c>
      <c r="AL21" s="398" t="str">
        <f t="shared" ca="1" si="13"/>
        <v/>
      </c>
      <c r="AM21" s="398" t="str">
        <f t="shared" ca="1" si="13"/>
        <v/>
      </c>
      <c r="AN21" s="398" t="str">
        <f t="shared" ca="1" si="13"/>
        <v/>
      </c>
      <c r="AO21" s="398" t="str">
        <f t="shared" ca="1" si="14"/>
        <v/>
      </c>
      <c r="AP21" s="398" t="str">
        <f t="shared" ca="1" si="15"/>
        <v/>
      </c>
      <c r="AQ21" s="398" t="str">
        <f t="shared" ca="1" si="15"/>
        <v/>
      </c>
      <c r="AR21" s="398" t="str">
        <f t="shared" ca="1" si="15"/>
        <v/>
      </c>
      <c r="AS21" s="398" t="str">
        <f t="shared" ca="1" si="15"/>
        <v/>
      </c>
      <c r="AT21" s="398" t="str">
        <f t="shared" ca="1" si="15"/>
        <v/>
      </c>
    </row>
    <row r="22" spans="1:46" x14ac:dyDescent="0.4">
      <c r="A22" s="152">
        <v>7</v>
      </c>
      <c r="B22" s="206" t="b">
        <f t="shared" si="16"/>
        <v>0</v>
      </c>
      <c r="C22" s="211" t="str">
        <f t="shared" ca="1" si="17"/>
        <v/>
      </c>
      <c r="D22" s="376" t="str">
        <f t="shared" ca="1" si="18"/>
        <v/>
      </c>
      <c r="E22" s="376" t="str">
        <f t="shared" ca="1" si="19"/>
        <v/>
      </c>
      <c r="F22" s="59" t="str">
        <f t="shared" ca="1" si="20"/>
        <v/>
      </c>
      <c r="G22" s="59" t="str">
        <f t="shared" ca="1" si="20"/>
        <v/>
      </c>
      <c r="H22" s="213" t="str" cm="1">
        <f t="array" aca="1" ref="H22" ca="1">IFERROR(INDEX($C$16:$C$116,SMALL(IF($C$16:$C$116&lt;&gt;"",ROW($C$16:$C$116)-ROW($C$16)+1),ROW(A7))),"")</f>
        <v/>
      </c>
      <c r="I22" s="212" t="str" cm="1">
        <f t="array" aca="1" ref="I22" ca="1">IFERROR(INDEX($D$16:$D$116,SMALL(IF($D$16:$D$116&lt;&gt;"",ROW($D$16:$D$116)-ROW($D$16)+1),ROW(A7))),"")</f>
        <v/>
      </c>
      <c r="J22" s="212" t="str" cm="1">
        <f t="array" aca="1" ref="J22" ca="1">IFERROR(INDEX($E$16:$E$116,SMALL(IF($E$16:$E$116&lt;&gt;"",ROW($E$16:$E$116)-ROW($E$16)+1),ROW(A7))),"")</f>
        <v/>
      </c>
      <c r="K22" s="212" t="str" cm="1">
        <f t="array" aca="1" ref="K22" ca="1">IFERROR(INDEX($F$16:$F$116,SMALL(IF($F$16:$F$116&lt;&gt;"",ROW($F$16:$F$116)-ROW($F$16)+1),ROW(A7))),"")</f>
        <v/>
      </c>
      <c r="L22" s="212" t="str">
        <f t="shared" ca="1" si="0"/>
        <v/>
      </c>
      <c r="M22" s="212" t="str" cm="1">
        <f t="array" aca="1" ref="M22" ca="1">IFERROR(INDEX($G$16:$G$116,SMALL(IF($G$16:$G$116&lt;&gt;"",ROW($G$16:$G$116)-ROW($G$16)+1),ROW(A7))),"")</f>
        <v/>
      </c>
      <c r="N22" s="217" t="str">
        <f t="shared" ca="1" si="1"/>
        <v/>
      </c>
      <c r="O22" s="218" t="str">
        <f t="shared" ca="1" si="2"/>
        <v/>
      </c>
      <c r="P22" s="218" t="str">
        <f t="shared" ca="1" si="3"/>
        <v/>
      </c>
      <c r="Q22" s="218" t="str">
        <f t="shared" ca="1" si="4"/>
        <v/>
      </c>
      <c r="R22" s="218" t="str">
        <f t="shared" ca="1" si="5"/>
        <v/>
      </c>
      <c r="S22" s="218" t="str">
        <f t="shared" ca="1" si="6"/>
        <v/>
      </c>
      <c r="T22" s="218" t="str">
        <f t="shared" ca="1" si="7"/>
        <v/>
      </c>
      <c r="U22" s="218" t="str">
        <f t="shared" ca="1" si="8"/>
        <v/>
      </c>
      <c r="V22" s="219" t="str">
        <f t="shared" ca="1" si="9"/>
        <v/>
      </c>
      <c r="W22" s="396" t="str">
        <f t="shared" ca="1" si="21"/>
        <v/>
      </c>
      <c r="X22" s="397" t="str">
        <f t="shared" ca="1" si="22"/>
        <v/>
      </c>
      <c r="Y22" s="398" t="str">
        <f t="shared" ca="1" si="10"/>
        <v/>
      </c>
      <c r="Z22" s="398" t="str">
        <f t="shared" ca="1" si="10"/>
        <v/>
      </c>
      <c r="AA22" s="398" t="str">
        <f t="shared" ca="1" si="10"/>
        <v/>
      </c>
      <c r="AB22" s="398" t="str">
        <f t="shared" ca="1" si="10"/>
        <v/>
      </c>
      <c r="AC22" s="398" t="str">
        <f t="shared" ca="1" si="11"/>
        <v/>
      </c>
      <c r="AD22" s="398" t="str">
        <f t="shared" ca="1" si="12"/>
        <v/>
      </c>
      <c r="AE22" s="398" t="str">
        <f t="shared" ca="1" si="12"/>
        <v/>
      </c>
      <c r="AF22" s="398" t="str">
        <f t="shared" ca="1" si="12"/>
        <v/>
      </c>
      <c r="AG22" s="398" t="str">
        <f t="shared" ca="1" si="12"/>
        <v/>
      </c>
      <c r="AH22" s="398" t="str">
        <f t="shared" ca="1" si="12"/>
        <v/>
      </c>
      <c r="AI22" s="396" t="str">
        <f t="shared" ca="1" si="23"/>
        <v/>
      </c>
      <c r="AJ22" s="397" t="str">
        <f t="shared" ca="1" si="24"/>
        <v/>
      </c>
      <c r="AK22" s="398" t="str">
        <f t="shared" ca="1" si="13"/>
        <v/>
      </c>
      <c r="AL22" s="398" t="str">
        <f t="shared" ca="1" si="13"/>
        <v/>
      </c>
      <c r="AM22" s="398" t="str">
        <f t="shared" ca="1" si="13"/>
        <v/>
      </c>
      <c r="AN22" s="398" t="str">
        <f t="shared" ca="1" si="13"/>
        <v/>
      </c>
      <c r="AO22" s="398" t="str">
        <f t="shared" ca="1" si="14"/>
        <v/>
      </c>
      <c r="AP22" s="398" t="str">
        <f t="shared" ca="1" si="15"/>
        <v/>
      </c>
      <c r="AQ22" s="398" t="str">
        <f t="shared" ca="1" si="15"/>
        <v/>
      </c>
      <c r="AR22" s="398" t="str">
        <f t="shared" ca="1" si="15"/>
        <v/>
      </c>
      <c r="AS22" s="398" t="str">
        <f t="shared" ca="1" si="15"/>
        <v/>
      </c>
      <c r="AT22" s="398" t="str">
        <f t="shared" ca="1" si="15"/>
        <v/>
      </c>
    </row>
    <row r="23" spans="1:46" x14ac:dyDescent="0.4">
      <c r="A23" s="152">
        <v>8</v>
      </c>
      <c r="B23" s="206" t="b">
        <f t="shared" si="16"/>
        <v>0</v>
      </c>
      <c r="C23" s="211" t="str">
        <f t="shared" ca="1" si="17"/>
        <v/>
      </c>
      <c r="D23" s="376" t="str">
        <f t="shared" ca="1" si="18"/>
        <v/>
      </c>
      <c r="E23" s="376" t="str">
        <f t="shared" ca="1" si="19"/>
        <v/>
      </c>
      <c r="F23" s="59" t="str">
        <f t="shared" ca="1" si="20"/>
        <v/>
      </c>
      <c r="G23" s="59" t="str">
        <f t="shared" ca="1" si="20"/>
        <v/>
      </c>
      <c r="H23" s="213" t="str" cm="1">
        <f t="array" aca="1" ref="H23" ca="1">IFERROR(INDEX($C$16:$C$116,SMALL(IF($C$16:$C$116&lt;&gt;"",ROW($C$16:$C$116)-ROW($C$16)+1),ROW(A8))),"")</f>
        <v/>
      </c>
      <c r="I23" s="212" t="str" cm="1">
        <f t="array" aca="1" ref="I23" ca="1">IFERROR(INDEX($D$16:$D$116,SMALL(IF($D$16:$D$116&lt;&gt;"",ROW($D$16:$D$116)-ROW($D$16)+1),ROW(A8))),"")</f>
        <v/>
      </c>
      <c r="J23" s="212" t="str" cm="1">
        <f t="array" aca="1" ref="J23" ca="1">IFERROR(INDEX($E$16:$E$116,SMALL(IF($E$16:$E$116&lt;&gt;"",ROW($E$16:$E$116)-ROW($E$16)+1),ROW(A8))),"")</f>
        <v/>
      </c>
      <c r="K23" s="212" t="str" cm="1">
        <f t="array" aca="1" ref="K23" ca="1">IFERROR(INDEX($F$16:$F$116,SMALL(IF($F$16:$F$116&lt;&gt;"",ROW($F$16:$F$116)-ROW($F$16)+1),ROW(A8))),"")</f>
        <v/>
      </c>
      <c r="L23" s="212" t="str">
        <f t="shared" ca="1" si="0"/>
        <v/>
      </c>
      <c r="M23" s="212" t="str" cm="1">
        <f t="array" aca="1" ref="M23" ca="1">IFERROR(INDEX($G$16:$G$116,SMALL(IF($G$16:$G$116&lt;&gt;"",ROW($G$16:$G$116)-ROW($G$16)+1),ROW(A8))),"")</f>
        <v/>
      </c>
      <c r="N23" s="217" t="str">
        <f t="shared" ca="1" si="1"/>
        <v/>
      </c>
      <c r="O23" s="218" t="str">
        <f t="shared" ca="1" si="2"/>
        <v/>
      </c>
      <c r="P23" s="218" t="str">
        <f t="shared" ca="1" si="3"/>
        <v/>
      </c>
      <c r="Q23" s="218" t="str">
        <f t="shared" ca="1" si="4"/>
        <v/>
      </c>
      <c r="R23" s="218" t="str">
        <f t="shared" ca="1" si="5"/>
        <v/>
      </c>
      <c r="S23" s="218" t="str">
        <f t="shared" ca="1" si="6"/>
        <v/>
      </c>
      <c r="T23" s="218" t="str">
        <f t="shared" ca="1" si="7"/>
        <v/>
      </c>
      <c r="U23" s="218" t="str">
        <f t="shared" ca="1" si="8"/>
        <v/>
      </c>
      <c r="V23" s="219" t="str">
        <f t="shared" ca="1" si="9"/>
        <v/>
      </c>
      <c r="W23" s="396" t="str">
        <f t="shared" ca="1" si="21"/>
        <v/>
      </c>
      <c r="X23" s="397" t="str">
        <f t="shared" ca="1" si="22"/>
        <v/>
      </c>
      <c r="Y23" s="398" t="str">
        <f t="shared" ca="1" si="10"/>
        <v/>
      </c>
      <c r="Z23" s="398" t="str">
        <f t="shared" ca="1" si="10"/>
        <v/>
      </c>
      <c r="AA23" s="398" t="str">
        <f t="shared" ca="1" si="10"/>
        <v/>
      </c>
      <c r="AB23" s="398" t="str">
        <f t="shared" ca="1" si="10"/>
        <v/>
      </c>
      <c r="AC23" s="398" t="str">
        <f t="shared" ca="1" si="11"/>
        <v/>
      </c>
      <c r="AD23" s="398" t="str">
        <f t="shared" ca="1" si="12"/>
        <v/>
      </c>
      <c r="AE23" s="398" t="str">
        <f t="shared" ca="1" si="12"/>
        <v/>
      </c>
      <c r="AF23" s="398" t="str">
        <f t="shared" ca="1" si="12"/>
        <v/>
      </c>
      <c r="AG23" s="398" t="str">
        <f t="shared" ca="1" si="12"/>
        <v/>
      </c>
      <c r="AH23" s="398" t="str">
        <f t="shared" ca="1" si="12"/>
        <v/>
      </c>
      <c r="AI23" s="396" t="str">
        <f t="shared" ca="1" si="23"/>
        <v/>
      </c>
      <c r="AJ23" s="397" t="str">
        <f t="shared" ca="1" si="24"/>
        <v/>
      </c>
      <c r="AK23" s="398" t="str">
        <f t="shared" ca="1" si="13"/>
        <v/>
      </c>
      <c r="AL23" s="398" t="str">
        <f t="shared" ca="1" si="13"/>
        <v/>
      </c>
      <c r="AM23" s="398" t="str">
        <f t="shared" ca="1" si="13"/>
        <v/>
      </c>
      <c r="AN23" s="398" t="str">
        <f t="shared" ca="1" si="13"/>
        <v/>
      </c>
      <c r="AO23" s="398" t="str">
        <f t="shared" ca="1" si="14"/>
        <v/>
      </c>
      <c r="AP23" s="398" t="str">
        <f t="shared" ca="1" si="15"/>
        <v/>
      </c>
      <c r="AQ23" s="398" t="str">
        <f t="shared" ca="1" si="15"/>
        <v/>
      </c>
      <c r="AR23" s="398" t="str">
        <f t="shared" ca="1" si="15"/>
        <v/>
      </c>
      <c r="AS23" s="398" t="str">
        <f t="shared" ca="1" si="15"/>
        <v/>
      </c>
      <c r="AT23" s="398" t="str">
        <f t="shared" ca="1" si="15"/>
        <v/>
      </c>
    </row>
    <row r="24" spans="1:46" x14ac:dyDescent="0.4">
      <c r="A24" s="152">
        <v>9</v>
      </c>
      <c r="B24" s="206" t="b">
        <f t="shared" si="16"/>
        <v>0</v>
      </c>
      <c r="C24" s="211" t="str">
        <f t="shared" ca="1" si="17"/>
        <v/>
      </c>
      <c r="D24" s="376" t="str">
        <f t="shared" ca="1" si="18"/>
        <v/>
      </c>
      <c r="E24" s="376" t="str">
        <f t="shared" ca="1" si="19"/>
        <v/>
      </c>
      <c r="F24" s="59" t="str">
        <f t="shared" ca="1" si="20"/>
        <v/>
      </c>
      <c r="G24" s="59" t="str">
        <f t="shared" ca="1" si="20"/>
        <v/>
      </c>
      <c r="H24" s="213" t="str" cm="1">
        <f t="array" aca="1" ref="H24" ca="1">IFERROR(INDEX($C$16:$C$116,SMALL(IF($C$16:$C$116&lt;&gt;"",ROW($C$16:$C$116)-ROW($C$16)+1),ROW(A9))),"")</f>
        <v/>
      </c>
      <c r="I24" s="212" t="str" cm="1">
        <f t="array" aca="1" ref="I24" ca="1">IFERROR(INDEX($D$16:$D$116,SMALL(IF($D$16:$D$116&lt;&gt;"",ROW($D$16:$D$116)-ROW($D$16)+1),ROW(A9))),"")</f>
        <v/>
      </c>
      <c r="J24" s="212" t="str" cm="1">
        <f t="array" aca="1" ref="J24" ca="1">IFERROR(INDEX($E$16:$E$116,SMALL(IF($E$16:$E$116&lt;&gt;"",ROW($E$16:$E$116)-ROW($E$16)+1),ROW(A9))),"")</f>
        <v/>
      </c>
      <c r="K24" s="212" t="str" cm="1">
        <f t="array" aca="1" ref="K24" ca="1">IFERROR(INDEX($F$16:$F$116,SMALL(IF($F$16:$F$116&lt;&gt;"",ROW($F$16:$F$116)-ROW($F$16)+1),ROW(A9))),"")</f>
        <v/>
      </c>
      <c r="L24" s="212" t="str">
        <f t="shared" ca="1" si="0"/>
        <v/>
      </c>
      <c r="M24" s="212" t="str" cm="1">
        <f t="array" aca="1" ref="M24" ca="1">IFERROR(INDEX($G$16:$G$116,SMALL(IF($G$16:$G$116&lt;&gt;"",ROW($G$16:$G$116)-ROW($G$16)+1),ROW(A9))),"")</f>
        <v/>
      </c>
      <c r="N24" s="217" t="str">
        <f t="shared" ca="1" si="1"/>
        <v/>
      </c>
      <c r="O24" s="218" t="str">
        <f t="shared" ca="1" si="2"/>
        <v/>
      </c>
      <c r="P24" s="218" t="str">
        <f t="shared" ca="1" si="3"/>
        <v/>
      </c>
      <c r="Q24" s="218" t="str">
        <f t="shared" ca="1" si="4"/>
        <v/>
      </c>
      <c r="R24" s="218" t="str">
        <f t="shared" ca="1" si="5"/>
        <v/>
      </c>
      <c r="S24" s="218" t="str">
        <f t="shared" ca="1" si="6"/>
        <v/>
      </c>
      <c r="T24" s="218" t="str">
        <f t="shared" ca="1" si="7"/>
        <v/>
      </c>
      <c r="U24" s="218" t="str">
        <f t="shared" ca="1" si="8"/>
        <v/>
      </c>
      <c r="V24" s="219" t="str">
        <f t="shared" ca="1" si="9"/>
        <v/>
      </c>
      <c r="W24" s="396" t="str">
        <f t="shared" ca="1" si="21"/>
        <v/>
      </c>
      <c r="X24" s="397" t="str">
        <f t="shared" ca="1" si="22"/>
        <v/>
      </c>
      <c r="Y24" s="398" t="str">
        <f t="shared" ca="1" si="10"/>
        <v/>
      </c>
      <c r="Z24" s="398" t="str">
        <f t="shared" ca="1" si="10"/>
        <v/>
      </c>
      <c r="AA24" s="398" t="str">
        <f t="shared" ca="1" si="10"/>
        <v/>
      </c>
      <c r="AB24" s="398" t="str">
        <f t="shared" ca="1" si="10"/>
        <v/>
      </c>
      <c r="AC24" s="398" t="str">
        <f t="shared" ca="1" si="11"/>
        <v/>
      </c>
      <c r="AD24" s="398" t="str">
        <f t="shared" ca="1" si="12"/>
        <v/>
      </c>
      <c r="AE24" s="398" t="str">
        <f t="shared" ca="1" si="12"/>
        <v/>
      </c>
      <c r="AF24" s="398" t="str">
        <f t="shared" ca="1" si="12"/>
        <v/>
      </c>
      <c r="AG24" s="398" t="str">
        <f t="shared" ca="1" si="12"/>
        <v/>
      </c>
      <c r="AH24" s="398" t="str">
        <f t="shared" ca="1" si="12"/>
        <v/>
      </c>
      <c r="AI24" s="396" t="str">
        <f t="shared" ca="1" si="23"/>
        <v/>
      </c>
      <c r="AJ24" s="397" t="str">
        <f t="shared" ca="1" si="24"/>
        <v/>
      </c>
      <c r="AK24" s="398" t="str">
        <f t="shared" ca="1" si="13"/>
        <v/>
      </c>
      <c r="AL24" s="398" t="str">
        <f t="shared" ca="1" si="13"/>
        <v/>
      </c>
      <c r="AM24" s="398" t="str">
        <f t="shared" ca="1" si="13"/>
        <v/>
      </c>
      <c r="AN24" s="398" t="str">
        <f t="shared" ca="1" si="13"/>
        <v/>
      </c>
      <c r="AO24" s="398" t="str">
        <f t="shared" ca="1" si="14"/>
        <v/>
      </c>
      <c r="AP24" s="398" t="str">
        <f t="shared" ca="1" si="15"/>
        <v/>
      </c>
      <c r="AQ24" s="398" t="str">
        <f t="shared" ca="1" si="15"/>
        <v/>
      </c>
      <c r="AR24" s="398" t="str">
        <f t="shared" ca="1" si="15"/>
        <v/>
      </c>
      <c r="AS24" s="398" t="str">
        <f t="shared" ca="1" si="15"/>
        <v/>
      </c>
      <c r="AT24" s="398" t="str">
        <f t="shared" ca="1" si="15"/>
        <v/>
      </c>
    </row>
    <row r="25" spans="1:46" x14ac:dyDescent="0.4">
      <c r="A25" s="152">
        <v>10</v>
      </c>
      <c r="B25" s="206" t="b">
        <f t="shared" si="16"/>
        <v>0</v>
      </c>
      <c r="C25" s="211" t="str">
        <f t="shared" ca="1" si="17"/>
        <v/>
      </c>
      <c r="D25" s="376" t="str">
        <f t="shared" ca="1" si="18"/>
        <v/>
      </c>
      <c r="E25" s="376" t="str">
        <f t="shared" ca="1" si="19"/>
        <v/>
      </c>
      <c r="F25" s="59" t="str">
        <f t="shared" ca="1" si="20"/>
        <v/>
      </c>
      <c r="G25" s="59" t="str">
        <f t="shared" ca="1" si="20"/>
        <v/>
      </c>
      <c r="H25" s="213" t="str" cm="1">
        <f t="array" aca="1" ref="H25" ca="1">IFERROR(INDEX($C$16:$C$116,SMALL(IF($C$16:$C$116&lt;&gt;"",ROW($C$16:$C$116)-ROW($C$16)+1),ROW(A10))),"")</f>
        <v/>
      </c>
      <c r="I25" s="212" t="str" cm="1">
        <f t="array" aca="1" ref="I25" ca="1">IFERROR(INDEX($D$16:$D$116,SMALL(IF($D$16:$D$116&lt;&gt;"",ROW($D$16:$D$116)-ROW($D$16)+1),ROW(A10))),"")</f>
        <v/>
      </c>
      <c r="J25" s="212" t="str" cm="1">
        <f t="array" aca="1" ref="J25" ca="1">IFERROR(INDEX($E$16:$E$116,SMALL(IF($E$16:$E$116&lt;&gt;"",ROW($E$16:$E$116)-ROW($E$16)+1),ROW(A10))),"")</f>
        <v/>
      </c>
      <c r="K25" s="212" t="str" cm="1">
        <f t="array" aca="1" ref="K25" ca="1">IFERROR(INDEX($F$16:$F$116,SMALL(IF($F$16:$F$116&lt;&gt;"",ROW($F$16:$F$116)-ROW($F$16)+1),ROW(A10))),"")</f>
        <v/>
      </c>
      <c r="L25" s="212" t="str">
        <f t="shared" ca="1" si="0"/>
        <v/>
      </c>
      <c r="M25" s="212" t="str" cm="1">
        <f t="array" aca="1" ref="M25" ca="1">IFERROR(INDEX($G$16:$G$116,SMALL(IF($G$16:$G$116&lt;&gt;"",ROW($G$16:$G$116)-ROW($G$16)+1),ROW(A10))),"")</f>
        <v/>
      </c>
      <c r="N25" s="217" t="str">
        <f t="shared" ca="1" si="1"/>
        <v/>
      </c>
      <c r="O25" s="218" t="str">
        <f t="shared" ca="1" si="2"/>
        <v/>
      </c>
      <c r="P25" s="218" t="str">
        <f t="shared" ca="1" si="3"/>
        <v/>
      </c>
      <c r="Q25" s="218" t="str">
        <f t="shared" ca="1" si="4"/>
        <v/>
      </c>
      <c r="R25" s="218" t="str">
        <f t="shared" ca="1" si="5"/>
        <v/>
      </c>
      <c r="S25" s="218" t="str">
        <f t="shared" ca="1" si="6"/>
        <v/>
      </c>
      <c r="T25" s="218" t="str">
        <f t="shared" ca="1" si="7"/>
        <v/>
      </c>
      <c r="U25" s="218" t="str">
        <f t="shared" ca="1" si="8"/>
        <v/>
      </c>
      <c r="V25" s="219" t="str">
        <f t="shared" ca="1" si="9"/>
        <v/>
      </c>
      <c r="W25" s="396" t="str">
        <f t="shared" ca="1" si="21"/>
        <v/>
      </c>
      <c r="X25" s="397" t="str">
        <f t="shared" ca="1" si="22"/>
        <v/>
      </c>
      <c r="Y25" s="398" t="str">
        <f t="shared" ca="1" si="10"/>
        <v/>
      </c>
      <c r="Z25" s="398" t="str">
        <f t="shared" ca="1" si="10"/>
        <v/>
      </c>
      <c r="AA25" s="398" t="str">
        <f t="shared" ca="1" si="10"/>
        <v/>
      </c>
      <c r="AB25" s="398" t="str">
        <f t="shared" ca="1" si="10"/>
        <v/>
      </c>
      <c r="AC25" s="398" t="str">
        <f t="shared" ca="1" si="11"/>
        <v/>
      </c>
      <c r="AD25" s="398" t="str">
        <f t="shared" ca="1" si="12"/>
        <v/>
      </c>
      <c r="AE25" s="398" t="str">
        <f t="shared" ca="1" si="12"/>
        <v/>
      </c>
      <c r="AF25" s="398" t="str">
        <f t="shared" ca="1" si="12"/>
        <v/>
      </c>
      <c r="AG25" s="398" t="str">
        <f t="shared" ca="1" si="12"/>
        <v/>
      </c>
      <c r="AH25" s="398" t="str">
        <f t="shared" ca="1" si="12"/>
        <v/>
      </c>
      <c r="AI25" s="396" t="str">
        <f t="shared" ca="1" si="23"/>
        <v/>
      </c>
      <c r="AJ25" s="397" t="str">
        <f t="shared" ca="1" si="24"/>
        <v/>
      </c>
      <c r="AK25" s="398" t="str">
        <f t="shared" ca="1" si="13"/>
        <v/>
      </c>
      <c r="AL25" s="398" t="str">
        <f t="shared" ca="1" si="13"/>
        <v/>
      </c>
      <c r="AM25" s="398" t="str">
        <f t="shared" ca="1" si="13"/>
        <v/>
      </c>
      <c r="AN25" s="398" t="str">
        <f t="shared" ca="1" si="13"/>
        <v/>
      </c>
      <c r="AO25" s="398" t="str">
        <f t="shared" ca="1" si="14"/>
        <v/>
      </c>
      <c r="AP25" s="398" t="str">
        <f t="shared" ca="1" si="15"/>
        <v/>
      </c>
      <c r="AQ25" s="398" t="str">
        <f t="shared" ca="1" si="15"/>
        <v/>
      </c>
      <c r="AR25" s="398" t="str">
        <f t="shared" ca="1" si="15"/>
        <v/>
      </c>
      <c r="AS25" s="398" t="str">
        <f t="shared" ca="1" si="15"/>
        <v/>
      </c>
      <c r="AT25" s="398" t="str">
        <f t="shared" ca="1" si="15"/>
        <v/>
      </c>
    </row>
    <row r="26" spans="1:46" x14ac:dyDescent="0.4">
      <c r="A26" s="152">
        <v>11</v>
      </c>
      <c r="B26" s="206" t="b">
        <f t="shared" si="16"/>
        <v>0</v>
      </c>
      <c r="C26" s="211" t="str">
        <f t="shared" ca="1" si="17"/>
        <v/>
      </c>
      <c r="D26" s="376" t="str">
        <f t="shared" ca="1" si="18"/>
        <v/>
      </c>
      <c r="E26" s="376" t="str">
        <f t="shared" ca="1" si="19"/>
        <v/>
      </c>
      <c r="F26" s="59" t="str">
        <f t="shared" ca="1" si="20"/>
        <v/>
      </c>
      <c r="G26" s="59" t="str">
        <f t="shared" ca="1" si="20"/>
        <v/>
      </c>
      <c r="H26" s="213" t="str" cm="1">
        <f t="array" aca="1" ref="H26" ca="1">IFERROR(INDEX($C$16:$C$116,SMALL(IF($C$16:$C$116&lt;&gt;"",ROW($C$16:$C$116)-ROW($C$16)+1),ROW(A11))),"")</f>
        <v/>
      </c>
      <c r="I26" s="212" t="str" cm="1">
        <f t="array" aca="1" ref="I26" ca="1">IFERROR(INDEX($D$16:$D$116,SMALL(IF($D$16:$D$116&lt;&gt;"",ROW($D$16:$D$116)-ROW($D$16)+1),ROW(A11))),"")</f>
        <v/>
      </c>
      <c r="J26" s="212" t="str" cm="1">
        <f t="array" aca="1" ref="J26" ca="1">IFERROR(INDEX($E$16:$E$116,SMALL(IF($E$16:$E$116&lt;&gt;"",ROW($E$16:$E$116)-ROW($E$16)+1),ROW(A11))),"")</f>
        <v/>
      </c>
      <c r="K26" s="212" t="str" cm="1">
        <f t="array" aca="1" ref="K26" ca="1">IFERROR(INDEX($F$16:$F$116,SMALL(IF($F$16:$F$116&lt;&gt;"",ROW($F$16:$F$116)-ROW($F$16)+1),ROW(A11))),"")</f>
        <v/>
      </c>
      <c r="L26" s="212" t="str">
        <f t="shared" ca="1" si="0"/>
        <v/>
      </c>
      <c r="M26" s="212" t="str" cm="1">
        <f t="array" aca="1" ref="M26" ca="1">IFERROR(INDEX($G$16:$G$116,SMALL(IF($G$16:$G$116&lt;&gt;"",ROW($G$16:$G$116)-ROW($G$16)+1),ROW(A11))),"")</f>
        <v/>
      </c>
      <c r="N26" s="217" t="str">
        <f t="shared" ca="1" si="1"/>
        <v/>
      </c>
      <c r="O26" s="218" t="str">
        <f t="shared" ca="1" si="2"/>
        <v/>
      </c>
      <c r="P26" s="218" t="str">
        <f t="shared" ca="1" si="3"/>
        <v/>
      </c>
      <c r="Q26" s="218" t="str">
        <f t="shared" ca="1" si="4"/>
        <v/>
      </c>
      <c r="R26" s="218" t="str">
        <f t="shared" ca="1" si="5"/>
        <v/>
      </c>
      <c r="S26" s="218" t="str">
        <f t="shared" ca="1" si="6"/>
        <v/>
      </c>
      <c r="T26" s="218" t="str">
        <f t="shared" ca="1" si="7"/>
        <v/>
      </c>
      <c r="U26" s="218" t="str">
        <f t="shared" ca="1" si="8"/>
        <v/>
      </c>
      <c r="V26" s="219" t="str">
        <f t="shared" ca="1" si="9"/>
        <v/>
      </c>
      <c r="W26" s="396" t="str">
        <f t="shared" ca="1" si="21"/>
        <v/>
      </c>
      <c r="X26" s="397" t="str">
        <f t="shared" ca="1" si="22"/>
        <v/>
      </c>
      <c r="Y26" s="398" t="str">
        <f t="shared" ca="1" si="10"/>
        <v/>
      </c>
      <c r="Z26" s="398" t="str">
        <f t="shared" ca="1" si="10"/>
        <v/>
      </c>
      <c r="AA26" s="398" t="str">
        <f t="shared" ca="1" si="10"/>
        <v/>
      </c>
      <c r="AB26" s="398" t="str">
        <f t="shared" ca="1" si="10"/>
        <v/>
      </c>
      <c r="AC26" s="398" t="str">
        <f t="shared" ca="1" si="11"/>
        <v/>
      </c>
      <c r="AD26" s="398" t="str">
        <f t="shared" ref="AD26:AH35" ca="1" si="25">IF(OR($J26="Pluviomètre",LEFT($J26,5)="Sonde"),"",IF($H26&lt;&gt;"",IF(_xlfn.SINGLE(INDIRECT($H26&amp;"!"&amp;$W26&amp;($X26+AD$15+1)))&lt;&gt;"",_xlfn.SINGLE(INDIRECT($H26&amp;"!"&amp;$W26&amp;($X26+AD$15+1))),""),""))</f>
        <v/>
      </c>
      <c r="AE26" s="398" t="str">
        <f t="shared" ca="1" si="25"/>
        <v/>
      </c>
      <c r="AF26" s="398" t="str">
        <f t="shared" ca="1" si="25"/>
        <v/>
      </c>
      <c r="AG26" s="398" t="str">
        <f t="shared" ca="1" si="25"/>
        <v/>
      </c>
      <c r="AH26" s="398" t="str">
        <f t="shared" ca="1" si="25"/>
        <v/>
      </c>
      <c r="AI26" s="396" t="str">
        <f t="shared" ca="1" si="23"/>
        <v/>
      </c>
      <c r="AJ26" s="397" t="str">
        <f t="shared" ca="1" si="24"/>
        <v/>
      </c>
      <c r="AK26" s="398" t="str">
        <f t="shared" ca="1" si="13"/>
        <v/>
      </c>
      <c r="AL26" s="398" t="str">
        <f t="shared" ca="1" si="13"/>
        <v/>
      </c>
      <c r="AM26" s="398" t="str">
        <f t="shared" ca="1" si="13"/>
        <v/>
      </c>
      <c r="AN26" s="398" t="str">
        <f t="shared" ca="1" si="13"/>
        <v/>
      </c>
      <c r="AO26" s="398" t="str">
        <f t="shared" ca="1" si="14"/>
        <v/>
      </c>
      <c r="AP26" s="398" t="str">
        <f t="shared" ref="AP26:AT35" ca="1" si="26">IF(OR($J26="Pluviomètre",LEFT($J26,5)="Sonde"),"",IF($H26&lt;&gt;"",IF(_xlfn.SINGLE(INDIRECT($H26&amp;"!"&amp;$AI26&amp;($AJ26+AP$15+1)))&lt;&gt;"",_xlfn.SINGLE(INDIRECT($H26&amp;"!"&amp;$AI26&amp;($AJ26+AP$15+1))),""),""))</f>
        <v/>
      </c>
      <c r="AQ26" s="398" t="str">
        <f t="shared" ca="1" si="26"/>
        <v/>
      </c>
      <c r="AR26" s="398" t="str">
        <f t="shared" ca="1" si="26"/>
        <v/>
      </c>
      <c r="AS26" s="398" t="str">
        <f t="shared" ca="1" si="26"/>
        <v/>
      </c>
      <c r="AT26" s="398" t="str">
        <f t="shared" ca="1" si="26"/>
        <v/>
      </c>
    </row>
    <row r="27" spans="1:46" x14ac:dyDescent="0.4">
      <c r="A27" s="152">
        <v>12</v>
      </c>
      <c r="B27" s="206" t="b">
        <f t="shared" si="16"/>
        <v>0</v>
      </c>
      <c r="C27" s="211" t="str">
        <f t="shared" ca="1" si="17"/>
        <v/>
      </c>
      <c r="D27" s="376" t="str">
        <f t="shared" ca="1" si="18"/>
        <v/>
      </c>
      <c r="E27" s="376" t="str">
        <f t="shared" ca="1" si="19"/>
        <v/>
      </c>
      <c r="F27" s="59" t="str">
        <f t="shared" ca="1" si="20"/>
        <v/>
      </c>
      <c r="G27" s="59" t="str">
        <f t="shared" ca="1" si="20"/>
        <v/>
      </c>
      <c r="H27" s="213" t="str" cm="1">
        <f t="array" aca="1" ref="H27" ca="1">IFERROR(INDEX($C$16:$C$116,SMALL(IF($C$16:$C$116&lt;&gt;"",ROW($C$16:$C$116)-ROW($C$16)+1),ROW(A12))),"")</f>
        <v/>
      </c>
      <c r="I27" s="212" t="str" cm="1">
        <f t="array" aca="1" ref="I27" ca="1">IFERROR(INDEX($D$16:$D$116,SMALL(IF($D$16:$D$116&lt;&gt;"",ROW($D$16:$D$116)-ROW($D$16)+1),ROW(A12))),"")</f>
        <v/>
      </c>
      <c r="J27" s="212" t="str" cm="1">
        <f t="array" aca="1" ref="J27" ca="1">IFERROR(INDEX($E$16:$E$116,SMALL(IF($E$16:$E$116&lt;&gt;"",ROW($E$16:$E$116)-ROW($E$16)+1),ROW(A12))),"")</f>
        <v/>
      </c>
      <c r="K27" s="212" t="str" cm="1">
        <f t="array" aca="1" ref="K27" ca="1">IFERROR(INDEX($F$16:$F$116,SMALL(IF($F$16:$F$116&lt;&gt;"",ROW($F$16:$F$116)-ROW($F$16)+1),ROW(A12))),"")</f>
        <v/>
      </c>
      <c r="L27" s="212" t="str">
        <f t="shared" ca="1" si="0"/>
        <v/>
      </c>
      <c r="M27" s="212" t="str" cm="1">
        <f t="array" aca="1" ref="M27" ca="1">IFERROR(INDEX($G$16:$G$116,SMALL(IF($G$16:$G$116&lt;&gt;"",ROW($G$16:$G$116)-ROW($G$16)+1),ROW(A12))),"")</f>
        <v/>
      </c>
      <c r="N27" s="217" t="str">
        <f t="shared" ca="1" si="1"/>
        <v/>
      </c>
      <c r="O27" s="218" t="str">
        <f t="shared" ca="1" si="2"/>
        <v/>
      </c>
      <c r="P27" s="218" t="str">
        <f t="shared" ca="1" si="3"/>
        <v/>
      </c>
      <c r="Q27" s="218" t="str">
        <f t="shared" ca="1" si="4"/>
        <v/>
      </c>
      <c r="R27" s="218" t="str">
        <f t="shared" ca="1" si="5"/>
        <v/>
      </c>
      <c r="S27" s="218" t="str">
        <f t="shared" ca="1" si="6"/>
        <v/>
      </c>
      <c r="T27" s="218" t="str">
        <f t="shared" ca="1" si="7"/>
        <v/>
      </c>
      <c r="U27" s="218" t="str">
        <f t="shared" ca="1" si="8"/>
        <v/>
      </c>
      <c r="V27" s="219" t="str">
        <f t="shared" ca="1" si="9"/>
        <v/>
      </c>
      <c r="W27" s="396" t="str">
        <f t="shared" ca="1" si="21"/>
        <v/>
      </c>
      <c r="X27" s="397" t="str">
        <f t="shared" ca="1" si="22"/>
        <v/>
      </c>
      <c r="Y27" s="398" t="str">
        <f t="shared" ca="1" si="10"/>
        <v/>
      </c>
      <c r="Z27" s="398" t="str">
        <f t="shared" ca="1" si="10"/>
        <v/>
      </c>
      <c r="AA27" s="398" t="str">
        <f t="shared" ca="1" si="10"/>
        <v/>
      </c>
      <c r="AB27" s="398" t="str">
        <f t="shared" ca="1" si="10"/>
        <v/>
      </c>
      <c r="AC27" s="398" t="str">
        <f t="shared" ca="1" si="11"/>
        <v/>
      </c>
      <c r="AD27" s="398" t="str">
        <f t="shared" ca="1" si="25"/>
        <v/>
      </c>
      <c r="AE27" s="398" t="str">
        <f t="shared" ca="1" si="25"/>
        <v/>
      </c>
      <c r="AF27" s="398" t="str">
        <f t="shared" ca="1" si="25"/>
        <v/>
      </c>
      <c r="AG27" s="398" t="str">
        <f t="shared" ca="1" si="25"/>
        <v/>
      </c>
      <c r="AH27" s="398" t="str">
        <f t="shared" ca="1" si="25"/>
        <v/>
      </c>
      <c r="AI27" s="396" t="str">
        <f t="shared" ca="1" si="23"/>
        <v/>
      </c>
      <c r="AJ27" s="397" t="str">
        <f t="shared" ca="1" si="24"/>
        <v/>
      </c>
      <c r="AK27" s="398" t="str">
        <f t="shared" ca="1" si="13"/>
        <v/>
      </c>
      <c r="AL27" s="398" t="str">
        <f t="shared" ca="1" si="13"/>
        <v/>
      </c>
      <c r="AM27" s="398" t="str">
        <f t="shared" ca="1" si="13"/>
        <v/>
      </c>
      <c r="AN27" s="398" t="str">
        <f t="shared" ca="1" si="13"/>
        <v/>
      </c>
      <c r="AO27" s="398" t="str">
        <f t="shared" ca="1" si="14"/>
        <v/>
      </c>
      <c r="AP27" s="398" t="str">
        <f t="shared" ca="1" si="26"/>
        <v/>
      </c>
      <c r="AQ27" s="398" t="str">
        <f t="shared" ca="1" si="26"/>
        <v/>
      </c>
      <c r="AR27" s="398" t="str">
        <f t="shared" ca="1" si="26"/>
        <v/>
      </c>
      <c r="AS27" s="398" t="str">
        <f t="shared" ca="1" si="26"/>
        <v/>
      </c>
      <c r="AT27" s="398" t="str">
        <f t="shared" ca="1" si="26"/>
        <v/>
      </c>
    </row>
    <row r="28" spans="1:46" x14ac:dyDescent="0.4">
      <c r="A28" s="152">
        <v>13</v>
      </c>
      <c r="B28" s="206" t="b">
        <f t="shared" si="16"/>
        <v>0</v>
      </c>
      <c r="C28" s="211" t="str">
        <f t="shared" ca="1" si="17"/>
        <v/>
      </c>
      <c r="D28" s="376" t="str">
        <f t="shared" ca="1" si="18"/>
        <v/>
      </c>
      <c r="E28" s="376" t="str">
        <f t="shared" ca="1" si="19"/>
        <v/>
      </c>
      <c r="F28" s="59" t="str">
        <f t="shared" ca="1" si="20"/>
        <v/>
      </c>
      <c r="G28" s="59" t="str">
        <f t="shared" ca="1" si="20"/>
        <v/>
      </c>
      <c r="H28" s="213" t="str" cm="1">
        <f t="array" aca="1" ref="H28" ca="1">IFERROR(INDEX($C$16:$C$116,SMALL(IF($C$16:$C$116&lt;&gt;"",ROW($C$16:$C$116)-ROW($C$16)+1),ROW(A13))),"")</f>
        <v/>
      </c>
      <c r="I28" s="212" t="str" cm="1">
        <f t="array" aca="1" ref="I28" ca="1">IFERROR(INDEX($D$16:$D$116,SMALL(IF($D$16:$D$116&lt;&gt;"",ROW($D$16:$D$116)-ROW($D$16)+1),ROW(A13))),"")</f>
        <v/>
      </c>
      <c r="J28" s="212" t="str" cm="1">
        <f t="array" aca="1" ref="J28" ca="1">IFERROR(INDEX($E$16:$E$116,SMALL(IF($E$16:$E$116&lt;&gt;"",ROW($E$16:$E$116)-ROW($E$16)+1),ROW(A13))),"")</f>
        <v/>
      </c>
      <c r="K28" s="212" t="str" cm="1">
        <f t="array" aca="1" ref="K28" ca="1">IFERROR(INDEX($F$16:$F$116,SMALL(IF($F$16:$F$116&lt;&gt;"",ROW($F$16:$F$116)-ROW($F$16)+1),ROW(A13))),"")</f>
        <v/>
      </c>
      <c r="L28" s="212" t="str">
        <f t="shared" ca="1" si="0"/>
        <v/>
      </c>
      <c r="M28" s="212" t="str" cm="1">
        <f t="array" aca="1" ref="M28" ca="1">IFERROR(INDEX($G$16:$G$116,SMALL(IF($G$16:$G$116&lt;&gt;"",ROW($G$16:$G$116)-ROW($G$16)+1),ROW(A13))),"")</f>
        <v/>
      </c>
      <c r="N28" s="217" t="str">
        <f t="shared" ca="1" si="1"/>
        <v/>
      </c>
      <c r="O28" s="218" t="str">
        <f t="shared" ca="1" si="2"/>
        <v/>
      </c>
      <c r="P28" s="218" t="str">
        <f t="shared" ca="1" si="3"/>
        <v/>
      </c>
      <c r="Q28" s="218" t="str">
        <f t="shared" ca="1" si="4"/>
        <v/>
      </c>
      <c r="R28" s="218" t="str">
        <f t="shared" ca="1" si="5"/>
        <v/>
      </c>
      <c r="S28" s="218" t="str">
        <f t="shared" ca="1" si="6"/>
        <v/>
      </c>
      <c r="T28" s="218" t="str">
        <f t="shared" ca="1" si="7"/>
        <v/>
      </c>
      <c r="U28" s="218" t="str">
        <f t="shared" ca="1" si="8"/>
        <v/>
      </c>
      <c r="V28" s="219" t="str">
        <f t="shared" ca="1" si="9"/>
        <v/>
      </c>
      <c r="W28" s="396" t="str">
        <f t="shared" ca="1" si="21"/>
        <v/>
      </c>
      <c r="X28" s="397" t="str">
        <f t="shared" ca="1" si="22"/>
        <v/>
      </c>
      <c r="Y28" s="398" t="str">
        <f t="shared" ca="1" si="10"/>
        <v/>
      </c>
      <c r="Z28" s="398" t="str">
        <f t="shared" ca="1" si="10"/>
        <v/>
      </c>
      <c r="AA28" s="398" t="str">
        <f t="shared" ca="1" si="10"/>
        <v/>
      </c>
      <c r="AB28" s="398" t="str">
        <f t="shared" ca="1" si="10"/>
        <v/>
      </c>
      <c r="AC28" s="398" t="str">
        <f t="shared" ca="1" si="11"/>
        <v/>
      </c>
      <c r="AD28" s="398" t="str">
        <f t="shared" ca="1" si="25"/>
        <v/>
      </c>
      <c r="AE28" s="398" t="str">
        <f t="shared" ca="1" si="25"/>
        <v/>
      </c>
      <c r="AF28" s="398" t="str">
        <f t="shared" ca="1" si="25"/>
        <v/>
      </c>
      <c r="AG28" s="398" t="str">
        <f t="shared" ca="1" si="25"/>
        <v/>
      </c>
      <c r="AH28" s="398" t="str">
        <f t="shared" ca="1" si="25"/>
        <v/>
      </c>
      <c r="AI28" s="396" t="str">
        <f t="shared" ca="1" si="23"/>
        <v/>
      </c>
      <c r="AJ28" s="397" t="str">
        <f t="shared" ca="1" si="24"/>
        <v/>
      </c>
      <c r="AK28" s="398" t="str">
        <f t="shared" ca="1" si="13"/>
        <v/>
      </c>
      <c r="AL28" s="398" t="str">
        <f t="shared" ca="1" si="13"/>
        <v/>
      </c>
      <c r="AM28" s="398" t="str">
        <f t="shared" ca="1" si="13"/>
        <v/>
      </c>
      <c r="AN28" s="398" t="str">
        <f t="shared" ca="1" si="13"/>
        <v/>
      </c>
      <c r="AO28" s="398" t="str">
        <f t="shared" ca="1" si="14"/>
        <v/>
      </c>
      <c r="AP28" s="398" t="str">
        <f t="shared" ca="1" si="26"/>
        <v/>
      </c>
      <c r="AQ28" s="398" t="str">
        <f t="shared" ca="1" si="26"/>
        <v/>
      </c>
      <c r="AR28" s="398" t="str">
        <f t="shared" ca="1" si="26"/>
        <v/>
      </c>
      <c r="AS28" s="398" t="str">
        <f t="shared" ca="1" si="26"/>
        <v/>
      </c>
      <c r="AT28" s="398" t="str">
        <f t="shared" ca="1" si="26"/>
        <v/>
      </c>
    </row>
    <row r="29" spans="1:46" x14ac:dyDescent="0.4">
      <c r="A29" s="152">
        <v>14</v>
      </c>
      <c r="B29" s="206" t="b">
        <f t="shared" si="16"/>
        <v>0</v>
      </c>
      <c r="C29" s="211" t="str">
        <f t="shared" ca="1" si="17"/>
        <v/>
      </c>
      <c r="D29" s="376" t="str">
        <f t="shared" ca="1" si="18"/>
        <v/>
      </c>
      <c r="E29" s="376" t="str">
        <f t="shared" ca="1" si="19"/>
        <v/>
      </c>
      <c r="F29" s="59" t="str">
        <f t="shared" ca="1" si="20"/>
        <v/>
      </c>
      <c r="G29" s="59" t="str">
        <f t="shared" ca="1" si="20"/>
        <v/>
      </c>
      <c r="H29" s="213" t="str" cm="1">
        <f t="array" aca="1" ref="H29" ca="1">IFERROR(INDEX($C$16:$C$116,SMALL(IF($C$16:$C$116&lt;&gt;"",ROW($C$16:$C$116)-ROW($C$16)+1),ROW(A14))),"")</f>
        <v/>
      </c>
      <c r="I29" s="212" t="str" cm="1">
        <f t="array" aca="1" ref="I29" ca="1">IFERROR(INDEX($D$16:$D$116,SMALL(IF($D$16:$D$116&lt;&gt;"",ROW($D$16:$D$116)-ROW($D$16)+1),ROW(A14))),"")</f>
        <v/>
      </c>
      <c r="J29" s="212" t="str" cm="1">
        <f t="array" aca="1" ref="J29" ca="1">IFERROR(INDEX($E$16:$E$116,SMALL(IF($E$16:$E$116&lt;&gt;"",ROW($E$16:$E$116)-ROW($E$16)+1),ROW(A14))),"")</f>
        <v/>
      </c>
      <c r="K29" s="212" t="str" cm="1">
        <f t="array" aca="1" ref="K29" ca="1">IFERROR(INDEX($F$16:$F$116,SMALL(IF($F$16:$F$116&lt;&gt;"",ROW($F$16:$F$116)-ROW($F$16)+1),ROW(A14))),"")</f>
        <v/>
      </c>
      <c r="L29" s="212" t="str">
        <f t="shared" ca="1" si="0"/>
        <v/>
      </c>
      <c r="M29" s="212" t="str" cm="1">
        <f t="array" aca="1" ref="M29" ca="1">IFERROR(INDEX($G$16:$G$116,SMALL(IF($G$16:$G$116&lt;&gt;"",ROW($G$16:$G$116)-ROW($G$16)+1),ROW(A14))),"")</f>
        <v/>
      </c>
      <c r="N29" s="217" t="str">
        <f t="shared" ca="1" si="1"/>
        <v/>
      </c>
      <c r="O29" s="218" t="str">
        <f t="shared" ca="1" si="2"/>
        <v/>
      </c>
      <c r="P29" s="218" t="str">
        <f t="shared" ca="1" si="3"/>
        <v/>
      </c>
      <c r="Q29" s="218" t="str">
        <f t="shared" ca="1" si="4"/>
        <v/>
      </c>
      <c r="R29" s="218" t="str">
        <f t="shared" ca="1" si="5"/>
        <v/>
      </c>
      <c r="S29" s="218" t="str">
        <f t="shared" ca="1" si="6"/>
        <v/>
      </c>
      <c r="T29" s="218" t="str">
        <f t="shared" ca="1" si="7"/>
        <v/>
      </c>
      <c r="U29" s="218" t="str">
        <f t="shared" ca="1" si="8"/>
        <v/>
      </c>
      <c r="V29" s="219" t="str">
        <f t="shared" ca="1" si="9"/>
        <v/>
      </c>
      <c r="W29" s="396" t="str">
        <f t="shared" ca="1" si="21"/>
        <v/>
      </c>
      <c r="X29" s="397" t="str">
        <f t="shared" ca="1" si="22"/>
        <v/>
      </c>
      <c r="Y29" s="398" t="str">
        <f t="shared" ca="1" si="10"/>
        <v/>
      </c>
      <c r="Z29" s="398" t="str">
        <f t="shared" ca="1" si="10"/>
        <v/>
      </c>
      <c r="AA29" s="398" t="str">
        <f t="shared" ca="1" si="10"/>
        <v/>
      </c>
      <c r="AB29" s="398" t="str">
        <f t="shared" ca="1" si="10"/>
        <v/>
      </c>
      <c r="AC29" s="398" t="str">
        <f t="shared" ca="1" si="11"/>
        <v/>
      </c>
      <c r="AD29" s="398" t="str">
        <f t="shared" ca="1" si="25"/>
        <v/>
      </c>
      <c r="AE29" s="398" t="str">
        <f t="shared" ca="1" si="25"/>
        <v/>
      </c>
      <c r="AF29" s="398" t="str">
        <f t="shared" ca="1" si="25"/>
        <v/>
      </c>
      <c r="AG29" s="398" t="str">
        <f t="shared" ca="1" si="25"/>
        <v/>
      </c>
      <c r="AH29" s="398" t="str">
        <f t="shared" ca="1" si="25"/>
        <v/>
      </c>
      <c r="AI29" s="396" t="str">
        <f t="shared" ca="1" si="23"/>
        <v/>
      </c>
      <c r="AJ29" s="397" t="str">
        <f t="shared" ca="1" si="24"/>
        <v/>
      </c>
      <c r="AK29" s="398" t="str">
        <f t="shared" ca="1" si="13"/>
        <v/>
      </c>
      <c r="AL29" s="398" t="str">
        <f t="shared" ca="1" si="13"/>
        <v/>
      </c>
      <c r="AM29" s="398" t="str">
        <f t="shared" ca="1" si="13"/>
        <v/>
      </c>
      <c r="AN29" s="398" t="str">
        <f t="shared" ca="1" si="13"/>
        <v/>
      </c>
      <c r="AO29" s="398" t="str">
        <f t="shared" ca="1" si="14"/>
        <v/>
      </c>
      <c r="AP29" s="398" t="str">
        <f t="shared" ca="1" si="26"/>
        <v/>
      </c>
      <c r="AQ29" s="398" t="str">
        <f t="shared" ca="1" si="26"/>
        <v/>
      </c>
      <c r="AR29" s="398" t="str">
        <f t="shared" ca="1" si="26"/>
        <v/>
      </c>
      <c r="AS29" s="398" t="str">
        <f t="shared" ca="1" si="26"/>
        <v/>
      </c>
      <c r="AT29" s="398" t="str">
        <f t="shared" ca="1" si="26"/>
        <v/>
      </c>
    </row>
    <row r="30" spans="1:46" x14ac:dyDescent="0.4">
      <c r="A30" s="152">
        <v>15</v>
      </c>
      <c r="B30" s="206" t="b">
        <f t="shared" si="16"/>
        <v>0</v>
      </c>
      <c r="C30" s="211" t="str">
        <f t="shared" ca="1" si="17"/>
        <v/>
      </c>
      <c r="D30" s="376" t="str">
        <f t="shared" ca="1" si="18"/>
        <v/>
      </c>
      <c r="E30" s="376" t="str">
        <f t="shared" ca="1" si="19"/>
        <v/>
      </c>
      <c r="F30" s="59" t="str">
        <f t="shared" ca="1" si="20"/>
        <v/>
      </c>
      <c r="G30" s="59" t="str">
        <f t="shared" ca="1" si="20"/>
        <v/>
      </c>
      <c r="H30" s="213" t="str" cm="1">
        <f t="array" aca="1" ref="H30" ca="1">IFERROR(INDEX($C$16:$C$116,SMALL(IF($C$16:$C$116&lt;&gt;"",ROW($C$16:$C$116)-ROW($C$16)+1),ROW(A15))),"")</f>
        <v/>
      </c>
      <c r="I30" s="212" t="str" cm="1">
        <f t="array" aca="1" ref="I30" ca="1">IFERROR(INDEX($D$16:$D$116,SMALL(IF($D$16:$D$116&lt;&gt;"",ROW($D$16:$D$116)-ROW($D$16)+1),ROW(A15))),"")</f>
        <v/>
      </c>
      <c r="J30" s="212" t="str" cm="1">
        <f t="array" aca="1" ref="J30" ca="1">IFERROR(INDEX($E$16:$E$116,SMALL(IF($E$16:$E$116&lt;&gt;"",ROW($E$16:$E$116)-ROW($E$16)+1),ROW(A15))),"")</f>
        <v/>
      </c>
      <c r="K30" s="212" t="str" cm="1">
        <f t="array" aca="1" ref="K30" ca="1">IFERROR(INDEX($F$16:$F$116,SMALL(IF($F$16:$F$116&lt;&gt;"",ROW($F$16:$F$116)-ROW($F$16)+1),ROW(A15))),"")</f>
        <v/>
      </c>
      <c r="L30" s="212" t="str">
        <f t="shared" ca="1" si="0"/>
        <v/>
      </c>
      <c r="M30" s="212" t="str" cm="1">
        <f t="array" aca="1" ref="M30" ca="1">IFERROR(INDEX($G$16:$G$116,SMALL(IF($G$16:$G$116&lt;&gt;"",ROW($G$16:$G$116)-ROW($G$16)+1),ROW(A15))),"")</f>
        <v/>
      </c>
      <c r="N30" s="217" t="str">
        <f t="shared" ca="1" si="1"/>
        <v/>
      </c>
      <c r="O30" s="218" t="str">
        <f t="shared" ca="1" si="2"/>
        <v/>
      </c>
      <c r="P30" s="218" t="str">
        <f t="shared" ca="1" si="3"/>
        <v/>
      </c>
      <c r="Q30" s="218" t="str">
        <f t="shared" ca="1" si="4"/>
        <v/>
      </c>
      <c r="R30" s="218" t="str">
        <f t="shared" ca="1" si="5"/>
        <v/>
      </c>
      <c r="S30" s="218" t="str">
        <f t="shared" ca="1" si="6"/>
        <v/>
      </c>
      <c r="T30" s="218" t="str">
        <f t="shared" ca="1" si="7"/>
        <v/>
      </c>
      <c r="U30" s="218" t="str">
        <f t="shared" ca="1" si="8"/>
        <v/>
      </c>
      <c r="V30" s="219" t="str">
        <f t="shared" ca="1" si="9"/>
        <v/>
      </c>
      <c r="W30" s="396" t="str">
        <f t="shared" ca="1" si="21"/>
        <v/>
      </c>
      <c r="X30" s="397" t="str">
        <f t="shared" ca="1" si="22"/>
        <v/>
      </c>
      <c r="Y30" s="398" t="str">
        <f t="shared" ca="1" si="10"/>
        <v/>
      </c>
      <c r="Z30" s="398" t="str">
        <f t="shared" ca="1" si="10"/>
        <v/>
      </c>
      <c r="AA30" s="398" t="str">
        <f t="shared" ca="1" si="10"/>
        <v/>
      </c>
      <c r="AB30" s="398" t="str">
        <f t="shared" ca="1" si="10"/>
        <v/>
      </c>
      <c r="AC30" s="398" t="str">
        <f t="shared" ca="1" si="11"/>
        <v/>
      </c>
      <c r="AD30" s="398" t="str">
        <f t="shared" ca="1" si="25"/>
        <v/>
      </c>
      <c r="AE30" s="398" t="str">
        <f t="shared" ca="1" si="25"/>
        <v/>
      </c>
      <c r="AF30" s="398" t="str">
        <f t="shared" ca="1" si="25"/>
        <v/>
      </c>
      <c r="AG30" s="398" t="str">
        <f t="shared" ca="1" si="25"/>
        <v/>
      </c>
      <c r="AH30" s="398" t="str">
        <f t="shared" ca="1" si="25"/>
        <v/>
      </c>
      <c r="AI30" s="396" t="str">
        <f t="shared" ca="1" si="23"/>
        <v/>
      </c>
      <c r="AJ30" s="397" t="str">
        <f t="shared" ca="1" si="24"/>
        <v/>
      </c>
      <c r="AK30" s="398" t="str">
        <f t="shared" ca="1" si="13"/>
        <v/>
      </c>
      <c r="AL30" s="398" t="str">
        <f t="shared" ca="1" si="13"/>
        <v/>
      </c>
      <c r="AM30" s="398" t="str">
        <f t="shared" ca="1" si="13"/>
        <v/>
      </c>
      <c r="AN30" s="398" t="str">
        <f t="shared" ca="1" si="13"/>
        <v/>
      </c>
      <c r="AO30" s="398" t="str">
        <f t="shared" ca="1" si="14"/>
        <v/>
      </c>
      <c r="AP30" s="398" t="str">
        <f t="shared" ca="1" si="26"/>
        <v/>
      </c>
      <c r="AQ30" s="398" t="str">
        <f t="shared" ca="1" si="26"/>
        <v/>
      </c>
      <c r="AR30" s="398" t="str">
        <f t="shared" ca="1" si="26"/>
        <v/>
      </c>
      <c r="AS30" s="398" t="str">
        <f t="shared" ca="1" si="26"/>
        <v/>
      </c>
      <c r="AT30" s="398" t="str">
        <f t="shared" ca="1" si="26"/>
        <v/>
      </c>
    </row>
    <row r="31" spans="1:46" x14ac:dyDescent="0.4">
      <c r="A31" s="152">
        <v>16</v>
      </c>
      <c r="B31" s="206" t="b">
        <f t="shared" si="16"/>
        <v>0</v>
      </c>
      <c r="C31" s="211" t="str">
        <f t="shared" ca="1" si="17"/>
        <v/>
      </c>
      <c r="D31" s="376" t="str">
        <f t="shared" ca="1" si="18"/>
        <v/>
      </c>
      <c r="E31" s="376" t="str">
        <f t="shared" ca="1" si="19"/>
        <v/>
      </c>
      <c r="F31" s="59" t="str">
        <f t="shared" ca="1" si="20"/>
        <v/>
      </c>
      <c r="G31" s="59" t="str">
        <f t="shared" ca="1" si="20"/>
        <v/>
      </c>
      <c r="H31" s="213" t="str" cm="1">
        <f t="array" aca="1" ref="H31" ca="1">IFERROR(INDEX($C$16:$C$116,SMALL(IF($C$16:$C$116&lt;&gt;"",ROW($C$16:$C$116)-ROW($C$16)+1),ROW(A16))),"")</f>
        <v/>
      </c>
      <c r="I31" s="212" t="str" cm="1">
        <f t="array" aca="1" ref="I31" ca="1">IFERROR(INDEX($D$16:$D$116,SMALL(IF($D$16:$D$116&lt;&gt;"",ROW($D$16:$D$116)-ROW($D$16)+1),ROW(A16))),"")</f>
        <v/>
      </c>
      <c r="J31" s="212" t="str" cm="1">
        <f t="array" aca="1" ref="J31" ca="1">IFERROR(INDEX($E$16:$E$116,SMALL(IF($E$16:$E$116&lt;&gt;"",ROW($E$16:$E$116)-ROW($E$16)+1),ROW(A16))),"")</f>
        <v/>
      </c>
      <c r="K31" s="212" t="str" cm="1">
        <f t="array" aca="1" ref="K31" ca="1">IFERROR(INDEX($F$16:$F$116,SMALL(IF($F$16:$F$116&lt;&gt;"",ROW($F$16:$F$116)-ROW($F$16)+1),ROW(A16))),"")</f>
        <v/>
      </c>
      <c r="L31" s="212" t="str">
        <f t="shared" ca="1" si="0"/>
        <v/>
      </c>
      <c r="M31" s="212" t="str" cm="1">
        <f t="array" aca="1" ref="M31" ca="1">IFERROR(INDEX($G$16:$G$116,SMALL(IF($G$16:$G$116&lt;&gt;"",ROW($G$16:$G$116)-ROW($G$16)+1),ROW(A16))),"")</f>
        <v/>
      </c>
      <c r="N31" s="217" t="str">
        <f t="shared" ca="1" si="1"/>
        <v/>
      </c>
      <c r="O31" s="218" t="str">
        <f t="shared" ca="1" si="2"/>
        <v/>
      </c>
      <c r="P31" s="218" t="str">
        <f t="shared" ca="1" si="3"/>
        <v/>
      </c>
      <c r="Q31" s="218" t="str">
        <f t="shared" ca="1" si="4"/>
        <v/>
      </c>
      <c r="R31" s="218" t="str">
        <f t="shared" ca="1" si="5"/>
        <v/>
      </c>
      <c r="S31" s="218" t="str">
        <f t="shared" ca="1" si="6"/>
        <v/>
      </c>
      <c r="T31" s="218" t="str">
        <f t="shared" ca="1" si="7"/>
        <v/>
      </c>
      <c r="U31" s="218" t="str">
        <f t="shared" ca="1" si="8"/>
        <v/>
      </c>
      <c r="V31" s="219" t="str">
        <f t="shared" ca="1" si="9"/>
        <v/>
      </c>
      <c r="W31" s="396" t="str">
        <f t="shared" ca="1" si="21"/>
        <v/>
      </c>
      <c r="X31" s="397" t="str">
        <f t="shared" ca="1" si="22"/>
        <v/>
      </c>
      <c r="Y31" s="398" t="str">
        <f t="shared" ca="1" si="10"/>
        <v/>
      </c>
      <c r="Z31" s="398" t="str">
        <f t="shared" ca="1" si="10"/>
        <v/>
      </c>
      <c r="AA31" s="398" t="str">
        <f t="shared" ca="1" si="10"/>
        <v/>
      </c>
      <c r="AB31" s="398" t="str">
        <f t="shared" ca="1" si="10"/>
        <v/>
      </c>
      <c r="AC31" s="398" t="str">
        <f t="shared" ca="1" si="11"/>
        <v/>
      </c>
      <c r="AD31" s="398" t="str">
        <f t="shared" ca="1" si="25"/>
        <v/>
      </c>
      <c r="AE31" s="398" t="str">
        <f t="shared" ca="1" si="25"/>
        <v/>
      </c>
      <c r="AF31" s="398" t="str">
        <f t="shared" ca="1" si="25"/>
        <v/>
      </c>
      <c r="AG31" s="398" t="str">
        <f t="shared" ca="1" si="25"/>
        <v/>
      </c>
      <c r="AH31" s="398" t="str">
        <f t="shared" ca="1" si="25"/>
        <v/>
      </c>
      <c r="AI31" s="396" t="str">
        <f t="shared" ca="1" si="23"/>
        <v/>
      </c>
      <c r="AJ31" s="397" t="str">
        <f t="shared" ca="1" si="24"/>
        <v/>
      </c>
      <c r="AK31" s="398" t="str">
        <f t="shared" ca="1" si="13"/>
        <v/>
      </c>
      <c r="AL31" s="398" t="str">
        <f t="shared" ca="1" si="13"/>
        <v/>
      </c>
      <c r="AM31" s="398" t="str">
        <f t="shared" ca="1" si="13"/>
        <v/>
      </c>
      <c r="AN31" s="398" t="str">
        <f t="shared" ca="1" si="13"/>
        <v/>
      </c>
      <c r="AO31" s="398" t="str">
        <f t="shared" ca="1" si="14"/>
        <v/>
      </c>
      <c r="AP31" s="398" t="str">
        <f t="shared" ca="1" si="26"/>
        <v/>
      </c>
      <c r="AQ31" s="398" t="str">
        <f t="shared" ca="1" si="26"/>
        <v/>
      </c>
      <c r="AR31" s="398" t="str">
        <f t="shared" ca="1" si="26"/>
        <v/>
      </c>
      <c r="AS31" s="398" t="str">
        <f t="shared" ca="1" si="26"/>
        <v/>
      </c>
      <c r="AT31" s="398" t="str">
        <f t="shared" ca="1" si="26"/>
        <v/>
      </c>
    </row>
    <row r="32" spans="1:46" x14ac:dyDescent="0.4">
      <c r="A32" s="152">
        <v>17</v>
      </c>
      <c r="B32" s="206" t="b">
        <f t="shared" si="16"/>
        <v>0</v>
      </c>
      <c r="C32" s="211" t="str">
        <f t="shared" ca="1" si="17"/>
        <v/>
      </c>
      <c r="D32" s="376" t="str">
        <f t="shared" ca="1" si="18"/>
        <v/>
      </c>
      <c r="E32" s="376" t="str">
        <f t="shared" ca="1" si="19"/>
        <v/>
      </c>
      <c r="F32" s="59" t="str">
        <f t="shared" ca="1" si="20"/>
        <v/>
      </c>
      <c r="G32" s="59" t="str">
        <f t="shared" ca="1" si="20"/>
        <v/>
      </c>
      <c r="H32" s="213" t="str" cm="1">
        <f t="array" aca="1" ref="H32" ca="1">IFERROR(INDEX($C$16:$C$116,SMALL(IF($C$16:$C$116&lt;&gt;"",ROW($C$16:$C$116)-ROW($C$16)+1),ROW(A17))),"")</f>
        <v/>
      </c>
      <c r="I32" s="212" t="str" cm="1">
        <f t="array" aca="1" ref="I32" ca="1">IFERROR(INDEX($D$16:$D$116,SMALL(IF($D$16:$D$116&lt;&gt;"",ROW($D$16:$D$116)-ROW($D$16)+1),ROW(A17))),"")</f>
        <v/>
      </c>
      <c r="J32" s="212" t="str" cm="1">
        <f t="array" aca="1" ref="J32" ca="1">IFERROR(INDEX($E$16:$E$116,SMALL(IF($E$16:$E$116&lt;&gt;"",ROW($E$16:$E$116)-ROW($E$16)+1),ROW(A17))),"")</f>
        <v/>
      </c>
      <c r="K32" s="212" t="str" cm="1">
        <f t="array" aca="1" ref="K32" ca="1">IFERROR(INDEX($F$16:$F$116,SMALL(IF($F$16:$F$116&lt;&gt;"",ROW($F$16:$F$116)-ROW($F$16)+1),ROW(A17))),"")</f>
        <v/>
      </c>
      <c r="L32" s="212" t="str">
        <f t="shared" ca="1" si="0"/>
        <v/>
      </c>
      <c r="M32" s="212" t="str" cm="1">
        <f t="array" aca="1" ref="M32" ca="1">IFERROR(INDEX($G$16:$G$116,SMALL(IF($G$16:$G$116&lt;&gt;"",ROW($G$16:$G$116)-ROW($G$16)+1),ROW(A17))),"")</f>
        <v/>
      </c>
      <c r="N32" s="217" t="str">
        <f t="shared" ca="1" si="1"/>
        <v/>
      </c>
      <c r="O32" s="218" t="str">
        <f t="shared" ca="1" si="2"/>
        <v/>
      </c>
      <c r="P32" s="218" t="str">
        <f t="shared" ca="1" si="3"/>
        <v/>
      </c>
      <c r="Q32" s="218" t="str">
        <f t="shared" ca="1" si="4"/>
        <v/>
      </c>
      <c r="R32" s="218" t="str">
        <f t="shared" ca="1" si="5"/>
        <v/>
      </c>
      <c r="S32" s="218" t="str">
        <f t="shared" ca="1" si="6"/>
        <v/>
      </c>
      <c r="T32" s="218" t="str">
        <f t="shared" ca="1" si="7"/>
        <v/>
      </c>
      <c r="U32" s="218" t="str">
        <f t="shared" ca="1" si="8"/>
        <v/>
      </c>
      <c r="V32" s="219" t="str">
        <f t="shared" ca="1" si="9"/>
        <v/>
      </c>
      <c r="W32" s="396" t="str">
        <f t="shared" ca="1" si="21"/>
        <v/>
      </c>
      <c r="X32" s="397" t="str">
        <f t="shared" ca="1" si="22"/>
        <v/>
      </c>
      <c r="Y32" s="398" t="str">
        <f t="shared" ca="1" si="10"/>
        <v/>
      </c>
      <c r="Z32" s="398" t="str">
        <f t="shared" ca="1" si="10"/>
        <v/>
      </c>
      <c r="AA32" s="398" t="str">
        <f t="shared" ca="1" si="10"/>
        <v/>
      </c>
      <c r="AB32" s="398" t="str">
        <f t="shared" ca="1" si="10"/>
        <v/>
      </c>
      <c r="AC32" s="398" t="str">
        <f t="shared" ca="1" si="11"/>
        <v/>
      </c>
      <c r="AD32" s="398" t="str">
        <f t="shared" ca="1" si="25"/>
        <v/>
      </c>
      <c r="AE32" s="398" t="str">
        <f t="shared" ca="1" si="25"/>
        <v/>
      </c>
      <c r="AF32" s="398" t="str">
        <f t="shared" ca="1" si="25"/>
        <v/>
      </c>
      <c r="AG32" s="398" t="str">
        <f t="shared" ca="1" si="25"/>
        <v/>
      </c>
      <c r="AH32" s="398" t="str">
        <f t="shared" ca="1" si="25"/>
        <v/>
      </c>
      <c r="AI32" s="396" t="str">
        <f t="shared" ca="1" si="23"/>
        <v/>
      </c>
      <c r="AJ32" s="397" t="str">
        <f t="shared" ca="1" si="24"/>
        <v/>
      </c>
      <c r="AK32" s="398" t="str">
        <f t="shared" ca="1" si="13"/>
        <v/>
      </c>
      <c r="AL32" s="398" t="str">
        <f t="shared" ca="1" si="13"/>
        <v/>
      </c>
      <c r="AM32" s="398" t="str">
        <f t="shared" ca="1" si="13"/>
        <v/>
      </c>
      <c r="AN32" s="398" t="str">
        <f t="shared" ca="1" si="13"/>
        <v/>
      </c>
      <c r="AO32" s="398" t="str">
        <f t="shared" ca="1" si="14"/>
        <v/>
      </c>
      <c r="AP32" s="398" t="str">
        <f t="shared" ca="1" si="26"/>
        <v/>
      </c>
      <c r="AQ32" s="398" t="str">
        <f t="shared" ca="1" si="26"/>
        <v/>
      </c>
      <c r="AR32" s="398" t="str">
        <f t="shared" ca="1" si="26"/>
        <v/>
      </c>
      <c r="AS32" s="398" t="str">
        <f t="shared" ca="1" si="26"/>
        <v/>
      </c>
      <c r="AT32" s="398" t="str">
        <f t="shared" ca="1" si="26"/>
        <v/>
      </c>
    </row>
    <row r="33" spans="1:46" x14ac:dyDescent="0.4">
      <c r="A33" s="152">
        <v>18</v>
      </c>
      <c r="B33" s="206" t="b">
        <f t="shared" si="16"/>
        <v>0</v>
      </c>
      <c r="C33" s="211" t="str">
        <f t="shared" ca="1" si="17"/>
        <v/>
      </c>
      <c r="D33" s="376" t="str">
        <f t="shared" ca="1" si="18"/>
        <v/>
      </c>
      <c r="E33" s="376" t="str">
        <f t="shared" ca="1" si="19"/>
        <v/>
      </c>
      <c r="F33" s="59" t="str">
        <f t="shared" ca="1" si="20"/>
        <v/>
      </c>
      <c r="G33" s="59" t="str">
        <f t="shared" ca="1" si="20"/>
        <v/>
      </c>
      <c r="H33" s="213" t="str" cm="1">
        <f t="array" aca="1" ref="H33" ca="1">IFERROR(INDEX($C$16:$C$116,SMALL(IF($C$16:$C$116&lt;&gt;"",ROW($C$16:$C$116)-ROW($C$16)+1),ROW(A18))),"")</f>
        <v/>
      </c>
      <c r="I33" s="212" t="str" cm="1">
        <f t="array" aca="1" ref="I33" ca="1">IFERROR(INDEX($D$16:$D$116,SMALL(IF($D$16:$D$116&lt;&gt;"",ROW($D$16:$D$116)-ROW($D$16)+1),ROW(A18))),"")</f>
        <v/>
      </c>
      <c r="J33" s="212" t="str" cm="1">
        <f t="array" aca="1" ref="J33" ca="1">IFERROR(INDEX($E$16:$E$116,SMALL(IF($E$16:$E$116&lt;&gt;"",ROW($E$16:$E$116)-ROW($E$16)+1),ROW(A18))),"")</f>
        <v/>
      </c>
      <c r="K33" s="212" t="str" cm="1">
        <f t="array" aca="1" ref="K33" ca="1">IFERROR(INDEX($F$16:$F$116,SMALL(IF($F$16:$F$116&lt;&gt;"",ROW($F$16:$F$116)-ROW($F$16)+1),ROW(A18))),"")</f>
        <v/>
      </c>
      <c r="L33" s="212" t="str">
        <f t="shared" ca="1" si="0"/>
        <v/>
      </c>
      <c r="M33" s="212" t="str" cm="1">
        <f t="array" aca="1" ref="M33" ca="1">IFERROR(INDEX($G$16:$G$116,SMALL(IF($G$16:$G$116&lt;&gt;"",ROW($G$16:$G$116)-ROW($G$16)+1),ROW(A18))),"")</f>
        <v/>
      </c>
      <c r="N33" s="217" t="str">
        <f t="shared" ca="1" si="1"/>
        <v/>
      </c>
      <c r="O33" s="218" t="str">
        <f t="shared" ca="1" si="2"/>
        <v/>
      </c>
      <c r="P33" s="218" t="str">
        <f t="shared" ca="1" si="3"/>
        <v/>
      </c>
      <c r="Q33" s="218" t="str">
        <f t="shared" ca="1" si="4"/>
        <v/>
      </c>
      <c r="R33" s="218" t="str">
        <f t="shared" ca="1" si="5"/>
        <v/>
      </c>
      <c r="S33" s="218" t="str">
        <f t="shared" ca="1" si="6"/>
        <v/>
      </c>
      <c r="T33" s="218" t="str">
        <f t="shared" ca="1" si="7"/>
        <v/>
      </c>
      <c r="U33" s="218" t="str">
        <f t="shared" ca="1" si="8"/>
        <v/>
      </c>
      <c r="V33" s="219" t="str">
        <f t="shared" ca="1" si="9"/>
        <v/>
      </c>
      <c r="W33" s="396" t="str">
        <f t="shared" ca="1" si="21"/>
        <v/>
      </c>
      <c r="X33" s="397" t="str">
        <f t="shared" ca="1" si="22"/>
        <v/>
      </c>
      <c r="Y33" s="398" t="str">
        <f t="shared" ca="1" si="10"/>
        <v/>
      </c>
      <c r="Z33" s="398" t="str">
        <f t="shared" ca="1" si="10"/>
        <v/>
      </c>
      <c r="AA33" s="398" t="str">
        <f t="shared" ca="1" si="10"/>
        <v/>
      </c>
      <c r="AB33" s="398" t="str">
        <f t="shared" ca="1" si="10"/>
        <v/>
      </c>
      <c r="AC33" s="398" t="str">
        <f t="shared" ca="1" si="11"/>
        <v/>
      </c>
      <c r="AD33" s="398" t="str">
        <f t="shared" ca="1" si="25"/>
        <v/>
      </c>
      <c r="AE33" s="398" t="str">
        <f t="shared" ca="1" si="25"/>
        <v/>
      </c>
      <c r="AF33" s="398" t="str">
        <f t="shared" ca="1" si="25"/>
        <v/>
      </c>
      <c r="AG33" s="398" t="str">
        <f t="shared" ca="1" si="25"/>
        <v/>
      </c>
      <c r="AH33" s="398" t="str">
        <f t="shared" ca="1" si="25"/>
        <v/>
      </c>
      <c r="AI33" s="396" t="str">
        <f t="shared" ca="1" si="23"/>
        <v/>
      </c>
      <c r="AJ33" s="397" t="str">
        <f t="shared" ca="1" si="24"/>
        <v/>
      </c>
      <c r="AK33" s="398" t="str">
        <f t="shared" ca="1" si="13"/>
        <v/>
      </c>
      <c r="AL33" s="398" t="str">
        <f t="shared" ca="1" si="13"/>
        <v/>
      </c>
      <c r="AM33" s="398" t="str">
        <f t="shared" ca="1" si="13"/>
        <v/>
      </c>
      <c r="AN33" s="398" t="str">
        <f t="shared" ca="1" si="13"/>
        <v/>
      </c>
      <c r="AO33" s="398" t="str">
        <f t="shared" ca="1" si="14"/>
        <v/>
      </c>
      <c r="AP33" s="398" t="str">
        <f t="shared" ca="1" si="26"/>
        <v/>
      </c>
      <c r="AQ33" s="398" t="str">
        <f t="shared" ca="1" si="26"/>
        <v/>
      </c>
      <c r="AR33" s="398" t="str">
        <f t="shared" ca="1" si="26"/>
        <v/>
      </c>
      <c r="AS33" s="398" t="str">
        <f t="shared" ca="1" si="26"/>
        <v/>
      </c>
      <c r="AT33" s="398" t="str">
        <f t="shared" ca="1" si="26"/>
        <v/>
      </c>
    </row>
    <row r="34" spans="1:46" x14ac:dyDescent="0.4">
      <c r="A34" s="152">
        <v>19</v>
      </c>
      <c r="B34" s="206" t="b">
        <f t="shared" si="16"/>
        <v>0</v>
      </c>
      <c r="C34" s="211" t="str">
        <f t="shared" ca="1" si="17"/>
        <v/>
      </c>
      <c r="D34" s="376" t="str">
        <f t="shared" ca="1" si="18"/>
        <v/>
      </c>
      <c r="E34" s="376" t="str">
        <f t="shared" ca="1" si="19"/>
        <v/>
      </c>
      <c r="F34" s="59" t="str">
        <f t="shared" ca="1" si="20"/>
        <v/>
      </c>
      <c r="G34" s="59" t="str">
        <f t="shared" ca="1" si="20"/>
        <v/>
      </c>
      <c r="H34" s="213" t="str" cm="1">
        <f t="array" aca="1" ref="H34" ca="1">IFERROR(INDEX($C$16:$C$116,SMALL(IF($C$16:$C$116&lt;&gt;"",ROW($C$16:$C$116)-ROW($C$16)+1),ROW(A19))),"")</f>
        <v/>
      </c>
      <c r="I34" s="212" t="str" cm="1">
        <f t="array" aca="1" ref="I34" ca="1">IFERROR(INDEX($D$16:$D$116,SMALL(IF($D$16:$D$116&lt;&gt;"",ROW($D$16:$D$116)-ROW($D$16)+1),ROW(A19))),"")</f>
        <v/>
      </c>
      <c r="J34" s="212" t="str" cm="1">
        <f t="array" aca="1" ref="J34" ca="1">IFERROR(INDEX($E$16:$E$116,SMALL(IF($E$16:$E$116&lt;&gt;"",ROW($E$16:$E$116)-ROW($E$16)+1),ROW(A19))),"")</f>
        <v/>
      </c>
      <c r="K34" s="212" t="str" cm="1">
        <f t="array" aca="1" ref="K34" ca="1">IFERROR(INDEX($F$16:$F$116,SMALL(IF($F$16:$F$116&lt;&gt;"",ROW($F$16:$F$116)-ROW($F$16)+1),ROW(A19))),"")</f>
        <v/>
      </c>
      <c r="L34" s="212" t="str">
        <f t="shared" ca="1" si="0"/>
        <v/>
      </c>
      <c r="M34" s="212" t="str" cm="1">
        <f t="array" aca="1" ref="M34" ca="1">IFERROR(INDEX($G$16:$G$116,SMALL(IF($G$16:$G$116&lt;&gt;"",ROW($G$16:$G$116)-ROW($G$16)+1),ROW(A19))),"")</f>
        <v/>
      </c>
      <c r="N34" s="217" t="str">
        <f t="shared" ca="1" si="1"/>
        <v/>
      </c>
      <c r="O34" s="218" t="str">
        <f t="shared" ca="1" si="2"/>
        <v/>
      </c>
      <c r="P34" s="218" t="str">
        <f t="shared" ca="1" si="3"/>
        <v/>
      </c>
      <c r="Q34" s="218" t="str">
        <f t="shared" ca="1" si="4"/>
        <v/>
      </c>
      <c r="R34" s="218" t="str">
        <f t="shared" ca="1" si="5"/>
        <v/>
      </c>
      <c r="S34" s="218" t="str">
        <f t="shared" ca="1" si="6"/>
        <v/>
      </c>
      <c r="T34" s="218" t="str">
        <f t="shared" ca="1" si="7"/>
        <v/>
      </c>
      <c r="U34" s="218" t="str">
        <f t="shared" ca="1" si="8"/>
        <v/>
      </c>
      <c r="V34" s="219" t="str">
        <f t="shared" ca="1" si="9"/>
        <v/>
      </c>
      <c r="W34" s="396" t="str">
        <f t="shared" ca="1" si="21"/>
        <v/>
      </c>
      <c r="X34" s="397" t="str">
        <f t="shared" ca="1" si="22"/>
        <v/>
      </c>
      <c r="Y34" s="398" t="str">
        <f t="shared" ca="1" si="10"/>
        <v/>
      </c>
      <c r="Z34" s="398" t="str">
        <f t="shared" ca="1" si="10"/>
        <v/>
      </c>
      <c r="AA34" s="398" t="str">
        <f t="shared" ca="1" si="10"/>
        <v/>
      </c>
      <c r="AB34" s="398" t="str">
        <f t="shared" ca="1" si="10"/>
        <v/>
      </c>
      <c r="AC34" s="398" t="str">
        <f t="shared" ca="1" si="11"/>
        <v/>
      </c>
      <c r="AD34" s="398" t="str">
        <f t="shared" ca="1" si="25"/>
        <v/>
      </c>
      <c r="AE34" s="398" t="str">
        <f t="shared" ca="1" si="25"/>
        <v/>
      </c>
      <c r="AF34" s="398" t="str">
        <f t="shared" ca="1" si="25"/>
        <v/>
      </c>
      <c r="AG34" s="398" t="str">
        <f t="shared" ca="1" si="25"/>
        <v/>
      </c>
      <c r="AH34" s="398" t="str">
        <f t="shared" ca="1" si="25"/>
        <v/>
      </c>
      <c r="AI34" s="396" t="str">
        <f t="shared" ca="1" si="23"/>
        <v/>
      </c>
      <c r="AJ34" s="397" t="str">
        <f t="shared" ca="1" si="24"/>
        <v/>
      </c>
      <c r="AK34" s="398" t="str">
        <f t="shared" ca="1" si="13"/>
        <v/>
      </c>
      <c r="AL34" s="398" t="str">
        <f t="shared" ca="1" si="13"/>
        <v/>
      </c>
      <c r="AM34" s="398" t="str">
        <f t="shared" ca="1" si="13"/>
        <v/>
      </c>
      <c r="AN34" s="398" t="str">
        <f t="shared" ca="1" si="13"/>
        <v/>
      </c>
      <c r="AO34" s="398" t="str">
        <f t="shared" ca="1" si="14"/>
        <v/>
      </c>
      <c r="AP34" s="398" t="str">
        <f t="shared" ca="1" si="26"/>
        <v/>
      </c>
      <c r="AQ34" s="398" t="str">
        <f t="shared" ca="1" si="26"/>
        <v/>
      </c>
      <c r="AR34" s="398" t="str">
        <f t="shared" ca="1" si="26"/>
        <v/>
      </c>
      <c r="AS34" s="398" t="str">
        <f t="shared" ca="1" si="26"/>
        <v/>
      </c>
      <c r="AT34" s="398" t="str">
        <f t="shared" ca="1" si="26"/>
        <v/>
      </c>
    </row>
    <row r="35" spans="1:46" x14ac:dyDescent="0.4">
      <c r="A35" s="152">
        <v>20</v>
      </c>
      <c r="B35" s="206" t="b">
        <f t="shared" si="16"/>
        <v>0</v>
      </c>
      <c r="C35" s="211" t="str">
        <f t="shared" ca="1" si="17"/>
        <v/>
      </c>
      <c r="D35" s="376" t="str">
        <f t="shared" ca="1" si="18"/>
        <v/>
      </c>
      <c r="E35" s="376" t="str">
        <f t="shared" ca="1" si="19"/>
        <v/>
      </c>
      <c r="F35" s="59" t="str">
        <f t="shared" ca="1" si="20"/>
        <v/>
      </c>
      <c r="G35" s="59" t="str">
        <f t="shared" ca="1" si="20"/>
        <v/>
      </c>
      <c r="H35" s="213" t="str" cm="1">
        <f t="array" aca="1" ref="H35" ca="1">IFERROR(INDEX($C$16:$C$116,SMALL(IF($C$16:$C$116&lt;&gt;"",ROW($C$16:$C$116)-ROW($C$16)+1),ROW(A20))),"")</f>
        <v/>
      </c>
      <c r="I35" s="212" t="str" cm="1">
        <f t="array" aca="1" ref="I35" ca="1">IFERROR(INDEX($D$16:$D$116,SMALL(IF($D$16:$D$116&lt;&gt;"",ROW($D$16:$D$116)-ROW($D$16)+1),ROW(A20))),"")</f>
        <v/>
      </c>
      <c r="J35" s="212" t="str" cm="1">
        <f t="array" aca="1" ref="J35" ca="1">IFERROR(INDEX($E$16:$E$116,SMALL(IF($E$16:$E$116&lt;&gt;"",ROW($E$16:$E$116)-ROW($E$16)+1),ROW(A20))),"")</f>
        <v/>
      </c>
      <c r="K35" s="212" t="str" cm="1">
        <f t="array" aca="1" ref="K35" ca="1">IFERROR(INDEX($F$16:$F$116,SMALL(IF($F$16:$F$116&lt;&gt;"",ROW($F$16:$F$116)-ROW($F$16)+1),ROW(A20))),"")</f>
        <v/>
      </c>
      <c r="L35" s="212" t="str">
        <f t="shared" ca="1" si="0"/>
        <v/>
      </c>
      <c r="M35" s="212" t="str" cm="1">
        <f t="array" aca="1" ref="M35" ca="1">IFERROR(INDEX($G$16:$G$116,SMALL(IF($G$16:$G$116&lt;&gt;"",ROW($G$16:$G$116)-ROW($G$16)+1),ROW(A20))),"")</f>
        <v/>
      </c>
      <c r="N35" s="217" t="str">
        <f t="shared" ca="1" si="1"/>
        <v/>
      </c>
      <c r="O35" s="218" t="str">
        <f t="shared" ca="1" si="2"/>
        <v/>
      </c>
      <c r="P35" s="218" t="str">
        <f t="shared" ca="1" si="3"/>
        <v/>
      </c>
      <c r="Q35" s="218" t="str">
        <f t="shared" ca="1" si="4"/>
        <v/>
      </c>
      <c r="R35" s="218" t="str">
        <f t="shared" ca="1" si="5"/>
        <v/>
      </c>
      <c r="S35" s="218" t="str">
        <f t="shared" ca="1" si="6"/>
        <v/>
      </c>
      <c r="T35" s="218" t="str">
        <f t="shared" ca="1" si="7"/>
        <v/>
      </c>
      <c r="U35" s="218" t="str">
        <f t="shared" ca="1" si="8"/>
        <v/>
      </c>
      <c r="V35" s="219" t="str">
        <f t="shared" ca="1" si="9"/>
        <v/>
      </c>
      <c r="W35" s="396" t="str">
        <f t="shared" ca="1" si="21"/>
        <v/>
      </c>
      <c r="X35" s="397" t="str">
        <f t="shared" ca="1" si="22"/>
        <v/>
      </c>
      <c r="Y35" s="398" t="str">
        <f t="shared" ca="1" si="10"/>
        <v/>
      </c>
      <c r="Z35" s="398" t="str">
        <f t="shared" ca="1" si="10"/>
        <v/>
      </c>
      <c r="AA35" s="398" t="str">
        <f t="shared" ca="1" si="10"/>
        <v/>
      </c>
      <c r="AB35" s="398" t="str">
        <f t="shared" ca="1" si="10"/>
        <v/>
      </c>
      <c r="AC35" s="398" t="str">
        <f t="shared" ca="1" si="11"/>
        <v/>
      </c>
      <c r="AD35" s="398" t="str">
        <f t="shared" ca="1" si="25"/>
        <v/>
      </c>
      <c r="AE35" s="398" t="str">
        <f t="shared" ca="1" si="25"/>
        <v/>
      </c>
      <c r="AF35" s="398" t="str">
        <f t="shared" ca="1" si="25"/>
        <v/>
      </c>
      <c r="AG35" s="398" t="str">
        <f t="shared" ca="1" si="25"/>
        <v/>
      </c>
      <c r="AH35" s="398" t="str">
        <f t="shared" ca="1" si="25"/>
        <v/>
      </c>
      <c r="AI35" s="396" t="str">
        <f t="shared" ca="1" si="23"/>
        <v/>
      </c>
      <c r="AJ35" s="397" t="str">
        <f t="shared" ca="1" si="24"/>
        <v/>
      </c>
      <c r="AK35" s="398" t="str">
        <f t="shared" ca="1" si="13"/>
        <v/>
      </c>
      <c r="AL35" s="398" t="str">
        <f t="shared" ca="1" si="13"/>
        <v/>
      </c>
      <c r="AM35" s="398" t="str">
        <f t="shared" ca="1" si="13"/>
        <v/>
      </c>
      <c r="AN35" s="398" t="str">
        <f t="shared" ca="1" si="13"/>
        <v/>
      </c>
      <c r="AO35" s="398" t="str">
        <f t="shared" ca="1" si="14"/>
        <v/>
      </c>
      <c r="AP35" s="398" t="str">
        <f t="shared" ca="1" si="26"/>
        <v/>
      </c>
      <c r="AQ35" s="398" t="str">
        <f t="shared" ca="1" si="26"/>
        <v/>
      </c>
      <c r="AR35" s="398" t="str">
        <f t="shared" ca="1" si="26"/>
        <v/>
      </c>
      <c r="AS35" s="398" t="str">
        <f t="shared" ca="1" si="26"/>
        <v/>
      </c>
      <c r="AT35" s="398" t="str">
        <f t="shared" ca="1" si="26"/>
        <v/>
      </c>
    </row>
    <row r="36" spans="1:46" x14ac:dyDescent="0.4">
      <c r="A36" s="152">
        <v>21</v>
      </c>
      <c r="B36" s="206" t="b">
        <f t="shared" si="16"/>
        <v>0</v>
      </c>
      <c r="C36" s="211" t="str">
        <f t="shared" ca="1" si="17"/>
        <v/>
      </c>
      <c r="D36" s="376" t="str">
        <f t="shared" ca="1" si="18"/>
        <v/>
      </c>
      <c r="E36" s="376" t="str">
        <f t="shared" ca="1" si="19"/>
        <v/>
      </c>
      <c r="F36" s="59" t="str">
        <f t="shared" ca="1" si="20"/>
        <v/>
      </c>
      <c r="G36" s="59" t="str">
        <f t="shared" ca="1" si="20"/>
        <v/>
      </c>
      <c r="H36" s="213" t="str" cm="1">
        <f t="array" aca="1" ref="H36" ca="1">IFERROR(INDEX($C$16:$C$116,SMALL(IF($C$16:$C$116&lt;&gt;"",ROW($C$16:$C$116)-ROW($C$16)+1),ROW(A21))),"")</f>
        <v/>
      </c>
      <c r="I36" s="212" t="str" cm="1">
        <f t="array" aca="1" ref="I36" ca="1">IFERROR(INDEX($D$16:$D$116,SMALL(IF($D$16:$D$116&lt;&gt;"",ROW($D$16:$D$116)-ROW($D$16)+1),ROW(A21))),"")</f>
        <v/>
      </c>
      <c r="J36" s="212" t="str" cm="1">
        <f t="array" aca="1" ref="J36" ca="1">IFERROR(INDEX($E$16:$E$116,SMALL(IF($E$16:$E$116&lt;&gt;"",ROW($E$16:$E$116)-ROW($E$16)+1),ROW(A21))),"")</f>
        <v/>
      </c>
      <c r="K36" s="212" t="str" cm="1">
        <f t="array" aca="1" ref="K36" ca="1">IFERROR(INDEX($F$16:$F$116,SMALL(IF($F$16:$F$116&lt;&gt;"",ROW($F$16:$F$116)-ROW($F$16)+1),ROW(A21))),"")</f>
        <v/>
      </c>
      <c r="L36" s="212" t="str">
        <f t="shared" ca="1" si="0"/>
        <v/>
      </c>
      <c r="M36" s="212" t="str" cm="1">
        <f t="array" aca="1" ref="M36" ca="1">IFERROR(INDEX($G$16:$G$116,SMALL(IF($G$16:$G$116&lt;&gt;"",ROW($G$16:$G$116)-ROW($G$16)+1),ROW(A21))),"")</f>
        <v/>
      </c>
      <c r="N36" s="217" t="str">
        <f t="shared" ca="1" si="1"/>
        <v/>
      </c>
      <c r="O36" s="218" t="str">
        <f t="shared" ca="1" si="2"/>
        <v/>
      </c>
      <c r="P36" s="218" t="str">
        <f t="shared" ca="1" si="3"/>
        <v/>
      </c>
      <c r="Q36" s="218" t="str">
        <f t="shared" ca="1" si="4"/>
        <v/>
      </c>
      <c r="R36" s="218" t="str">
        <f t="shared" ca="1" si="5"/>
        <v/>
      </c>
      <c r="S36" s="218" t="str">
        <f t="shared" ca="1" si="6"/>
        <v/>
      </c>
      <c r="T36" s="218" t="str">
        <f t="shared" ca="1" si="7"/>
        <v/>
      </c>
      <c r="U36" s="218" t="str">
        <f t="shared" ca="1" si="8"/>
        <v/>
      </c>
      <c r="V36" s="219" t="str">
        <f t="shared" ca="1" si="9"/>
        <v/>
      </c>
      <c r="W36" s="396" t="str">
        <f t="shared" ca="1" si="21"/>
        <v/>
      </c>
      <c r="X36" s="397" t="str">
        <f t="shared" ca="1" si="22"/>
        <v/>
      </c>
      <c r="Y36" s="398" t="str">
        <f t="shared" ref="Y36:AB55" ca="1" si="27">IF($H36&lt;&gt;"",IF(_xlfn.SINGLE(INDIRECT($H36&amp;"!"&amp;$W36&amp;($X36+Y$15+1)))&lt;&gt;"",_xlfn.SINGLE(INDIRECT($H36&amp;"!"&amp;$W36&amp;($X36+Y$15+1))),""),"")</f>
        <v/>
      </c>
      <c r="Z36" s="398" t="str">
        <f t="shared" ca="1" si="27"/>
        <v/>
      </c>
      <c r="AA36" s="398" t="str">
        <f t="shared" ca="1" si="27"/>
        <v/>
      </c>
      <c r="AB36" s="398" t="str">
        <f t="shared" ca="1" si="27"/>
        <v/>
      </c>
      <c r="AC36" s="398" t="str">
        <f t="shared" ca="1" si="11"/>
        <v/>
      </c>
      <c r="AD36" s="398" t="str">
        <f t="shared" ref="AD36:AH45" ca="1" si="28">IF(OR($J36="Pluviomètre",LEFT($J36,5)="Sonde"),"",IF($H36&lt;&gt;"",IF(_xlfn.SINGLE(INDIRECT($H36&amp;"!"&amp;$W36&amp;($X36+AD$15+1)))&lt;&gt;"",_xlfn.SINGLE(INDIRECT($H36&amp;"!"&amp;$W36&amp;($X36+AD$15+1))),""),""))</f>
        <v/>
      </c>
      <c r="AE36" s="398" t="str">
        <f t="shared" ca="1" si="28"/>
        <v/>
      </c>
      <c r="AF36" s="398" t="str">
        <f t="shared" ca="1" si="28"/>
        <v/>
      </c>
      <c r="AG36" s="398" t="str">
        <f t="shared" ca="1" si="28"/>
        <v/>
      </c>
      <c r="AH36" s="398" t="str">
        <f t="shared" ca="1" si="28"/>
        <v/>
      </c>
      <c r="AI36" s="396" t="str">
        <f t="shared" ca="1" si="23"/>
        <v/>
      </c>
      <c r="AJ36" s="397" t="str">
        <f t="shared" ca="1" si="24"/>
        <v/>
      </c>
      <c r="AK36" s="398" t="str">
        <f t="shared" ref="AK36:AN55" ca="1" si="29">IF($H36&lt;&gt;"",IF(_xlfn.SINGLE(INDIRECT($H36&amp;"!"&amp;$AI36&amp;($AJ36+AK$15+1)))&lt;&gt;"",_xlfn.SINGLE(INDIRECT($H36&amp;"!"&amp;$AI36&amp;($AJ36+AK$15+1))),""),"")</f>
        <v/>
      </c>
      <c r="AL36" s="398" t="str">
        <f t="shared" ca="1" si="29"/>
        <v/>
      </c>
      <c r="AM36" s="398" t="str">
        <f t="shared" ca="1" si="29"/>
        <v/>
      </c>
      <c r="AN36" s="398" t="str">
        <f t="shared" ca="1" si="29"/>
        <v/>
      </c>
      <c r="AO36" s="398" t="str">
        <f t="shared" ca="1" si="14"/>
        <v/>
      </c>
      <c r="AP36" s="398" t="str">
        <f t="shared" ref="AP36:AT45" ca="1" si="30">IF(OR($J36="Pluviomètre",LEFT($J36,5)="Sonde"),"",IF($H36&lt;&gt;"",IF(_xlfn.SINGLE(INDIRECT($H36&amp;"!"&amp;$AI36&amp;($AJ36+AP$15+1)))&lt;&gt;"",_xlfn.SINGLE(INDIRECT($H36&amp;"!"&amp;$AI36&amp;($AJ36+AP$15+1))),""),""))</f>
        <v/>
      </c>
      <c r="AQ36" s="398" t="str">
        <f t="shared" ca="1" si="30"/>
        <v/>
      </c>
      <c r="AR36" s="398" t="str">
        <f t="shared" ca="1" si="30"/>
        <v/>
      </c>
      <c r="AS36" s="398" t="str">
        <f t="shared" ca="1" si="30"/>
        <v/>
      </c>
      <c r="AT36" s="398" t="str">
        <f t="shared" ca="1" si="30"/>
        <v/>
      </c>
    </row>
    <row r="37" spans="1:46" x14ac:dyDescent="0.4">
      <c r="A37" s="152">
        <v>22</v>
      </c>
      <c r="B37" s="206" t="b">
        <f t="shared" si="16"/>
        <v>0</v>
      </c>
      <c r="C37" s="211" t="str">
        <f t="shared" ca="1" si="17"/>
        <v/>
      </c>
      <c r="D37" s="376" t="str">
        <f t="shared" ca="1" si="18"/>
        <v/>
      </c>
      <c r="E37" s="376" t="str">
        <f t="shared" ca="1" si="19"/>
        <v/>
      </c>
      <c r="F37" s="59" t="str">
        <f t="shared" ca="1" si="20"/>
        <v/>
      </c>
      <c r="G37" s="59" t="str">
        <f t="shared" ca="1" si="20"/>
        <v/>
      </c>
      <c r="H37" s="213" t="str" cm="1">
        <f t="array" aca="1" ref="H37" ca="1">IFERROR(INDEX($C$16:$C$116,SMALL(IF($C$16:$C$116&lt;&gt;"",ROW($C$16:$C$116)-ROW($C$16)+1),ROW(A22))),"")</f>
        <v/>
      </c>
      <c r="I37" s="212" t="str" cm="1">
        <f t="array" aca="1" ref="I37" ca="1">IFERROR(INDEX($D$16:$D$116,SMALL(IF($D$16:$D$116&lt;&gt;"",ROW($D$16:$D$116)-ROW($D$16)+1),ROW(A22))),"")</f>
        <v/>
      </c>
      <c r="J37" s="212" t="str" cm="1">
        <f t="array" aca="1" ref="J37" ca="1">IFERROR(INDEX($E$16:$E$116,SMALL(IF($E$16:$E$116&lt;&gt;"",ROW($E$16:$E$116)-ROW($E$16)+1),ROW(A22))),"")</f>
        <v/>
      </c>
      <c r="K37" s="212" t="str" cm="1">
        <f t="array" aca="1" ref="K37" ca="1">IFERROR(INDEX($F$16:$F$116,SMALL(IF($F$16:$F$116&lt;&gt;"",ROW($F$16:$F$116)-ROW($F$16)+1),ROW(A22))),"")</f>
        <v/>
      </c>
      <c r="L37" s="212" t="str">
        <f t="shared" ca="1" si="0"/>
        <v/>
      </c>
      <c r="M37" s="212" t="str" cm="1">
        <f t="array" aca="1" ref="M37" ca="1">IFERROR(INDEX($G$16:$G$116,SMALL(IF($G$16:$G$116&lt;&gt;"",ROW($G$16:$G$116)-ROW($G$16)+1),ROW(A22))),"")</f>
        <v/>
      </c>
      <c r="N37" s="217" t="str">
        <f t="shared" ca="1" si="1"/>
        <v/>
      </c>
      <c r="O37" s="218" t="str">
        <f t="shared" ca="1" si="2"/>
        <v/>
      </c>
      <c r="P37" s="218" t="str">
        <f t="shared" ca="1" si="3"/>
        <v/>
      </c>
      <c r="Q37" s="218" t="str">
        <f t="shared" ca="1" si="4"/>
        <v/>
      </c>
      <c r="R37" s="218" t="str">
        <f t="shared" ca="1" si="5"/>
        <v/>
      </c>
      <c r="S37" s="218" t="str">
        <f t="shared" ca="1" si="6"/>
        <v/>
      </c>
      <c r="T37" s="218" t="str">
        <f t="shared" ca="1" si="7"/>
        <v/>
      </c>
      <c r="U37" s="218" t="str">
        <f t="shared" ca="1" si="8"/>
        <v/>
      </c>
      <c r="V37" s="219" t="str">
        <f t="shared" ca="1" si="9"/>
        <v/>
      </c>
      <c r="W37" s="396" t="str">
        <f t="shared" ca="1" si="21"/>
        <v/>
      </c>
      <c r="X37" s="397" t="str">
        <f t="shared" ca="1" si="22"/>
        <v/>
      </c>
      <c r="Y37" s="398" t="str">
        <f t="shared" ca="1" si="27"/>
        <v/>
      </c>
      <c r="Z37" s="398" t="str">
        <f t="shared" ca="1" si="27"/>
        <v/>
      </c>
      <c r="AA37" s="398" t="str">
        <f t="shared" ca="1" si="27"/>
        <v/>
      </c>
      <c r="AB37" s="398" t="str">
        <f t="shared" ca="1" si="27"/>
        <v/>
      </c>
      <c r="AC37" s="398" t="str">
        <f t="shared" ca="1" si="11"/>
        <v/>
      </c>
      <c r="AD37" s="398" t="str">
        <f t="shared" ca="1" si="28"/>
        <v/>
      </c>
      <c r="AE37" s="398" t="str">
        <f t="shared" ca="1" si="28"/>
        <v/>
      </c>
      <c r="AF37" s="398" t="str">
        <f t="shared" ca="1" si="28"/>
        <v/>
      </c>
      <c r="AG37" s="398" t="str">
        <f t="shared" ca="1" si="28"/>
        <v/>
      </c>
      <c r="AH37" s="398" t="str">
        <f t="shared" ca="1" si="28"/>
        <v/>
      </c>
      <c r="AI37" s="396" t="str">
        <f t="shared" ca="1" si="23"/>
        <v/>
      </c>
      <c r="AJ37" s="397" t="str">
        <f t="shared" ca="1" si="24"/>
        <v/>
      </c>
      <c r="AK37" s="398" t="str">
        <f t="shared" ca="1" si="29"/>
        <v/>
      </c>
      <c r="AL37" s="398" t="str">
        <f t="shared" ca="1" si="29"/>
        <v/>
      </c>
      <c r="AM37" s="398" t="str">
        <f t="shared" ca="1" si="29"/>
        <v/>
      </c>
      <c r="AN37" s="398" t="str">
        <f t="shared" ca="1" si="29"/>
        <v/>
      </c>
      <c r="AO37" s="398" t="str">
        <f t="shared" ca="1" si="14"/>
        <v/>
      </c>
      <c r="AP37" s="398" t="str">
        <f t="shared" ca="1" si="30"/>
        <v/>
      </c>
      <c r="AQ37" s="398" t="str">
        <f t="shared" ca="1" si="30"/>
        <v/>
      </c>
      <c r="AR37" s="398" t="str">
        <f t="shared" ca="1" si="30"/>
        <v/>
      </c>
      <c r="AS37" s="398" t="str">
        <f t="shared" ca="1" si="30"/>
        <v/>
      </c>
      <c r="AT37" s="398" t="str">
        <f t="shared" ca="1" si="30"/>
        <v/>
      </c>
    </row>
    <row r="38" spans="1:46" x14ac:dyDescent="0.4">
      <c r="A38" s="152">
        <v>23</v>
      </c>
      <c r="B38" s="206" t="b">
        <f t="shared" si="16"/>
        <v>0</v>
      </c>
      <c r="C38" s="211" t="str">
        <f t="shared" ca="1" si="17"/>
        <v/>
      </c>
      <c r="D38" s="376" t="str">
        <f t="shared" ca="1" si="18"/>
        <v/>
      </c>
      <c r="E38" s="376" t="str">
        <f t="shared" ca="1" si="19"/>
        <v/>
      </c>
      <c r="F38" s="59" t="str">
        <f t="shared" ca="1" si="20"/>
        <v/>
      </c>
      <c r="G38" s="59" t="str">
        <f t="shared" ca="1" si="20"/>
        <v/>
      </c>
      <c r="H38" s="213" t="str" cm="1">
        <f t="array" aca="1" ref="H38" ca="1">IFERROR(INDEX($C$16:$C$116,SMALL(IF($C$16:$C$116&lt;&gt;"",ROW($C$16:$C$116)-ROW($C$16)+1),ROW(A23))),"")</f>
        <v/>
      </c>
      <c r="I38" s="212" t="str" cm="1">
        <f t="array" aca="1" ref="I38" ca="1">IFERROR(INDEX($D$16:$D$116,SMALL(IF($D$16:$D$116&lt;&gt;"",ROW($D$16:$D$116)-ROW($D$16)+1),ROW(A23))),"")</f>
        <v/>
      </c>
      <c r="J38" s="212" t="str" cm="1">
        <f t="array" aca="1" ref="J38" ca="1">IFERROR(INDEX($E$16:$E$116,SMALL(IF($E$16:$E$116&lt;&gt;"",ROW($E$16:$E$116)-ROW($E$16)+1),ROW(A23))),"")</f>
        <v/>
      </c>
      <c r="K38" s="212" t="str" cm="1">
        <f t="array" aca="1" ref="K38" ca="1">IFERROR(INDEX($F$16:$F$116,SMALL(IF($F$16:$F$116&lt;&gt;"",ROW($F$16:$F$116)-ROW($F$16)+1),ROW(A23))),"")</f>
        <v/>
      </c>
      <c r="L38" s="212" t="str">
        <f t="shared" ca="1" si="0"/>
        <v/>
      </c>
      <c r="M38" s="212" t="str" cm="1">
        <f t="array" aca="1" ref="M38" ca="1">IFERROR(INDEX($G$16:$G$116,SMALL(IF($G$16:$G$116&lt;&gt;"",ROW($G$16:$G$116)-ROW($G$16)+1),ROW(A23))),"")</f>
        <v/>
      </c>
      <c r="N38" s="217" t="str">
        <f t="shared" ca="1" si="1"/>
        <v/>
      </c>
      <c r="O38" s="218" t="str">
        <f t="shared" ca="1" si="2"/>
        <v/>
      </c>
      <c r="P38" s="218" t="str">
        <f t="shared" ca="1" si="3"/>
        <v/>
      </c>
      <c r="Q38" s="218" t="str">
        <f t="shared" ca="1" si="4"/>
        <v/>
      </c>
      <c r="R38" s="218" t="str">
        <f t="shared" ca="1" si="5"/>
        <v/>
      </c>
      <c r="S38" s="218" t="str">
        <f t="shared" ca="1" si="6"/>
        <v/>
      </c>
      <c r="T38" s="218" t="str">
        <f t="shared" ca="1" si="7"/>
        <v/>
      </c>
      <c r="U38" s="218" t="str">
        <f t="shared" ca="1" si="8"/>
        <v/>
      </c>
      <c r="V38" s="219" t="str">
        <f t="shared" ca="1" si="9"/>
        <v/>
      </c>
      <c r="W38" s="396" t="str">
        <f t="shared" ca="1" si="21"/>
        <v/>
      </c>
      <c r="X38" s="397" t="str">
        <f t="shared" ca="1" si="22"/>
        <v/>
      </c>
      <c r="Y38" s="398" t="str">
        <f t="shared" ca="1" si="27"/>
        <v/>
      </c>
      <c r="Z38" s="398" t="str">
        <f t="shared" ca="1" si="27"/>
        <v/>
      </c>
      <c r="AA38" s="398" t="str">
        <f t="shared" ca="1" si="27"/>
        <v/>
      </c>
      <c r="AB38" s="398" t="str">
        <f t="shared" ca="1" si="27"/>
        <v/>
      </c>
      <c r="AC38" s="398" t="str">
        <f t="shared" ca="1" si="11"/>
        <v/>
      </c>
      <c r="AD38" s="398" t="str">
        <f t="shared" ca="1" si="28"/>
        <v/>
      </c>
      <c r="AE38" s="398" t="str">
        <f t="shared" ca="1" si="28"/>
        <v/>
      </c>
      <c r="AF38" s="398" t="str">
        <f t="shared" ca="1" si="28"/>
        <v/>
      </c>
      <c r="AG38" s="398" t="str">
        <f t="shared" ca="1" si="28"/>
        <v/>
      </c>
      <c r="AH38" s="398" t="str">
        <f t="shared" ca="1" si="28"/>
        <v/>
      </c>
      <c r="AI38" s="396" t="str">
        <f t="shared" ca="1" si="23"/>
        <v/>
      </c>
      <c r="AJ38" s="397" t="str">
        <f t="shared" ca="1" si="24"/>
        <v/>
      </c>
      <c r="AK38" s="398" t="str">
        <f t="shared" ca="1" si="29"/>
        <v/>
      </c>
      <c r="AL38" s="398" t="str">
        <f t="shared" ca="1" si="29"/>
        <v/>
      </c>
      <c r="AM38" s="398" t="str">
        <f t="shared" ca="1" si="29"/>
        <v/>
      </c>
      <c r="AN38" s="398" t="str">
        <f t="shared" ca="1" si="29"/>
        <v/>
      </c>
      <c r="AO38" s="398" t="str">
        <f t="shared" ca="1" si="14"/>
        <v/>
      </c>
      <c r="AP38" s="398" t="str">
        <f t="shared" ca="1" si="30"/>
        <v/>
      </c>
      <c r="AQ38" s="398" t="str">
        <f t="shared" ca="1" si="30"/>
        <v/>
      </c>
      <c r="AR38" s="398" t="str">
        <f t="shared" ca="1" si="30"/>
        <v/>
      </c>
      <c r="AS38" s="398" t="str">
        <f t="shared" ca="1" si="30"/>
        <v/>
      </c>
      <c r="AT38" s="398" t="str">
        <f t="shared" ca="1" si="30"/>
        <v/>
      </c>
    </row>
    <row r="39" spans="1:46" x14ac:dyDescent="0.4">
      <c r="A39" s="152">
        <v>24</v>
      </c>
      <c r="B39" s="206" t="b">
        <f t="shared" si="16"/>
        <v>0</v>
      </c>
      <c r="C39" s="211" t="str">
        <f t="shared" ca="1" si="17"/>
        <v/>
      </c>
      <c r="D39" s="376" t="str">
        <f t="shared" ca="1" si="18"/>
        <v/>
      </c>
      <c r="E39" s="376" t="str">
        <f t="shared" ca="1" si="19"/>
        <v/>
      </c>
      <c r="F39" s="59" t="str">
        <f t="shared" ca="1" si="20"/>
        <v/>
      </c>
      <c r="G39" s="59" t="str">
        <f t="shared" ca="1" si="20"/>
        <v/>
      </c>
      <c r="H39" s="213" t="str" cm="1">
        <f t="array" aca="1" ref="H39" ca="1">IFERROR(INDEX($C$16:$C$116,SMALL(IF($C$16:$C$116&lt;&gt;"",ROW($C$16:$C$116)-ROW($C$16)+1),ROW(A24))),"")</f>
        <v/>
      </c>
      <c r="I39" s="212" t="str" cm="1">
        <f t="array" aca="1" ref="I39" ca="1">IFERROR(INDEX($D$16:$D$116,SMALL(IF($D$16:$D$116&lt;&gt;"",ROW($D$16:$D$116)-ROW($D$16)+1),ROW(A24))),"")</f>
        <v/>
      </c>
      <c r="J39" s="212" t="str" cm="1">
        <f t="array" aca="1" ref="J39" ca="1">IFERROR(INDEX($E$16:$E$116,SMALL(IF($E$16:$E$116&lt;&gt;"",ROW($E$16:$E$116)-ROW($E$16)+1),ROW(A24))),"")</f>
        <v/>
      </c>
      <c r="K39" s="212" t="str" cm="1">
        <f t="array" aca="1" ref="K39" ca="1">IFERROR(INDEX($F$16:$F$116,SMALL(IF($F$16:$F$116&lt;&gt;"",ROW($F$16:$F$116)-ROW($F$16)+1),ROW(A24))),"")</f>
        <v/>
      </c>
      <c r="L39" s="212" t="str">
        <f t="shared" ca="1" si="0"/>
        <v/>
      </c>
      <c r="M39" s="212" t="str" cm="1">
        <f t="array" aca="1" ref="M39" ca="1">IFERROR(INDEX($G$16:$G$116,SMALL(IF($G$16:$G$116&lt;&gt;"",ROW($G$16:$G$116)-ROW($G$16)+1),ROW(A24))),"")</f>
        <v/>
      </c>
      <c r="N39" s="217" t="str">
        <f t="shared" ca="1" si="1"/>
        <v/>
      </c>
      <c r="O39" s="218" t="str">
        <f t="shared" ca="1" si="2"/>
        <v/>
      </c>
      <c r="P39" s="218" t="str">
        <f t="shared" ca="1" si="3"/>
        <v/>
      </c>
      <c r="Q39" s="218" t="str">
        <f t="shared" ca="1" si="4"/>
        <v/>
      </c>
      <c r="R39" s="218" t="str">
        <f t="shared" ca="1" si="5"/>
        <v/>
      </c>
      <c r="S39" s="218" t="str">
        <f t="shared" ca="1" si="6"/>
        <v/>
      </c>
      <c r="T39" s="218" t="str">
        <f t="shared" ca="1" si="7"/>
        <v/>
      </c>
      <c r="U39" s="218" t="str">
        <f t="shared" ca="1" si="8"/>
        <v/>
      </c>
      <c r="V39" s="219" t="str">
        <f t="shared" ca="1" si="9"/>
        <v/>
      </c>
      <c r="W39" s="396" t="str">
        <f t="shared" ca="1" si="21"/>
        <v/>
      </c>
      <c r="X39" s="397" t="str">
        <f t="shared" ca="1" si="22"/>
        <v/>
      </c>
      <c r="Y39" s="398" t="str">
        <f t="shared" ca="1" si="27"/>
        <v/>
      </c>
      <c r="Z39" s="398" t="str">
        <f t="shared" ca="1" si="27"/>
        <v/>
      </c>
      <c r="AA39" s="398" t="str">
        <f t="shared" ca="1" si="27"/>
        <v/>
      </c>
      <c r="AB39" s="398" t="str">
        <f t="shared" ca="1" si="27"/>
        <v/>
      </c>
      <c r="AC39" s="398" t="str">
        <f t="shared" ca="1" si="11"/>
        <v/>
      </c>
      <c r="AD39" s="398" t="str">
        <f t="shared" ca="1" si="28"/>
        <v/>
      </c>
      <c r="AE39" s="398" t="str">
        <f t="shared" ca="1" si="28"/>
        <v/>
      </c>
      <c r="AF39" s="398" t="str">
        <f t="shared" ca="1" si="28"/>
        <v/>
      </c>
      <c r="AG39" s="398" t="str">
        <f t="shared" ca="1" si="28"/>
        <v/>
      </c>
      <c r="AH39" s="398" t="str">
        <f t="shared" ca="1" si="28"/>
        <v/>
      </c>
      <c r="AI39" s="396" t="str">
        <f t="shared" ca="1" si="23"/>
        <v/>
      </c>
      <c r="AJ39" s="397" t="str">
        <f t="shared" ca="1" si="24"/>
        <v/>
      </c>
      <c r="AK39" s="398" t="str">
        <f t="shared" ca="1" si="29"/>
        <v/>
      </c>
      <c r="AL39" s="398" t="str">
        <f t="shared" ca="1" si="29"/>
        <v/>
      </c>
      <c r="AM39" s="398" t="str">
        <f t="shared" ca="1" si="29"/>
        <v/>
      </c>
      <c r="AN39" s="398" t="str">
        <f t="shared" ca="1" si="29"/>
        <v/>
      </c>
      <c r="AO39" s="398" t="str">
        <f t="shared" ca="1" si="14"/>
        <v/>
      </c>
      <c r="AP39" s="398" t="str">
        <f t="shared" ca="1" si="30"/>
        <v/>
      </c>
      <c r="AQ39" s="398" t="str">
        <f t="shared" ca="1" si="30"/>
        <v/>
      </c>
      <c r="AR39" s="398" t="str">
        <f t="shared" ca="1" si="30"/>
        <v/>
      </c>
      <c r="AS39" s="398" t="str">
        <f t="shared" ca="1" si="30"/>
        <v/>
      </c>
      <c r="AT39" s="398" t="str">
        <f t="shared" ca="1" si="30"/>
        <v/>
      </c>
    </row>
    <row r="40" spans="1:46" x14ac:dyDescent="0.4">
      <c r="A40" s="152">
        <v>25</v>
      </c>
      <c r="B40" s="206" t="b">
        <f t="shared" si="16"/>
        <v>0</v>
      </c>
      <c r="C40" s="211" t="str">
        <f t="shared" ca="1" si="17"/>
        <v/>
      </c>
      <c r="D40" s="376" t="str">
        <f t="shared" ca="1" si="18"/>
        <v/>
      </c>
      <c r="E40" s="376" t="str">
        <f t="shared" ca="1" si="19"/>
        <v/>
      </c>
      <c r="F40" s="59" t="str">
        <f t="shared" ca="1" si="20"/>
        <v/>
      </c>
      <c r="G40" s="59" t="str">
        <f t="shared" ca="1" si="20"/>
        <v/>
      </c>
      <c r="H40" s="213" t="str" cm="1">
        <f t="array" aca="1" ref="H40" ca="1">IFERROR(INDEX($C$16:$C$116,SMALL(IF($C$16:$C$116&lt;&gt;"",ROW($C$16:$C$116)-ROW($C$16)+1),ROW(A25))),"")</f>
        <v/>
      </c>
      <c r="I40" s="212" t="str" cm="1">
        <f t="array" aca="1" ref="I40" ca="1">IFERROR(INDEX($D$16:$D$116,SMALL(IF($D$16:$D$116&lt;&gt;"",ROW($D$16:$D$116)-ROW($D$16)+1),ROW(A25))),"")</f>
        <v/>
      </c>
      <c r="J40" s="212" t="str" cm="1">
        <f t="array" aca="1" ref="J40" ca="1">IFERROR(INDEX($E$16:$E$116,SMALL(IF($E$16:$E$116&lt;&gt;"",ROW($E$16:$E$116)-ROW($E$16)+1),ROW(A25))),"")</f>
        <v/>
      </c>
      <c r="K40" s="212" t="str" cm="1">
        <f t="array" aca="1" ref="K40" ca="1">IFERROR(INDEX($F$16:$F$116,SMALL(IF($F$16:$F$116&lt;&gt;"",ROW($F$16:$F$116)-ROW($F$16)+1),ROW(A25))),"")</f>
        <v/>
      </c>
      <c r="L40" s="212" t="str">
        <f t="shared" ca="1" si="0"/>
        <v/>
      </c>
      <c r="M40" s="212" t="str" cm="1">
        <f t="array" aca="1" ref="M40" ca="1">IFERROR(INDEX($G$16:$G$116,SMALL(IF($G$16:$G$116&lt;&gt;"",ROW($G$16:$G$116)-ROW($G$16)+1),ROW(A25))),"")</f>
        <v/>
      </c>
      <c r="N40" s="217" t="str">
        <f t="shared" ca="1" si="1"/>
        <v/>
      </c>
      <c r="O40" s="218" t="str">
        <f t="shared" ca="1" si="2"/>
        <v/>
      </c>
      <c r="P40" s="218" t="str">
        <f t="shared" ca="1" si="3"/>
        <v/>
      </c>
      <c r="Q40" s="218" t="str">
        <f t="shared" ca="1" si="4"/>
        <v/>
      </c>
      <c r="R40" s="218" t="str">
        <f t="shared" ca="1" si="5"/>
        <v/>
      </c>
      <c r="S40" s="218" t="str">
        <f t="shared" ca="1" si="6"/>
        <v/>
      </c>
      <c r="T40" s="218" t="str">
        <f t="shared" ca="1" si="7"/>
        <v/>
      </c>
      <c r="U40" s="218" t="str">
        <f t="shared" ca="1" si="8"/>
        <v/>
      </c>
      <c r="V40" s="219" t="str">
        <f t="shared" ca="1" si="9"/>
        <v/>
      </c>
      <c r="W40" s="396" t="str">
        <f t="shared" ca="1" si="21"/>
        <v/>
      </c>
      <c r="X40" s="397" t="str">
        <f t="shared" ca="1" si="22"/>
        <v/>
      </c>
      <c r="Y40" s="398" t="str">
        <f t="shared" ca="1" si="27"/>
        <v/>
      </c>
      <c r="Z40" s="398" t="str">
        <f t="shared" ca="1" si="27"/>
        <v/>
      </c>
      <c r="AA40" s="398" t="str">
        <f t="shared" ca="1" si="27"/>
        <v/>
      </c>
      <c r="AB40" s="398" t="str">
        <f t="shared" ca="1" si="27"/>
        <v/>
      </c>
      <c r="AC40" s="398" t="str">
        <f t="shared" ca="1" si="11"/>
        <v/>
      </c>
      <c r="AD40" s="398" t="str">
        <f t="shared" ca="1" si="28"/>
        <v/>
      </c>
      <c r="AE40" s="398" t="str">
        <f t="shared" ca="1" si="28"/>
        <v/>
      </c>
      <c r="AF40" s="398" t="str">
        <f t="shared" ca="1" si="28"/>
        <v/>
      </c>
      <c r="AG40" s="398" t="str">
        <f t="shared" ca="1" si="28"/>
        <v/>
      </c>
      <c r="AH40" s="398" t="str">
        <f t="shared" ca="1" si="28"/>
        <v/>
      </c>
      <c r="AI40" s="396" t="str">
        <f t="shared" ca="1" si="23"/>
        <v/>
      </c>
      <c r="AJ40" s="397" t="str">
        <f t="shared" ca="1" si="24"/>
        <v/>
      </c>
      <c r="AK40" s="398" t="str">
        <f t="shared" ca="1" si="29"/>
        <v/>
      </c>
      <c r="AL40" s="398" t="str">
        <f t="shared" ca="1" si="29"/>
        <v/>
      </c>
      <c r="AM40" s="398" t="str">
        <f t="shared" ca="1" si="29"/>
        <v/>
      </c>
      <c r="AN40" s="398" t="str">
        <f t="shared" ca="1" si="29"/>
        <v/>
      </c>
      <c r="AO40" s="398" t="str">
        <f t="shared" ca="1" si="14"/>
        <v/>
      </c>
      <c r="AP40" s="398" t="str">
        <f t="shared" ca="1" si="30"/>
        <v/>
      </c>
      <c r="AQ40" s="398" t="str">
        <f t="shared" ca="1" si="30"/>
        <v/>
      </c>
      <c r="AR40" s="398" t="str">
        <f t="shared" ca="1" si="30"/>
        <v/>
      </c>
      <c r="AS40" s="398" t="str">
        <f t="shared" ca="1" si="30"/>
        <v/>
      </c>
      <c r="AT40" s="398" t="str">
        <f t="shared" ca="1" si="30"/>
        <v/>
      </c>
    </row>
    <row r="41" spans="1:46" x14ac:dyDescent="0.4">
      <c r="A41" s="152">
        <v>26</v>
      </c>
      <c r="B41" s="206" t="b">
        <f t="shared" si="16"/>
        <v>0</v>
      </c>
      <c r="C41" s="211" t="str">
        <f t="shared" ca="1" si="17"/>
        <v/>
      </c>
      <c r="D41" s="376" t="str">
        <f t="shared" ca="1" si="18"/>
        <v/>
      </c>
      <c r="E41" s="376" t="str">
        <f t="shared" ca="1" si="19"/>
        <v/>
      </c>
      <c r="F41" s="59" t="str">
        <f t="shared" ca="1" si="20"/>
        <v/>
      </c>
      <c r="G41" s="59" t="str">
        <f t="shared" ca="1" si="20"/>
        <v/>
      </c>
      <c r="H41" s="213" t="str" cm="1">
        <f t="array" aca="1" ref="H41" ca="1">IFERROR(INDEX($C$16:$C$116,SMALL(IF($C$16:$C$116&lt;&gt;"",ROW($C$16:$C$116)-ROW($C$16)+1),ROW(A26))),"")</f>
        <v/>
      </c>
      <c r="I41" s="212" t="str" cm="1">
        <f t="array" aca="1" ref="I41" ca="1">IFERROR(INDEX($D$16:$D$116,SMALL(IF($D$16:$D$116&lt;&gt;"",ROW($D$16:$D$116)-ROW($D$16)+1),ROW(A26))),"")</f>
        <v/>
      </c>
      <c r="J41" s="212" t="str" cm="1">
        <f t="array" aca="1" ref="J41" ca="1">IFERROR(INDEX($E$16:$E$116,SMALL(IF($E$16:$E$116&lt;&gt;"",ROW($E$16:$E$116)-ROW($E$16)+1),ROW(A26))),"")</f>
        <v/>
      </c>
      <c r="K41" s="212" t="str" cm="1">
        <f t="array" aca="1" ref="K41" ca="1">IFERROR(INDEX($F$16:$F$116,SMALL(IF($F$16:$F$116&lt;&gt;"",ROW($F$16:$F$116)-ROW($F$16)+1),ROW(A26))),"")</f>
        <v/>
      </c>
      <c r="L41" s="212" t="str">
        <f t="shared" ca="1" si="0"/>
        <v/>
      </c>
      <c r="M41" s="212" t="str" cm="1">
        <f t="array" aca="1" ref="M41" ca="1">IFERROR(INDEX($G$16:$G$116,SMALL(IF($G$16:$G$116&lt;&gt;"",ROW($G$16:$G$116)-ROW($G$16)+1),ROW(A26))),"")</f>
        <v/>
      </c>
      <c r="N41" s="217" t="str">
        <f t="shared" ca="1" si="1"/>
        <v/>
      </c>
      <c r="O41" s="218" t="str">
        <f t="shared" ca="1" si="2"/>
        <v/>
      </c>
      <c r="P41" s="218" t="str">
        <f t="shared" ca="1" si="3"/>
        <v/>
      </c>
      <c r="Q41" s="218" t="str">
        <f t="shared" ca="1" si="4"/>
        <v/>
      </c>
      <c r="R41" s="218" t="str">
        <f t="shared" ca="1" si="5"/>
        <v/>
      </c>
      <c r="S41" s="218" t="str">
        <f t="shared" ca="1" si="6"/>
        <v/>
      </c>
      <c r="T41" s="218" t="str">
        <f t="shared" ca="1" si="7"/>
        <v/>
      </c>
      <c r="U41" s="218" t="str">
        <f t="shared" ca="1" si="8"/>
        <v/>
      </c>
      <c r="V41" s="219" t="str">
        <f t="shared" ca="1" si="9"/>
        <v/>
      </c>
      <c r="W41" s="396" t="str">
        <f t="shared" ca="1" si="21"/>
        <v/>
      </c>
      <c r="X41" s="397" t="str">
        <f t="shared" ca="1" si="22"/>
        <v/>
      </c>
      <c r="Y41" s="398" t="str">
        <f t="shared" ca="1" si="27"/>
        <v/>
      </c>
      <c r="Z41" s="398" t="str">
        <f t="shared" ca="1" si="27"/>
        <v/>
      </c>
      <c r="AA41" s="398" t="str">
        <f t="shared" ca="1" si="27"/>
        <v/>
      </c>
      <c r="AB41" s="398" t="str">
        <f t="shared" ca="1" si="27"/>
        <v/>
      </c>
      <c r="AC41" s="398" t="str">
        <f t="shared" ca="1" si="11"/>
        <v/>
      </c>
      <c r="AD41" s="398" t="str">
        <f t="shared" ca="1" si="28"/>
        <v/>
      </c>
      <c r="AE41" s="398" t="str">
        <f t="shared" ca="1" si="28"/>
        <v/>
      </c>
      <c r="AF41" s="398" t="str">
        <f t="shared" ca="1" si="28"/>
        <v/>
      </c>
      <c r="AG41" s="398" t="str">
        <f t="shared" ca="1" si="28"/>
        <v/>
      </c>
      <c r="AH41" s="398" t="str">
        <f t="shared" ca="1" si="28"/>
        <v/>
      </c>
      <c r="AI41" s="396" t="str">
        <f t="shared" ca="1" si="23"/>
        <v/>
      </c>
      <c r="AJ41" s="397" t="str">
        <f t="shared" ca="1" si="24"/>
        <v/>
      </c>
      <c r="AK41" s="398" t="str">
        <f t="shared" ca="1" si="29"/>
        <v/>
      </c>
      <c r="AL41" s="398" t="str">
        <f t="shared" ca="1" si="29"/>
        <v/>
      </c>
      <c r="AM41" s="398" t="str">
        <f t="shared" ca="1" si="29"/>
        <v/>
      </c>
      <c r="AN41" s="398" t="str">
        <f t="shared" ca="1" si="29"/>
        <v/>
      </c>
      <c r="AO41" s="398" t="str">
        <f t="shared" ca="1" si="14"/>
        <v/>
      </c>
      <c r="AP41" s="398" t="str">
        <f t="shared" ca="1" si="30"/>
        <v/>
      </c>
      <c r="AQ41" s="398" t="str">
        <f t="shared" ca="1" si="30"/>
        <v/>
      </c>
      <c r="AR41" s="398" t="str">
        <f t="shared" ca="1" si="30"/>
        <v/>
      </c>
      <c r="AS41" s="398" t="str">
        <f t="shared" ca="1" si="30"/>
        <v/>
      </c>
      <c r="AT41" s="398" t="str">
        <f t="shared" ca="1" si="30"/>
        <v/>
      </c>
    </row>
    <row r="42" spans="1:46" x14ac:dyDescent="0.4">
      <c r="A42" s="152">
        <v>27</v>
      </c>
      <c r="B42" s="206" t="b">
        <f t="shared" si="16"/>
        <v>0</v>
      </c>
      <c r="C42" s="211" t="str">
        <f t="shared" ca="1" si="17"/>
        <v/>
      </c>
      <c r="D42" s="376" t="str">
        <f t="shared" ca="1" si="18"/>
        <v/>
      </c>
      <c r="E42" s="376" t="str">
        <f t="shared" ca="1" si="19"/>
        <v/>
      </c>
      <c r="F42" s="59" t="str">
        <f t="shared" ca="1" si="20"/>
        <v/>
      </c>
      <c r="G42" s="59" t="str">
        <f t="shared" ca="1" si="20"/>
        <v/>
      </c>
      <c r="H42" s="213" t="str" cm="1">
        <f t="array" aca="1" ref="H42" ca="1">IFERROR(INDEX($C$16:$C$116,SMALL(IF($C$16:$C$116&lt;&gt;"",ROW($C$16:$C$116)-ROW($C$16)+1),ROW(A27))),"")</f>
        <v/>
      </c>
      <c r="I42" s="212" t="str" cm="1">
        <f t="array" aca="1" ref="I42" ca="1">IFERROR(INDEX($D$16:$D$116,SMALL(IF($D$16:$D$116&lt;&gt;"",ROW($D$16:$D$116)-ROW($D$16)+1),ROW(A27))),"")</f>
        <v/>
      </c>
      <c r="J42" s="212" t="str" cm="1">
        <f t="array" aca="1" ref="J42" ca="1">IFERROR(INDEX($E$16:$E$116,SMALL(IF($E$16:$E$116&lt;&gt;"",ROW($E$16:$E$116)-ROW($E$16)+1),ROW(A27))),"")</f>
        <v/>
      </c>
      <c r="K42" s="212" t="str" cm="1">
        <f t="array" aca="1" ref="K42" ca="1">IFERROR(INDEX($F$16:$F$116,SMALL(IF($F$16:$F$116&lt;&gt;"",ROW($F$16:$F$116)-ROW($F$16)+1),ROW(A27))),"")</f>
        <v/>
      </c>
      <c r="L42" s="212" t="str">
        <f t="shared" ca="1" si="0"/>
        <v/>
      </c>
      <c r="M42" s="212" t="str" cm="1">
        <f t="array" aca="1" ref="M42" ca="1">IFERROR(INDEX($G$16:$G$116,SMALL(IF($G$16:$G$116&lt;&gt;"",ROW($G$16:$G$116)-ROW($G$16)+1),ROW(A27))),"")</f>
        <v/>
      </c>
      <c r="N42" s="217" t="str">
        <f t="shared" ca="1" si="1"/>
        <v/>
      </c>
      <c r="O42" s="218" t="str">
        <f t="shared" ca="1" si="2"/>
        <v/>
      </c>
      <c r="P42" s="218" t="str">
        <f t="shared" ca="1" si="3"/>
        <v/>
      </c>
      <c r="Q42" s="218" t="str">
        <f t="shared" ca="1" si="4"/>
        <v/>
      </c>
      <c r="R42" s="218" t="str">
        <f t="shared" ca="1" si="5"/>
        <v/>
      </c>
      <c r="S42" s="218" t="str">
        <f t="shared" ca="1" si="6"/>
        <v/>
      </c>
      <c r="T42" s="218" t="str">
        <f t="shared" ca="1" si="7"/>
        <v/>
      </c>
      <c r="U42" s="218" t="str">
        <f t="shared" ca="1" si="8"/>
        <v/>
      </c>
      <c r="V42" s="219" t="str">
        <f t="shared" ca="1" si="9"/>
        <v/>
      </c>
      <c r="W42" s="396" t="str">
        <f t="shared" ca="1" si="21"/>
        <v/>
      </c>
      <c r="X42" s="397" t="str">
        <f t="shared" ca="1" si="22"/>
        <v/>
      </c>
      <c r="Y42" s="398" t="str">
        <f t="shared" ca="1" si="27"/>
        <v/>
      </c>
      <c r="Z42" s="398" t="str">
        <f t="shared" ca="1" si="27"/>
        <v/>
      </c>
      <c r="AA42" s="398" t="str">
        <f t="shared" ca="1" si="27"/>
        <v/>
      </c>
      <c r="AB42" s="398" t="str">
        <f t="shared" ca="1" si="27"/>
        <v/>
      </c>
      <c r="AC42" s="398" t="str">
        <f t="shared" ca="1" si="11"/>
        <v/>
      </c>
      <c r="AD42" s="398" t="str">
        <f t="shared" ca="1" si="28"/>
        <v/>
      </c>
      <c r="AE42" s="398" t="str">
        <f t="shared" ca="1" si="28"/>
        <v/>
      </c>
      <c r="AF42" s="398" t="str">
        <f t="shared" ca="1" si="28"/>
        <v/>
      </c>
      <c r="AG42" s="398" t="str">
        <f t="shared" ca="1" si="28"/>
        <v/>
      </c>
      <c r="AH42" s="398" t="str">
        <f t="shared" ca="1" si="28"/>
        <v/>
      </c>
      <c r="AI42" s="396" t="str">
        <f t="shared" ca="1" si="23"/>
        <v/>
      </c>
      <c r="AJ42" s="397" t="str">
        <f t="shared" ca="1" si="24"/>
        <v/>
      </c>
      <c r="AK42" s="398" t="str">
        <f t="shared" ca="1" si="29"/>
        <v/>
      </c>
      <c r="AL42" s="398" t="str">
        <f t="shared" ca="1" si="29"/>
        <v/>
      </c>
      <c r="AM42" s="398" t="str">
        <f t="shared" ca="1" si="29"/>
        <v/>
      </c>
      <c r="AN42" s="398" t="str">
        <f t="shared" ca="1" si="29"/>
        <v/>
      </c>
      <c r="AO42" s="398" t="str">
        <f t="shared" ca="1" si="14"/>
        <v/>
      </c>
      <c r="AP42" s="398" t="str">
        <f t="shared" ca="1" si="30"/>
        <v/>
      </c>
      <c r="AQ42" s="398" t="str">
        <f t="shared" ca="1" si="30"/>
        <v/>
      </c>
      <c r="AR42" s="398" t="str">
        <f t="shared" ca="1" si="30"/>
        <v/>
      </c>
      <c r="AS42" s="398" t="str">
        <f t="shared" ca="1" si="30"/>
        <v/>
      </c>
      <c r="AT42" s="398" t="str">
        <f t="shared" ca="1" si="30"/>
        <v/>
      </c>
    </row>
    <row r="43" spans="1:46" x14ac:dyDescent="0.4">
      <c r="A43" s="152">
        <v>28</v>
      </c>
      <c r="B43" s="206" t="b">
        <f t="shared" si="16"/>
        <v>0</v>
      </c>
      <c r="C43" s="211" t="str">
        <f t="shared" ca="1" si="17"/>
        <v/>
      </c>
      <c r="D43" s="376" t="str">
        <f t="shared" ca="1" si="18"/>
        <v/>
      </c>
      <c r="E43" s="376" t="str">
        <f t="shared" ca="1" si="19"/>
        <v/>
      </c>
      <c r="F43" s="59" t="str">
        <f t="shared" ca="1" si="20"/>
        <v/>
      </c>
      <c r="G43" s="59" t="str">
        <f t="shared" ca="1" si="20"/>
        <v/>
      </c>
      <c r="H43" s="213" t="str" cm="1">
        <f t="array" aca="1" ref="H43" ca="1">IFERROR(INDEX($C$16:$C$116,SMALL(IF($C$16:$C$116&lt;&gt;"",ROW($C$16:$C$116)-ROW($C$16)+1),ROW(A28))),"")</f>
        <v/>
      </c>
      <c r="I43" s="212" t="str" cm="1">
        <f t="array" aca="1" ref="I43" ca="1">IFERROR(INDEX($D$16:$D$116,SMALL(IF($D$16:$D$116&lt;&gt;"",ROW($D$16:$D$116)-ROW($D$16)+1),ROW(A28))),"")</f>
        <v/>
      </c>
      <c r="J43" s="212" t="str" cm="1">
        <f t="array" aca="1" ref="J43" ca="1">IFERROR(INDEX($E$16:$E$116,SMALL(IF($E$16:$E$116&lt;&gt;"",ROW($E$16:$E$116)-ROW($E$16)+1),ROW(A28))),"")</f>
        <v/>
      </c>
      <c r="K43" s="212" t="str" cm="1">
        <f t="array" aca="1" ref="K43" ca="1">IFERROR(INDEX($F$16:$F$116,SMALL(IF($F$16:$F$116&lt;&gt;"",ROW($F$16:$F$116)-ROW($F$16)+1),ROW(A28))),"")</f>
        <v/>
      </c>
      <c r="L43" s="212" t="str">
        <f t="shared" ca="1" si="0"/>
        <v/>
      </c>
      <c r="M43" s="212" t="str" cm="1">
        <f t="array" aca="1" ref="M43" ca="1">IFERROR(INDEX($G$16:$G$116,SMALL(IF($G$16:$G$116&lt;&gt;"",ROW($G$16:$G$116)-ROW($G$16)+1),ROW(A28))),"")</f>
        <v/>
      </c>
      <c r="N43" s="217" t="str">
        <f t="shared" ca="1" si="1"/>
        <v/>
      </c>
      <c r="O43" s="218" t="str">
        <f t="shared" ca="1" si="2"/>
        <v/>
      </c>
      <c r="P43" s="218" t="str">
        <f t="shared" ca="1" si="3"/>
        <v/>
      </c>
      <c r="Q43" s="218" t="str">
        <f t="shared" ca="1" si="4"/>
        <v/>
      </c>
      <c r="R43" s="218" t="str">
        <f t="shared" ca="1" si="5"/>
        <v/>
      </c>
      <c r="S43" s="218" t="str">
        <f t="shared" ca="1" si="6"/>
        <v/>
      </c>
      <c r="T43" s="218" t="str">
        <f t="shared" ca="1" si="7"/>
        <v/>
      </c>
      <c r="U43" s="218" t="str">
        <f t="shared" ca="1" si="8"/>
        <v/>
      </c>
      <c r="V43" s="219" t="str">
        <f t="shared" ca="1" si="9"/>
        <v/>
      </c>
      <c r="W43" s="396" t="str">
        <f t="shared" ca="1" si="21"/>
        <v/>
      </c>
      <c r="X43" s="397" t="str">
        <f t="shared" ca="1" si="22"/>
        <v/>
      </c>
      <c r="Y43" s="398" t="str">
        <f t="shared" ca="1" si="27"/>
        <v/>
      </c>
      <c r="Z43" s="398" t="str">
        <f t="shared" ca="1" si="27"/>
        <v/>
      </c>
      <c r="AA43" s="398" t="str">
        <f t="shared" ca="1" si="27"/>
        <v/>
      </c>
      <c r="AB43" s="398" t="str">
        <f t="shared" ca="1" si="27"/>
        <v/>
      </c>
      <c r="AC43" s="398" t="str">
        <f t="shared" ca="1" si="11"/>
        <v/>
      </c>
      <c r="AD43" s="398" t="str">
        <f t="shared" ca="1" si="28"/>
        <v/>
      </c>
      <c r="AE43" s="398" t="str">
        <f t="shared" ca="1" si="28"/>
        <v/>
      </c>
      <c r="AF43" s="398" t="str">
        <f t="shared" ca="1" si="28"/>
        <v/>
      </c>
      <c r="AG43" s="398" t="str">
        <f t="shared" ca="1" si="28"/>
        <v/>
      </c>
      <c r="AH43" s="398" t="str">
        <f t="shared" ca="1" si="28"/>
        <v/>
      </c>
      <c r="AI43" s="396" t="str">
        <f t="shared" ca="1" si="23"/>
        <v/>
      </c>
      <c r="AJ43" s="397" t="str">
        <f t="shared" ca="1" si="24"/>
        <v/>
      </c>
      <c r="AK43" s="398" t="str">
        <f t="shared" ca="1" si="29"/>
        <v/>
      </c>
      <c r="AL43" s="398" t="str">
        <f t="shared" ca="1" si="29"/>
        <v/>
      </c>
      <c r="AM43" s="398" t="str">
        <f t="shared" ca="1" si="29"/>
        <v/>
      </c>
      <c r="AN43" s="398" t="str">
        <f t="shared" ca="1" si="29"/>
        <v/>
      </c>
      <c r="AO43" s="398" t="str">
        <f t="shared" ca="1" si="14"/>
        <v/>
      </c>
      <c r="AP43" s="398" t="str">
        <f t="shared" ca="1" si="30"/>
        <v/>
      </c>
      <c r="AQ43" s="398" t="str">
        <f t="shared" ca="1" si="30"/>
        <v/>
      </c>
      <c r="AR43" s="398" t="str">
        <f t="shared" ca="1" si="30"/>
        <v/>
      </c>
      <c r="AS43" s="398" t="str">
        <f t="shared" ca="1" si="30"/>
        <v/>
      </c>
      <c r="AT43" s="398" t="str">
        <f t="shared" ca="1" si="30"/>
        <v/>
      </c>
    </row>
    <row r="44" spans="1:46" x14ac:dyDescent="0.4">
      <c r="A44" s="152">
        <v>29</v>
      </c>
      <c r="B44" s="206" t="b">
        <f t="shared" si="16"/>
        <v>0</v>
      </c>
      <c r="C44" s="211" t="str">
        <f t="shared" ca="1" si="17"/>
        <v/>
      </c>
      <c r="D44" s="376" t="str">
        <f t="shared" ca="1" si="18"/>
        <v/>
      </c>
      <c r="E44" s="376" t="str">
        <f t="shared" ca="1" si="19"/>
        <v/>
      </c>
      <c r="F44" s="59" t="str">
        <f t="shared" ca="1" si="20"/>
        <v/>
      </c>
      <c r="G44" s="59" t="str">
        <f t="shared" ca="1" si="20"/>
        <v/>
      </c>
      <c r="H44" s="213" t="str" cm="1">
        <f t="array" aca="1" ref="H44" ca="1">IFERROR(INDEX($C$16:$C$116,SMALL(IF($C$16:$C$116&lt;&gt;"",ROW($C$16:$C$116)-ROW($C$16)+1),ROW(A29))),"")</f>
        <v/>
      </c>
      <c r="I44" s="212" t="str" cm="1">
        <f t="array" aca="1" ref="I44" ca="1">IFERROR(INDEX($D$16:$D$116,SMALL(IF($D$16:$D$116&lt;&gt;"",ROW($D$16:$D$116)-ROW($D$16)+1),ROW(A29))),"")</f>
        <v/>
      </c>
      <c r="J44" s="212" t="str" cm="1">
        <f t="array" aca="1" ref="J44" ca="1">IFERROR(INDEX($E$16:$E$116,SMALL(IF($E$16:$E$116&lt;&gt;"",ROW($E$16:$E$116)-ROW($E$16)+1),ROW(A29))),"")</f>
        <v/>
      </c>
      <c r="K44" s="212" t="str" cm="1">
        <f t="array" aca="1" ref="K44" ca="1">IFERROR(INDEX($F$16:$F$116,SMALL(IF($F$16:$F$116&lt;&gt;"",ROW($F$16:$F$116)-ROW($F$16)+1),ROW(A29))),"")</f>
        <v/>
      </c>
      <c r="L44" s="212" t="str">
        <f t="shared" ca="1" si="0"/>
        <v/>
      </c>
      <c r="M44" s="212" t="str" cm="1">
        <f t="array" aca="1" ref="M44" ca="1">IFERROR(INDEX($G$16:$G$116,SMALL(IF($G$16:$G$116&lt;&gt;"",ROW($G$16:$G$116)-ROW($G$16)+1),ROW(A29))),"")</f>
        <v/>
      </c>
      <c r="N44" s="217" t="str">
        <f t="shared" ca="1" si="1"/>
        <v/>
      </c>
      <c r="O44" s="218" t="str">
        <f t="shared" ca="1" si="2"/>
        <v/>
      </c>
      <c r="P44" s="218" t="str">
        <f t="shared" ca="1" si="3"/>
        <v/>
      </c>
      <c r="Q44" s="218" t="str">
        <f t="shared" ca="1" si="4"/>
        <v/>
      </c>
      <c r="R44" s="218" t="str">
        <f t="shared" ca="1" si="5"/>
        <v/>
      </c>
      <c r="S44" s="218" t="str">
        <f t="shared" ca="1" si="6"/>
        <v/>
      </c>
      <c r="T44" s="218" t="str">
        <f t="shared" ca="1" si="7"/>
        <v/>
      </c>
      <c r="U44" s="218" t="str">
        <f t="shared" ca="1" si="8"/>
        <v/>
      </c>
      <c r="V44" s="219" t="str">
        <f t="shared" ca="1" si="9"/>
        <v/>
      </c>
      <c r="W44" s="396" t="str">
        <f t="shared" ca="1" si="21"/>
        <v/>
      </c>
      <c r="X44" s="397" t="str">
        <f t="shared" ca="1" si="22"/>
        <v/>
      </c>
      <c r="Y44" s="398" t="str">
        <f t="shared" ca="1" si="27"/>
        <v/>
      </c>
      <c r="Z44" s="398" t="str">
        <f t="shared" ca="1" si="27"/>
        <v/>
      </c>
      <c r="AA44" s="398" t="str">
        <f t="shared" ca="1" si="27"/>
        <v/>
      </c>
      <c r="AB44" s="398" t="str">
        <f t="shared" ca="1" si="27"/>
        <v/>
      </c>
      <c r="AC44" s="398" t="str">
        <f t="shared" ca="1" si="11"/>
        <v/>
      </c>
      <c r="AD44" s="398" t="str">
        <f t="shared" ca="1" si="28"/>
        <v/>
      </c>
      <c r="AE44" s="398" t="str">
        <f t="shared" ca="1" si="28"/>
        <v/>
      </c>
      <c r="AF44" s="398" t="str">
        <f t="shared" ca="1" si="28"/>
        <v/>
      </c>
      <c r="AG44" s="398" t="str">
        <f t="shared" ca="1" si="28"/>
        <v/>
      </c>
      <c r="AH44" s="398" t="str">
        <f t="shared" ca="1" si="28"/>
        <v/>
      </c>
      <c r="AI44" s="396" t="str">
        <f t="shared" ca="1" si="23"/>
        <v/>
      </c>
      <c r="AJ44" s="397" t="str">
        <f t="shared" ca="1" si="24"/>
        <v/>
      </c>
      <c r="AK44" s="398" t="str">
        <f t="shared" ca="1" si="29"/>
        <v/>
      </c>
      <c r="AL44" s="398" t="str">
        <f t="shared" ca="1" si="29"/>
        <v/>
      </c>
      <c r="AM44" s="398" t="str">
        <f t="shared" ca="1" si="29"/>
        <v/>
      </c>
      <c r="AN44" s="398" t="str">
        <f t="shared" ca="1" si="29"/>
        <v/>
      </c>
      <c r="AO44" s="398" t="str">
        <f t="shared" ca="1" si="14"/>
        <v/>
      </c>
      <c r="AP44" s="398" t="str">
        <f t="shared" ca="1" si="30"/>
        <v/>
      </c>
      <c r="AQ44" s="398" t="str">
        <f t="shared" ca="1" si="30"/>
        <v/>
      </c>
      <c r="AR44" s="398" t="str">
        <f t="shared" ca="1" si="30"/>
        <v/>
      </c>
      <c r="AS44" s="398" t="str">
        <f t="shared" ca="1" si="30"/>
        <v/>
      </c>
      <c r="AT44" s="398" t="str">
        <f t="shared" ca="1" si="30"/>
        <v/>
      </c>
    </row>
    <row r="45" spans="1:46" x14ac:dyDescent="0.4">
      <c r="A45" s="152">
        <v>30</v>
      </c>
      <c r="B45" s="206" t="b">
        <f t="shared" si="16"/>
        <v>0</v>
      </c>
      <c r="C45" s="211" t="str">
        <f t="shared" ca="1" si="17"/>
        <v/>
      </c>
      <c r="D45" s="376" t="str">
        <f t="shared" ca="1" si="18"/>
        <v/>
      </c>
      <c r="E45" s="376" t="str">
        <f t="shared" ca="1" si="19"/>
        <v/>
      </c>
      <c r="F45" s="59" t="str">
        <f t="shared" ca="1" si="20"/>
        <v/>
      </c>
      <c r="G45" s="59" t="str">
        <f t="shared" ca="1" si="20"/>
        <v/>
      </c>
      <c r="H45" s="213" t="str" cm="1">
        <f t="array" aca="1" ref="H45" ca="1">IFERROR(INDEX($C$16:$C$116,SMALL(IF($C$16:$C$116&lt;&gt;"",ROW($C$16:$C$116)-ROW($C$16)+1),ROW(A30))),"")</f>
        <v/>
      </c>
      <c r="I45" s="212" t="str" cm="1">
        <f t="array" aca="1" ref="I45" ca="1">IFERROR(INDEX($D$16:$D$116,SMALL(IF($D$16:$D$116&lt;&gt;"",ROW($D$16:$D$116)-ROW($D$16)+1),ROW(A30))),"")</f>
        <v/>
      </c>
      <c r="J45" s="212" t="str" cm="1">
        <f t="array" aca="1" ref="J45" ca="1">IFERROR(INDEX($E$16:$E$116,SMALL(IF($E$16:$E$116&lt;&gt;"",ROW($E$16:$E$116)-ROW($E$16)+1),ROW(A30))),"")</f>
        <v/>
      </c>
      <c r="K45" s="212" t="str" cm="1">
        <f t="array" aca="1" ref="K45" ca="1">IFERROR(INDEX($F$16:$F$116,SMALL(IF($F$16:$F$116&lt;&gt;"",ROW($F$16:$F$116)-ROW($F$16)+1),ROW(A30))),"")</f>
        <v/>
      </c>
      <c r="L45" s="212" t="str">
        <f t="shared" ca="1" si="0"/>
        <v/>
      </c>
      <c r="M45" s="212" t="str" cm="1">
        <f t="array" aca="1" ref="M45" ca="1">IFERROR(INDEX($G$16:$G$116,SMALL(IF($G$16:$G$116&lt;&gt;"",ROW($G$16:$G$116)-ROW($G$16)+1),ROW(A30))),"")</f>
        <v/>
      </c>
      <c r="N45" s="217" t="str">
        <f t="shared" ca="1" si="1"/>
        <v/>
      </c>
      <c r="O45" s="218" t="str">
        <f t="shared" ca="1" si="2"/>
        <v/>
      </c>
      <c r="P45" s="218" t="str">
        <f t="shared" ca="1" si="3"/>
        <v/>
      </c>
      <c r="Q45" s="218" t="str">
        <f t="shared" ca="1" si="4"/>
        <v/>
      </c>
      <c r="R45" s="218" t="str">
        <f t="shared" ca="1" si="5"/>
        <v/>
      </c>
      <c r="S45" s="218" t="str">
        <f t="shared" ca="1" si="6"/>
        <v/>
      </c>
      <c r="T45" s="218" t="str">
        <f t="shared" ca="1" si="7"/>
        <v/>
      </c>
      <c r="U45" s="218" t="str">
        <f t="shared" ca="1" si="8"/>
        <v/>
      </c>
      <c r="V45" s="219" t="str">
        <f t="shared" ca="1" si="9"/>
        <v/>
      </c>
      <c r="W45" s="396" t="str">
        <f t="shared" ca="1" si="21"/>
        <v/>
      </c>
      <c r="X45" s="397" t="str">
        <f t="shared" ca="1" si="22"/>
        <v/>
      </c>
      <c r="Y45" s="398" t="str">
        <f t="shared" ca="1" si="27"/>
        <v/>
      </c>
      <c r="Z45" s="398" t="str">
        <f t="shared" ca="1" si="27"/>
        <v/>
      </c>
      <c r="AA45" s="398" t="str">
        <f t="shared" ca="1" si="27"/>
        <v/>
      </c>
      <c r="AB45" s="398" t="str">
        <f t="shared" ca="1" si="27"/>
        <v/>
      </c>
      <c r="AC45" s="398" t="str">
        <f t="shared" ca="1" si="11"/>
        <v/>
      </c>
      <c r="AD45" s="398" t="str">
        <f t="shared" ca="1" si="28"/>
        <v/>
      </c>
      <c r="AE45" s="398" t="str">
        <f t="shared" ca="1" si="28"/>
        <v/>
      </c>
      <c r="AF45" s="398" t="str">
        <f t="shared" ca="1" si="28"/>
        <v/>
      </c>
      <c r="AG45" s="398" t="str">
        <f t="shared" ca="1" si="28"/>
        <v/>
      </c>
      <c r="AH45" s="398" t="str">
        <f t="shared" ca="1" si="28"/>
        <v/>
      </c>
      <c r="AI45" s="396" t="str">
        <f t="shared" ca="1" si="23"/>
        <v/>
      </c>
      <c r="AJ45" s="397" t="str">
        <f t="shared" ca="1" si="24"/>
        <v/>
      </c>
      <c r="AK45" s="398" t="str">
        <f t="shared" ca="1" si="29"/>
        <v/>
      </c>
      <c r="AL45" s="398" t="str">
        <f t="shared" ca="1" si="29"/>
        <v/>
      </c>
      <c r="AM45" s="398" t="str">
        <f t="shared" ca="1" si="29"/>
        <v/>
      </c>
      <c r="AN45" s="398" t="str">
        <f t="shared" ca="1" si="29"/>
        <v/>
      </c>
      <c r="AO45" s="398" t="str">
        <f t="shared" ca="1" si="14"/>
        <v/>
      </c>
      <c r="AP45" s="398" t="str">
        <f t="shared" ca="1" si="30"/>
        <v/>
      </c>
      <c r="AQ45" s="398" t="str">
        <f t="shared" ca="1" si="30"/>
        <v/>
      </c>
      <c r="AR45" s="398" t="str">
        <f t="shared" ca="1" si="30"/>
        <v/>
      </c>
      <c r="AS45" s="398" t="str">
        <f t="shared" ca="1" si="30"/>
        <v/>
      </c>
      <c r="AT45" s="398" t="str">
        <f t="shared" ca="1" si="30"/>
        <v/>
      </c>
    </row>
    <row r="46" spans="1:46" x14ac:dyDescent="0.4">
      <c r="A46" s="152">
        <v>31</v>
      </c>
      <c r="B46" s="206" t="b">
        <f t="shared" si="16"/>
        <v>0</v>
      </c>
      <c r="C46" s="211" t="str">
        <f t="shared" ca="1" si="17"/>
        <v/>
      </c>
      <c r="D46" s="376" t="str">
        <f t="shared" ca="1" si="18"/>
        <v/>
      </c>
      <c r="E46" s="376" t="str">
        <f t="shared" ca="1" si="19"/>
        <v/>
      </c>
      <c r="F46" s="59" t="str">
        <f t="shared" ca="1" si="20"/>
        <v/>
      </c>
      <c r="G46" s="59" t="str">
        <f t="shared" ca="1" si="20"/>
        <v/>
      </c>
      <c r="H46" s="213" t="str" cm="1">
        <f t="array" aca="1" ref="H46" ca="1">IFERROR(INDEX($C$16:$C$116,SMALL(IF($C$16:$C$116&lt;&gt;"",ROW($C$16:$C$116)-ROW($C$16)+1),ROW(A31))),"")</f>
        <v/>
      </c>
      <c r="I46" s="212" t="str" cm="1">
        <f t="array" aca="1" ref="I46" ca="1">IFERROR(INDEX($D$16:$D$116,SMALL(IF($D$16:$D$116&lt;&gt;"",ROW($D$16:$D$116)-ROW($D$16)+1),ROW(A31))),"")</f>
        <v/>
      </c>
      <c r="J46" s="212" t="str" cm="1">
        <f t="array" aca="1" ref="J46" ca="1">IFERROR(INDEX($E$16:$E$116,SMALL(IF($E$16:$E$116&lt;&gt;"",ROW($E$16:$E$116)-ROW($E$16)+1),ROW(A31))),"")</f>
        <v/>
      </c>
      <c r="K46" s="212" t="str" cm="1">
        <f t="array" aca="1" ref="K46" ca="1">IFERROR(INDEX($F$16:$F$116,SMALL(IF($F$16:$F$116&lt;&gt;"",ROW($F$16:$F$116)-ROW($F$16)+1),ROW(A31))),"")</f>
        <v/>
      </c>
      <c r="L46" s="212" t="str">
        <f t="shared" ca="1" si="0"/>
        <v/>
      </c>
      <c r="M46" s="212" t="str" cm="1">
        <f t="array" aca="1" ref="M46" ca="1">IFERROR(INDEX($G$16:$G$116,SMALL(IF($G$16:$G$116&lt;&gt;"",ROW($G$16:$G$116)-ROW($G$16)+1),ROW(A31))),"")</f>
        <v/>
      </c>
      <c r="N46" s="217" t="str">
        <f t="shared" ca="1" si="1"/>
        <v/>
      </c>
      <c r="O46" s="218" t="str">
        <f t="shared" ca="1" si="2"/>
        <v/>
      </c>
      <c r="P46" s="218" t="str">
        <f t="shared" ca="1" si="3"/>
        <v/>
      </c>
      <c r="Q46" s="218" t="str">
        <f t="shared" ca="1" si="4"/>
        <v/>
      </c>
      <c r="R46" s="218" t="str">
        <f t="shared" ca="1" si="5"/>
        <v/>
      </c>
      <c r="S46" s="218" t="str">
        <f t="shared" ca="1" si="6"/>
        <v/>
      </c>
      <c r="T46" s="218" t="str">
        <f t="shared" ca="1" si="7"/>
        <v/>
      </c>
      <c r="U46" s="218" t="str">
        <f t="shared" ca="1" si="8"/>
        <v/>
      </c>
      <c r="V46" s="219" t="str">
        <f t="shared" ca="1" si="9"/>
        <v/>
      </c>
      <c r="W46" s="396" t="str">
        <f t="shared" ca="1" si="21"/>
        <v/>
      </c>
      <c r="X46" s="397" t="str">
        <f t="shared" ca="1" si="22"/>
        <v/>
      </c>
      <c r="Y46" s="398" t="str">
        <f t="shared" ca="1" si="27"/>
        <v/>
      </c>
      <c r="Z46" s="398" t="str">
        <f t="shared" ca="1" si="27"/>
        <v/>
      </c>
      <c r="AA46" s="398" t="str">
        <f t="shared" ca="1" si="27"/>
        <v/>
      </c>
      <c r="AB46" s="398" t="str">
        <f t="shared" ca="1" si="27"/>
        <v/>
      </c>
      <c r="AC46" s="398" t="str">
        <f t="shared" ca="1" si="11"/>
        <v/>
      </c>
      <c r="AD46" s="398" t="str">
        <f t="shared" ref="AD46:AH55" ca="1" si="31">IF(OR($J46="Pluviomètre",LEFT($J46,5)="Sonde"),"",IF($H46&lt;&gt;"",IF(_xlfn.SINGLE(INDIRECT($H46&amp;"!"&amp;$W46&amp;($X46+AD$15+1)))&lt;&gt;"",_xlfn.SINGLE(INDIRECT($H46&amp;"!"&amp;$W46&amp;($X46+AD$15+1))),""),""))</f>
        <v/>
      </c>
      <c r="AE46" s="398" t="str">
        <f t="shared" ca="1" si="31"/>
        <v/>
      </c>
      <c r="AF46" s="398" t="str">
        <f t="shared" ca="1" si="31"/>
        <v/>
      </c>
      <c r="AG46" s="398" t="str">
        <f t="shared" ca="1" si="31"/>
        <v/>
      </c>
      <c r="AH46" s="398" t="str">
        <f t="shared" ca="1" si="31"/>
        <v/>
      </c>
      <c r="AI46" s="396" t="str">
        <f t="shared" ca="1" si="23"/>
        <v/>
      </c>
      <c r="AJ46" s="397" t="str">
        <f t="shared" ca="1" si="24"/>
        <v/>
      </c>
      <c r="AK46" s="398" t="str">
        <f t="shared" ca="1" si="29"/>
        <v/>
      </c>
      <c r="AL46" s="398" t="str">
        <f t="shared" ca="1" si="29"/>
        <v/>
      </c>
      <c r="AM46" s="398" t="str">
        <f t="shared" ca="1" si="29"/>
        <v/>
      </c>
      <c r="AN46" s="398" t="str">
        <f t="shared" ca="1" si="29"/>
        <v/>
      </c>
      <c r="AO46" s="398" t="str">
        <f t="shared" ca="1" si="14"/>
        <v/>
      </c>
      <c r="AP46" s="398" t="str">
        <f t="shared" ref="AP46:AT55" ca="1" si="32">IF(OR($J46="Pluviomètre",LEFT($J46,5)="Sonde"),"",IF($H46&lt;&gt;"",IF(_xlfn.SINGLE(INDIRECT($H46&amp;"!"&amp;$AI46&amp;($AJ46+AP$15+1)))&lt;&gt;"",_xlfn.SINGLE(INDIRECT($H46&amp;"!"&amp;$AI46&amp;($AJ46+AP$15+1))),""),""))</f>
        <v/>
      </c>
      <c r="AQ46" s="398" t="str">
        <f t="shared" ca="1" si="32"/>
        <v/>
      </c>
      <c r="AR46" s="398" t="str">
        <f t="shared" ca="1" si="32"/>
        <v/>
      </c>
      <c r="AS46" s="398" t="str">
        <f t="shared" ca="1" si="32"/>
        <v/>
      </c>
      <c r="AT46" s="398" t="str">
        <f t="shared" ca="1" si="32"/>
        <v/>
      </c>
    </row>
    <row r="47" spans="1:46" x14ac:dyDescent="0.4">
      <c r="A47" s="152">
        <v>32</v>
      </c>
      <c r="B47" s="206" t="b">
        <f t="shared" si="16"/>
        <v>0</v>
      </c>
      <c r="C47" s="211" t="str">
        <f t="shared" ca="1" si="17"/>
        <v/>
      </c>
      <c r="D47" s="376" t="str">
        <f t="shared" ca="1" si="18"/>
        <v/>
      </c>
      <c r="E47" s="376" t="str">
        <f t="shared" ca="1" si="19"/>
        <v/>
      </c>
      <c r="F47" s="59" t="str">
        <f t="shared" ca="1" si="20"/>
        <v/>
      </c>
      <c r="G47" s="59" t="str">
        <f t="shared" ca="1" si="20"/>
        <v/>
      </c>
      <c r="H47" s="213" t="str" cm="1">
        <f t="array" aca="1" ref="H47" ca="1">IFERROR(INDEX($C$16:$C$116,SMALL(IF($C$16:$C$116&lt;&gt;"",ROW($C$16:$C$116)-ROW($C$16)+1),ROW(A32))),"")</f>
        <v/>
      </c>
      <c r="I47" s="212" t="str" cm="1">
        <f t="array" aca="1" ref="I47" ca="1">IFERROR(INDEX($D$16:$D$116,SMALL(IF($D$16:$D$116&lt;&gt;"",ROW($D$16:$D$116)-ROW($D$16)+1),ROW(A32))),"")</f>
        <v/>
      </c>
      <c r="J47" s="212" t="str" cm="1">
        <f t="array" aca="1" ref="J47" ca="1">IFERROR(INDEX($E$16:$E$116,SMALL(IF($E$16:$E$116&lt;&gt;"",ROW($E$16:$E$116)-ROW($E$16)+1),ROW(A32))),"")</f>
        <v/>
      </c>
      <c r="K47" s="212" t="str" cm="1">
        <f t="array" aca="1" ref="K47" ca="1">IFERROR(INDEX($F$16:$F$116,SMALL(IF($F$16:$F$116&lt;&gt;"",ROW($F$16:$F$116)-ROW($F$16)+1),ROW(A32))),"")</f>
        <v/>
      </c>
      <c r="L47" s="212" t="str">
        <f t="shared" ca="1" si="0"/>
        <v/>
      </c>
      <c r="M47" s="212" t="str" cm="1">
        <f t="array" aca="1" ref="M47" ca="1">IFERROR(INDEX($G$16:$G$116,SMALL(IF($G$16:$G$116&lt;&gt;"",ROW($G$16:$G$116)-ROW($G$16)+1),ROW(A32))),"")</f>
        <v/>
      </c>
      <c r="N47" s="217" t="str">
        <f t="shared" ca="1" si="1"/>
        <v/>
      </c>
      <c r="O47" s="218" t="str">
        <f t="shared" ca="1" si="2"/>
        <v/>
      </c>
      <c r="P47" s="218" t="str">
        <f t="shared" ca="1" si="3"/>
        <v/>
      </c>
      <c r="Q47" s="218" t="str">
        <f t="shared" ca="1" si="4"/>
        <v/>
      </c>
      <c r="R47" s="218" t="str">
        <f t="shared" ca="1" si="5"/>
        <v/>
      </c>
      <c r="S47" s="218" t="str">
        <f t="shared" ca="1" si="6"/>
        <v/>
      </c>
      <c r="T47" s="218" t="str">
        <f t="shared" ca="1" si="7"/>
        <v/>
      </c>
      <c r="U47" s="218" t="str">
        <f t="shared" ca="1" si="8"/>
        <v/>
      </c>
      <c r="V47" s="219" t="str">
        <f t="shared" ca="1" si="9"/>
        <v/>
      </c>
      <c r="W47" s="396" t="str">
        <f t="shared" ca="1" si="21"/>
        <v/>
      </c>
      <c r="X47" s="397" t="str">
        <f t="shared" ca="1" si="22"/>
        <v/>
      </c>
      <c r="Y47" s="398" t="str">
        <f t="shared" ca="1" si="27"/>
        <v/>
      </c>
      <c r="Z47" s="398" t="str">
        <f t="shared" ca="1" si="27"/>
        <v/>
      </c>
      <c r="AA47" s="398" t="str">
        <f t="shared" ca="1" si="27"/>
        <v/>
      </c>
      <c r="AB47" s="398" t="str">
        <f t="shared" ca="1" si="27"/>
        <v/>
      </c>
      <c r="AC47" s="398" t="str">
        <f t="shared" ca="1" si="11"/>
        <v/>
      </c>
      <c r="AD47" s="398" t="str">
        <f t="shared" ca="1" si="31"/>
        <v/>
      </c>
      <c r="AE47" s="398" t="str">
        <f t="shared" ca="1" si="31"/>
        <v/>
      </c>
      <c r="AF47" s="398" t="str">
        <f t="shared" ca="1" si="31"/>
        <v/>
      </c>
      <c r="AG47" s="398" t="str">
        <f t="shared" ca="1" si="31"/>
        <v/>
      </c>
      <c r="AH47" s="398" t="str">
        <f t="shared" ca="1" si="31"/>
        <v/>
      </c>
      <c r="AI47" s="396" t="str">
        <f t="shared" ca="1" si="23"/>
        <v/>
      </c>
      <c r="AJ47" s="397" t="str">
        <f t="shared" ca="1" si="24"/>
        <v/>
      </c>
      <c r="AK47" s="398" t="str">
        <f t="shared" ca="1" si="29"/>
        <v/>
      </c>
      <c r="AL47" s="398" t="str">
        <f t="shared" ca="1" si="29"/>
        <v/>
      </c>
      <c r="AM47" s="398" t="str">
        <f t="shared" ca="1" si="29"/>
        <v/>
      </c>
      <c r="AN47" s="398" t="str">
        <f t="shared" ca="1" si="29"/>
        <v/>
      </c>
      <c r="AO47" s="398" t="str">
        <f t="shared" ca="1" si="14"/>
        <v/>
      </c>
      <c r="AP47" s="398" t="str">
        <f t="shared" ca="1" si="32"/>
        <v/>
      </c>
      <c r="AQ47" s="398" t="str">
        <f t="shared" ca="1" si="32"/>
        <v/>
      </c>
      <c r="AR47" s="398" t="str">
        <f t="shared" ca="1" si="32"/>
        <v/>
      </c>
      <c r="AS47" s="398" t="str">
        <f t="shared" ca="1" si="32"/>
        <v/>
      </c>
      <c r="AT47" s="398" t="str">
        <f t="shared" ca="1" si="32"/>
        <v/>
      </c>
    </row>
    <row r="48" spans="1:46" x14ac:dyDescent="0.4">
      <c r="A48" s="152">
        <v>33</v>
      </c>
      <c r="B48" s="206" t="b">
        <f t="shared" si="16"/>
        <v>0</v>
      </c>
      <c r="C48" s="211" t="str">
        <f t="shared" ca="1" si="17"/>
        <v/>
      </c>
      <c r="D48" s="376" t="str">
        <f t="shared" ca="1" si="18"/>
        <v/>
      </c>
      <c r="E48" s="376" t="str">
        <f t="shared" ca="1" si="19"/>
        <v/>
      </c>
      <c r="F48" s="59" t="str">
        <f t="shared" ca="1" si="20"/>
        <v/>
      </c>
      <c r="G48" s="59" t="str">
        <f t="shared" ca="1" si="20"/>
        <v/>
      </c>
      <c r="H48" s="213" t="str" cm="1">
        <f t="array" aca="1" ref="H48" ca="1">IFERROR(INDEX($C$16:$C$116,SMALL(IF($C$16:$C$116&lt;&gt;"",ROW($C$16:$C$116)-ROW($C$16)+1),ROW(A33))),"")</f>
        <v/>
      </c>
      <c r="I48" s="212" t="str" cm="1">
        <f t="array" aca="1" ref="I48" ca="1">IFERROR(INDEX($D$16:$D$116,SMALL(IF($D$16:$D$116&lt;&gt;"",ROW($D$16:$D$116)-ROW($D$16)+1),ROW(A33))),"")</f>
        <v/>
      </c>
      <c r="J48" s="212" t="str" cm="1">
        <f t="array" aca="1" ref="J48" ca="1">IFERROR(INDEX($E$16:$E$116,SMALL(IF($E$16:$E$116&lt;&gt;"",ROW($E$16:$E$116)-ROW($E$16)+1),ROW(A33))),"")</f>
        <v/>
      </c>
      <c r="K48" s="212" t="str" cm="1">
        <f t="array" aca="1" ref="K48" ca="1">IFERROR(INDEX($F$16:$F$116,SMALL(IF($F$16:$F$116&lt;&gt;"",ROW($F$16:$F$116)-ROW($F$16)+1),ROW(A33))),"")</f>
        <v/>
      </c>
      <c r="L48" s="212" t="str">
        <f t="shared" ref="L48:L72" ca="1" si="33">H48</f>
        <v/>
      </c>
      <c r="M48" s="212" t="str" cm="1">
        <f t="array" aca="1" ref="M48" ca="1">IFERROR(INDEX($G$16:$G$116,SMALL(IF($G$16:$G$116&lt;&gt;"",ROW($G$16:$G$116)-ROW($G$16)+1),ROW(A33))),"")</f>
        <v/>
      </c>
      <c r="N48" s="217" t="str">
        <f t="shared" ref="N48:N72" ca="1" si="34">IF($J48&lt;&gt;"",VLOOKUP($J48,$A$5:$F$9,2,FALSE),"")</f>
        <v/>
      </c>
      <c r="O48" s="218" t="str">
        <f t="shared" ref="O48:O72" ca="1" si="35">IF($J48&lt;&gt;"",VLOOKUP($J48,$A$5:$F$9,3,FALSE),"")</f>
        <v/>
      </c>
      <c r="P48" s="218" t="str">
        <f t="shared" ref="P48:P72" ca="1" si="36">IF($J48&lt;&gt;"",IF(_xlfn.SINGLE(INDIRECT($H48&amp;"!"&amp;$O48))&lt;&gt;"",_xlfn.SINGLE(INDIRECT($H48&amp;"!"&amp;$O48)),""),"")</f>
        <v/>
      </c>
      <c r="Q48" s="218" t="str">
        <f t="shared" ref="Q48:Q72" ca="1" si="37">IF($J48&lt;&gt;"",VLOOKUP($J48,$A$5:$F$9,4,FALSE),"")</f>
        <v/>
      </c>
      <c r="R48" s="218" t="str">
        <f t="shared" ref="R48:R72" ca="1" si="38">IF($J48&lt;&gt;"",IF(_xlfn.SINGLE(INDIRECT($H48&amp;"!"&amp;$Q48))&lt;&gt;"",_xlfn.SINGLE(INDIRECT($H48&amp;"!"&amp;$Q48)),""),"")</f>
        <v/>
      </c>
      <c r="S48" s="218" t="str">
        <f t="shared" ref="S48:S72" ca="1" si="39">IF($J48&lt;&gt;"",VLOOKUP($J48,$A$5:$F$9,5,FALSE),"")</f>
        <v/>
      </c>
      <c r="T48" s="218" t="str">
        <f t="shared" ref="T48:T72" ca="1" si="40">IF($J48&lt;&gt;"",IF(_xlfn.SINGLE(INDIRECT($H48&amp;"!"&amp;$S48))&lt;&gt;"",_xlfn.SINGLE(INDIRECT($H48&amp;"!"&amp;$S48)),""),"")</f>
        <v/>
      </c>
      <c r="U48" s="218" t="str">
        <f t="shared" ref="U48:U72" ca="1" si="41">IF($J48&lt;&gt;"",VLOOKUP($J48,$A$5:$F$9,6,FALSE),"")</f>
        <v/>
      </c>
      <c r="V48" s="219" t="str">
        <f t="shared" ref="V48:V72" ca="1" si="42">IF($J48&lt;&gt;"",IF(_xlfn.SINGLE(INDIRECT($H48&amp;"!"&amp;$U48))&lt;&gt;"",_xlfn.SINGLE(INDIRECT($H48&amp;"!"&amp;$U48)),""),"")</f>
        <v/>
      </c>
      <c r="W48" s="396" t="str">
        <f t="shared" ca="1" si="21"/>
        <v/>
      </c>
      <c r="X48" s="397" t="str">
        <f t="shared" ca="1" si="22"/>
        <v/>
      </c>
      <c r="Y48" s="398" t="str">
        <f t="shared" ca="1" si="27"/>
        <v/>
      </c>
      <c r="Z48" s="398" t="str">
        <f t="shared" ca="1" si="27"/>
        <v/>
      </c>
      <c r="AA48" s="398" t="str">
        <f t="shared" ca="1" si="27"/>
        <v/>
      </c>
      <c r="AB48" s="398" t="str">
        <f t="shared" ca="1" si="27"/>
        <v/>
      </c>
      <c r="AC48" s="398" t="str">
        <f t="shared" ref="AC48:AC72" ca="1" si="43">IF(LEFT($J48,5)="Sonde","",IF($H48&lt;&gt;"",IF(_xlfn.SINGLE(INDIRECT($H48&amp;"!"&amp;$W48&amp;($X48+AC$15+1)))&lt;&gt;"",_xlfn.SINGLE(INDIRECT($H48&amp;"!"&amp;$W48&amp;($X48+AC$15+1))),""),""))</f>
        <v/>
      </c>
      <c r="AD48" s="398" t="str">
        <f t="shared" ca="1" si="31"/>
        <v/>
      </c>
      <c r="AE48" s="398" t="str">
        <f t="shared" ca="1" si="31"/>
        <v/>
      </c>
      <c r="AF48" s="398" t="str">
        <f t="shared" ca="1" si="31"/>
        <v/>
      </c>
      <c r="AG48" s="398" t="str">
        <f t="shared" ca="1" si="31"/>
        <v/>
      </c>
      <c r="AH48" s="398" t="str">
        <f t="shared" ca="1" si="31"/>
        <v/>
      </c>
      <c r="AI48" s="396" t="str">
        <f t="shared" ca="1" si="23"/>
        <v/>
      </c>
      <c r="AJ48" s="397" t="str">
        <f t="shared" ca="1" si="24"/>
        <v/>
      </c>
      <c r="AK48" s="398" t="str">
        <f t="shared" ca="1" si="29"/>
        <v/>
      </c>
      <c r="AL48" s="398" t="str">
        <f t="shared" ca="1" si="29"/>
        <v/>
      </c>
      <c r="AM48" s="398" t="str">
        <f t="shared" ca="1" si="29"/>
        <v/>
      </c>
      <c r="AN48" s="398" t="str">
        <f t="shared" ca="1" si="29"/>
        <v/>
      </c>
      <c r="AO48" s="398" t="str">
        <f t="shared" ref="AO48:AO72" ca="1" si="44">IF(LEFT($J48,5)="Sonde","",IF($H48&lt;&gt;"",IF(_xlfn.SINGLE(INDIRECT($H48&amp;"!"&amp;$AI48&amp;($AJ48+AO$15+1)))&lt;&gt;"",_xlfn.SINGLE(INDIRECT($H48&amp;"!"&amp;$AI48&amp;($AJ48+AO$15+1))),""),""))</f>
        <v/>
      </c>
      <c r="AP48" s="398" t="str">
        <f t="shared" ca="1" si="32"/>
        <v/>
      </c>
      <c r="AQ48" s="398" t="str">
        <f t="shared" ca="1" si="32"/>
        <v/>
      </c>
      <c r="AR48" s="398" t="str">
        <f t="shared" ca="1" si="32"/>
        <v/>
      </c>
      <c r="AS48" s="398" t="str">
        <f t="shared" ca="1" si="32"/>
        <v/>
      </c>
      <c r="AT48" s="398" t="str">
        <f t="shared" ca="1" si="32"/>
        <v/>
      </c>
    </row>
    <row r="49" spans="1:46" s="383" customFormat="1" x14ac:dyDescent="0.4">
      <c r="A49" s="377">
        <v>34</v>
      </c>
      <c r="B49" s="206" t="b">
        <f t="shared" si="16"/>
        <v>0</v>
      </c>
      <c r="C49" s="211" t="str">
        <f t="shared" ca="1" si="17"/>
        <v/>
      </c>
      <c r="D49" s="376" t="str">
        <f t="shared" ca="1" si="18"/>
        <v/>
      </c>
      <c r="E49" s="376" t="str">
        <f t="shared" ca="1" si="19"/>
        <v/>
      </c>
      <c r="F49" s="59" t="str">
        <f t="shared" ca="1" si="20"/>
        <v/>
      </c>
      <c r="G49" s="59" t="str">
        <f t="shared" ca="1" si="20"/>
        <v/>
      </c>
      <c r="H49" s="378" t="str" cm="1">
        <f t="array" aca="1" ref="H49" ca="1">IFERROR(INDEX($C$16:$C$116,SMALL(IF($C$16:$C$116&lt;&gt;"",ROW($C$16:$C$116)-ROW($C$16)+1),ROW(A34))),"")</f>
        <v/>
      </c>
      <c r="I49" s="379" t="str" cm="1">
        <f t="array" aca="1" ref="I49" ca="1">IFERROR(INDEX($D$16:$D$116,SMALL(IF($D$16:$D$116&lt;&gt;"",ROW($D$16:$D$116)-ROW($D$16)+1),ROW(A34))),"")</f>
        <v/>
      </c>
      <c r="J49" s="379" t="str" cm="1">
        <f t="array" aca="1" ref="J49" ca="1">IFERROR(INDEX($E$16:$E$116,SMALL(IF($E$16:$E$116&lt;&gt;"",ROW($E$16:$E$116)-ROW($E$16)+1),ROW(A34))),"")</f>
        <v/>
      </c>
      <c r="K49" s="379" t="str" cm="1">
        <f t="array" aca="1" ref="K49" ca="1">IFERROR(INDEX($F$16:$F$116,SMALL(IF($F$16:$F$116&lt;&gt;"",ROW($F$16:$F$116)-ROW($F$16)+1),ROW(A34))),"")</f>
        <v/>
      </c>
      <c r="L49" s="212" t="str">
        <f t="shared" ca="1" si="33"/>
        <v/>
      </c>
      <c r="M49" s="212" t="str" cm="1">
        <f t="array" aca="1" ref="M49" ca="1">IFERROR(INDEX($G$16:$G$116,SMALL(IF($G$16:$G$116&lt;&gt;"",ROW($G$16:$G$116)-ROW($G$16)+1),ROW(A34))),"")</f>
        <v/>
      </c>
      <c r="N49" s="380" t="str">
        <f t="shared" ca="1" si="34"/>
        <v/>
      </c>
      <c r="O49" s="381" t="str">
        <f t="shared" ca="1" si="35"/>
        <v/>
      </c>
      <c r="P49" s="381" t="str">
        <f t="shared" ca="1" si="36"/>
        <v/>
      </c>
      <c r="Q49" s="381" t="str">
        <f t="shared" ca="1" si="37"/>
        <v/>
      </c>
      <c r="R49" s="381" t="str">
        <f t="shared" ca="1" si="38"/>
        <v/>
      </c>
      <c r="S49" s="381" t="str">
        <f t="shared" ca="1" si="39"/>
        <v/>
      </c>
      <c r="T49" s="381" t="str">
        <f t="shared" ca="1" si="40"/>
        <v/>
      </c>
      <c r="U49" s="381" t="str">
        <f t="shared" ca="1" si="41"/>
        <v/>
      </c>
      <c r="V49" s="382" t="str">
        <f t="shared" ca="1" si="42"/>
        <v/>
      </c>
      <c r="W49" s="396" t="str">
        <f t="shared" ca="1" si="21"/>
        <v/>
      </c>
      <c r="X49" s="399" t="str">
        <f t="shared" ca="1" si="22"/>
        <v/>
      </c>
      <c r="Y49" s="400" t="str">
        <f t="shared" ca="1" si="27"/>
        <v/>
      </c>
      <c r="Z49" s="400" t="str">
        <f t="shared" ca="1" si="27"/>
        <v/>
      </c>
      <c r="AA49" s="400" t="str">
        <f t="shared" ca="1" si="27"/>
        <v/>
      </c>
      <c r="AB49" s="400" t="str">
        <f t="shared" ca="1" si="27"/>
        <v/>
      </c>
      <c r="AC49" s="398" t="str">
        <f t="shared" ca="1" si="43"/>
        <v/>
      </c>
      <c r="AD49" s="398" t="str">
        <f t="shared" ca="1" si="31"/>
        <v/>
      </c>
      <c r="AE49" s="398" t="str">
        <f t="shared" ca="1" si="31"/>
        <v/>
      </c>
      <c r="AF49" s="398" t="str">
        <f t="shared" ca="1" si="31"/>
        <v/>
      </c>
      <c r="AG49" s="398" t="str">
        <f t="shared" ca="1" si="31"/>
        <v/>
      </c>
      <c r="AH49" s="398" t="str">
        <f t="shared" ca="1" si="31"/>
        <v/>
      </c>
      <c r="AI49" s="396" t="str">
        <f t="shared" ca="1" si="23"/>
        <v/>
      </c>
      <c r="AJ49" s="399" t="str">
        <f t="shared" ca="1" si="24"/>
        <v/>
      </c>
      <c r="AK49" s="398" t="str">
        <f t="shared" ca="1" si="29"/>
        <v/>
      </c>
      <c r="AL49" s="398" t="str">
        <f t="shared" ca="1" si="29"/>
        <v/>
      </c>
      <c r="AM49" s="398" t="str">
        <f t="shared" ca="1" si="29"/>
        <v/>
      </c>
      <c r="AN49" s="398" t="str">
        <f t="shared" ca="1" si="29"/>
        <v/>
      </c>
      <c r="AO49" s="398" t="str">
        <f t="shared" ca="1" si="44"/>
        <v/>
      </c>
      <c r="AP49" s="398" t="str">
        <f t="shared" ca="1" si="32"/>
        <v/>
      </c>
      <c r="AQ49" s="398" t="str">
        <f t="shared" ca="1" si="32"/>
        <v/>
      </c>
      <c r="AR49" s="398" t="str">
        <f t="shared" ca="1" si="32"/>
        <v/>
      </c>
      <c r="AS49" s="398" t="str">
        <f t="shared" ca="1" si="32"/>
        <v/>
      </c>
      <c r="AT49" s="398" t="str">
        <f t="shared" ca="1" si="32"/>
        <v/>
      </c>
    </row>
    <row r="50" spans="1:46" x14ac:dyDescent="0.4">
      <c r="A50" s="152">
        <v>35</v>
      </c>
      <c r="B50" s="206" t="b">
        <f t="shared" si="16"/>
        <v>0</v>
      </c>
      <c r="C50" s="211" t="str">
        <f t="shared" ca="1" si="17"/>
        <v/>
      </c>
      <c r="D50" s="376" t="str">
        <f t="shared" ca="1" si="18"/>
        <v/>
      </c>
      <c r="E50" s="376" t="str">
        <f t="shared" ca="1" si="19"/>
        <v/>
      </c>
      <c r="F50" s="59" t="str">
        <f t="shared" ca="1" si="20"/>
        <v/>
      </c>
      <c r="G50" s="59" t="str">
        <f t="shared" ca="1" si="20"/>
        <v/>
      </c>
      <c r="H50" s="213" t="str" cm="1">
        <f t="array" aca="1" ref="H50" ca="1">IFERROR(INDEX($C$16:$C$116,SMALL(IF($C$16:$C$116&lt;&gt;"",ROW($C$16:$C$116)-ROW($C$16)+1),ROW(A35))),"")</f>
        <v/>
      </c>
      <c r="I50" s="212" t="str" cm="1">
        <f t="array" aca="1" ref="I50" ca="1">IFERROR(INDEX($D$16:$D$116,SMALL(IF($D$16:$D$116&lt;&gt;"",ROW($D$16:$D$116)-ROW($D$16)+1),ROW(A35))),"")</f>
        <v/>
      </c>
      <c r="J50" s="212" t="str" cm="1">
        <f t="array" aca="1" ref="J50" ca="1">IFERROR(INDEX($E$16:$E$116,SMALL(IF($E$16:$E$116&lt;&gt;"",ROW($E$16:$E$116)-ROW($E$16)+1),ROW(A35))),"")</f>
        <v/>
      </c>
      <c r="K50" s="212" t="str" cm="1">
        <f t="array" aca="1" ref="K50" ca="1">IFERROR(INDEX($F$16:$F$116,SMALL(IF($F$16:$F$116&lt;&gt;"",ROW($F$16:$F$116)-ROW($F$16)+1),ROW(A35))),"")</f>
        <v/>
      </c>
      <c r="L50" s="212" t="str">
        <f t="shared" ca="1" si="33"/>
        <v/>
      </c>
      <c r="M50" s="212" t="str" cm="1">
        <f t="array" aca="1" ref="M50" ca="1">IFERROR(INDEX($G$16:$G$116,SMALL(IF($G$16:$G$116&lt;&gt;"",ROW($G$16:$G$116)-ROW($G$16)+1),ROW(A35))),"")</f>
        <v/>
      </c>
      <c r="N50" s="217" t="str">
        <f t="shared" ca="1" si="34"/>
        <v/>
      </c>
      <c r="O50" s="218" t="str">
        <f t="shared" ca="1" si="35"/>
        <v/>
      </c>
      <c r="P50" s="218" t="str">
        <f t="shared" ca="1" si="36"/>
        <v/>
      </c>
      <c r="Q50" s="218" t="str">
        <f t="shared" ca="1" si="37"/>
        <v/>
      </c>
      <c r="R50" s="218" t="str">
        <f t="shared" ca="1" si="38"/>
        <v/>
      </c>
      <c r="S50" s="218" t="str">
        <f t="shared" ca="1" si="39"/>
        <v/>
      </c>
      <c r="T50" s="218" t="str">
        <f t="shared" ca="1" si="40"/>
        <v/>
      </c>
      <c r="U50" s="218" t="str">
        <f t="shared" ca="1" si="41"/>
        <v/>
      </c>
      <c r="V50" s="219" t="str">
        <f t="shared" ca="1" si="42"/>
        <v/>
      </c>
      <c r="W50" s="396" t="str">
        <f t="shared" ca="1" si="21"/>
        <v/>
      </c>
      <c r="X50" s="397" t="str">
        <f t="shared" ca="1" si="22"/>
        <v/>
      </c>
      <c r="Y50" s="398" t="str">
        <f t="shared" ca="1" si="27"/>
        <v/>
      </c>
      <c r="Z50" s="398" t="str">
        <f t="shared" ca="1" si="27"/>
        <v/>
      </c>
      <c r="AA50" s="398" t="str">
        <f t="shared" ca="1" si="27"/>
        <v/>
      </c>
      <c r="AB50" s="398" t="str">
        <f t="shared" ca="1" si="27"/>
        <v/>
      </c>
      <c r="AC50" s="398" t="str">
        <f t="shared" ca="1" si="43"/>
        <v/>
      </c>
      <c r="AD50" s="398" t="str">
        <f t="shared" ca="1" si="31"/>
        <v/>
      </c>
      <c r="AE50" s="398" t="str">
        <f t="shared" ca="1" si="31"/>
        <v/>
      </c>
      <c r="AF50" s="398" t="str">
        <f t="shared" ca="1" si="31"/>
        <v/>
      </c>
      <c r="AG50" s="398" t="str">
        <f t="shared" ca="1" si="31"/>
        <v/>
      </c>
      <c r="AH50" s="398" t="str">
        <f t="shared" ca="1" si="31"/>
        <v/>
      </c>
      <c r="AI50" s="396" t="str">
        <f t="shared" ca="1" si="23"/>
        <v/>
      </c>
      <c r="AJ50" s="397" t="str">
        <f t="shared" ca="1" si="24"/>
        <v/>
      </c>
      <c r="AK50" s="398" t="str">
        <f t="shared" ca="1" si="29"/>
        <v/>
      </c>
      <c r="AL50" s="398" t="str">
        <f t="shared" ca="1" si="29"/>
        <v/>
      </c>
      <c r="AM50" s="398" t="str">
        <f t="shared" ca="1" si="29"/>
        <v/>
      </c>
      <c r="AN50" s="398" t="str">
        <f t="shared" ca="1" si="29"/>
        <v/>
      </c>
      <c r="AO50" s="398" t="str">
        <f t="shared" ca="1" si="44"/>
        <v/>
      </c>
      <c r="AP50" s="398" t="str">
        <f t="shared" ca="1" si="32"/>
        <v/>
      </c>
      <c r="AQ50" s="398" t="str">
        <f t="shared" ca="1" si="32"/>
        <v/>
      </c>
      <c r="AR50" s="398" t="str">
        <f t="shared" ca="1" si="32"/>
        <v/>
      </c>
      <c r="AS50" s="398" t="str">
        <f t="shared" ca="1" si="32"/>
        <v/>
      </c>
      <c r="AT50" s="398" t="str">
        <f t="shared" ca="1" si="32"/>
        <v/>
      </c>
    </row>
    <row r="51" spans="1:46" x14ac:dyDescent="0.4">
      <c r="A51" s="152">
        <v>36</v>
      </c>
      <c r="B51" s="206" t="b">
        <f t="shared" si="16"/>
        <v>0</v>
      </c>
      <c r="C51" s="211" t="str">
        <f t="shared" ca="1" si="17"/>
        <v/>
      </c>
      <c r="D51" s="376" t="str">
        <f t="shared" ca="1" si="18"/>
        <v/>
      </c>
      <c r="E51" s="376" t="str">
        <f t="shared" ca="1" si="19"/>
        <v/>
      </c>
      <c r="F51" s="59" t="str">
        <f t="shared" ca="1" si="20"/>
        <v/>
      </c>
      <c r="G51" s="59" t="str">
        <f t="shared" ca="1" si="20"/>
        <v/>
      </c>
      <c r="H51" s="213" t="str" cm="1">
        <f t="array" aca="1" ref="H51" ca="1">IFERROR(INDEX($C$16:$C$116,SMALL(IF($C$16:$C$116&lt;&gt;"",ROW($C$16:$C$116)-ROW($C$16)+1),ROW(A36))),"")</f>
        <v/>
      </c>
      <c r="I51" s="212" t="str" cm="1">
        <f t="array" aca="1" ref="I51" ca="1">IFERROR(INDEX($D$16:$D$116,SMALL(IF($D$16:$D$116&lt;&gt;"",ROW($D$16:$D$116)-ROW($D$16)+1),ROW(A36))),"")</f>
        <v/>
      </c>
      <c r="J51" s="212" t="str" cm="1">
        <f t="array" aca="1" ref="J51" ca="1">IFERROR(INDEX($E$16:$E$116,SMALL(IF($E$16:$E$116&lt;&gt;"",ROW($E$16:$E$116)-ROW($E$16)+1),ROW(A36))),"")</f>
        <v/>
      </c>
      <c r="K51" s="212" t="str" cm="1">
        <f t="array" aca="1" ref="K51" ca="1">IFERROR(INDEX($F$16:$F$116,SMALL(IF($F$16:$F$116&lt;&gt;"",ROW($F$16:$F$116)-ROW($F$16)+1),ROW(A36))),"")</f>
        <v/>
      </c>
      <c r="L51" s="212" t="str">
        <f t="shared" ca="1" si="33"/>
        <v/>
      </c>
      <c r="M51" s="212" t="str" cm="1">
        <f t="array" aca="1" ref="M51" ca="1">IFERROR(INDEX($G$16:$G$116,SMALL(IF($G$16:$G$116&lt;&gt;"",ROW($G$16:$G$116)-ROW($G$16)+1),ROW(A36))),"")</f>
        <v/>
      </c>
      <c r="N51" s="217" t="str">
        <f t="shared" ca="1" si="34"/>
        <v/>
      </c>
      <c r="O51" s="218" t="str">
        <f t="shared" ca="1" si="35"/>
        <v/>
      </c>
      <c r="P51" s="218" t="str">
        <f t="shared" ca="1" si="36"/>
        <v/>
      </c>
      <c r="Q51" s="218" t="str">
        <f t="shared" ca="1" si="37"/>
        <v/>
      </c>
      <c r="R51" s="218" t="str">
        <f t="shared" ca="1" si="38"/>
        <v/>
      </c>
      <c r="S51" s="218" t="str">
        <f t="shared" ca="1" si="39"/>
        <v/>
      </c>
      <c r="T51" s="218" t="str">
        <f t="shared" ca="1" si="40"/>
        <v/>
      </c>
      <c r="U51" s="218" t="str">
        <f t="shared" ca="1" si="41"/>
        <v/>
      </c>
      <c r="V51" s="219" t="str">
        <f t="shared" ca="1" si="42"/>
        <v/>
      </c>
      <c r="W51" s="396" t="str">
        <f t="shared" ca="1" si="21"/>
        <v/>
      </c>
      <c r="X51" s="397" t="str">
        <f t="shared" ca="1" si="22"/>
        <v/>
      </c>
      <c r="Y51" s="398" t="str">
        <f t="shared" ca="1" si="27"/>
        <v/>
      </c>
      <c r="Z51" s="398" t="str">
        <f t="shared" ca="1" si="27"/>
        <v/>
      </c>
      <c r="AA51" s="398" t="str">
        <f t="shared" ca="1" si="27"/>
        <v/>
      </c>
      <c r="AB51" s="398" t="str">
        <f t="shared" ca="1" si="27"/>
        <v/>
      </c>
      <c r="AC51" s="398" t="str">
        <f t="shared" ca="1" si="43"/>
        <v/>
      </c>
      <c r="AD51" s="398" t="str">
        <f t="shared" ca="1" si="31"/>
        <v/>
      </c>
      <c r="AE51" s="398" t="str">
        <f t="shared" ca="1" si="31"/>
        <v/>
      </c>
      <c r="AF51" s="398" t="str">
        <f t="shared" ca="1" si="31"/>
        <v/>
      </c>
      <c r="AG51" s="398" t="str">
        <f t="shared" ca="1" si="31"/>
        <v/>
      </c>
      <c r="AH51" s="398" t="str">
        <f t="shared" ca="1" si="31"/>
        <v/>
      </c>
      <c r="AI51" s="396" t="str">
        <f t="shared" ca="1" si="23"/>
        <v/>
      </c>
      <c r="AJ51" s="397" t="str">
        <f t="shared" ca="1" si="24"/>
        <v/>
      </c>
      <c r="AK51" s="398" t="str">
        <f t="shared" ca="1" si="29"/>
        <v/>
      </c>
      <c r="AL51" s="398" t="str">
        <f t="shared" ca="1" si="29"/>
        <v/>
      </c>
      <c r="AM51" s="398" t="str">
        <f t="shared" ca="1" si="29"/>
        <v/>
      </c>
      <c r="AN51" s="398" t="str">
        <f t="shared" ca="1" si="29"/>
        <v/>
      </c>
      <c r="AO51" s="398" t="str">
        <f t="shared" ca="1" si="44"/>
        <v/>
      </c>
      <c r="AP51" s="398" t="str">
        <f t="shared" ca="1" si="32"/>
        <v/>
      </c>
      <c r="AQ51" s="398" t="str">
        <f t="shared" ca="1" si="32"/>
        <v/>
      </c>
      <c r="AR51" s="398" t="str">
        <f t="shared" ca="1" si="32"/>
        <v/>
      </c>
      <c r="AS51" s="398" t="str">
        <f t="shared" ca="1" si="32"/>
        <v/>
      </c>
      <c r="AT51" s="398" t="str">
        <f t="shared" ca="1" si="32"/>
        <v/>
      </c>
    </row>
    <row r="52" spans="1:46" x14ac:dyDescent="0.4">
      <c r="A52" s="152">
        <v>37</v>
      </c>
      <c r="B52" s="206" t="b">
        <f t="shared" si="16"/>
        <v>0</v>
      </c>
      <c r="C52" s="211" t="str">
        <f t="shared" ca="1" si="17"/>
        <v/>
      </c>
      <c r="D52" s="376" t="str">
        <f t="shared" ca="1" si="18"/>
        <v/>
      </c>
      <c r="E52" s="376" t="str">
        <f t="shared" ca="1" si="19"/>
        <v/>
      </c>
      <c r="F52" s="59" t="str">
        <f t="shared" ca="1" si="20"/>
        <v/>
      </c>
      <c r="G52" s="59" t="str">
        <f t="shared" ca="1" si="20"/>
        <v/>
      </c>
      <c r="H52" s="213" t="str" cm="1">
        <f t="array" aca="1" ref="H52" ca="1">IFERROR(INDEX($C$16:$C$116,SMALL(IF($C$16:$C$116&lt;&gt;"",ROW($C$16:$C$116)-ROW($C$16)+1),ROW(A37))),"")</f>
        <v/>
      </c>
      <c r="I52" s="212" t="str" cm="1">
        <f t="array" aca="1" ref="I52" ca="1">IFERROR(INDEX($D$16:$D$116,SMALL(IF($D$16:$D$116&lt;&gt;"",ROW($D$16:$D$116)-ROW($D$16)+1),ROW(A37))),"")</f>
        <v/>
      </c>
      <c r="J52" s="212" t="str" cm="1">
        <f t="array" aca="1" ref="J52" ca="1">IFERROR(INDEX($E$16:$E$116,SMALL(IF($E$16:$E$116&lt;&gt;"",ROW($E$16:$E$116)-ROW($E$16)+1),ROW(A37))),"")</f>
        <v/>
      </c>
      <c r="K52" s="212" t="str" cm="1">
        <f t="array" aca="1" ref="K52" ca="1">IFERROR(INDEX($F$16:$F$116,SMALL(IF($F$16:$F$116&lt;&gt;"",ROW($F$16:$F$116)-ROW($F$16)+1),ROW(A37))),"")</f>
        <v/>
      </c>
      <c r="L52" s="212" t="str">
        <f t="shared" ca="1" si="33"/>
        <v/>
      </c>
      <c r="M52" s="212" t="str" cm="1">
        <f t="array" aca="1" ref="M52" ca="1">IFERROR(INDEX($G$16:$G$116,SMALL(IF($G$16:$G$116&lt;&gt;"",ROW($G$16:$G$116)-ROW($G$16)+1),ROW(A37))),"")</f>
        <v/>
      </c>
      <c r="N52" s="217" t="str">
        <f t="shared" ca="1" si="34"/>
        <v/>
      </c>
      <c r="O52" s="218" t="str">
        <f t="shared" ca="1" si="35"/>
        <v/>
      </c>
      <c r="P52" s="218" t="str">
        <f t="shared" ca="1" si="36"/>
        <v/>
      </c>
      <c r="Q52" s="218" t="str">
        <f t="shared" ca="1" si="37"/>
        <v/>
      </c>
      <c r="R52" s="218" t="str">
        <f t="shared" ca="1" si="38"/>
        <v/>
      </c>
      <c r="S52" s="218" t="str">
        <f t="shared" ca="1" si="39"/>
        <v/>
      </c>
      <c r="T52" s="218" t="str">
        <f t="shared" ca="1" si="40"/>
        <v/>
      </c>
      <c r="U52" s="218" t="str">
        <f t="shared" ca="1" si="41"/>
        <v/>
      </c>
      <c r="V52" s="219" t="str">
        <f t="shared" ca="1" si="42"/>
        <v/>
      </c>
      <c r="W52" s="396" t="str">
        <f t="shared" ca="1" si="21"/>
        <v/>
      </c>
      <c r="X52" s="397" t="str">
        <f t="shared" ca="1" si="22"/>
        <v/>
      </c>
      <c r="Y52" s="398" t="str">
        <f t="shared" ca="1" si="27"/>
        <v/>
      </c>
      <c r="Z52" s="398" t="str">
        <f t="shared" ca="1" si="27"/>
        <v/>
      </c>
      <c r="AA52" s="398" t="str">
        <f t="shared" ca="1" si="27"/>
        <v/>
      </c>
      <c r="AB52" s="398" t="str">
        <f t="shared" ca="1" si="27"/>
        <v/>
      </c>
      <c r="AC52" s="398" t="str">
        <f t="shared" ca="1" si="43"/>
        <v/>
      </c>
      <c r="AD52" s="398" t="str">
        <f t="shared" ca="1" si="31"/>
        <v/>
      </c>
      <c r="AE52" s="398" t="str">
        <f t="shared" ca="1" si="31"/>
        <v/>
      </c>
      <c r="AF52" s="398" t="str">
        <f t="shared" ca="1" si="31"/>
        <v/>
      </c>
      <c r="AG52" s="398" t="str">
        <f t="shared" ca="1" si="31"/>
        <v/>
      </c>
      <c r="AH52" s="398" t="str">
        <f t="shared" ca="1" si="31"/>
        <v/>
      </c>
      <c r="AI52" s="396" t="str">
        <f t="shared" ca="1" si="23"/>
        <v/>
      </c>
      <c r="AJ52" s="397" t="str">
        <f t="shared" ca="1" si="24"/>
        <v/>
      </c>
      <c r="AK52" s="398" t="str">
        <f t="shared" ca="1" si="29"/>
        <v/>
      </c>
      <c r="AL52" s="398" t="str">
        <f t="shared" ca="1" si="29"/>
        <v/>
      </c>
      <c r="AM52" s="398" t="str">
        <f t="shared" ca="1" si="29"/>
        <v/>
      </c>
      <c r="AN52" s="398" t="str">
        <f t="shared" ca="1" si="29"/>
        <v/>
      </c>
      <c r="AO52" s="398" t="str">
        <f t="shared" ca="1" si="44"/>
        <v/>
      </c>
      <c r="AP52" s="398" t="str">
        <f t="shared" ca="1" si="32"/>
        <v/>
      </c>
      <c r="AQ52" s="398" t="str">
        <f t="shared" ca="1" si="32"/>
        <v/>
      </c>
      <c r="AR52" s="398" t="str">
        <f t="shared" ca="1" si="32"/>
        <v/>
      </c>
      <c r="AS52" s="398" t="str">
        <f t="shared" ca="1" si="32"/>
        <v/>
      </c>
      <c r="AT52" s="398" t="str">
        <f t="shared" ca="1" si="32"/>
        <v/>
      </c>
    </row>
    <row r="53" spans="1:46" x14ac:dyDescent="0.4">
      <c r="A53" s="152">
        <v>38</v>
      </c>
      <c r="B53" s="206" t="b">
        <f t="shared" si="16"/>
        <v>0</v>
      </c>
      <c r="C53" s="211" t="str">
        <f t="shared" ca="1" si="17"/>
        <v/>
      </c>
      <c r="D53" s="376" t="str">
        <f t="shared" ca="1" si="18"/>
        <v/>
      </c>
      <c r="E53" s="376" t="str">
        <f t="shared" ca="1" si="19"/>
        <v/>
      </c>
      <c r="F53" s="59" t="str">
        <f t="shared" ca="1" si="20"/>
        <v/>
      </c>
      <c r="G53" s="59" t="str">
        <f t="shared" ca="1" si="20"/>
        <v/>
      </c>
      <c r="H53" s="213" t="str" cm="1">
        <f t="array" aca="1" ref="H53" ca="1">IFERROR(INDEX($C$16:$C$116,SMALL(IF($C$16:$C$116&lt;&gt;"",ROW($C$16:$C$116)-ROW($C$16)+1),ROW(A38))),"")</f>
        <v/>
      </c>
      <c r="I53" s="212" t="str" cm="1">
        <f t="array" aca="1" ref="I53" ca="1">IFERROR(INDEX($D$16:$D$116,SMALL(IF($D$16:$D$116&lt;&gt;"",ROW($D$16:$D$116)-ROW($D$16)+1),ROW(A38))),"")</f>
        <v/>
      </c>
      <c r="J53" s="212" t="str" cm="1">
        <f t="array" aca="1" ref="J53" ca="1">IFERROR(INDEX($E$16:$E$116,SMALL(IF($E$16:$E$116&lt;&gt;"",ROW($E$16:$E$116)-ROW($E$16)+1),ROW(A38))),"")</f>
        <v/>
      </c>
      <c r="K53" s="212" t="str" cm="1">
        <f t="array" aca="1" ref="K53" ca="1">IFERROR(INDEX($F$16:$F$116,SMALL(IF($F$16:$F$116&lt;&gt;"",ROW($F$16:$F$116)-ROW($F$16)+1),ROW(A38))),"")</f>
        <v/>
      </c>
      <c r="L53" s="212" t="str">
        <f t="shared" ca="1" si="33"/>
        <v/>
      </c>
      <c r="M53" s="212" t="str" cm="1">
        <f t="array" aca="1" ref="M53" ca="1">IFERROR(INDEX($G$16:$G$116,SMALL(IF($G$16:$G$116&lt;&gt;"",ROW($G$16:$G$116)-ROW($G$16)+1),ROW(A38))),"")</f>
        <v/>
      </c>
      <c r="N53" s="217" t="str">
        <f t="shared" ca="1" si="34"/>
        <v/>
      </c>
      <c r="O53" s="218" t="str">
        <f t="shared" ca="1" si="35"/>
        <v/>
      </c>
      <c r="P53" s="218" t="str">
        <f t="shared" ca="1" si="36"/>
        <v/>
      </c>
      <c r="Q53" s="218" t="str">
        <f t="shared" ca="1" si="37"/>
        <v/>
      </c>
      <c r="R53" s="218" t="str">
        <f t="shared" ca="1" si="38"/>
        <v/>
      </c>
      <c r="S53" s="218" t="str">
        <f t="shared" ca="1" si="39"/>
        <v/>
      </c>
      <c r="T53" s="218" t="str">
        <f t="shared" ca="1" si="40"/>
        <v/>
      </c>
      <c r="U53" s="218" t="str">
        <f t="shared" ca="1" si="41"/>
        <v/>
      </c>
      <c r="V53" s="219" t="str">
        <f t="shared" ca="1" si="42"/>
        <v/>
      </c>
      <c r="W53" s="396" t="str">
        <f t="shared" ca="1" si="21"/>
        <v/>
      </c>
      <c r="X53" s="397" t="str">
        <f t="shared" ca="1" si="22"/>
        <v/>
      </c>
      <c r="Y53" s="398" t="str">
        <f t="shared" ca="1" si="27"/>
        <v/>
      </c>
      <c r="Z53" s="398" t="str">
        <f t="shared" ca="1" si="27"/>
        <v/>
      </c>
      <c r="AA53" s="398" t="str">
        <f t="shared" ca="1" si="27"/>
        <v/>
      </c>
      <c r="AB53" s="398" t="str">
        <f t="shared" ca="1" si="27"/>
        <v/>
      </c>
      <c r="AC53" s="398" t="str">
        <f t="shared" ca="1" si="43"/>
        <v/>
      </c>
      <c r="AD53" s="398" t="str">
        <f t="shared" ca="1" si="31"/>
        <v/>
      </c>
      <c r="AE53" s="398" t="str">
        <f t="shared" ca="1" si="31"/>
        <v/>
      </c>
      <c r="AF53" s="398" t="str">
        <f t="shared" ca="1" si="31"/>
        <v/>
      </c>
      <c r="AG53" s="398" t="str">
        <f t="shared" ca="1" si="31"/>
        <v/>
      </c>
      <c r="AH53" s="398" t="str">
        <f t="shared" ca="1" si="31"/>
        <v/>
      </c>
      <c r="AI53" s="396" t="str">
        <f t="shared" ca="1" si="23"/>
        <v/>
      </c>
      <c r="AJ53" s="397" t="str">
        <f t="shared" ca="1" si="24"/>
        <v/>
      </c>
      <c r="AK53" s="398" t="str">
        <f t="shared" ca="1" si="29"/>
        <v/>
      </c>
      <c r="AL53" s="398" t="str">
        <f t="shared" ca="1" si="29"/>
        <v/>
      </c>
      <c r="AM53" s="398" t="str">
        <f t="shared" ca="1" si="29"/>
        <v/>
      </c>
      <c r="AN53" s="398" t="str">
        <f t="shared" ca="1" si="29"/>
        <v/>
      </c>
      <c r="AO53" s="398" t="str">
        <f t="shared" ca="1" si="44"/>
        <v/>
      </c>
      <c r="AP53" s="398" t="str">
        <f t="shared" ca="1" si="32"/>
        <v/>
      </c>
      <c r="AQ53" s="398" t="str">
        <f t="shared" ca="1" si="32"/>
        <v/>
      </c>
      <c r="AR53" s="398" t="str">
        <f t="shared" ca="1" si="32"/>
        <v/>
      </c>
      <c r="AS53" s="398" t="str">
        <f t="shared" ca="1" si="32"/>
        <v/>
      </c>
      <c r="AT53" s="398" t="str">
        <f t="shared" ca="1" si="32"/>
        <v/>
      </c>
    </row>
    <row r="54" spans="1:46" x14ac:dyDescent="0.4">
      <c r="A54" s="152">
        <v>39</v>
      </c>
      <c r="B54" s="206" t="b">
        <f t="shared" si="16"/>
        <v>0</v>
      </c>
      <c r="C54" s="211" t="str">
        <f t="shared" ca="1" si="17"/>
        <v/>
      </c>
      <c r="D54" s="376" t="str">
        <f t="shared" ca="1" si="18"/>
        <v/>
      </c>
      <c r="E54" s="376" t="str">
        <f t="shared" ca="1" si="19"/>
        <v/>
      </c>
      <c r="F54" s="59" t="str">
        <f t="shared" ca="1" si="20"/>
        <v/>
      </c>
      <c r="G54" s="59" t="str">
        <f t="shared" ca="1" si="20"/>
        <v/>
      </c>
      <c r="H54" s="213" t="str" cm="1">
        <f t="array" aca="1" ref="H54" ca="1">IFERROR(INDEX($C$16:$C$116,SMALL(IF($C$16:$C$116&lt;&gt;"",ROW($C$16:$C$116)-ROW($C$16)+1),ROW(A39))),"")</f>
        <v/>
      </c>
      <c r="I54" s="212" t="str" cm="1">
        <f t="array" aca="1" ref="I54" ca="1">IFERROR(INDEX($D$16:$D$116,SMALL(IF($D$16:$D$116&lt;&gt;"",ROW($D$16:$D$116)-ROW($D$16)+1),ROW(A39))),"")</f>
        <v/>
      </c>
      <c r="J54" s="212" t="str" cm="1">
        <f t="array" aca="1" ref="J54" ca="1">IFERROR(INDEX($E$16:$E$116,SMALL(IF($E$16:$E$116&lt;&gt;"",ROW($E$16:$E$116)-ROW($E$16)+1),ROW(A39))),"")</f>
        <v/>
      </c>
      <c r="K54" s="212" t="str" cm="1">
        <f t="array" aca="1" ref="K54" ca="1">IFERROR(INDEX($F$16:$F$116,SMALL(IF($F$16:$F$116&lt;&gt;"",ROW($F$16:$F$116)-ROW($F$16)+1),ROW(A39))),"")</f>
        <v/>
      </c>
      <c r="L54" s="212" t="str">
        <f t="shared" ca="1" si="33"/>
        <v/>
      </c>
      <c r="M54" s="212" t="str" cm="1">
        <f t="array" aca="1" ref="M54" ca="1">IFERROR(INDEX($G$16:$G$116,SMALL(IF($G$16:$G$116&lt;&gt;"",ROW($G$16:$G$116)-ROW($G$16)+1),ROW(A39))),"")</f>
        <v/>
      </c>
      <c r="N54" s="217" t="str">
        <f t="shared" ca="1" si="34"/>
        <v/>
      </c>
      <c r="O54" s="218" t="str">
        <f t="shared" ca="1" si="35"/>
        <v/>
      </c>
      <c r="P54" s="218" t="str">
        <f t="shared" ca="1" si="36"/>
        <v/>
      </c>
      <c r="Q54" s="218" t="str">
        <f t="shared" ca="1" si="37"/>
        <v/>
      </c>
      <c r="R54" s="218" t="str">
        <f t="shared" ca="1" si="38"/>
        <v/>
      </c>
      <c r="S54" s="218" t="str">
        <f t="shared" ca="1" si="39"/>
        <v/>
      </c>
      <c r="T54" s="218" t="str">
        <f t="shared" ca="1" si="40"/>
        <v/>
      </c>
      <c r="U54" s="218" t="str">
        <f t="shared" ca="1" si="41"/>
        <v/>
      </c>
      <c r="V54" s="219" t="str">
        <f t="shared" ca="1" si="42"/>
        <v/>
      </c>
      <c r="W54" s="396" t="str">
        <f t="shared" ca="1" si="21"/>
        <v/>
      </c>
      <c r="X54" s="397" t="str">
        <f t="shared" ca="1" si="22"/>
        <v/>
      </c>
      <c r="Y54" s="398" t="str">
        <f t="shared" ca="1" si="27"/>
        <v/>
      </c>
      <c r="Z54" s="398" t="str">
        <f t="shared" ca="1" si="27"/>
        <v/>
      </c>
      <c r="AA54" s="398" t="str">
        <f t="shared" ca="1" si="27"/>
        <v/>
      </c>
      <c r="AB54" s="398" t="str">
        <f t="shared" ca="1" si="27"/>
        <v/>
      </c>
      <c r="AC54" s="398" t="str">
        <f t="shared" ca="1" si="43"/>
        <v/>
      </c>
      <c r="AD54" s="398" t="str">
        <f t="shared" ca="1" si="31"/>
        <v/>
      </c>
      <c r="AE54" s="398" t="str">
        <f t="shared" ca="1" si="31"/>
        <v/>
      </c>
      <c r="AF54" s="398" t="str">
        <f t="shared" ca="1" si="31"/>
        <v/>
      </c>
      <c r="AG54" s="398" t="str">
        <f t="shared" ca="1" si="31"/>
        <v/>
      </c>
      <c r="AH54" s="398" t="str">
        <f t="shared" ca="1" si="31"/>
        <v/>
      </c>
      <c r="AI54" s="396" t="str">
        <f t="shared" ca="1" si="23"/>
        <v/>
      </c>
      <c r="AJ54" s="397" t="str">
        <f t="shared" ca="1" si="24"/>
        <v/>
      </c>
      <c r="AK54" s="398" t="str">
        <f t="shared" ca="1" si="29"/>
        <v/>
      </c>
      <c r="AL54" s="398" t="str">
        <f t="shared" ca="1" si="29"/>
        <v/>
      </c>
      <c r="AM54" s="398" t="str">
        <f t="shared" ca="1" si="29"/>
        <v/>
      </c>
      <c r="AN54" s="398" t="str">
        <f t="shared" ca="1" si="29"/>
        <v/>
      </c>
      <c r="AO54" s="398" t="str">
        <f t="shared" ca="1" si="44"/>
        <v/>
      </c>
      <c r="AP54" s="398" t="str">
        <f t="shared" ca="1" si="32"/>
        <v/>
      </c>
      <c r="AQ54" s="398" t="str">
        <f t="shared" ca="1" si="32"/>
        <v/>
      </c>
      <c r="AR54" s="398" t="str">
        <f t="shared" ca="1" si="32"/>
        <v/>
      </c>
      <c r="AS54" s="398" t="str">
        <f t="shared" ca="1" si="32"/>
        <v/>
      </c>
      <c r="AT54" s="398" t="str">
        <f t="shared" ca="1" si="32"/>
        <v/>
      </c>
    </row>
    <row r="55" spans="1:46" x14ac:dyDescent="0.4">
      <c r="A55" s="152">
        <v>40</v>
      </c>
      <c r="B55" s="206" t="b">
        <f t="shared" si="16"/>
        <v>0</v>
      </c>
      <c r="C55" s="211" t="str">
        <f t="shared" ca="1" si="17"/>
        <v/>
      </c>
      <c r="D55" s="376" t="str">
        <f t="shared" ca="1" si="18"/>
        <v/>
      </c>
      <c r="E55" s="376" t="str">
        <f t="shared" ca="1" si="19"/>
        <v/>
      </c>
      <c r="F55" s="59" t="str">
        <f t="shared" ca="1" si="20"/>
        <v/>
      </c>
      <c r="G55" s="59" t="str">
        <f t="shared" ca="1" si="20"/>
        <v/>
      </c>
      <c r="H55" s="213" t="str" cm="1">
        <f t="array" aca="1" ref="H55" ca="1">IFERROR(INDEX($C$16:$C$116,SMALL(IF($C$16:$C$116&lt;&gt;"",ROW($C$16:$C$116)-ROW($C$16)+1),ROW(A40))),"")</f>
        <v/>
      </c>
      <c r="I55" s="212" t="str" cm="1">
        <f t="array" aca="1" ref="I55" ca="1">IFERROR(INDEX($D$16:$D$116,SMALL(IF($D$16:$D$116&lt;&gt;"",ROW($D$16:$D$116)-ROW($D$16)+1),ROW(A40))),"")</f>
        <v/>
      </c>
      <c r="J55" s="212" t="str" cm="1">
        <f t="array" aca="1" ref="J55" ca="1">IFERROR(INDEX($E$16:$E$116,SMALL(IF($E$16:$E$116&lt;&gt;"",ROW($E$16:$E$116)-ROW($E$16)+1),ROW(A40))),"")</f>
        <v/>
      </c>
      <c r="K55" s="212" t="str" cm="1">
        <f t="array" aca="1" ref="K55" ca="1">IFERROR(INDEX($F$16:$F$116,SMALL(IF($F$16:$F$116&lt;&gt;"",ROW($F$16:$F$116)-ROW($F$16)+1),ROW(A40))),"")</f>
        <v/>
      </c>
      <c r="L55" s="212" t="str">
        <f t="shared" ca="1" si="33"/>
        <v/>
      </c>
      <c r="M55" s="212" t="str" cm="1">
        <f t="array" aca="1" ref="M55" ca="1">IFERROR(INDEX($G$16:$G$116,SMALL(IF($G$16:$G$116&lt;&gt;"",ROW($G$16:$G$116)-ROW($G$16)+1),ROW(A40))),"")</f>
        <v/>
      </c>
      <c r="N55" s="217" t="str">
        <f t="shared" ca="1" si="34"/>
        <v/>
      </c>
      <c r="O55" s="218" t="str">
        <f t="shared" ca="1" si="35"/>
        <v/>
      </c>
      <c r="P55" s="218" t="str">
        <f t="shared" ca="1" si="36"/>
        <v/>
      </c>
      <c r="Q55" s="218" t="str">
        <f t="shared" ca="1" si="37"/>
        <v/>
      </c>
      <c r="R55" s="218" t="str">
        <f t="shared" ca="1" si="38"/>
        <v/>
      </c>
      <c r="S55" s="218" t="str">
        <f t="shared" ca="1" si="39"/>
        <v/>
      </c>
      <c r="T55" s="218" t="str">
        <f t="shared" ca="1" si="40"/>
        <v/>
      </c>
      <c r="U55" s="218" t="str">
        <f t="shared" ca="1" si="41"/>
        <v/>
      </c>
      <c r="V55" s="219" t="str">
        <f t="shared" ca="1" si="42"/>
        <v/>
      </c>
      <c r="W55" s="396" t="str">
        <f t="shared" ca="1" si="21"/>
        <v/>
      </c>
      <c r="X55" s="397" t="str">
        <f t="shared" ca="1" si="22"/>
        <v/>
      </c>
      <c r="Y55" s="398" t="str">
        <f t="shared" ca="1" si="27"/>
        <v/>
      </c>
      <c r="Z55" s="398" t="str">
        <f t="shared" ca="1" si="27"/>
        <v/>
      </c>
      <c r="AA55" s="398" t="str">
        <f t="shared" ca="1" si="27"/>
        <v/>
      </c>
      <c r="AB55" s="398" t="str">
        <f t="shared" ca="1" si="27"/>
        <v/>
      </c>
      <c r="AC55" s="398" t="str">
        <f t="shared" ca="1" si="43"/>
        <v/>
      </c>
      <c r="AD55" s="398" t="str">
        <f t="shared" ca="1" si="31"/>
        <v/>
      </c>
      <c r="AE55" s="398" t="str">
        <f t="shared" ca="1" si="31"/>
        <v/>
      </c>
      <c r="AF55" s="398" t="str">
        <f t="shared" ca="1" si="31"/>
        <v/>
      </c>
      <c r="AG55" s="398" t="str">
        <f t="shared" ca="1" si="31"/>
        <v/>
      </c>
      <c r="AH55" s="398" t="str">
        <f t="shared" ca="1" si="31"/>
        <v/>
      </c>
      <c r="AI55" s="396" t="str">
        <f t="shared" ca="1" si="23"/>
        <v/>
      </c>
      <c r="AJ55" s="397" t="str">
        <f t="shared" ca="1" si="24"/>
        <v/>
      </c>
      <c r="AK55" s="398" t="str">
        <f t="shared" ca="1" si="29"/>
        <v/>
      </c>
      <c r="AL55" s="398" t="str">
        <f t="shared" ca="1" si="29"/>
        <v/>
      </c>
      <c r="AM55" s="398" t="str">
        <f t="shared" ca="1" si="29"/>
        <v/>
      </c>
      <c r="AN55" s="398" t="str">
        <f t="shared" ca="1" si="29"/>
        <v/>
      </c>
      <c r="AO55" s="398" t="str">
        <f t="shared" ca="1" si="44"/>
        <v/>
      </c>
      <c r="AP55" s="398" t="str">
        <f t="shared" ca="1" si="32"/>
        <v/>
      </c>
      <c r="AQ55" s="398" t="str">
        <f t="shared" ca="1" si="32"/>
        <v/>
      </c>
      <c r="AR55" s="398" t="str">
        <f t="shared" ca="1" si="32"/>
        <v/>
      </c>
      <c r="AS55" s="398" t="str">
        <f t="shared" ca="1" si="32"/>
        <v/>
      </c>
      <c r="AT55" s="398" t="str">
        <f t="shared" ca="1" si="32"/>
        <v/>
      </c>
    </row>
    <row r="56" spans="1:46" x14ac:dyDescent="0.4">
      <c r="A56" s="152">
        <v>41</v>
      </c>
      <c r="B56" s="206" t="b">
        <f t="shared" si="16"/>
        <v>0</v>
      </c>
      <c r="C56" s="211" t="str">
        <f t="shared" ca="1" si="17"/>
        <v/>
      </c>
      <c r="D56" s="376" t="str">
        <f t="shared" ca="1" si="18"/>
        <v/>
      </c>
      <c r="E56" s="376" t="str">
        <f t="shared" ca="1" si="19"/>
        <v/>
      </c>
      <c r="F56" s="59" t="str">
        <f t="shared" ca="1" si="20"/>
        <v/>
      </c>
      <c r="G56" s="59" t="str">
        <f t="shared" ca="1" si="20"/>
        <v/>
      </c>
      <c r="H56" s="213" t="str" cm="1">
        <f t="array" aca="1" ref="H56" ca="1">IFERROR(INDEX($C$16:$C$116,SMALL(IF($C$16:$C$116&lt;&gt;"",ROW($C$16:$C$116)-ROW($C$16)+1),ROW(A41))),"")</f>
        <v/>
      </c>
      <c r="I56" s="212" t="str" cm="1">
        <f t="array" aca="1" ref="I56" ca="1">IFERROR(INDEX($D$16:$D$116,SMALL(IF($D$16:$D$116&lt;&gt;"",ROW($D$16:$D$116)-ROW($D$16)+1),ROW(A41))),"")</f>
        <v/>
      </c>
      <c r="J56" s="212" t="str" cm="1">
        <f t="array" aca="1" ref="J56" ca="1">IFERROR(INDEX($E$16:$E$116,SMALL(IF($E$16:$E$116&lt;&gt;"",ROW($E$16:$E$116)-ROW($E$16)+1),ROW(A41))),"")</f>
        <v/>
      </c>
      <c r="K56" s="212" t="str" cm="1">
        <f t="array" aca="1" ref="K56" ca="1">IFERROR(INDEX($F$16:$F$116,SMALL(IF($F$16:$F$116&lt;&gt;"",ROW($F$16:$F$116)-ROW($F$16)+1),ROW(A41))),"")</f>
        <v/>
      </c>
      <c r="L56" s="212" t="str">
        <f t="shared" ca="1" si="33"/>
        <v/>
      </c>
      <c r="M56" s="212" t="str" cm="1">
        <f t="array" aca="1" ref="M56" ca="1">IFERROR(INDEX($G$16:$G$116,SMALL(IF($G$16:$G$116&lt;&gt;"",ROW($G$16:$G$116)-ROW($G$16)+1),ROW(A41))),"")</f>
        <v/>
      </c>
      <c r="N56" s="217" t="str">
        <f t="shared" ca="1" si="34"/>
        <v/>
      </c>
      <c r="O56" s="218" t="str">
        <f t="shared" ca="1" si="35"/>
        <v/>
      </c>
      <c r="P56" s="218" t="str">
        <f t="shared" ca="1" si="36"/>
        <v/>
      </c>
      <c r="Q56" s="218" t="str">
        <f t="shared" ca="1" si="37"/>
        <v/>
      </c>
      <c r="R56" s="218" t="str">
        <f t="shared" ca="1" si="38"/>
        <v/>
      </c>
      <c r="S56" s="218" t="str">
        <f t="shared" ca="1" si="39"/>
        <v/>
      </c>
      <c r="T56" s="218" t="str">
        <f t="shared" ca="1" si="40"/>
        <v/>
      </c>
      <c r="U56" s="218" t="str">
        <f t="shared" ca="1" si="41"/>
        <v/>
      </c>
      <c r="V56" s="219" t="str">
        <f t="shared" ca="1" si="42"/>
        <v/>
      </c>
      <c r="W56" s="396" t="str">
        <f t="shared" ca="1" si="21"/>
        <v/>
      </c>
      <c r="X56" s="397" t="str">
        <f t="shared" ca="1" si="22"/>
        <v/>
      </c>
      <c r="Y56" s="398" t="str">
        <f t="shared" ref="Y56:AB72" ca="1" si="45">IF($H56&lt;&gt;"",IF(_xlfn.SINGLE(INDIRECT($H56&amp;"!"&amp;$W56&amp;($X56+Y$15+1)))&lt;&gt;"",_xlfn.SINGLE(INDIRECT($H56&amp;"!"&amp;$W56&amp;($X56+Y$15+1))),""),"")</f>
        <v/>
      </c>
      <c r="Z56" s="398" t="str">
        <f t="shared" ca="1" si="45"/>
        <v/>
      </c>
      <c r="AA56" s="398" t="str">
        <f t="shared" ca="1" si="45"/>
        <v/>
      </c>
      <c r="AB56" s="398" t="str">
        <f t="shared" ca="1" si="45"/>
        <v/>
      </c>
      <c r="AC56" s="398" t="str">
        <f t="shared" ca="1" si="43"/>
        <v/>
      </c>
      <c r="AD56" s="398" t="str">
        <f t="shared" ref="AD56:AH65" ca="1" si="46">IF(OR($J56="Pluviomètre",LEFT($J56,5)="Sonde"),"",IF($H56&lt;&gt;"",IF(_xlfn.SINGLE(INDIRECT($H56&amp;"!"&amp;$W56&amp;($X56+AD$15+1)))&lt;&gt;"",_xlfn.SINGLE(INDIRECT($H56&amp;"!"&amp;$W56&amp;($X56+AD$15+1))),""),""))</f>
        <v/>
      </c>
      <c r="AE56" s="398" t="str">
        <f t="shared" ca="1" si="46"/>
        <v/>
      </c>
      <c r="AF56" s="398" t="str">
        <f t="shared" ca="1" si="46"/>
        <v/>
      </c>
      <c r="AG56" s="398" t="str">
        <f t="shared" ca="1" si="46"/>
        <v/>
      </c>
      <c r="AH56" s="398" t="str">
        <f t="shared" ca="1" si="46"/>
        <v/>
      </c>
      <c r="AI56" s="396" t="str">
        <f t="shared" ca="1" si="23"/>
        <v/>
      </c>
      <c r="AJ56" s="397" t="str">
        <f t="shared" ca="1" si="24"/>
        <v/>
      </c>
      <c r="AK56" s="398" t="str">
        <f t="shared" ref="AK56:AN72" ca="1" si="47">IF($H56&lt;&gt;"",IF(_xlfn.SINGLE(INDIRECT($H56&amp;"!"&amp;$AI56&amp;($AJ56+AK$15+1)))&lt;&gt;"",_xlfn.SINGLE(INDIRECT($H56&amp;"!"&amp;$AI56&amp;($AJ56+AK$15+1))),""),"")</f>
        <v/>
      </c>
      <c r="AL56" s="398" t="str">
        <f t="shared" ca="1" si="47"/>
        <v/>
      </c>
      <c r="AM56" s="398" t="str">
        <f t="shared" ca="1" si="47"/>
        <v/>
      </c>
      <c r="AN56" s="398" t="str">
        <f t="shared" ca="1" si="47"/>
        <v/>
      </c>
      <c r="AO56" s="398" t="str">
        <f t="shared" ca="1" si="44"/>
        <v/>
      </c>
      <c r="AP56" s="398" t="str">
        <f t="shared" ref="AP56:AT65" ca="1" si="48">IF(OR($J56="Pluviomètre",LEFT($J56,5)="Sonde"),"",IF($H56&lt;&gt;"",IF(_xlfn.SINGLE(INDIRECT($H56&amp;"!"&amp;$AI56&amp;($AJ56+AP$15+1)))&lt;&gt;"",_xlfn.SINGLE(INDIRECT($H56&amp;"!"&amp;$AI56&amp;($AJ56+AP$15+1))),""),""))</f>
        <v/>
      </c>
      <c r="AQ56" s="398" t="str">
        <f t="shared" ca="1" si="48"/>
        <v/>
      </c>
      <c r="AR56" s="398" t="str">
        <f t="shared" ca="1" si="48"/>
        <v/>
      </c>
      <c r="AS56" s="398" t="str">
        <f t="shared" ca="1" si="48"/>
        <v/>
      </c>
      <c r="AT56" s="398" t="str">
        <f t="shared" ca="1" si="48"/>
        <v/>
      </c>
    </row>
    <row r="57" spans="1:46" x14ac:dyDescent="0.4">
      <c r="A57" s="152">
        <v>42</v>
      </c>
      <c r="B57" s="206" t="b">
        <f t="shared" si="16"/>
        <v>0</v>
      </c>
      <c r="C57" s="211" t="str">
        <f t="shared" ca="1" si="17"/>
        <v/>
      </c>
      <c r="D57" s="376" t="str">
        <f t="shared" ca="1" si="18"/>
        <v/>
      </c>
      <c r="E57" s="376" t="str">
        <f t="shared" ca="1" si="19"/>
        <v/>
      </c>
      <c r="F57" s="59" t="str">
        <f t="shared" ca="1" si="20"/>
        <v/>
      </c>
      <c r="G57" s="59" t="str">
        <f t="shared" ca="1" si="20"/>
        <v/>
      </c>
      <c r="H57" s="213" t="str" cm="1">
        <f t="array" aca="1" ref="H57" ca="1">IFERROR(INDEX($C$16:$C$116,SMALL(IF($C$16:$C$116&lt;&gt;"",ROW($C$16:$C$116)-ROW($C$16)+1),ROW(A42))),"")</f>
        <v/>
      </c>
      <c r="I57" s="212" t="str" cm="1">
        <f t="array" aca="1" ref="I57" ca="1">IFERROR(INDEX($D$16:$D$116,SMALL(IF($D$16:$D$116&lt;&gt;"",ROW($D$16:$D$116)-ROW($D$16)+1),ROW(A42))),"")</f>
        <v/>
      </c>
      <c r="J57" s="212" t="str" cm="1">
        <f t="array" aca="1" ref="J57" ca="1">IFERROR(INDEX($E$16:$E$116,SMALL(IF($E$16:$E$116&lt;&gt;"",ROW($E$16:$E$116)-ROW($E$16)+1),ROW(A42))),"")</f>
        <v/>
      </c>
      <c r="K57" s="212" t="str" cm="1">
        <f t="array" aca="1" ref="K57" ca="1">IFERROR(INDEX($F$16:$F$116,SMALL(IF($F$16:$F$116&lt;&gt;"",ROW($F$16:$F$116)-ROW($F$16)+1),ROW(A42))),"")</f>
        <v/>
      </c>
      <c r="L57" s="212" t="str">
        <f t="shared" ca="1" si="33"/>
        <v/>
      </c>
      <c r="M57" s="212" t="str" cm="1">
        <f t="array" aca="1" ref="M57" ca="1">IFERROR(INDEX($G$16:$G$116,SMALL(IF($G$16:$G$116&lt;&gt;"",ROW($G$16:$G$116)-ROW($G$16)+1),ROW(A42))),"")</f>
        <v/>
      </c>
      <c r="N57" s="217" t="str">
        <f t="shared" ca="1" si="34"/>
        <v/>
      </c>
      <c r="O57" s="218" t="str">
        <f t="shared" ca="1" si="35"/>
        <v/>
      </c>
      <c r="P57" s="218" t="str">
        <f t="shared" ca="1" si="36"/>
        <v/>
      </c>
      <c r="Q57" s="218" t="str">
        <f t="shared" ca="1" si="37"/>
        <v/>
      </c>
      <c r="R57" s="218" t="str">
        <f t="shared" ca="1" si="38"/>
        <v/>
      </c>
      <c r="S57" s="218" t="str">
        <f t="shared" ca="1" si="39"/>
        <v/>
      </c>
      <c r="T57" s="218" t="str">
        <f t="shared" ca="1" si="40"/>
        <v/>
      </c>
      <c r="U57" s="218" t="str">
        <f t="shared" ca="1" si="41"/>
        <v/>
      </c>
      <c r="V57" s="219" t="str">
        <f t="shared" ca="1" si="42"/>
        <v/>
      </c>
      <c r="W57" s="396" t="str">
        <f t="shared" ca="1" si="21"/>
        <v/>
      </c>
      <c r="X57" s="397" t="str">
        <f t="shared" ca="1" si="22"/>
        <v/>
      </c>
      <c r="Y57" s="398" t="str">
        <f t="shared" ca="1" si="45"/>
        <v/>
      </c>
      <c r="Z57" s="398" t="str">
        <f t="shared" ca="1" si="45"/>
        <v/>
      </c>
      <c r="AA57" s="398" t="str">
        <f t="shared" ca="1" si="45"/>
        <v/>
      </c>
      <c r="AB57" s="398" t="str">
        <f t="shared" ca="1" si="45"/>
        <v/>
      </c>
      <c r="AC57" s="398" t="str">
        <f t="shared" ca="1" si="43"/>
        <v/>
      </c>
      <c r="AD57" s="398" t="str">
        <f t="shared" ca="1" si="46"/>
        <v/>
      </c>
      <c r="AE57" s="398" t="str">
        <f t="shared" ca="1" si="46"/>
        <v/>
      </c>
      <c r="AF57" s="398" t="str">
        <f t="shared" ca="1" si="46"/>
        <v/>
      </c>
      <c r="AG57" s="398" t="str">
        <f t="shared" ca="1" si="46"/>
        <v/>
      </c>
      <c r="AH57" s="398" t="str">
        <f t="shared" ca="1" si="46"/>
        <v/>
      </c>
      <c r="AI57" s="396" t="str">
        <f t="shared" ca="1" si="23"/>
        <v/>
      </c>
      <c r="AJ57" s="397" t="str">
        <f t="shared" ca="1" si="24"/>
        <v/>
      </c>
      <c r="AK57" s="398" t="str">
        <f t="shared" ca="1" si="47"/>
        <v/>
      </c>
      <c r="AL57" s="398" t="str">
        <f t="shared" ca="1" si="47"/>
        <v/>
      </c>
      <c r="AM57" s="398" t="str">
        <f t="shared" ca="1" si="47"/>
        <v/>
      </c>
      <c r="AN57" s="398" t="str">
        <f t="shared" ca="1" si="47"/>
        <v/>
      </c>
      <c r="AO57" s="398" t="str">
        <f t="shared" ca="1" si="44"/>
        <v/>
      </c>
      <c r="AP57" s="398" t="str">
        <f t="shared" ca="1" si="48"/>
        <v/>
      </c>
      <c r="AQ57" s="398" t="str">
        <f t="shared" ca="1" si="48"/>
        <v/>
      </c>
      <c r="AR57" s="398" t="str">
        <f t="shared" ca="1" si="48"/>
        <v/>
      </c>
      <c r="AS57" s="398" t="str">
        <f t="shared" ca="1" si="48"/>
        <v/>
      </c>
      <c r="AT57" s="398" t="str">
        <f t="shared" ca="1" si="48"/>
        <v/>
      </c>
    </row>
    <row r="58" spans="1:46" x14ac:dyDescent="0.4">
      <c r="A58" s="152">
        <v>43</v>
      </c>
      <c r="B58" s="206" t="b">
        <f t="shared" si="16"/>
        <v>0</v>
      </c>
      <c r="C58" s="211" t="str">
        <f t="shared" ca="1" si="17"/>
        <v/>
      </c>
      <c r="D58" s="376" t="str">
        <f t="shared" ca="1" si="18"/>
        <v/>
      </c>
      <c r="E58" s="376" t="str">
        <f t="shared" ca="1" si="19"/>
        <v/>
      </c>
      <c r="F58" s="59" t="str">
        <f t="shared" ca="1" si="20"/>
        <v/>
      </c>
      <c r="G58" s="59" t="str">
        <f t="shared" ca="1" si="20"/>
        <v/>
      </c>
      <c r="H58" s="213" t="str" cm="1">
        <f t="array" aca="1" ref="H58" ca="1">IFERROR(INDEX($C$16:$C$116,SMALL(IF($C$16:$C$116&lt;&gt;"",ROW($C$16:$C$116)-ROW($C$16)+1),ROW(A43))),"")</f>
        <v/>
      </c>
      <c r="I58" s="212" t="str" cm="1">
        <f t="array" aca="1" ref="I58" ca="1">IFERROR(INDEX($D$16:$D$116,SMALL(IF($D$16:$D$116&lt;&gt;"",ROW($D$16:$D$116)-ROW($D$16)+1),ROW(A43))),"")</f>
        <v/>
      </c>
      <c r="J58" s="212" t="str" cm="1">
        <f t="array" aca="1" ref="J58" ca="1">IFERROR(INDEX($E$16:$E$116,SMALL(IF($E$16:$E$116&lt;&gt;"",ROW($E$16:$E$116)-ROW($E$16)+1),ROW(A43))),"")</f>
        <v/>
      </c>
      <c r="K58" s="212" t="str" cm="1">
        <f t="array" aca="1" ref="K58" ca="1">IFERROR(INDEX($F$16:$F$116,SMALL(IF($F$16:$F$116&lt;&gt;"",ROW($F$16:$F$116)-ROW($F$16)+1),ROW(A43))),"")</f>
        <v/>
      </c>
      <c r="L58" s="212" t="str">
        <f t="shared" ca="1" si="33"/>
        <v/>
      </c>
      <c r="M58" s="212" t="str" cm="1">
        <f t="array" aca="1" ref="M58" ca="1">IFERROR(INDEX($G$16:$G$116,SMALL(IF($G$16:$G$116&lt;&gt;"",ROW($G$16:$G$116)-ROW($G$16)+1),ROW(A43))),"")</f>
        <v/>
      </c>
      <c r="N58" s="217" t="str">
        <f t="shared" ca="1" si="34"/>
        <v/>
      </c>
      <c r="O58" s="218" t="str">
        <f t="shared" ca="1" si="35"/>
        <v/>
      </c>
      <c r="P58" s="218" t="str">
        <f t="shared" ca="1" si="36"/>
        <v/>
      </c>
      <c r="Q58" s="218" t="str">
        <f t="shared" ca="1" si="37"/>
        <v/>
      </c>
      <c r="R58" s="218" t="str">
        <f t="shared" ca="1" si="38"/>
        <v/>
      </c>
      <c r="S58" s="218" t="str">
        <f t="shared" ca="1" si="39"/>
        <v/>
      </c>
      <c r="T58" s="218" t="str">
        <f t="shared" ca="1" si="40"/>
        <v/>
      </c>
      <c r="U58" s="218" t="str">
        <f t="shared" ca="1" si="41"/>
        <v/>
      </c>
      <c r="V58" s="219" t="str">
        <f t="shared" ca="1" si="42"/>
        <v/>
      </c>
      <c r="W58" s="396" t="str">
        <f t="shared" ca="1" si="21"/>
        <v/>
      </c>
      <c r="X58" s="397" t="str">
        <f t="shared" ca="1" si="22"/>
        <v/>
      </c>
      <c r="Y58" s="398" t="str">
        <f t="shared" ca="1" si="45"/>
        <v/>
      </c>
      <c r="Z58" s="398" t="str">
        <f t="shared" ca="1" si="45"/>
        <v/>
      </c>
      <c r="AA58" s="398" t="str">
        <f t="shared" ca="1" si="45"/>
        <v/>
      </c>
      <c r="AB58" s="398" t="str">
        <f t="shared" ca="1" si="45"/>
        <v/>
      </c>
      <c r="AC58" s="398" t="str">
        <f t="shared" ca="1" si="43"/>
        <v/>
      </c>
      <c r="AD58" s="398" t="str">
        <f t="shared" ca="1" si="46"/>
        <v/>
      </c>
      <c r="AE58" s="398" t="str">
        <f t="shared" ca="1" si="46"/>
        <v/>
      </c>
      <c r="AF58" s="398" t="str">
        <f t="shared" ca="1" si="46"/>
        <v/>
      </c>
      <c r="AG58" s="398" t="str">
        <f t="shared" ca="1" si="46"/>
        <v/>
      </c>
      <c r="AH58" s="398" t="str">
        <f t="shared" ca="1" si="46"/>
        <v/>
      </c>
      <c r="AI58" s="396" t="str">
        <f t="shared" ca="1" si="23"/>
        <v/>
      </c>
      <c r="AJ58" s="397" t="str">
        <f t="shared" ca="1" si="24"/>
        <v/>
      </c>
      <c r="AK58" s="398" t="str">
        <f t="shared" ca="1" si="47"/>
        <v/>
      </c>
      <c r="AL58" s="398" t="str">
        <f t="shared" ca="1" si="47"/>
        <v/>
      </c>
      <c r="AM58" s="398" t="str">
        <f t="shared" ca="1" si="47"/>
        <v/>
      </c>
      <c r="AN58" s="398" t="str">
        <f t="shared" ca="1" si="47"/>
        <v/>
      </c>
      <c r="AO58" s="398" t="str">
        <f t="shared" ca="1" si="44"/>
        <v/>
      </c>
      <c r="AP58" s="398" t="str">
        <f t="shared" ca="1" si="48"/>
        <v/>
      </c>
      <c r="AQ58" s="398" t="str">
        <f t="shared" ca="1" si="48"/>
        <v/>
      </c>
      <c r="AR58" s="398" t="str">
        <f t="shared" ca="1" si="48"/>
        <v/>
      </c>
      <c r="AS58" s="398" t="str">
        <f t="shared" ca="1" si="48"/>
        <v/>
      </c>
      <c r="AT58" s="398" t="str">
        <f t="shared" ca="1" si="48"/>
        <v/>
      </c>
    </row>
    <row r="59" spans="1:46" x14ac:dyDescent="0.4">
      <c r="A59" s="152">
        <v>44</v>
      </c>
      <c r="B59" s="206" t="b">
        <f t="shared" si="16"/>
        <v>0</v>
      </c>
      <c r="C59" s="211" t="str">
        <f t="shared" ca="1" si="17"/>
        <v/>
      </c>
      <c r="D59" s="376" t="str">
        <f t="shared" ca="1" si="18"/>
        <v/>
      </c>
      <c r="E59" s="376" t="str">
        <f t="shared" ca="1" si="19"/>
        <v/>
      </c>
      <c r="F59" s="59" t="str">
        <f t="shared" ca="1" si="20"/>
        <v/>
      </c>
      <c r="G59" s="59" t="str">
        <f t="shared" ca="1" si="20"/>
        <v/>
      </c>
      <c r="H59" s="213" t="str" cm="1">
        <f t="array" aca="1" ref="H59" ca="1">IFERROR(INDEX($C$16:$C$116,SMALL(IF($C$16:$C$116&lt;&gt;"",ROW($C$16:$C$116)-ROW($C$16)+1),ROW(A44))),"")</f>
        <v/>
      </c>
      <c r="I59" s="212" t="str" cm="1">
        <f t="array" aca="1" ref="I59" ca="1">IFERROR(INDEX($D$16:$D$116,SMALL(IF($D$16:$D$116&lt;&gt;"",ROW($D$16:$D$116)-ROW($D$16)+1),ROW(A44))),"")</f>
        <v/>
      </c>
      <c r="J59" s="212" t="str" cm="1">
        <f t="array" aca="1" ref="J59" ca="1">IFERROR(INDEX($E$16:$E$116,SMALL(IF($E$16:$E$116&lt;&gt;"",ROW($E$16:$E$116)-ROW($E$16)+1),ROW(A44))),"")</f>
        <v/>
      </c>
      <c r="K59" s="212" t="str" cm="1">
        <f t="array" aca="1" ref="K59" ca="1">IFERROR(INDEX($F$16:$F$116,SMALL(IF($F$16:$F$116&lt;&gt;"",ROW($F$16:$F$116)-ROW($F$16)+1),ROW(A44))),"")</f>
        <v/>
      </c>
      <c r="L59" s="212" t="str">
        <f t="shared" ca="1" si="33"/>
        <v/>
      </c>
      <c r="M59" s="212" t="str" cm="1">
        <f t="array" aca="1" ref="M59" ca="1">IFERROR(INDEX($G$16:$G$116,SMALL(IF($G$16:$G$116&lt;&gt;"",ROW($G$16:$G$116)-ROW($G$16)+1),ROW(A44))),"")</f>
        <v/>
      </c>
      <c r="N59" s="217" t="str">
        <f t="shared" ca="1" si="34"/>
        <v/>
      </c>
      <c r="O59" s="218" t="str">
        <f t="shared" ca="1" si="35"/>
        <v/>
      </c>
      <c r="P59" s="218" t="str">
        <f t="shared" ca="1" si="36"/>
        <v/>
      </c>
      <c r="Q59" s="218" t="str">
        <f t="shared" ca="1" si="37"/>
        <v/>
      </c>
      <c r="R59" s="218" t="str">
        <f t="shared" ca="1" si="38"/>
        <v/>
      </c>
      <c r="S59" s="218" t="str">
        <f t="shared" ca="1" si="39"/>
        <v/>
      </c>
      <c r="T59" s="218" t="str">
        <f t="shared" ca="1" si="40"/>
        <v/>
      </c>
      <c r="U59" s="218" t="str">
        <f t="shared" ca="1" si="41"/>
        <v/>
      </c>
      <c r="V59" s="219" t="str">
        <f t="shared" ca="1" si="42"/>
        <v/>
      </c>
      <c r="W59" s="396" t="str">
        <f t="shared" ca="1" si="21"/>
        <v/>
      </c>
      <c r="X59" s="397" t="str">
        <f t="shared" ca="1" si="22"/>
        <v/>
      </c>
      <c r="Y59" s="398" t="str">
        <f t="shared" ca="1" si="45"/>
        <v/>
      </c>
      <c r="Z59" s="398" t="str">
        <f t="shared" ca="1" si="45"/>
        <v/>
      </c>
      <c r="AA59" s="398" t="str">
        <f t="shared" ca="1" si="45"/>
        <v/>
      </c>
      <c r="AB59" s="398" t="str">
        <f t="shared" ca="1" si="45"/>
        <v/>
      </c>
      <c r="AC59" s="398" t="str">
        <f t="shared" ca="1" si="43"/>
        <v/>
      </c>
      <c r="AD59" s="398" t="str">
        <f t="shared" ca="1" si="46"/>
        <v/>
      </c>
      <c r="AE59" s="398" t="str">
        <f t="shared" ca="1" si="46"/>
        <v/>
      </c>
      <c r="AF59" s="398" t="str">
        <f t="shared" ca="1" si="46"/>
        <v/>
      </c>
      <c r="AG59" s="398" t="str">
        <f t="shared" ca="1" si="46"/>
        <v/>
      </c>
      <c r="AH59" s="398" t="str">
        <f t="shared" ca="1" si="46"/>
        <v/>
      </c>
      <c r="AI59" s="396" t="str">
        <f t="shared" ca="1" si="23"/>
        <v/>
      </c>
      <c r="AJ59" s="397" t="str">
        <f t="shared" ca="1" si="24"/>
        <v/>
      </c>
      <c r="AK59" s="398" t="str">
        <f t="shared" ca="1" si="47"/>
        <v/>
      </c>
      <c r="AL59" s="398" t="str">
        <f t="shared" ca="1" si="47"/>
        <v/>
      </c>
      <c r="AM59" s="398" t="str">
        <f t="shared" ca="1" si="47"/>
        <v/>
      </c>
      <c r="AN59" s="398" t="str">
        <f t="shared" ca="1" si="47"/>
        <v/>
      </c>
      <c r="AO59" s="398" t="str">
        <f t="shared" ca="1" si="44"/>
        <v/>
      </c>
      <c r="AP59" s="398" t="str">
        <f t="shared" ca="1" si="48"/>
        <v/>
      </c>
      <c r="AQ59" s="398" t="str">
        <f t="shared" ca="1" si="48"/>
        <v/>
      </c>
      <c r="AR59" s="398" t="str">
        <f t="shared" ca="1" si="48"/>
        <v/>
      </c>
      <c r="AS59" s="398" t="str">
        <f t="shared" ca="1" si="48"/>
        <v/>
      </c>
      <c r="AT59" s="398" t="str">
        <f t="shared" ca="1" si="48"/>
        <v/>
      </c>
    </row>
    <row r="60" spans="1:46" x14ac:dyDescent="0.4">
      <c r="A60" s="152">
        <v>45</v>
      </c>
      <c r="B60" s="206" t="b">
        <f t="shared" si="16"/>
        <v>0</v>
      </c>
      <c r="C60" s="211" t="str">
        <f t="shared" ca="1" si="17"/>
        <v/>
      </c>
      <c r="D60" s="376" t="str">
        <f t="shared" ca="1" si="18"/>
        <v/>
      </c>
      <c r="E60" s="376" t="str">
        <f t="shared" ca="1" si="19"/>
        <v/>
      </c>
      <c r="F60" s="59" t="str">
        <f t="shared" ca="1" si="20"/>
        <v/>
      </c>
      <c r="G60" s="59" t="str">
        <f t="shared" ca="1" si="20"/>
        <v/>
      </c>
      <c r="H60" s="213" t="str" cm="1">
        <f t="array" aca="1" ref="H60" ca="1">IFERROR(INDEX($C$16:$C$116,SMALL(IF($C$16:$C$116&lt;&gt;"",ROW($C$16:$C$116)-ROW($C$16)+1),ROW(A45))),"")</f>
        <v/>
      </c>
      <c r="I60" s="212" t="str" cm="1">
        <f t="array" aca="1" ref="I60" ca="1">IFERROR(INDEX($D$16:$D$116,SMALL(IF($D$16:$D$116&lt;&gt;"",ROW($D$16:$D$116)-ROW($D$16)+1),ROW(A45))),"")</f>
        <v/>
      </c>
      <c r="J60" s="212" t="str" cm="1">
        <f t="array" aca="1" ref="J60" ca="1">IFERROR(INDEX($E$16:$E$116,SMALL(IF($E$16:$E$116&lt;&gt;"",ROW($E$16:$E$116)-ROW($E$16)+1),ROW(A45))),"")</f>
        <v/>
      </c>
      <c r="K60" s="212" t="str" cm="1">
        <f t="array" aca="1" ref="K60" ca="1">IFERROR(INDEX($F$16:$F$116,SMALL(IF($F$16:$F$116&lt;&gt;"",ROW($F$16:$F$116)-ROW($F$16)+1),ROW(A45))),"")</f>
        <v/>
      </c>
      <c r="L60" s="212" t="str">
        <f t="shared" ca="1" si="33"/>
        <v/>
      </c>
      <c r="M60" s="212" t="str" cm="1">
        <f t="array" aca="1" ref="M60" ca="1">IFERROR(INDEX($G$16:$G$116,SMALL(IF($G$16:$G$116&lt;&gt;"",ROW($G$16:$G$116)-ROW($G$16)+1),ROW(A45))),"")</f>
        <v/>
      </c>
      <c r="N60" s="217" t="str">
        <f t="shared" ca="1" si="34"/>
        <v/>
      </c>
      <c r="O60" s="218" t="str">
        <f t="shared" ca="1" si="35"/>
        <v/>
      </c>
      <c r="P60" s="218" t="str">
        <f t="shared" ca="1" si="36"/>
        <v/>
      </c>
      <c r="Q60" s="218" t="str">
        <f t="shared" ca="1" si="37"/>
        <v/>
      </c>
      <c r="R60" s="218" t="str">
        <f t="shared" ca="1" si="38"/>
        <v/>
      </c>
      <c r="S60" s="218" t="str">
        <f t="shared" ca="1" si="39"/>
        <v/>
      </c>
      <c r="T60" s="218" t="str">
        <f t="shared" ca="1" si="40"/>
        <v/>
      </c>
      <c r="U60" s="218" t="str">
        <f t="shared" ca="1" si="41"/>
        <v/>
      </c>
      <c r="V60" s="219" t="str">
        <f t="shared" ca="1" si="42"/>
        <v/>
      </c>
      <c r="W60" s="396" t="str">
        <f t="shared" ca="1" si="21"/>
        <v/>
      </c>
      <c r="X60" s="397" t="str">
        <f t="shared" ca="1" si="22"/>
        <v/>
      </c>
      <c r="Y60" s="398" t="str">
        <f t="shared" ca="1" si="45"/>
        <v/>
      </c>
      <c r="Z60" s="398" t="str">
        <f t="shared" ca="1" si="45"/>
        <v/>
      </c>
      <c r="AA60" s="398" t="str">
        <f t="shared" ca="1" si="45"/>
        <v/>
      </c>
      <c r="AB60" s="398" t="str">
        <f t="shared" ca="1" si="45"/>
        <v/>
      </c>
      <c r="AC60" s="398" t="str">
        <f t="shared" ca="1" si="43"/>
        <v/>
      </c>
      <c r="AD60" s="398" t="str">
        <f t="shared" ca="1" si="46"/>
        <v/>
      </c>
      <c r="AE60" s="398" t="str">
        <f t="shared" ca="1" si="46"/>
        <v/>
      </c>
      <c r="AF60" s="398" t="str">
        <f t="shared" ca="1" si="46"/>
        <v/>
      </c>
      <c r="AG60" s="398" t="str">
        <f t="shared" ca="1" si="46"/>
        <v/>
      </c>
      <c r="AH60" s="398" t="str">
        <f t="shared" ca="1" si="46"/>
        <v/>
      </c>
      <c r="AI60" s="396" t="str">
        <f t="shared" ca="1" si="23"/>
        <v/>
      </c>
      <c r="AJ60" s="397" t="str">
        <f t="shared" ca="1" si="24"/>
        <v/>
      </c>
      <c r="AK60" s="398" t="str">
        <f t="shared" ca="1" si="47"/>
        <v/>
      </c>
      <c r="AL60" s="398" t="str">
        <f t="shared" ca="1" si="47"/>
        <v/>
      </c>
      <c r="AM60" s="398" t="str">
        <f t="shared" ca="1" si="47"/>
        <v/>
      </c>
      <c r="AN60" s="398" t="str">
        <f t="shared" ca="1" si="47"/>
        <v/>
      </c>
      <c r="AO60" s="398" t="str">
        <f t="shared" ca="1" si="44"/>
        <v/>
      </c>
      <c r="AP60" s="398" t="str">
        <f t="shared" ca="1" si="48"/>
        <v/>
      </c>
      <c r="AQ60" s="398" t="str">
        <f t="shared" ca="1" si="48"/>
        <v/>
      </c>
      <c r="AR60" s="398" t="str">
        <f t="shared" ca="1" si="48"/>
        <v/>
      </c>
      <c r="AS60" s="398" t="str">
        <f t="shared" ca="1" si="48"/>
        <v/>
      </c>
      <c r="AT60" s="398" t="str">
        <f t="shared" ca="1" si="48"/>
        <v/>
      </c>
    </row>
    <row r="61" spans="1:46" x14ac:dyDescent="0.4">
      <c r="A61" s="152">
        <v>46</v>
      </c>
      <c r="B61" s="206" t="b">
        <f t="shared" si="16"/>
        <v>0</v>
      </c>
      <c r="C61" s="211" t="str">
        <f t="shared" ca="1" si="17"/>
        <v/>
      </c>
      <c r="D61" s="376" t="str">
        <f t="shared" ca="1" si="18"/>
        <v/>
      </c>
      <c r="E61" s="376" t="str">
        <f t="shared" ca="1" si="19"/>
        <v/>
      </c>
      <c r="F61" s="59" t="str">
        <f t="shared" ca="1" si="20"/>
        <v/>
      </c>
      <c r="G61" s="59" t="str">
        <f t="shared" ca="1" si="20"/>
        <v/>
      </c>
      <c r="H61" s="213" t="str" cm="1">
        <f t="array" aca="1" ref="H61" ca="1">IFERROR(INDEX($C$16:$C$116,SMALL(IF($C$16:$C$116&lt;&gt;"",ROW($C$16:$C$116)-ROW($C$16)+1),ROW(A46))),"")</f>
        <v/>
      </c>
      <c r="I61" s="212" t="str" cm="1">
        <f t="array" aca="1" ref="I61" ca="1">IFERROR(INDEX($D$16:$D$116,SMALL(IF($D$16:$D$116&lt;&gt;"",ROW($D$16:$D$116)-ROW($D$16)+1),ROW(A46))),"")</f>
        <v/>
      </c>
      <c r="J61" s="212" t="str" cm="1">
        <f t="array" aca="1" ref="J61" ca="1">IFERROR(INDEX($E$16:$E$116,SMALL(IF($E$16:$E$116&lt;&gt;"",ROW($E$16:$E$116)-ROW($E$16)+1),ROW(A46))),"")</f>
        <v/>
      </c>
      <c r="K61" s="212" t="str" cm="1">
        <f t="array" aca="1" ref="K61" ca="1">IFERROR(INDEX($F$16:$F$116,SMALL(IF($F$16:$F$116&lt;&gt;"",ROW($F$16:$F$116)-ROW($F$16)+1),ROW(A46))),"")</f>
        <v/>
      </c>
      <c r="L61" s="212" t="str">
        <f t="shared" ca="1" si="33"/>
        <v/>
      </c>
      <c r="M61" s="212" t="str" cm="1">
        <f t="array" aca="1" ref="M61" ca="1">IFERROR(INDEX($G$16:$G$116,SMALL(IF($G$16:$G$116&lt;&gt;"",ROW($G$16:$G$116)-ROW($G$16)+1),ROW(A46))),"")</f>
        <v/>
      </c>
      <c r="N61" s="217" t="str">
        <f t="shared" ca="1" si="34"/>
        <v/>
      </c>
      <c r="O61" s="218" t="str">
        <f t="shared" ca="1" si="35"/>
        <v/>
      </c>
      <c r="P61" s="218" t="str">
        <f t="shared" ca="1" si="36"/>
        <v/>
      </c>
      <c r="Q61" s="218" t="str">
        <f t="shared" ca="1" si="37"/>
        <v/>
      </c>
      <c r="R61" s="218" t="str">
        <f t="shared" ca="1" si="38"/>
        <v/>
      </c>
      <c r="S61" s="218" t="str">
        <f t="shared" ca="1" si="39"/>
        <v/>
      </c>
      <c r="T61" s="218" t="str">
        <f t="shared" ca="1" si="40"/>
        <v/>
      </c>
      <c r="U61" s="218" t="str">
        <f t="shared" ca="1" si="41"/>
        <v/>
      </c>
      <c r="V61" s="219" t="str">
        <f t="shared" ca="1" si="42"/>
        <v/>
      </c>
      <c r="W61" s="396" t="str">
        <f t="shared" ca="1" si="21"/>
        <v/>
      </c>
      <c r="X61" s="397" t="str">
        <f t="shared" ca="1" si="22"/>
        <v/>
      </c>
      <c r="Y61" s="398" t="str">
        <f t="shared" ca="1" si="45"/>
        <v/>
      </c>
      <c r="Z61" s="398" t="str">
        <f t="shared" ca="1" si="45"/>
        <v/>
      </c>
      <c r="AA61" s="398" t="str">
        <f t="shared" ca="1" si="45"/>
        <v/>
      </c>
      <c r="AB61" s="398" t="str">
        <f t="shared" ca="1" si="45"/>
        <v/>
      </c>
      <c r="AC61" s="398" t="str">
        <f t="shared" ca="1" si="43"/>
        <v/>
      </c>
      <c r="AD61" s="398" t="str">
        <f t="shared" ca="1" si="46"/>
        <v/>
      </c>
      <c r="AE61" s="398" t="str">
        <f t="shared" ca="1" si="46"/>
        <v/>
      </c>
      <c r="AF61" s="398" t="str">
        <f t="shared" ca="1" si="46"/>
        <v/>
      </c>
      <c r="AG61" s="398" t="str">
        <f t="shared" ca="1" si="46"/>
        <v/>
      </c>
      <c r="AH61" s="398" t="str">
        <f t="shared" ca="1" si="46"/>
        <v/>
      </c>
      <c r="AI61" s="396" t="str">
        <f t="shared" ca="1" si="23"/>
        <v/>
      </c>
      <c r="AJ61" s="397" t="str">
        <f t="shared" ca="1" si="24"/>
        <v/>
      </c>
      <c r="AK61" s="398" t="str">
        <f t="shared" ca="1" si="47"/>
        <v/>
      </c>
      <c r="AL61" s="398" t="str">
        <f t="shared" ca="1" si="47"/>
        <v/>
      </c>
      <c r="AM61" s="398" t="str">
        <f t="shared" ca="1" si="47"/>
        <v/>
      </c>
      <c r="AN61" s="398" t="str">
        <f t="shared" ca="1" si="47"/>
        <v/>
      </c>
      <c r="AO61" s="398" t="str">
        <f t="shared" ca="1" si="44"/>
        <v/>
      </c>
      <c r="AP61" s="398" t="str">
        <f t="shared" ca="1" si="48"/>
        <v/>
      </c>
      <c r="AQ61" s="398" t="str">
        <f t="shared" ca="1" si="48"/>
        <v/>
      </c>
      <c r="AR61" s="398" t="str">
        <f t="shared" ca="1" si="48"/>
        <v/>
      </c>
      <c r="AS61" s="398" t="str">
        <f t="shared" ca="1" si="48"/>
        <v/>
      </c>
      <c r="AT61" s="398" t="str">
        <f t="shared" ca="1" si="48"/>
        <v/>
      </c>
    </row>
    <row r="62" spans="1:46" x14ac:dyDescent="0.4">
      <c r="A62" s="152">
        <v>47</v>
      </c>
      <c r="B62" s="206" t="b">
        <f t="shared" si="16"/>
        <v>0</v>
      </c>
      <c r="C62" s="211" t="str">
        <f t="shared" ca="1" si="17"/>
        <v/>
      </c>
      <c r="D62" s="376" t="str">
        <f t="shared" ca="1" si="18"/>
        <v/>
      </c>
      <c r="E62" s="376" t="str">
        <f t="shared" ca="1" si="19"/>
        <v/>
      </c>
      <c r="F62" s="59" t="str">
        <f t="shared" ca="1" si="20"/>
        <v/>
      </c>
      <c r="G62" s="59" t="str">
        <f t="shared" ca="1" si="20"/>
        <v/>
      </c>
      <c r="H62" s="213" t="str" cm="1">
        <f t="array" aca="1" ref="H62" ca="1">IFERROR(INDEX($C$16:$C$116,SMALL(IF($C$16:$C$116&lt;&gt;"",ROW($C$16:$C$116)-ROW($C$16)+1),ROW(A47))),"")</f>
        <v/>
      </c>
      <c r="I62" s="212" t="str" cm="1">
        <f t="array" aca="1" ref="I62" ca="1">IFERROR(INDEX($D$16:$D$116,SMALL(IF($D$16:$D$116&lt;&gt;"",ROW($D$16:$D$116)-ROW($D$16)+1),ROW(A47))),"")</f>
        <v/>
      </c>
      <c r="J62" s="212" t="str" cm="1">
        <f t="array" aca="1" ref="J62" ca="1">IFERROR(INDEX($E$16:$E$116,SMALL(IF($E$16:$E$116&lt;&gt;"",ROW($E$16:$E$116)-ROW($E$16)+1),ROW(A47))),"")</f>
        <v/>
      </c>
      <c r="K62" s="212" t="str" cm="1">
        <f t="array" aca="1" ref="K62" ca="1">IFERROR(INDEX($F$16:$F$116,SMALL(IF($F$16:$F$116&lt;&gt;"",ROW($F$16:$F$116)-ROW($F$16)+1),ROW(A47))),"")</f>
        <v/>
      </c>
      <c r="L62" s="212" t="str">
        <f t="shared" ca="1" si="33"/>
        <v/>
      </c>
      <c r="M62" s="212" t="str" cm="1">
        <f t="array" aca="1" ref="M62" ca="1">IFERROR(INDEX($G$16:$G$116,SMALL(IF($G$16:$G$116&lt;&gt;"",ROW($G$16:$G$116)-ROW($G$16)+1),ROW(A47))),"")</f>
        <v/>
      </c>
      <c r="N62" s="217" t="str">
        <f t="shared" ca="1" si="34"/>
        <v/>
      </c>
      <c r="O62" s="218" t="str">
        <f t="shared" ca="1" si="35"/>
        <v/>
      </c>
      <c r="P62" s="218" t="str">
        <f t="shared" ca="1" si="36"/>
        <v/>
      </c>
      <c r="Q62" s="218" t="str">
        <f t="shared" ca="1" si="37"/>
        <v/>
      </c>
      <c r="R62" s="218" t="str">
        <f t="shared" ca="1" si="38"/>
        <v/>
      </c>
      <c r="S62" s="218" t="str">
        <f t="shared" ca="1" si="39"/>
        <v/>
      </c>
      <c r="T62" s="218" t="str">
        <f t="shared" ca="1" si="40"/>
        <v/>
      </c>
      <c r="U62" s="218" t="str">
        <f t="shared" ca="1" si="41"/>
        <v/>
      </c>
      <c r="V62" s="219" t="str">
        <f t="shared" ca="1" si="42"/>
        <v/>
      </c>
      <c r="W62" s="396" t="str">
        <f t="shared" ca="1" si="21"/>
        <v/>
      </c>
      <c r="X62" s="397" t="str">
        <f t="shared" ca="1" si="22"/>
        <v/>
      </c>
      <c r="Y62" s="398" t="str">
        <f t="shared" ca="1" si="45"/>
        <v/>
      </c>
      <c r="Z62" s="398" t="str">
        <f t="shared" ca="1" si="45"/>
        <v/>
      </c>
      <c r="AA62" s="398" t="str">
        <f t="shared" ca="1" si="45"/>
        <v/>
      </c>
      <c r="AB62" s="398" t="str">
        <f t="shared" ca="1" si="45"/>
        <v/>
      </c>
      <c r="AC62" s="398" t="str">
        <f t="shared" ca="1" si="43"/>
        <v/>
      </c>
      <c r="AD62" s="398" t="str">
        <f t="shared" ca="1" si="46"/>
        <v/>
      </c>
      <c r="AE62" s="398" t="str">
        <f t="shared" ca="1" si="46"/>
        <v/>
      </c>
      <c r="AF62" s="398" t="str">
        <f t="shared" ca="1" si="46"/>
        <v/>
      </c>
      <c r="AG62" s="398" t="str">
        <f t="shared" ca="1" si="46"/>
        <v/>
      </c>
      <c r="AH62" s="398" t="str">
        <f t="shared" ca="1" si="46"/>
        <v/>
      </c>
      <c r="AI62" s="396" t="str">
        <f t="shared" ca="1" si="23"/>
        <v/>
      </c>
      <c r="AJ62" s="397" t="str">
        <f t="shared" ca="1" si="24"/>
        <v/>
      </c>
      <c r="AK62" s="398" t="str">
        <f t="shared" ca="1" si="47"/>
        <v/>
      </c>
      <c r="AL62" s="398" t="str">
        <f t="shared" ca="1" si="47"/>
        <v/>
      </c>
      <c r="AM62" s="398" t="str">
        <f t="shared" ca="1" si="47"/>
        <v/>
      </c>
      <c r="AN62" s="398" t="str">
        <f t="shared" ca="1" si="47"/>
        <v/>
      </c>
      <c r="AO62" s="398" t="str">
        <f t="shared" ca="1" si="44"/>
        <v/>
      </c>
      <c r="AP62" s="398" t="str">
        <f t="shared" ca="1" si="48"/>
        <v/>
      </c>
      <c r="AQ62" s="398" t="str">
        <f t="shared" ca="1" si="48"/>
        <v/>
      </c>
      <c r="AR62" s="398" t="str">
        <f t="shared" ca="1" si="48"/>
        <v/>
      </c>
      <c r="AS62" s="398" t="str">
        <f t="shared" ca="1" si="48"/>
        <v/>
      </c>
      <c r="AT62" s="398" t="str">
        <f t="shared" ca="1" si="48"/>
        <v/>
      </c>
    </row>
    <row r="63" spans="1:46" x14ac:dyDescent="0.4">
      <c r="A63" s="152">
        <v>48</v>
      </c>
      <c r="B63" s="206" t="b">
        <f t="shared" si="16"/>
        <v>0</v>
      </c>
      <c r="C63" s="211" t="str">
        <f t="shared" ca="1" si="17"/>
        <v/>
      </c>
      <c r="D63" s="376" t="str">
        <f t="shared" ca="1" si="18"/>
        <v/>
      </c>
      <c r="E63" s="376" t="str">
        <f t="shared" ca="1" si="19"/>
        <v/>
      </c>
      <c r="F63" s="59" t="str">
        <f t="shared" ca="1" si="20"/>
        <v/>
      </c>
      <c r="G63" s="59" t="str">
        <f t="shared" ca="1" si="20"/>
        <v/>
      </c>
      <c r="H63" s="213" t="str" cm="1">
        <f t="array" aca="1" ref="H63" ca="1">IFERROR(INDEX($C$16:$C$116,SMALL(IF($C$16:$C$116&lt;&gt;"",ROW($C$16:$C$116)-ROW($C$16)+1),ROW(A48))),"")</f>
        <v/>
      </c>
      <c r="I63" s="212" t="str" cm="1">
        <f t="array" aca="1" ref="I63" ca="1">IFERROR(INDEX($D$16:$D$116,SMALL(IF($D$16:$D$116&lt;&gt;"",ROW($D$16:$D$116)-ROW($D$16)+1),ROW(A48))),"")</f>
        <v/>
      </c>
      <c r="J63" s="212" t="str" cm="1">
        <f t="array" aca="1" ref="J63" ca="1">IFERROR(INDEX($E$16:$E$116,SMALL(IF($E$16:$E$116&lt;&gt;"",ROW($E$16:$E$116)-ROW($E$16)+1),ROW(A48))),"")</f>
        <v/>
      </c>
      <c r="K63" s="212" t="str" cm="1">
        <f t="array" aca="1" ref="K63" ca="1">IFERROR(INDEX($F$16:$F$116,SMALL(IF($F$16:$F$116&lt;&gt;"",ROW($F$16:$F$116)-ROW($F$16)+1),ROW(A48))),"")</f>
        <v/>
      </c>
      <c r="L63" s="212" t="str">
        <f t="shared" ca="1" si="33"/>
        <v/>
      </c>
      <c r="M63" s="212" t="str" cm="1">
        <f t="array" aca="1" ref="M63" ca="1">IFERROR(INDEX($G$16:$G$116,SMALL(IF($G$16:$G$116&lt;&gt;"",ROW($G$16:$G$116)-ROW($G$16)+1),ROW(A48))),"")</f>
        <v/>
      </c>
      <c r="N63" s="217" t="str">
        <f t="shared" ca="1" si="34"/>
        <v/>
      </c>
      <c r="O63" s="218" t="str">
        <f t="shared" ca="1" si="35"/>
        <v/>
      </c>
      <c r="P63" s="218" t="str">
        <f t="shared" ca="1" si="36"/>
        <v/>
      </c>
      <c r="Q63" s="218" t="str">
        <f t="shared" ca="1" si="37"/>
        <v/>
      </c>
      <c r="R63" s="218" t="str">
        <f t="shared" ca="1" si="38"/>
        <v/>
      </c>
      <c r="S63" s="218" t="str">
        <f t="shared" ca="1" si="39"/>
        <v/>
      </c>
      <c r="T63" s="218" t="str">
        <f t="shared" ca="1" si="40"/>
        <v/>
      </c>
      <c r="U63" s="218" t="str">
        <f t="shared" ca="1" si="41"/>
        <v/>
      </c>
      <c r="V63" s="219" t="str">
        <f t="shared" ca="1" si="42"/>
        <v/>
      </c>
      <c r="W63" s="396" t="str">
        <f t="shared" ca="1" si="21"/>
        <v/>
      </c>
      <c r="X63" s="397" t="str">
        <f t="shared" ca="1" si="22"/>
        <v/>
      </c>
      <c r="Y63" s="398" t="str">
        <f t="shared" ca="1" si="45"/>
        <v/>
      </c>
      <c r="Z63" s="398" t="str">
        <f t="shared" ca="1" si="45"/>
        <v/>
      </c>
      <c r="AA63" s="398" t="str">
        <f t="shared" ca="1" si="45"/>
        <v/>
      </c>
      <c r="AB63" s="398" t="str">
        <f t="shared" ca="1" si="45"/>
        <v/>
      </c>
      <c r="AC63" s="398" t="str">
        <f t="shared" ca="1" si="43"/>
        <v/>
      </c>
      <c r="AD63" s="398" t="str">
        <f t="shared" ca="1" si="46"/>
        <v/>
      </c>
      <c r="AE63" s="398" t="str">
        <f t="shared" ca="1" si="46"/>
        <v/>
      </c>
      <c r="AF63" s="398" t="str">
        <f t="shared" ca="1" si="46"/>
        <v/>
      </c>
      <c r="AG63" s="398" t="str">
        <f t="shared" ca="1" si="46"/>
        <v/>
      </c>
      <c r="AH63" s="398" t="str">
        <f t="shared" ca="1" si="46"/>
        <v/>
      </c>
      <c r="AI63" s="396" t="str">
        <f t="shared" ca="1" si="23"/>
        <v/>
      </c>
      <c r="AJ63" s="397" t="str">
        <f t="shared" ca="1" si="24"/>
        <v/>
      </c>
      <c r="AK63" s="398" t="str">
        <f t="shared" ca="1" si="47"/>
        <v/>
      </c>
      <c r="AL63" s="398" t="str">
        <f t="shared" ca="1" si="47"/>
        <v/>
      </c>
      <c r="AM63" s="398" t="str">
        <f t="shared" ca="1" si="47"/>
        <v/>
      </c>
      <c r="AN63" s="398" t="str">
        <f t="shared" ca="1" si="47"/>
        <v/>
      </c>
      <c r="AO63" s="398" t="str">
        <f t="shared" ca="1" si="44"/>
        <v/>
      </c>
      <c r="AP63" s="398" t="str">
        <f t="shared" ca="1" si="48"/>
        <v/>
      </c>
      <c r="AQ63" s="398" t="str">
        <f t="shared" ca="1" si="48"/>
        <v/>
      </c>
      <c r="AR63" s="398" t="str">
        <f t="shared" ca="1" si="48"/>
        <v/>
      </c>
      <c r="AS63" s="398" t="str">
        <f t="shared" ca="1" si="48"/>
        <v/>
      </c>
      <c r="AT63" s="398" t="str">
        <f t="shared" ca="1" si="48"/>
        <v/>
      </c>
    </row>
    <row r="64" spans="1:46" x14ac:dyDescent="0.4">
      <c r="A64" s="152">
        <v>49</v>
      </c>
      <c r="B64" s="206" t="b">
        <f t="shared" si="16"/>
        <v>0</v>
      </c>
      <c r="C64" s="211" t="str">
        <f t="shared" ca="1" si="17"/>
        <v/>
      </c>
      <c r="D64" s="376" t="str">
        <f t="shared" ca="1" si="18"/>
        <v/>
      </c>
      <c r="E64" s="376" t="str">
        <f t="shared" ca="1" si="19"/>
        <v/>
      </c>
      <c r="F64" s="59" t="str">
        <f t="shared" ca="1" si="20"/>
        <v/>
      </c>
      <c r="G64" s="59" t="str">
        <f t="shared" ca="1" si="20"/>
        <v/>
      </c>
      <c r="H64" s="213" t="str" cm="1">
        <f t="array" aca="1" ref="H64" ca="1">IFERROR(INDEX($C$16:$C$116,SMALL(IF($C$16:$C$116&lt;&gt;"",ROW($C$16:$C$116)-ROW($C$16)+1),ROW(A49))),"")</f>
        <v/>
      </c>
      <c r="I64" s="212" t="str" cm="1">
        <f t="array" aca="1" ref="I64" ca="1">IFERROR(INDEX($D$16:$D$116,SMALL(IF($D$16:$D$116&lt;&gt;"",ROW($D$16:$D$116)-ROW($D$16)+1),ROW(A49))),"")</f>
        <v/>
      </c>
      <c r="J64" s="212" t="str" cm="1">
        <f t="array" aca="1" ref="J64" ca="1">IFERROR(INDEX($E$16:$E$116,SMALL(IF($E$16:$E$116&lt;&gt;"",ROW($E$16:$E$116)-ROW($E$16)+1),ROW(A49))),"")</f>
        <v/>
      </c>
      <c r="K64" s="212" t="str" cm="1">
        <f t="array" aca="1" ref="K64" ca="1">IFERROR(INDEX($F$16:$F$116,SMALL(IF($F$16:$F$116&lt;&gt;"",ROW($F$16:$F$116)-ROW($F$16)+1),ROW(A49))),"")</f>
        <v/>
      </c>
      <c r="L64" s="212" t="str">
        <f t="shared" ca="1" si="33"/>
        <v/>
      </c>
      <c r="M64" s="212" t="str" cm="1">
        <f t="array" aca="1" ref="M64" ca="1">IFERROR(INDEX($G$16:$G$116,SMALL(IF($G$16:$G$116&lt;&gt;"",ROW($G$16:$G$116)-ROW($G$16)+1),ROW(A49))),"")</f>
        <v/>
      </c>
      <c r="N64" s="217" t="str">
        <f t="shared" ca="1" si="34"/>
        <v/>
      </c>
      <c r="O64" s="218" t="str">
        <f t="shared" ca="1" si="35"/>
        <v/>
      </c>
      <c r="P64" s="218" t="str">
        <f t="shared" ca="1" si="36"/>
        <v/>
      </c>
      <c r="Q64" s="218" t="str">
        <f t="shared" ca="1" si="37"/>
        <v/>
      </c>
      <c r="R64" s="218" t="str">
        <f t="shared" ca="1" si="38"/>
        <v/>
      </c>
      <c r="S64" s="218" t="str">
        <f t="shared" ca="1" si="39"/>
        <v/>
      </c>
      <c r="T64" s="218" t="str">
        <f t="shared" ca="1" si="40"/>
        <v/>
      </c>
      <c r="U64" s="218" t="str">
        <f t="shared" ca="1" si="41"/>
        <v/>
      </c>
      <c r="V64" s="219" t="str">
        <f t="shared" ca="1" si="42"/>
        <v/>
      </c>
      <c r="W64" s="396" t="str">
        <f t="shared" ca="1" si="21"/>
        <v/>
      </c>
      <c r="X64" s="397" t="str">
        <f t="shared" ca="1" si="22"/>
        <v/>
      </c>
      <c r="Y64" s="398" t="str">
        <f t="shared" ca="1" si="45"/>
        <v/>
      </c>
      <c r="Z64" s="398" t="str">
        <f t="shared" ca="1" si="45"/>
        <v/>
      </c>
      <c r="AA64" s="398" t="str">
        <f t="shared" ca="1" si="45"/>
        <v/>
      </c>
      <c r="AB64" s="398" t="str">
        <f t="shared" ca="1" si="45"/>
        <v/>
      </c>
      <c r="AC64" s="398" t="str">
        <f t="shared" ca="1" si="43"/>
        <v/>
      </c>
      <c r="AD64" s="398" t="str">
        <f t="shared" ca="1" si="46"/>
        <v/>
      </c>
      <c r="AE64" s="398" t="str">
        <f t="shared" ca="1" si="46"/>
        <v/>
      </c>
      <c r="AF64" s="398" t="str">
        <f t="shared" ca="1" si="46"/>
        <v/>
      </c>
      <c r="AG64" s="398" t="str">
        <f t="shared" ca="1" si="46"/>
        <v/>
      </c>
      <c r="AH64" s="398" t="str">
        <f t="shared" ca="1" si="46"/>
        <v/>
      </c>
      <c r="AI64" s="396" t="str">
        <f t="shared" ca="1" si="23"/>
        <v/>
      </c>
      <c r="AJ64" s="397" t="str">
        <f t="shared" ca="1" si="24"/>
        <v/>
      </c>
      <c r="AK64" s="398" t="str">
        <f t="shared" ca="1" si="47"/>
        <v/>
      </c>
      <c r="AL64" s="398" t="str">
        <f t="shared" ca="1" si="47"/>
        <v/>
      </c>
      <c r="AM64" s="398" t="str">
        <f t="shared" ca="1" si="47"/>
        <v/>
      </c>
      <c r="AN64" s="398" t="str">
        <f t="shared" ca="1" si="47"/>
        <v/>
      </c>
      <c r="AO64" s="398" t="str">
        <f t="shared" ca="1" si="44"/>
        <v/>
      </c>
      <c r="AP64" s="398" t="str">
        <f t="shared" ca="1" si="48"/>
        <v/>
      </c>
      <c r="AQ64" s="398" t="str">
        <f t="shared" ca="1" si="48"/>
        <v/>
      </c>
      <c r="AR64" s="398" t="str">
        <f t="shared" ca="1" si="48"/>
        <v/>
      </c>
      <c r="AS64" s="398" t="str">
        <f t="shared" ca="1" si="48"/>
        <v/>
      </c>
      <c r="AT64" s="398" t="str">
        <f t="shared" ca="1" si="48"/>
        <v/>
      </c>
    </row>
    <row r="65" spans="1:46" x14ac:dyDescent="0.4">
      <c r="A65" s="152">
        <v>50</v>
      </c>
      <c r="B65" s="206" t="b">
        <f t="shared" si="16"/>
        <v>0</v>
      </c>
      <c r="C65" s="211" t="str">
        <f t="shared" ca="1" si="17"/>
        <v/>
      </c>
      <c r="D65" s="376" t="str">
        <f t="shared" ca="1" si="18"/>
        <v/>
      </c>
      <c r="E65" s="376" t="str">
        <f t="shared" ca="1" si="19"/>
        <v/>
      </c>
      <c r="F65" s="59" t="str">
        <f t="shared" ca="1" si="20"/>
        <v/>
      </c>
      <c r="G65" s="59" t="str">
        <f t="shared" ca="1" si="20"/>
        <v/>
      </c>
      <c r="H65" s="213" t="str" cm="1">
        <f t="array" aca="1" ref="H65" ca="1">IFERROR(INDEX($C$16:$C$116,SMALL(IF($C$16:$C$116&lt;&gt;"",ROW($C$16:$C$116)-ROW($C$16)+1),ROW(A50))),"")</f>
        <v/>
      </c>
      <c r="I65" s="212" t="str" cm="1">
        <f t="array" aca="1" ref="I65" ca="1">IFERROR(INDEX($D$16:$D$116,SMALL(IF($D$16:$D$116&lt;&gt;"",ROW($D$16:$D$116)-ROW($D$16)+1),ROW(A50))),"")</f>
        <v/>
      </c>
      <c r="J65" s="212" t="str" cm="1">
        <f t="array" aca="1" ref="J65" ca="1">IFERROR(INDEX($E$16:$E$116,SMALL(IF($E$16:$E$116&lt;&gt;"",ROW($E$16:$E$116)-ROW($E$16)+1),ROW(A50))),"")</f>
        <v/>
      </c>
      <c r="K65" s="212" t="str" cm="1">
        <f t="array" aca="1" ref="K65" ca="1">IFERROR(INDEX($F$16:$F$116,SMALL(IF($F$16:$F$116&lt;&gt;"",ROW($F$16:$F$116)-ROW($F$16)+1),ROW(A50))),"")</f>
        <v/>
      </c>
      <c r="L65" s="212" t="str">
        <f t="shared" ca="1" si="33"/>
        <v/>
      </c>
      <c r="M65" s="212" t="str" cm="1">
        <f t="array" aca="1" ref="M65" ca="1">IFERROR(INDEX($G$16:$G$116,SMALL(IF($G$16:$G$116&lt;&gt;"",ROW($G$16:$G$116)-ROW($G$16)+1),ROW(A50))),"")</f>
        <v/>
      </c>
      <c r="N65" s="217" t="str">
        <f t="shared" ca="1" si="34"/>
        <v/>
      </c>
      <c r="O65" s="218" t="str">
        <f t="shared" ca="1" si="35"/>
        <v/>
      </c>
      <c r="P65" s="218" t="str">
        <f t="shared" ca="1" si="36"/>
        <v/>
      </c>
      <c r="Q65" s="218" t="str">
        <f t="shared" ca="1" si="37"/>
        <v/>
      </c>
      <c r="R65" s="218" t="str">
        <f t="shared" ca="1" si="38"/>
        <v/>
      </c>
      <c r="S65" s="218" t="str">
        <f t="shared" ca="1" si="39"/>
        <v/>
      </c>
      <c r="T65" s="218" t="str">
        <f t="shared" ca="1" si="40"/>
        <v/>
      </c>
      <c r="U65" s="218" t="str">
        <f t="shared" ca="1" si="41"/>
        <v/>
      </c>
      <c r="V65" s="219" t="str">
        <f t="shared" ca="1" si="42"/>
        <v/>
      </c>
      <c r="W65" s="396" t="str">
        <f t="shared" ca="1" si="21"/>
        <v/>
      </c>
      <c r="X65" s="397" t="str">
        <f t="shared" ca="1" si="22"/>
        <v/>
      </c>
      <c r="Y65" s="398" t="str">
        <f t="shared" ca="1" si="45"/>
        <v/>
      </c>
      <c r="Z65" s="398" t="str">
        <f t="shared" ca="1" si="45"/>
        <v/>
      </c>
      <c r="AA65" s="398" t="str">
        <f t="shared" ca="1" si="45"/>
        <v/>
      </c>
      <c r="AB65" s="398" t="str">
        <f t="shared" ca="1" si="45"/>
        <v/>
      </c>
      <c r="AC65" s="398" t="str">
        <f t="shared" ca="1" si="43"/>
        <v/>
      </c>
      <c r="AD65" s="398" t="str">
        <f t="shared" ca="1" si="46"/>
        <v/>
      </c>
      <c r="AE65" s="398" t="str">
        <f t="shared" ca="1" si="46"/>
        <v/>
      </c>
      <c r="AF65" s="398" t="str">
        <f t="shared" ca="1" si="46"/>
        <v/>
      </c>
      <c r="AG65" s="398" t="str">
        <f t="shared" ca="1" si="46"/>
        <v/>
      </c>
      <c r="AH65" s="398" t="str">
        <f t="shared" ca="1" si="46"/>
        <v/>
      </c>
      <c r="AI65" s="396" t="str">
        <f t="shared" ca="1" si="23"/>
        <v/>
      </c>
      <c r="AJ65" s="397" t="str">
        <f t="shared" ca="1" si="24"/>
        <v/>
      </c>
      <c r="AK65" s="398" t="str">
        <f t="shared" ca="1" si="47"/>
        <v/>
      </c>
      <c r="AL65" s="398" t="str">
        <f t="shared" ca="1" si="47"/>
        <v/>
      </c>
      <c r="AM65" s="398" t="str">
        <f t="shared" ca="1" si="47"/>
        <v/>
      </c>
      <c r="AN65" s="398" t="str">
        <f t="shared" ca="1" si="47"/>
        <v/>
      </c>
      <c r="AO65" s="398" t="str">
        <f t="shared" ca="1" si="44"/>
        <v/>
      </c>
      <c r="AP65" s="398" t="str">
        <f t="shared" ca="1" si="48"/>
        <v/>
      </c>
      <c r="AQ65" s="398" t="str">
        <f t="shared" ca="1" si="48"/>
        <v/>
      </c>
      <c r="AR65" s="398" t="str">
        <f t="shared" ca="1" si="48"/>
        <v/>
      </c>
      <c r="AS65" s="398" t="str">
        <f t="shared" ca="1" si="48"/>
        <v/>
      </c>
      <c r="AT65" s="398" t="str">
        <f t="shared" ca="1" si="48"/>
        <v/>
      </c>
    </row>
    <row r="66" spans="1:46" x14ac:dyDescent="0.4">
      <c r="A66" s="152">
        <v>51</v>
      </c>
      <c r="B66" s="206" t="b">
        <f t="shared" si="16"/>
        <v>0</v>
      </c>
      <c r="C66" s="211" t="str">
        <f t="shared" ca="1" si="17"/>
        <v/>
      </c>
      <c r="D66" s="376" t="str">
        <f t="shared" ca="1" si="18"/>
        <v/>
      </c>
      <c r="E66" s="376" t="str">
        <f t="shared" ca="1" si="19"/>
        <v/>
      </c>
      <c r="F66" s="59" t="str">
        <f t="shared" ca="1" si="20"/>
        <v/>
      </c>
      <c r="G66" s="59" t="str">
        <f t="shared" ca="1" si="20"/>
        <v/>
      </c>
      <c r="H66" s="213" t="str" cm="1">
        <f t="array" aca="1" ref="H66" ca="1">IFERROR(INDEX($C$16:$C$116,SMALL(IF($C$16:$C$116&lt;&gt;"",ROW($C$16:$C$116)-ROW($C$16)+1),ROW(A51))),"")</f>
        <v/>
      </c>
      <c r="I66" s="212" t="str" cm="1">
        <f t="array" aca="1" ref="I66" ca="1">IFERROR(INDEX($D$16:$D$116,SMALL(IF($D$16:$D$116&lt;&gt;"",ROW($D$16:$D$116)-ROW($D$16)+1),ROW(A51))),"")</f>
        <v/>
      </c>
      <c r="J66" s="212" t="str" cm="1">
        <f t="array" aca="1" ref="J66" ca="1">IFERROR(INDEX($E$16:$E$116,SMALL(IF($E$16:$E$116&lt;&gt;"",ROW($E$16:$E$116)-ROW($E$16)+1),ROW(A51))),"")</f>
        <v/>
      </c>
      <c r="K66" s="212" t="str" cm="1">
        <f t="array" aca="1" ref="K66" ca="1">IFERROR(INDEX($F$16:$F$116,SMALL(IF($F$16:$F$116&lt;&gt;"",ROW($F$16:$F$116)-ROW($F$16)+1),ROW(A51))),"")</f>
        <v/>
      </c>
      <c r="L66" s="212" t="str">
        <f t="shared" ca="1" si="33"/>
        <v/>
      </c>
      <c r="M66" s="212" t="str" cm="1">
        <f t="array" aca="1" ref="M66" ca="1">IFERROR(INDEX($G$16:$G$116,SMALL(IF($G$16:$G$116&lt;&gt;"",ROW($G$16:$G$116)-ROW($G$16)+1),ROW(A51))),"")</f>
        <v/>
      </c>
      <c r="N66" s="217" t="str">
        <f t="shared" ca="1" si="34"/>
        <v/>
      </c>
      <c r="O66" s="218" t="str">
        <f t="shared" ca="1" si="35"/>
        <v/>
      </c>
      <c r="P66" s="218" t="str">
        <f t="shared" ca="1" si="36"/>
        <v/>
      </c>
      <c r="Q66" s="218" t="str">
        <f t="shared" ca="1" si="37"/>
        <v/>
      </c>
      <c r="R66" s="218" t="str">
        <f t="shared" ca="1" si="38"/>
        <v/>
      </c>
      <c r="S66" s="218" t="str">
        <f t="shared" ca="1" si="39"/>
        <v/>
      </c>
      <c r="T66" s="218" t="str">
        <f t="shared" ca="1" si="40"/>
        <v/>
      </c>
      <c r="U66" s="218" t="str">
        <f t="shared" ca="1" si="41"/>
        <v/>
      </c>
      <c r="V66" s="219" t="str">
        <f t="shared" ca="1" si="42"/>
        <v/>
      </c>
      <c r="W66" s="396" t="str">
        <f t="shared" ca="1" si="21"/>
        <v/>
      </c>
      <c r="X66" s="397" t="str">
        <f t="shared" ca="1" si="22"/>
        <v/>
      </c>
      <c r="Y66" s="398" t="str">
        <f t="shared" ca="1" si="45"/>
        <v/>
      </c>
      <c r="Z66" s="398" t="str">
        <f t="shared" ca="1" si="45"/>
        <v/>
      </c>
      <c r="AA66" s="398" t="str">
        <f t="shared" ca="1" si="45"/>
        <v/>
      </c>
      <c r="AB66" s="398" t="str">
        <f t="shared" ca="1" si="45"/>
        <v/>
      </c>
      <c r="AC66" s="398" t="str">
        <f t="shared" ca="1" si="43"/>
        <v/>
      </c>
      <c r="AD66" s="398" t="str">
        <f t="shared" ref="AD66:AH72" ca="1" si="49">IF(OR($J66="Pluviomètre",LEFT($J66,5)="Sonde"),"",IF($H66&lt;&gt;"",IF(_xlfn.SINGLE(INDIRECT($H66&amp;"!"&amp;$W66&amp;($X66+AD$15+1)))&lt;&gt;"",_xlfn.SINGLE(INDIRECT($H66&amp;"!"&amp;$W66&amp;($X66+AD$15+1))),""),""))</f>
        <v/>
      </c>
      <c r="AE66" s="398" t="str">
        <f t="shared" ca="1" si="49"/>
        <v/>
      </c>
      <c r="AF66" s="398" t="str">
        <f t="shared" ca="1" si="49"/>
        <v/>
      </c>
      <c r="AG66" s="398" t="str">
        <f t="shared" ca="1" si="49"/>
        <v/>
      </c>
      <c r="AH66" s="398" t="str">
        <f t="shared" ca="1" si="49"/>
        <v/>
      </c>
      <c r="AI66" s="396" t="str">
        <f t="shared" ca="1" si="23"/>
        <v/>
      </c>
      <c r="AJ66" s="397" t="str">
        <f t="shared" ca="1" si="24"/>
        <v/>
      </c>
      <c r="AK66" s="398" t="str">
        <f t="shared" ca="1" si="47"/>
        <v/>
      </c>
      <c r="AL66" s="398" t="str">
        <f t="shared" ca="1" si="47"/>
        <v/>
      </c>
      <c r="AM66" s="398" t="str">
        <f t="shared" ca="1" si="47"/>
        <v/>
      </c>
      <c r="AN66" s="398" t="str">
        <f t="shared" ca="1" si="47"/>
        <v/>
      </c>
      <c r="AO66" s="398" t="str">
        <f t="shared" ca="1" si="44"/>
        <v/>
      </c>
      <c r="AP66" s="398" t="str">
        <f t="shared" ref="AP66:AT72" ca="1" si="50">IF(OR($J66="Pluviomètre",LEFT($J66,5)="Sonde"),"",IF($H66&lt;&gt;"",IF(_xlfn.SINGLE(INDIRECT($H66&amp;"!"&amp;$AI66&amp;($AJ66+AP$15+1)))&lt;&gt;"",_xlfn.SINGLE(INDIRECT($H66&amp;"!"&amp;$AI66&amp;($AJ66+AP$15+1))),""),""))</f>
        <v/>
      </c>
      <c r="AQ66" s="398" t="str">
        <f t="shared" ca="1" si="50"/>
        <v/>
      </c>
      <c r="AR66" s="398" t="str">
        <f t="shared" ca="1" si="50"/>
        <v/>
      </c>
      <c r="AS66" s="398" t="str">
        <f t="shared" ca="1" si="50"/>
        <v/>
      </c>
      <c r="AT66" s="398" t="str">
        <f t="shared" ca="1" si="50"/>
        <v/>
      </c>
    </row>
    <row r="67" spans="1:46" x14ac:dyDescent="0.4">
      <c r="A67" s="152">
        <v>52</v>
      </c>
      <c r="B67" s="206" t="b">
        <f t="shared" si="16"/>
        <v>0</v>
      </c>
      <c r="C67" s="211" t="str">
        <f t="shared" ca="1" si="17"/>
        <v/>
      </c>
      <c r="D67" s="376" t="str">
        <f t="shared" ca="1" si="18"/>
        <v/>
      </c>
      <c r="E67" s="376" t="str">
        <f t="shared" ca="1" si="19"/>
        <v/>
      </c>
      <c r="F67" s="59" t="str">
        <f t="shared" ca="1" si="20"/>
        <v/>
      </c>
      <c r="G67" s="59" t="str">
        <f t="shared" ca="1" si="20"/>
        <v/>
      </c>
      <c r="H67" s="213" t="str" cm="1">
        <f t="array" aca="1" ref="H67" ca="1">IFERROR(INDEX($C$16:$C$116,SMALL(IF($C$16:$C$116&lt;&gt;"",ROW($C$16:$C$116)-ROW($C$16)+1),ROW(A52))),"")</f>
        <v/>
      </c>
      <c r="I67" s="212" t="str" cm="1">
        <f t="array" aca="1" ref="I67" ca="1">IFERROR(INDEX($D$16:$D$116,SMALL(IF($D$16:$D$116&lt;&gt;"",ROW($D$16:$D$116)-ROW($D$16)+1),ROW(A52))),"")</f>
        <v/>
      </c>
      <c r="J67" s="212" t="str" cm="1">
        <f t="array" aca="1" ref="J67" ca="1">IFERROR(INDEX($E$16:$E$116,SMALL(IF($E$16:$E$116&lt;&gt;"",ROW($E$16:$E$116)-ROW($E$16)+1),ROW(A52))),"")</f>
        <v/>
      </c>
      <c r="K67" s="212" t="str" cm="1">
        <f t="array" aca="1" ref="K67" ca="1">IFERROR(INDEX($F$16:$F$116,SMALL(IF($F$16:$F$116&lt;&gt;"",ROW($F$16:$F$116)-ROW($F$16)+1),ROW(A52))),"")</f>
        <v/>
      </c>
      <c r="L67" s="212" t="str">
        <f t="shared" ca="1" si="33"/>
        <v/>
      </c>
      <c r="M67" s="212" t="str" cm="1">
        <f t="array" aca="1" ref="M67" ca="1">IFERROR(INDEX($G$16:$G$116,SMALL(IF($G$16:$G$116&lt;&gt;"",ROW($G$16:$G$116)-ROW($G$16)+1),ROW(A52))),"")</f>
        <v/>
      </c>
      <c r="N67" s="217" t="str">
        <f t="shared" ca="1" si="34"/>
        <v/>
      </c>
      <c r="O67" s="218" t="str">
        <f t="shared" ca="1" si="35"/>
        <v/>
      </c>
      <c r="P67" s="218" t="str">
        <f t="shared" ca="1" si="36"/>
        <v/>
      </c>
      <c r="Q67" s="218" t="str">
        <f t="shared" ca="1" si="37"/>
        <v/>
      </c>
      <c r="R67" s="218" t="str">
        <f t="shared" ca="1" si="38"/>
        <v/>
      </c>
      <c r="S67" s="218" t="str">
        <f t="shared" ca="1" si="39"/>
        <v/>
      </c>
      <c r="T67" s="218" t="str">
        <f t="shared" ca="1" si="40"/>
        <v/>
      </c>
      <c r="U67" s="218" t="str">
        <f t="shared" ca="1" si="41"/>
        <v/>
      </c>
      <c r="V67" s="219" t="str">
        <f t="shared" ca="1" si="42"/>
        <v/>
      </c>
      <c r="W67" s="396" t="str">
        <f t="shared" ca="1" si="21"/>
        <v/>
      </c>
      <c r="X67" s="397" t="str">
        <f t="shared" ca="1" si="22"/>
        <v/>
      </c>
      <c r="Y67" s="398" t="str">
        <f t="shared" ca="1" si="45"/>
        <v/>
      </c>
      <c r="Z67" s="398" t="str">
        <f t="shared" ca="1" si="45"/>
        <v/>
      </c>
      <c r="AA67" s="398" t="str">
        <f t="shared" ca="1" si="45"/>
        <v/>
      </c>
      <c r="AB67" s="398" t="str">
        <f t="shared" ca="1" si="45"/>
        <v/>
      </c>
      <c r="AC67" s="398" t="str">
        <f t="shared" ca="1" si="43"/>
        <v/>
      </c>
      <c r="AD67" s="398" t="str">
        <f t="shared" ca="1" si="49"/>
        <v/>
      </c>
      <c r="AE67" s="398" t="str">
        <f t="shared" ca="1" si="49"/>
        <v/>
      </c>
      <c r="AF67" s="398" t="str">
        <f t="shared" ca="1" si="49"/>
        <v/>
      </c>
      <c r="AG67" s="398" t="str">
        <f t="shared" ca="1" si="49"/>
        <v/>
      </c>
      <c r="AH67" s="398" t="str">
        <f t="shared" ca="1" si="49"/>
        <v/>
      </c>
      <c r="AI67" s="396" t="str">
        <f t="shared" ca="1" si="23"/>
        <v/>
      </c>
      <c r="AJ67" s="397" t="str">
        <f t="shared" ca="1" si="24"/>
        <v/>
      </c>
      <c r="AK67" s="398" t="str">
        <f t="shared" ca="1" si="47"/>
        <v/>
      </c>
      <c r="AL67" s="398" t="str">
        <f t="shared" ca="1" si="47"/>
        <v/>
      </c>
      <c r="AM67" s="398" t="str">
        <f t="shared" ca="1" si="47"/>
        <v/>
      </c>
      <c r="AN67" s="398" t="str">
        <f t="shared" ca="1" si="47"/>
        <v/>
      </c>
      <c r="AO67" s="398" t="str">
        <f t="shared" ca="1" si="44"/>
        <v/>
      </c>
      <c r="AP67" s="398" t="str">
        <f t="shared" ca="1" si="50"/>
        <v/>
      </c>
      <c r="AQ67" s="398" t="str">
        <f t="shared" ca="1" si="50"/>
        <v/>
      </c>
      <c r="AR67" s="398" t="str">
        <f t="shared" ca="1" si="50"/>
        <v/>
      </c>
      <c r="AS67" s="398" t="str">
        <f t="shared" ca="1" si="50"/>
        <v/>
      </c>
      <c r="AT67" s="398" t="str">
        <f t="shared" ca="1" si="50"/>
        <v/>
      </c>
    </row>
    <row r="68" spans="1:46" x14ac:dyDescent="0.4">
      <c r="A68" s="152">
        <v>53</v>
      </c>
      <c r="B68" s="206" t="b">
        <f t="shared" si="16"/>
        <v>0</v>
      </c>
      <c r="C68" s="211" t="str">
        <f t="shared" ca="1" si="17"/>
        <v/>
      </c>
      <c r="D68" s="376" t="str">
        <f t="shared" ca="1" si="18"/>
        <v/>
      </c>
      <c r="E68" s="376" t="str">
        <f t="shared" ca="1" si="19"/>
        <v/>
      </c>
      <c r="F68" s="59" t="str">
        <f t="shared" ca="1" si="20"/>
        <v/>
      </c>
      <c r="G68" s="59" t="str">
        <f t="shared" ca="1" si="20"/>
        <v/>
      </c>
      <c r="H68" s="213" t="str" cm="1">
        <f t="array" aca="1" ref="H68" ca="1">IFERROR(INDEX($C$16:$C$116,SMALL(IF($C$16:$C$116&lt;&gt;"",ROW($C$16:$C$116)-ROW($C$16)+1),ROW(A53))),"")</f>
        <v/>
      </c>
      <c r="I68" s="212" t="str" cm="1">
        <f t="array" aca="1" ref="I68" ca="1">IFERROR(INDEX($D$16:$D$116,SMALL(IF($D$16:$D$116&lt;&gt;"",ROW($D$16:$D$116)-ROW($D$16)+1),ROW(A53))),"")</f>
        <v/>
      </c>
      <c r="J68" s="212" t="str" cm="1">
        <f t="array" aca="1" ref="J68" ca="1">IFERROR(INDEX($E$16:$E$116,SMALL(IF($E$16:$E$116&lt;&gt;"",ROW($E$16:$E$116)-ROW($E$16)+1),ROW(A53))),"")</f>
        <v/>
      </c>
      <c r="K68" s="212" t="str" cm="1">
        <f t="array" aca="1" ref="K68" ca="1">IFERROR(INDEX($F$16:$F$116,SMALL(IF($F$16:$F$116&lt;&gt;"",ROW($F$16:$F$116)-ROW($F$16)+1),ROW(A53))),"")</f>
        <v/>
      </c>
      <c r="L68" s="212" t="str">
        <f t="shared" ca="1" si="33"/>
        <v/>
      </c>
      <c r="M68" s="212" t="str" cm="1">
        <f t="array" aca="1" ref="M68" ca="1">IFERROR(INDEX($G$16:$G$116,SMALL(IF($G$16:$G$116&lt;&gt;"",ROW($G$16:$G$116)-ROW($G$16)+1),ROW(A53))),"")</f>
        <v/>
      </c>
      <c r="N68" s="217" t="str">
        <f t="shared" ca="1" si="34"/>
        <v/>
      </c>
      <c r="O68" s="218" t="str">
        <f t="shared" ca="1" si="35"/>
        <v/>
      </c>
      <c r="P68" s="218" t="str">
        <f t="shared" ca="1" si="36"/>
        <v/>
      </c>
      <c r="Q68" s="218" t="str">
        <f t="shared" ca="1" si="37"/>
        <v/>
      </c>
      <c r="R68" s="218" t="str">
        <f t="shared" ca="1" si="38"/>
        <v/>
      </c>
      <c r="S68" s="218" t="str">
        <f t="shared" ca="1" si="39"/>
        <v/>
      </c>
      <c r="T68" s="218" t="str">
        <f t="shared" ca="1" si="40"/>
        <v/>
      </c>
      <c r="U68" s="218" t="str">
        <f t="shared" ca="1" si="41"/>
        <v/>
      </c>
      <c r="V68" s="219" t="str">
        <f t="shared" ca="1" si="42"/>
        <v/>
      </c>
      <c r="W68" s="396" t="str">
        <f t="shared" ca="1" si="21"/>
        <v/>
      </c>
      <c r="X68" s="397" t="str">
        <f t="shared" ca="1" si="22"/>
        <v/>
      </c>
      <c r="Y68" s="398" t="str">
        <f t="shared" ca="1" si="45"/>
        <v/>
      </c>
      <c r="Z68" s="398" t="str">
        <f t="shared" ca="1" si="45"/>
        <v/>
      </c>
      <c r="AA68" s="398" t="str">
        <f t="shared" ca="1" si="45"/>
        <v/>
      </c>
      <c r="AB68" s="398" t="str">
        <f t="shared" ca="1" si="45"/>
        <v/>
      </c>
      <c r="AC68" s="398" t="str">
        <f t="shared" ca="1" si="43"/>
        <v/>
      </c>
      <c r="AD68" s="398" t="str">
        <f t="shared" ca="1" si="49"/>
        <v/>
      </c>
      <c r="AE68" s="398" t="str">
        <f t="shared" ca="1" si="49"/>
        <v/>
      </c>
      <c r="AF68" s="398" t="str">
        <f t="shared" ca="1" si="49"/>
        <v/>
      </c>
      <c r="AG68" s="398" t="str">
        <f t="shared" ca="1" si="49"/>
        <v/>
      </c>
      <c r="AH68" s="398" t="str">
        <f t="shared" ca="1" si="49"/>
        <v/>
      </c>
      <c r="AI68" s="396" t="str">
        <f t="shared" ca="1" si="23"/>
        <v/>
      </c>
      <c r="AJ68" s="397" t="str">
        <f t="shared" ca="1" si="24"/>
        <v/>
      </c>
      <c r="AK68" s="398" t="str">
        <f t="shared" ca="1" si="47"/>
        <v/>
      </c>
      <c r="AL68" s="398" t="str">
        <f t="shared" ca="1" si="47"/>
        <v/>
      </c>
      <c r="AM68" s="398" t="str">
        <f t="shared" ca="1" si="47"/>
        <v/>
      </c>
      <c r="AN68" s="398" t="str">
        <f t="shared" ca="1" si="47"/>
        <v/>
      </c>
      <c r="AO68" s="398" t="str">
        <f t="shared" ca="1" si="44"/>
        <v/>
      </c>
      <c r="AP68" s="398" t="str">
        <f t="shared" ca="1" si="50"/>
        <v/>
      </c>
      <c r="AQ68" s="398" t="str">
        <f t="shared" ca="1" si="50"/>
        <v/>
      </c>
      <c r="AR68" s="398" t="str">
        <f t="shared" ca="1" si="50"/>
        <v/>
      </c>
      <c r="AS68" s="398" t="str">
        <f t="shared" ca="1" si="50"/>
        <v/>
      </c>
      <c r="AT68" s="398" t="str">
        <f t="shared" ca="1" si="50"/>
        <v/>
      </c>
    </row>
    <row r="69" spans="1:46" x14ac:dyDescent="0.4">
      <c r="A69" s="152">
        <v>54</v>
      </c>
      <c r="B69" s="206" t="b">
        <f t="shared" si="16"/>
        <v>0</v>
      </c>
      <c r="C69" s="211" t="str">
        <f t="shared" ca="1" si="17"/>
        <v/>
      </c>
      <c r="D69" s="376" t="str">
        <f t="shared" ca="1" si="18"/>
        <v/>
      </c>
      <c r="E69" s="376" t="str">
        <f t="shared" ca="1" si="19"/>
        <v/>
      </c>
      <c r="F69" s="59" t="str">
        <f t="shared" ca="1" si="20"/>
        <v/>
      </c>
      <c r="G69" s="59" t="str">
        <f t="shared" ca="1" si="20"/>
        <v/>
      </c>
      <c r="H69" s="213" t="str" cm="1">
        <f t="array" aca="1" ref="H69" ca="1">IFERROR(INDEX($C$16:$C$116,SMALL(IF($C$16:$C$116&lt;&gt;"",ROW($C$16:$C$116)-ROW($C$16)+1),ROW(A54))),"")</f>
        <v/>
      </c>
      <c r="I69" s="212" t="str" cm="1">
        <f t="array" aca="1" ref="I69" ca="1">IFERROR(INDEX($D$16:$D$116,SMALL(IF($D$16:$D$116&lt;&gt;"",ROW($D$16:$D$116)-ROW($D$16)+1),ROW(A54))),"")</f>
        <v/>
      </c>
      <c r="J69" s="212" t="str" cm="1">
        <f t="array" aca="1" ref="J69" ca="1">IFERROR(INDEX($E$16:$E$116,SMALL(IF($E$16:$E$116&lt;&gt;"",ROW($E$16:$E$116)-ROW($E$16)+1),ROW(A54))),"")</f>
        <v/>
      </c>
      <c r="K69" s="212" t="str" cm="1">
        <f t="array" aca="1" ref="K69" ca="1">IFERROR(INDEX($F$16:$F$116,SMALL(IF($F$16:$F$116&lt;&gt;"",ROW($F$16:$F$116)-ROW($F$16)+1),ROW(A54))),"")</f>
        <v/>
      </c>
      <c r="L69" s="212" t="str">
        <f t="shared" ca="1" si="33"/>
        <v/>
      </c>
      <c r="M69" s="212" t="str" cm="1">
        <f t="array" aca="1" ref="M69" ca="1">IFERROR(INDEX($G$16:$G$116,SMALL(IF($G$16:$G$116&lt;&gt;"",ROW($G$16:$G$116)-ROW($G$16)+1),ROW(A54))),"")</f>
        <v/>
      </c>
      <c r="N69" s="217" t="str">
        <f t="shared" ca="1" si="34"/>
        <v/>
      </c>
      <c r="O69" s="218" t="str">
        <f t="shared" ca="1" si="35"/>
        <v/>
      </c>
      <c r="P69" s="218" t="str">
        <f t="shared" ca="1" si="36"/>
        <v/>
      </c>
      <c r="Q69" s="218" t="str">
        <f t="shared" ca="1" si="37"/>
        <v/>
      </c>
      <c r="R69" s="218" t="str">
        <f t="shared" ca="1" si="38"/>
        <v/>
      </c>
      <c r="S69" s="218" t="str">
        <f t="shared" ca="1" si="39"/>
        <v/>
      </c>
      <c r="T69" s="218" t="str">
        <f t="shared" ca="1" si="40"/>
        <v/>
      </c>
      <c r="U69" s="218" t="str">
        <f t="shared" ca="1" si="41"/>
        <v/>
      </c>
      <c r="V69" s="219" t="str">
        <f t="shared" ca="1" si="42"/>
        <v/>
      </c>
      <c r="W69" s="396" t="str">
        <f t="shared" ca="1" si="21"/>
        <v/>
      </c>
      <c r="X69" s="220" t="str">
        <f t="shared" ca="1" si="22"/>
        <v/>
      </c>
      <c r="Y69" s="221" t="str">
        <f t="shared" ca="1" si="45"/>
        <v/>
      </c>
      <c r="Z69" s="221" t="str">
        <f t="shared" ca="1" si="45"/>
        <v/>
      </c>
      <c r="AA69" s="221" t="str">
        <f t="shared" ca="1" si="45"/>
        <v/>
      </c>
      <c r="AB69" s="221" t="str">
        <f t="shared" ca="1" si="45"/>
        <v/>
      </c>
      <c r="AC69" s="398" t="str">
        <f t="shared" ca="1" si="43"/>
        <v/>
      </c>
      <c r="AD69" s="398" t="str">
        <f t="shared" ca="1" si="49"/>
        <v/>
      </c>
      <c r="AE69" s="398" t="str">
        <f t="shared" ca="1" si="49"/>
        <v/>
      </c>
      <c r="AF69" s="398" t="str">
        <f t="shared" ca="1" si="49"/>
        <v/>
      </c>
      <c r="AG69" s="398" t="str">
        <f t="shared" ca="1" si="49"/>
        <v/>
      </c>
      <c r="AH69" s="398" t="str">
        <f t="shared" ca="1" si="49"/>
        <v/>
      </c>
      <c r="AI69" s="396" t="str">
        <f t="shared" ca="1" si="23"/>
        <v/>
      </c>
      <c r="AJ69" s="220" t="str">
        <f t="shared" ca="1" si="24"/>
        <v/>
      </c>
      <c r="AK69" s="398" t="str">
        <f t="shared" ca="1" si="47"/>
        <v/>
      </c>
      <c r="AL69" s="398" t="str">
        <f t="shared" ca="1" si="47"/>
        <v/>
      </c>
      <c r="AM69" s="398" t="str">
        <f t="shared" ca="1" si="47"/>
        <v/>
      </c>
      <c r="AN69" s="398" t="str">
        <f t="shared" ca="1" si="47"/>
        <v/>
      </c>
      <c r="AO69" s="398" t="str">
        <f t="shared" ca="1" si="44"/>
        <v/>
      </c>
      <c r="AP69" s="398" t="str">
        <f t="shared" ca="1" si="50"/>
        <v/>
      </c>
      <c r="AQ69" s="398" t="str">
        <f t="shared" ca="1" si="50"/>
        <v/>
      </c>
      <c r="AR69" s="398" t="str">
        <f t="shared" ca="1" si="50"/>
        <v/>
      </c>
      <c r="AS69" s="398" t="str">
        <f t="shared" ca="1" si="50"/>
        <v/>
      </c>
      <c r="AT69" s="398" t="str">
        <f t="shared" ca="1" si="50"/>
        <v/>
      </c>
    </row>
    <row r="70" spans="1:46" x14ac:dyDescent="0.4">
      <c r="A70" s="152">
        <v>55</v>
      </c>
      <c r="B70" s="206" t="b">
        <f t="shared" si="16"/>
        <v>0</v>
      </c>
      <c r="C70" s="211" t="str">
        <f t="shared" ca="1" si="17"/>
        <v/>
      </c>
      <c r="D70" s="376" t="str">
        <f t="shared" ca="1" si="18"/>
        <v/>
      </c>
      <c r="E70" s="376" t="str">
        <f t="shared" ca="1" si="19"/>
        <v/>
      </c>
      <c r="F70" s="59" t="str">
        <f t="shared" ca="1" si="20"/>
        <v/>
      </c>
      <c r="G70" s="59" t="str">
        <f t="shared" ca="1" si="20"/>
        <v/>
      </c>
      <c r="H70" s="213" t="str" cm="1">
        <f t="array" aca="1" ref="H70" ca="1">IFERROR(INDEX($C$16:$C$116,SMALL(IF($C$16:$C$116&lt;&gt;"",ROW($C$16:$C$116)-ROW($C$16)+1),ROW(A55))),"")</f>
        <v/>
      </c>
      <c r="I70" s="212" t="str" cm="1">
        <f t="array" aca="1" ref="I70" ca="1">IFERROR(INDEX($D$16:$D$116,SMALL(IF($D$16:$D$116&lt;&gt;"",ROW($D$16:$D$116)-ROW($D$16)+1),ROW(A55))),"")</f>
        <v/>
      </c>
      <c r="J70" s="212" t="str" cm="1">
        <f t="array" aca="1" ref="J70" ca="1">IFERROR(INDEX($E$16:$E$116,SMALL(IF($E$16:$E$116&lt;&gt;"",ROW($E$16:$E$116)-ROW($E$16)+1),ROW(A55))),"")</f>
        <v/>
      </c>
      <c r="K70" s="212" t="str" cm="1">
        <f t="array" aca="1" ref="K70" ca="1">IFERROR(INDEX($F$16:$F$116,SMALL(IF($F$16:$F$116&lt;&gt;"",ROW($F$16:$F$116)-ROW($F$16)+1),ROW(A55))),"")</f>
        <v/>
      </c>
      <c r="L70" s="212" t="str">
        <f t="shared" ca="1" si="33"/>
        <v/>
      </c>
      <c r="M70" s="212" t="str" cm="1">
        <f t="array" aca="1" ref="M70" ca="1">IFERROR(INDEX($G$16:$G$116,SMALL(IF($G$16:$G$116&lt;&gt;"",ROW($G$16:$G$116)-ROW($G$16)+1),ROW(A55))),"")</f>
        <v/>
      </c>
      <c r="N70" s="217" t="str">
        <f t="shared" ca="1" si="34"/>
        <v/>
      </c>
      <c r="O70" s="218" t="str">
        <f t="shared" ca="1" si="35"/>
        <v/>
      </c>
      <c r="P70" s="218" t="str">
        <f t="shared" ca="1" si="36"/>
        <v/>
      </c>
      <c r="Q70" s="218" t="str">
        <f t="shared" ca="1" si="37"/>
        <v/>
      </c>
      <c r="R70" s="218" t="str">
        <f t="shared" ca="1" si="38"/>
        <v/>
      </c>
      <c r="S70" s="218" t="str">
        <f t="shared" ca="1" si="39"/>
        <v/>
      </c>
      <c r="T70" s="218" t="str">
        <f t="shared" ca="1" si="40"/>
        <v/>
      </c>
      <c r="U70" s="218" t="str">
        <f t="shared" ca="1" si="41"/>
        <v/>
      </c>
      <c r="V70" s="219" t="str">
        <f t="shared" ca="1" si="42"/>
        <v/>
      </c>
      <c r="W70" s="396" t="str">
        <f t="shared" ca="1" si="21"/>
        <v/>
      </c>
      <c r="X70" s="220" t="str">
        <f t="shared" ca="1" si="22"/>
        <v/>
      </c>
      <c r="Y70" s="221" t="str">
        <f t="shared" ca="1" si="45"/>
        <v/>
      </c>
      <c r="Z70" s="221" t="str">
        <f t="shared" ca="1" si="45"/>
        <v/>
      </c>
      <c r="AA70" s="221" t="str">
        <f t="shared" ca="1" si="45"/>
        <v/>
      </c>
      <c r="AB70" s="221" t="str">
        <f t="shared" ca="1" si="45"/>
        <v/>
      </c>
      <c r="AC70" s="398" t="str">
        <f t="shared" ca="1" si="43"/>
        <v/>
      </c>
      <c r="AD70" s="398" t="str">
        <f t="shared" ca="1" si="49"/>
        <v/>
      </c>
      <c r="AE70" s="398" t="str">
        <f t="shared" ca="1" si="49"/>
        <v/>
      </c>
      <c r="AF70" s="398" t="str">
        <f t="shared" ca="1" si="49"/>
        <v/>
      </c>
      <c r="AG70" s="398" t="str">
        <f t="shared" ca="1" si="49"/>
        <v/>
      </c>
      <c r="AH70" s="398" t="str">
        <f t="shared" ca="1" si="49"/>
        <v/>
      </c>
      <c r="AI70" s="396" t="str">
        <f t="shared" ca="1" si="23"/>
        <v/>
      </c>
      <c r="AJ70" s="220" t="str">
        <f t="shared" ca="1" si="24"/>
        <v/>
      </c>
      <c r="AK70" s="398" t="str">
        <f t="shared" ca="1" si="47"/>
        <v/>
      </c>
      <c r="AL70" s="398" t="str">
        <f t="shared" ca="1" si="47"/>
        <v/>
      </c>
      <c r="AM70" s="398" t="str">
        <f t="shared" ca="1" si="47"/>
        <v/>
      </c>
      <c r="AN70" s="398" t="str">
        <f t="shared" ca="1" si="47"/>
        <v/>
      </c>
      <c r="AO70" s="398" t="str">
        <f t="shared" ca="1" si="44"/>
        <v/>
      </c>
      <c r="AP70" s="398" t="str">
        <f t="shared" ca="1" si="50"/>
        <v/>
      </c>
      <c r="AQ70" s="398" t="str">
        <f t="shared" ca="1" si="50"/>
        <v/>
      </c>
      <c r="AR70" s="398" t="str">
        <f t="shared" ca="1" si="50"/>
        <v/>
      </c>
      <c r="AS70" s="398" t="str">
        <f t="shared" ca="1" si="50"/>
        <v/>
      </c>
      <c r="AT70" s="398" t="str">
        <f t="shared" ca="1" si="50"/>
        <v/>
      </c>
    </row>
    <row r="71" spans="1:46" x14ac:dyDescent="0.4">
      <c r="A71" s="152">
        <v>56</v>
      </c>
      <c r="B71" s="206" t="b">
        <f t="shared" si="16"/>
        <v>0</v>
      </c>
      <c r="C71" s="211" t="str">
        <f t="shared" ca="1" si="17"/>
        <v/>
      </c>
      <c r="D71" s="376" t="str">
        <f t="shared" ca="1" si="18"/>
        <v/>
      </c>
      <c r="E71" s="376" t="str">
        <f t="shared" ca="1" si="19"/>
        <v/>
      </c>
      <c r="F71" s="59" t="str">
        <f t="shared" ca="1" si="20"/>
        <v/>
      </c>
      <c r="G71" s="59" t="str">
        <f t="shared" ca="1" si="20"/>
        <v/>
      </c>
      <c r="H71" s="213" t="str" cm="1">
        <f t="array" aca="1" ref="H71" ca="1">IFERROR(INDEX($C$16:$C$116,SMALL(IF($C$16:$C$116&lt;&gt;"",ROW($C$16:$C$116)-ROW($C$16)+1),ROW(A56))),"")</f>
        <v/>
      </c>
      <c r="I71" s="212" t="str" cm="1">
        <f t="array" aca="1" ref="I71" ca="1">IFERROR(INDEX($D$16:$D$116,SMALL(IF($D$16:$D$116&lt;&gt;"",ROW($D$16:$D$116)-ROW($D$16)+1),ROW(A56))),"")</f>
        <v/>
      </c>
      <c r="J71" s="212" t="str" cm="1">
        <f t="array" aca="1" ref="J71" ca="1">IFERROR(INDEX($E$16:$E$116,SMALL(IF($E$16:$E$116&lt;&gt;"",ROW($E$16:$E$116)-ROW($E$16)+1),ROW(A56))),"")</f>
        <v/>
      </c>
      <c r="K71" s="212" t="str" cm="1">
        <f t="array" aca="1" ref="K71" ca="1">IFERROR(INDEX($F$16:$F$116,SMALL(IF($F$16:$F$116&lt;&gt;"",ROW($F$16:$F$116)-ROW($F$16)+1),ROW(A56))),"")</f>
        <v/>
      </c>
      <c r="L71" s="212" t="str">
        <f t="shared" ca="1" si="33"/>
        <v/>
      </c>
      <c r="M71" s="212" t="str" cm="1">
        <f t="array" aca="1" ref="M71" ca="1">IFERROR(INDEX($G$16:$G$116,SMALL(IF($G$16:$G$116&lt;&gt;"",ROW($G$16:$G$116)-ROW($G$16)+1),ROW(A56))),"")</f>
        <v/>
      </c>
      <c r="N71" s="217" t="str">
        <f t="shared" ca="1" si="34"/>
        <v/>
      </c>
      <c r="O71" s="218" t="str">
        <f t="shared" ca="1" si="35"/>
        <v/>
      </c>
      <c r="P71" s="218" t="str">
        <f t="shared" ca="1" si="36"/>
        <v/>
      </c>
      <c r="Q71" s="218" t="str">
        <f t="shared" ca="1" si="37"/>
        <v/>
      </c>
      <c r="R71" s="218" t="str">
        <f t="shared" ca="1" si="38"/>
        <v/>
      </c>
      <c r="S71" s="218" t="str">
        <f t="shared" ca="1" si="39"/>
        <v/>
      </c>
      <c r="T71" s="218" t="str">
        <f t="shared" ca="1" si="40"/>
        <v/>
      </c>
      <c r="U71" s="218" t="str">
        <f t="shared" ca="1" si="41"/>
        <v/>
      </c>
      <c r="V71" s="219" t="str">
        <f t="shared" ca="1" si="42"/>
        <v/>
      </c>
      <c r="W71" s="396" t="str">
        <f t="shared" ca="1" si="21"/>
        <v/>
      </c>
      <c r="X71" s="220" t="str">
        <f t="shared" ca="1" si="22"/>
        <v/>
      </c>
      <c r="Y71" s="221" t="str">
        <f t="shared" ca="1" si="45"/>
        <v/>
      </c>
      <c r="Z71" s="221" t="str">
        <f t="shared" ca="1" si="45"/>
        <v/>
      </c>
      <c r="AA71" s="221" t="str">
        <f t="shared" ca="1" si="45"/>
        <v/>
      </c>
      <c r="AB71" s="221" t="str">
        <f t="shared" ca="1" si="45"/>
        <v/>
      </c>
      <c r="AC71" s="398" t="str">
        <f t="shared" ca="1" si="43"/>
        <v/>
      </c>
      <c r="AD71" s="398" t="str">
        <f t="shared" ca="1" si="49"/>
        <v/>
      </c>
      <c r="AE71" s="398" t="str">
        <f t="shared" ca="1" si="49"/>
        <v/>
      </c>
      <c r="AF71" s="398" t="str">
        <f t="shared" ca="1" si="49"/>
        <v/>
      </c>
      <c r="AG71" s="398" t="str">
        <f t="shared" ca="1" si="49"/>
        <v/>
      </c>
      <c r="AH71" s="398" t="str">
        <f t="shared" ca="1" si="49"/>
        <v/>
      </c>
      <c r="AI71" s="396" t="str">
        <f t="shared" ca="1" si="23"/>
        <v/>
      </c>
      <c r="AJ71" s="220" t="str">
        <f t="shared" ca="1" si="24"/>
        <v/>
      </c>
      <c r="AK71" s="398" t="str">
        <f t="shared" ca="1" si="47"/>
        <v/>
      </c>
      <c r="AL71" s="398" t="str">
        <f t="shared" ca="1" si="47"/>
        <v/>
      </c>
      <c r="AM71" s="398" t="str">
        <f t="shared" ca="1" si="47"/>
        <v/>
      </c>
      <c r="AN71" s="398" t="str">
        <f t="shared" ca="1" si="47"/>
        <v/>
      </c>
      <c r="AO71" s="398" t="str">
        <f t="shared" ca="1" si="44"/>
        <v/>
      </c>
      <c r="AP71" s="398" t="str">
        <f t="shared" ca="1" si="50"/>
        <v/>
      </c>
      <c r="AQ71" s="398" t="str">
        <f t="shared" ca="1" si="50"/>
        <v/>
      </c>
      <c r="AR71" s="398" t="str">
        <f t="shared" ca="1" si="50"/>
        <v/>
      </c>
      <c r="AS71" s="398" t="str">
        <f t="shared" ca="1" si="50"/>
        <v/>
      </c>
      <c r="AT71" s="398" t="str">
        <f t="shared" ca="1" si="50"/>
        <v/>
      </c>
    </row>
    <row r="72" spans="1:46" x14ac:dyDescent="0.4">
      <c r="A72" s="152">
        <v>57</v>
      </c>
      <c r="B72" s="206" t="b">
        <f t="shared" si="16"/>
        <v>0</v>
      </c>
      <c r="C72" s="211" t="str">
        <f t="shared" ca="1" si="17"/>
        <v/>
      </c>
      <c r="D72" s="376" t="str">
        <f t="shared" ca="1" si="18"/>
        <v/>
      </c>
      <c r="E72" s="376" t="str">
        <f t="shared" ca="1" si="19"/>
        <v/>
      </c>
      <c r="F72" s="59" t="str">
        <f t="shared" ca="1" si="20"/>
        <v/>
      </c>
      <c r="G72" s="59" t="str">
        <f t="shared" ca="1" si="20"/>
        <v/>
      </c>
      <c r="H72" s="213" t="str" cm="1">
        <f t="array" aca="1" ref="H72" ca="1">IFERROR(INDEX($C$16:$C$116,SMALL(IF($C$16:$C$116&lt;&gt;"",ROW($C$16:$C$116)-ROW($C$16)+1),ROW(A57))),"")</f>
        <v/>
      </c>
      <c r="I72" s="212" t="str" cm="1">
        <f t="array" aca="1" ref="I72" ca="1">IFERROR(INDEX($D$16:$D$116,SMALL(IF($D$16:$D$116&lt;&gt;"",ROW($D$16:$D$116)-ROW($D$16)+1),ROW(A57))),"")</f>
        <v/>
      </c>
      <c r="J72" s="212" t="str" cm="1">
        <f t="array" aca="1" ref="J72" ca="1">IFERROR(INDEX($E$16:$E$116,SMALL(IF($E$16:$E$116&lt;&gt;"",ROW($E$16:$E$116)-ROW($E$16)+1),ROW(A57))),"")</f>
        <v/>
      </c>
      <c r="K72" s="212" t="str" cm="1">
        <f t="array" aca="1" ref="K72" ca="1">IFERROR(INDEX($F$16:$F$116,SMALL(IF($F$16:$F$116&lt;&gt;"",ROW($F$16:$F$116)-ROW($F$16)+1),ROW(A57))),"")</f>
        <v/>
      </c>
      <c r="L72" s="212" t="str">
        <f t="shared" ca="1" si="33"/>
        <v/>
      </c>
      <c r="M72" s="212" t="str" cm="1">
        <f t="array" aca="1" ref="M72" ca="1">IFERROR(INDEX($G$16:$G$116,SMALL(IF($G$16:$G$116&lt;&gt;"",ROW($G$16:$G$116)-ROW($G$16)+1),ROW(A57))),"")</f>
        <v/>
      </c>
      <c r="N72" s="217" t="str">
        <f t="shared" ca="1" si="34"/>
        <v/>
      </c>
      <c r="O72" s="218" t="str">
        <f t="shared" ca="1" si="35"/>
        <v/>
      </c>
      <c r="P72" s="218" t="str">
        <f t="shared" ca="1" si="36"/>
        <v/>
      </c>
      <c r="Q72" s="218" t="str">
        <f t="shared" ca="1" si="37"/>
        <v/>
      </c>
      <c r="R72" s="218" t="str">
        <f t="shared" ca="1" si="38"/>
        <v/>
      </c>
      <c r="S72" s="218" t="str">
        <f t="shared" ca="1" si="39"/>
        <v/>
      </c>
      <c r="T72" s="218" t="str">
        <f t="shared" ca="1" si="40"/>
        <v/>
      </c>
      <c r="U72" s="218" t="str">
        <f t="shared" ca="1" si="41"/>
        <v/>
      </c>
      <c r="V72" s="219" t="str">
        <f t="shared" ca="1" si="42"/>
        <v/>
      </c>
      <c r="W72" s="396" t="str">
        <f t="shared" ca="1" si="21"/>
        <v/>
      </c>
      <c r="X72" s="220" t="str">
        <f t="shared" ca="1" si="22"/>
        <v/>
      </c>
      <c r="Y72" s="221" t="str">
        <f t="shared" ca="1" si="45"/>
        <v/>
      </c>
      <c r="Z72" s="221" t="str">
        <f t="shared" ca="1" si="45"/>
        <v/>
      </c>
      <c r="AA72" s="221" t="str">
        <f t="shared" ca="1" si="45"/>
        <v/>
      </c>
      <c r="AB72" s="221" t="str">
        <f t="shared" ca="1" si="45"/>
        <v/>
      </c>
      <c r="AC72" s="398" t="str">
        <f t="shared" ca="1" si="43"/>
        <v/>
      </c>
      <c r="AD72" s="398" t="str">
        <f t="shared" ca="1" si="49"/>
        <v/>
      </c>
      <c r="AE72" s="398" t="str">
        <f t="shared" ca="1" si="49"/>
        <v/>
      </c>
      <c r="AF72" s="398" t="str">
        <f t="shared" ca="1" si="49"/>
        <v/>
      </c>
      <c r="AG72" s="398" t="str">
        <f t="shared" ca="1" si="49"/>
        <v/>
      </c>
      <c r="AH72" s="398" t="str">
        <f t="shared" ca="1" si="49"/>
        <v/>
      </c>
      <c r="AI72" s="396" t="str">
        <f t="shared" ca="1" si="23"/>
        <v/>
      </c>
      <c r="AJ72" s="220" t="str">
        <f t="shared" ca="1" si="24"/>
        <v/>
      </c>
      <c r="AK72" s="398" t="str">
        <f t="shared" ca="1" si="47"/>
        <v/>
      </c>
      <c r="AL72" s="398" t="str">
        <f t="shared" ca="1" si="47"/>
        <v/>
      </c>
      <c r="AM72" s="398" t="str">
        <f t="shared" ca="1" si="47"/>
        <v/>
      </c>
      <c r="AN72" s="398" t="str">
        <f t="shared" ca="1" si="47"/>
        <v/>
      </c>
      <c r="AO72" s="398" t="str">
        <f t="shared" ca="1" si="44"/>
        <v/>
      </c>
      <c r="AP72" s="398" t="str">
        <f t="shared" ca="1" si="50"/>
        <v/>
      </c>
      <c r="AQ72" s="398" t="str">
        <f t="shared" ca="1" si="50"/>
        <v/>
      </c>
      <c r="AR72" s="398" t="str">
        <f t="shared" ca="1" si="50"/>
        <v/>
      </c>
      <c r="AS72" s="398" t="str">
        <f t="shared" ca="1" si="50"/>
        <v/>
      </c>
      <c r="AT72" s="398" t="str">
        <f t="shared" ca="1" si="50"/>
        <v/>
      </c>
    </row>
  </sheetData>
  <mergeCells count="8">
    <mergeCell ref="AI14:AT14"/>
    <mergeCell ref="U14:V14"/>
    <mergeCell ref="S14:T14"/>
    <mergeCell ref="W14:AH14"/>
    <mergeCell ref="B3:F3"/>
    <mergeCell ref="A14:B14"/>
    <mergeCell ref="O14:P14"/>
    <mergeCell ref="Q14:R1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Feuil7"/>
  <dimension ref="A1:K21"/>
  <sheetViews>
    <sheetView showGridLines="0" topLeftCell="A4" zoomScaleNormal="100" zoomScaleSheetLayoutView="100" workbookViewId="0">
      <selection activeCell="C21" sqref="C21"/>
    </sheetView>
  </sheetViews>
  <sheetFormatPr baseColWidth="10" defaultColWidth="0" defaultRowHeight="12.75" customHeight="1" zeroHeight="1" x14ac:dyDescent="0.4"/>
  <cols>
    <col min="1" max="1" width="2.703125" style="4" customWidth="1"/>
    <col min="2" max="2" width="8.703125" style="4" bestFit="1" customWidth="1"/>
    <col min="3" max="3" width="26.5859375" style="4" bestFit="1" customWidth="1"/>
    <col min="4" max="4" width="19" style="4" customWidth="1"/>
    <col min="5" max="5" width="13" style="10" customWidth="1"/>
    <col min="6" max="6" width="2.703125" style="4" customWidth="1"/>
    <col min="7" max="7" width="12.1171875" style="4" hidden="1" customWidth="1"/>
    <col min="8" max="11" width="0" style="4" hidden="1" customWidth="1"/>
    <col min="12" max="16384" width="11.41015625" style="4" hidden="1"/>
  </cols>
  <sheetData>
    <row r="1" spans="1:6" ht="13" thickBot="1" x14ac:dyDescent="0.45">
      <c r="A1" s="62"/>
      <c r="B1" s="62"/>
      <c r="C1" s="62"/>
      <c r="D1" s="62"/>
      <c r="E1" s="96"/>
      <c r="F1" s="62"/>
    </row>
    <row r="2" spans="1:6" ht="15.7" thickBot="1" x14ac:dyDescent="0.45">
      <c r="A2" s="62"/>
      <c r="B2" s="870" t="s">
        <v>149</v>
      </c>
      <c r="C2" s="871"/>
      <c r="D2" s="871"/>
      <c r="E2" s="872"/>
      <c r="F2" s="97"/>
    </row>
    <row r="3" spans="1:6" ht="13" thickBot="1" x14ac:dyDescent="0.45">
      <c r="A3" s="62"/>
      <c r="B3" s="62"/>
      <c r="C3" s="62"/>
      <c r="D3" s="62"/>
      <c r="E3" s="96"/>
      <c r="F3" s="62"/>
    </row>
    <row r="4" spans="1:6" s="5" customFormat="1" ht="51" thickBot="1" x14ac:dyDescent="0.45">
      <c r="A4" s="98"/>
      <c r="B4" s="99" t="s">
        <v>31</v>
      </c>
      <c r="C4" s="100" t="s">
        <v>37</v>
      </c>
      <c r="D4" s="100" t="s">
        <v>136</v>
      </c>
      <c r="E4" s="101" t="s">
        <v>150</v>
      </c>
      <c r="F4" s="98"/>
    </row>
    <row r="5" spans="1:6" ht="20.100000000000001" customHeight="1" x14ac:dyDescent="0.4">
      <c r="A5" s="62"/>
      <c r="B5" s="102">
        <v>1458</v>
      </c>
      <c r="C5" s="103" t="s">
        <v>151</v>
      </c>
      <c r="D5" s="104" t="s">
        <v>152</v>
      </c>
      <c r="E5" s="105">
        <v>100</v>
      </c>
      <c r="F5" s="62"/>
    </row>
    <row r="6" spans="1:6" ht="20.100000000000001" customHeight="1" x14ac:dyDescent="0.4">
      <c r="A6" s="62"/>
      <c r="B6" s="106">
        <v>1114</v>
      </c>
      <c r="C6" s="107" t="s">
        <v>153</v>
      </c>
      <c r="D6" s="108" t="s">
        <v>154</v>
      </c>
      <c r="E6" s="109">
        <v>10</v>
      </c>
      <c r="F6" s="62"/>
    </row>
    <row r="7" spans="1:6" ht="20.100000000000001" customHeight="1" x14ac:dyDescent="0.4">
      <c r="A7" s="62"/>
      <c r="B7" s="106">
        <v>1115</v>
      </c>
      <c r="C7" s="107" t="s">
        <v>155</v>
      </c>
      <c r="D7" s="108" t="s">
        <v>152</v>
      </c>
      <c r="E7" s="109">
        <v>100</v>
      </c>
      <c r="F7" s="62"/>
    </row>
    <row r="8" spans="1:6" ht="20.100000000000001" customHeight="1" x14ac:dyDescent="0.4">
      <c r="A8" s="62"/>
      <c r="B8" s="106">
        <v>1116</v>
      </c>
      <c r="C8" s="107" t="s">
        <v>156</v>
      </c>
      <c r="D8" s="108" t="s">
        <v>157</v>
      </c>
      <c r="E8" s="109">
        <v>100</v>
      </c>
      <c r="F8" s="62"/>
    </row>
    <row r="9" spans="1:6" ht="20.100000000000001" customHeight="1" x14ac:dyDescent="0.4">
      <c r="A9" s="62"/>
      <c r="B9" s="106">
        <v>1117</v>
      </c>
      <c r="C9" s="107" t="s">
        <v>158</v>
      </c>
      <c r="D9" s="108" t="s">
        <v>157</v>
      </c>
      <c r="E9" s="109">
        <v>100</v>
      </c>
      <c r="F9" s="62"/>
    </row>
    <row r="10" spans="1:6" ht="20.100000000000001" customHeight="1" x14ac:dyDescent="0.4">
      <c r="A10" s="62"/>
      <c r="B10" s="106">
        <v>1118</v>
      </c>
      <c r="C10" s="107" t="s">
        <v>159</v>
      </c>
      <c r="D10" s="108" t="s">
        <v>157</v>
      </c>
      <c r="E10" s="109">
        <v>1000</v>
      </c>
      <c r="F10" s="62"/>
    </row>
    <row r="11" spans="1:6" ht="20.100000000000001" customHeight="1" x14ac:dyDescent="0.4">
      <c r="A11" s="62"/>
      <c r="B11" s="106">
        <v>6616</v>
      </c>
      <c r="C11" s="107" t="s">
        <v>160</v>
      </c>
      <c r="D11" s="108" t="s">
        <v>154</v>
      </c>
      <c r="E11" s="109">
        <v>10</v>
      </c>
      <c r="F11" s="62"/>
    </row>
    <row r="12" spans="1:6" ht="20.100000000000001" customHeight="1" x14ac:dyDescent="0.4">
      <c r="A12" s="62"/>
      <c r="B12" s="106">
        <v>1497</v>
      </c>
      <c r="C12" s="107" t="s">
        <v>161</v>
      </c>
      <c r="D12" s="108" t="s">
        <v>154</v>
      </c>
      <c r="E12" s="109">
        <v>10</v>
      </c>
      <c r="F12" s="62"/>
    </row>
    <row r="13" spans="1:6" ht="20.100000000000001" customHeight="1" x14ac:dyDescent="0.4">
      <c r="A13" s="62"/>
      <c r="B13" s="106">
        <v>1191</v>
      </c>
      <c r="C13" s="107" t="s">
        <v>162</v>
      </c>
      <c r="D13" s="108" t="s">
        <v>152</v>
      </c>
      <c r="E13" s="109">
        <v>100</v>
      </c>
      <c r="F13" s="62"/>
    </row>
    <row r="14" spans="1:6" ht="20.100000000000001" customHeight="1" x14ac:dyDescent="0.4">
      <c r="A14" s="62"/>
      <c r="B14" s="110">
        <v>1204</v>
      </c>
      <c r="C14" s="111" t="s">
        <v>163</v>
      </c>
      <c r="D14" s="108" t="s">
        <v>157</v>
      </c>
      <c r="E14" s="109">
        <v>1000</v>
      </c>
      <c r="F14" s="62"/>
    </row>
    <row r="15" spans="1:6" ht="20.100000000000001" customHeight="1" x14ac:dyDescent="0.4">
      <c r="A15" s="62"/>
      <c r="B15" s="110">
        <v>1517</v>
      </c>
      <c r="C15" s="111" t="s">
        <v>164</v>
      </c>
      <c r="D15" s="108" t="s">
        <v>165</v>
      </c>
      <c r="E15" s="109">
        <v>10</v>
      </c>
      <c r="F15" s="62"/>
    </row>
    <row r="16" spans="1:6" ht="20.100000000000001" customHeight="1" x14ac:dyDescent="0.4">
      <c r="A16" s="62"/>
      <c r="B16" s="110">
        <v>6598</v>
      </c>
      <c r="C16" s="111" t="s">
        <v>166</v>
      </c>
      <c r="D16" s="108" t="s">
        <v>167</v>
      </c>
      <c r="E16" s="109">
        <v>50</v>
      </c>
      <c r="F16" s="62"/>
    </row>
    <row r="17" spans="1:6" s="9" customFormat="1" ht="20.100000000000001" customHeight="1" x14ac:dyDescent="0.4">
      <c r="A17" s="112"/>
      <c r="B17" s="110">
        <v>6600</v>
      </c>
      <c r="C17" s="111" t="s">
        <v>168</v>
      </c>
      <c r="D17" s="108" t="s">
        <v>167</v>
      </c>
      <c r="E17" s="109">
        <v>100</v>
      </c>
      <c r="F17" s="112"/>
    </row>
    <row r="18" spans="1:6" ht="20.100000000000001" customHeight="1" x14ac:dyDescent="0.4">
      <c r="A18" s="62"/>
      <c r="B18" s="110">
        <v>1278</v>
      </c>
      <c r="C18" s="111" t="s">
        <v>169</v>
      </c>
      <c r="D18" s="108" t="s">
        <v>170</v>
      </c>
      <c r="E18" s="109">
        <v>10</v>
      </c>
      <c r="F18" s="62"/>
    </row>
    <row r="19" spans="1:6" ht="20.100000000000001" customHeight="1" x14ac:dyDescent="0.4">
      <c r="A19" s="62"/>
      <c r="B19" s="110">
        <v>2879</v>
      </c>
      <c r="C19" s="111" t="s">
        <v>171</v>
      </c>
      <c r="D19" s="108" t="s">
        <v>172</v>
      </c>
      <c r="E19" s="109">
        <v>1000</v>
      </c>
      <c r="F19" s="62"/>
    </row>
    <row r="20" spans="1:6" ht="20.100000000000001" customHeight="1" thickBot="1" x14ac:dyDescent="0.45">
      <c r="A20" s="62"/>
      <c r="B20" s="113">
        <v>1780</v>
      </c>
      <c r="C20" s="114" t="s">
        <v>173</v>
      </c>
      <c r="D20" s="115" t="s">
        <v>174</v>
      </c>
      <c r="E20" s="116">
        <v>10</v>
      </c>
      <c r="F20" s="62"/>
    </row>
    <row r="21" spans="1:6" ht="12.7" x14ac:dyDescent="0.4">
      <c r="A21" s="62"/>
      <c r="B21" s="62"/>
      <c r="C21" s="117"/>
      <c r="D21" s="118"/>
      <c r="E21" s="119"/>
      <c r="F21" s="62"/>
    </row>
  </sheetData>
  <mergeCells count="1">
    <mergeCell ref="B2:E2"/>
  </mergeCells>
  <pageMargins left="0.78740157499999996" right="0.78740157499999996" top="0.984251969" bottom="0.984251969" header="0.4921259845" footer="0.4921259845"/>
  <pageSetup paperSize="9"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Feuil18"/>
  <dimension ref="A1:WE27"/>
  <sheetViews>
    <sheetView zoomScale="85" zoomScaleNormal="85" workbookViewId="0">
      <pane xSplit="1" ySplit="4" topLeftCell="B5" activePane="bottomRight" state="frozen"/>
      <selection pane="topRight" activeCell="B1" sqref="B1"/>
      <selection pane="bottomLeft" activeCell="A5" sqref="A5"/>
      <selection pane="bottomRight" activeCell="F9" sqref="F9"/>
    </sheetView>
  </sheetViews>
  <sheetFormatPr baseColWidth="10" defaultColWidth="11.41015625" defaultRowHeight="12.7" x14ac:dyDescent="0.4"/>
  <cols>
    <col min="1" max="1" width="5.41015625" style="51" bestFit="1" customWidth="1"/>
    <col min="2" max="3" width="40.703125" style="51" customWidth="1"/>
    <col min="4" max="4" width="14.29296875" style="51" customWidth="1"/>
    <col min="5" max="5" width="10.703125" style="51" customWidth="1"/>
    <col min="6" max="7" width="40.703125" style="51" customWidth="1"/>
    <col min="8" max="8" width="15.703125" style="51" customWidth="1"/>
    <col min="9" max="9" width="10.703125" style="51" customWidth="1"/>
    <col min="10" max="11" width="40.703125" style="54" customWidth="1"/>
    <col min="12" max="12" width="15.703125" style="55" customWidth="1"/>
    <col min="13" max="13" width="10.703125" style="55" customWidth="1"/>
    <col min="14" max="15" width="40.703125" style="54" customWidth="1"/>
    <col min="16" max="16" width="15.703125" style="55" customWidth="1"/>
    <col min="17" max="17" width="10.703125" style="55" customWidth="1"/>
    <col min="18" max="19" width="40.703125" style="54" customWidth="1"/>
    <col min="20" max="20" width="15.703125" style="55" customWidth="1"/>
    <col min="21" max="21" width="10.703125" style="55" customWidth="1"/>
    <col min="22" max="23" width="40.703125" style="54" customWidth="1"/>
    <col min="24" max="24" width="15.703125" style="55" customWidth="1"/>
    <col min="25" max="25" width="10.703125" style="55" customWidth="1"/>
    <col min="26" max="27" width="40.703125" style="54" customWidth="1"/>
    <col min="28" max="28" width="15.703125" style="55" customWidth="1"/>
    <col min="29" max="29" width="10.703125" style="55" customWidth="1"/>
    <col min="30" max="31" width="40.703125" style="54" customWidth="1"/>
    <col min="32" max="32" width="15.703125" style="55" customWidth="1"/>
    <col min="33" max="33" width="10.703125" style="55" customWidth="1"/>
    <col min="34" max="35" width="40.703125" style="54" customWidth="1"/>
    <col min="36" max="36" width="15.703125" style="55" customWidth="1"/>
    <col min="37" max="37" width="10.703125" style="55" customWidth="1"/>
    <col min="38" max="39" width="40.703125" style="54" customWidth="1"/>
    <col min="40" max="40" width="15.703125" style="55" customWidth="1"/>
    <col min="41" max="41" width="10.703125" style="55" customWidth="1"/>
    <col min="42" max="43" width="40.703125" style="54" customWidth="1"/>
    <col min="44" max="44" width="15.703125" style="55" customWidth="1"/>
    <col min="45" max="45" width="10.703125" style="55" customWidth="1"/>
    <col min="46" max="47" width="40.703125" style="54" customWidth="1"/>
    <col min="48" max="48" width="15.703125" style="55" customWidth="1"/>
    <col min="49" max="49" width="10.703125" style="55" customWidth="1"/>
    <col min="50" max="51" width="40.703125" style="54" customWidth="1"/>
    <col min="52" max="52" width="15.703125" style="55" customWidth="1"/>
    <col min="53" max="53" width="10.703125" style="55" customWidth="1"/>
    <col min="54" max="55" width="40.703125" style="54" customWidth="1"/>
    <col min="56" max="56" width="15.703125" style="55" customWidth="1"/>
    <col min="57" max="57" width="10.703125" style="55" customWidth="1"/>
    <col min="58" max="59" width="40.703125" style="54" customWidth="1"/>
    <col min="60" max="60" width="15.703125" style="54" customWidth="1"/>
    <col min="61" max="61" width="10.703125" style="54" customWidth="1"/>
    <col min="62" max="63" width="40.703125" style="54" customWidth="1"/>
    <col min="64" max="64" width="15.703125" style="54" customWidth="1"/>
    <col min="65" max="65" width="10.703125" style="54" customWidth="1"/>
    <col min="66" max="66" width="40.703125" style="54" customWidth="1"/>
    <col min="67" max="68" width="7.703125" style="54" customWidth="1"/>
    <col min="69" max="69" width="35.703125" style="54" customWidth="1"/>
    <col min="70" max="70" width="40.703125" style="54" customWidth="1"/>
    <col min="71" max="72" width="7.703125" style="54" customWidth="1"/>
    <col min="73" max="73" width="35.703125" style="54" customWidth="1"/>
    <col min="74" max="74" width="40.703125" style="54" customWidth="1"/>
    <col min="75" max="76" width="7.703125" style="54" customWidth="1"/>
    <col min="77" max="77" width="35.703125" style="54" customWidth="1"/>
    <col min="78" max="78" width="40.703125" style="54" customWidth="1"/>
    <col min="79" max="80" width="7.703125" style="54" customWidth="1"/>
    <col min="81" max="81" width="35.703125" style="54" customWidth="1"/>
    <col min="82" max="82" width="40.703125" style="54" customWidth="1"/>
    <col min="83" max="84" width="7.703125" style="54" customWidth="1"/>
    <col min="85" max="85" width="35.703125" style="54" customWidth="1"/>
    <col min="86" max="86" width="40.703125" style="54" customWidth="1"/>
    <col min="87" max="88" width="7.703125" style="54" customWidth="1"/>
    <col min="89" max="89" width="35.703125" style="54" customWidth="1"/>
    <col min="90" max="90" width="40.703125" style="54" customWidth="1"/>
    <col min="91" max="92" width="7.703125" style="54" customWidth="1"/>
    <col min="93" max="93" width="35.703125" style="54" customWidth="1"/>
    <col min="94" max="94" width="40.703125" style="54" customWidth="1"/>
    <col min="95" max="96" width="7.703125" style="54" customWidth="1"/>
    <col min="97" max="97" width="40.703125" style="54" customWidth="1"/>
    <col min="98" max="99" width="7.703125" style="54" customWidth="1"/>
    <col min="100" max="100" width="35.703125" style="54" customWidth="1"/>
    <col min="101" max="101" width="40.703125" style="54" customWidth="1"/>
    <col min="102" max="103" width="7.703125" style="54" customWidth="1"/>
    <col min="104" max="104" width="35.703125" style="54" customWidth="1"/>
    <col min="105" max="105" width="40.703125" style="54" customWidth="1"/>
    <col min="106" max="107" width="7.703125" style="54" customWidth="1"/>
    <col min="108" max="108" width="35.703125" style="54" customWidth="1"/>
    <col min="109" max="109" width="40.703125" style="54" customWidth="1"/>
    <col min="110" max="111" width="7.703125" style="54" customWidth="1"/>
    <col min="112" max="112" width="35.703125" style="54" customWidth="1"/>
    <col min="113" max="113" width="40.703125" style="54" customWidth="1"/>
    <col min="114" max="115" width="7.703125" style="54" customWidth="1"/>
    <col min="116" max="116" width="35.703125" style="54" customWidth="1"/>
    <col min="117" max="117" width="40.703125" style="54" customWidth="1"/>
    <col min="118" max="119" width="7.703125" style="54" customWidth="1"/>
    <col min="120" max="120" width="35.703125" style="54" customWidth="1"/>
    <col min="121" max="121" width="40.703125" style="54" customWidth="1"/>
    <col min="122" max="123" width="7.703125" style="54" customWidth="1"/>
    <col min="124" max="124" width="35.703125" style="54" customWidth="1"/>
    <col min="125" max="125" width="40.703125" style="54" customWidth="1"/>
    <col min="126" max="127" width="7.703125" style="54" customWidth="1"/>
    <col min="128" max="128" width="35.703125" style="54" customWidth="1"/>
    <col min="129" max="129" width="40.703125" style="54" customWidth="1"/>
    <col min="130" max="131" width="7.703125" style="54" customWidth="1"/>
    <col min="132" max="132" width="35.703125" style="54" customWidth="1"/>
    <col min="133" max="133" width="40.703125" style="54" customWidth="1"/>
    <col min="134" max="135" width="7.703125" style="54" customWidth="1"/>
    <col min="136" max="136" width="40.703125" style="54" customWidth="1"/>
    <col min="137" max="138" width="7.703125" style="54" customWidth="1"/>
    <col min="139" max="139" width="35.703125" style="54" customWidth="1"/>
    <col min="140" max="140" width="40.703125" style="54" customWidth="1"/>
    <col min="141" max="142" width="7.703125" style="54" customWidth="1"/>
    <col min="143" max="143" width="35.703125" style="54" customWidth="1"/>
    <col min="144" max="144" width="40.703125" style="54" customWidth="1"/>
    <col min="145" max="146" width="7.703125" style="54" customWidth="1"/>
    <col min="147" max="147" width="35.703125" style="54" customWidth="1"/>
    <col min="148" max="148" width="40.703125" style="54" customWidth="1"/>
    <col min="149" max="150" width="7.703125" style="54" customWidth="1"/>
    <col min="151" max="151" width="35.703125" style="54" customWidth="1"/>
    <col min="152" max="152" width="40.703125" style="54" customWidth="1"/>
    <col min="153" max="154" width="7.703125" style="54" customWidth="1"/>
    <col min="155" max="155" width="35.703125" style="54" customWidth="1"/>
    <col min="156" max="156" width="40.703125" style="54" customWidth="1"/>
    <col min="157" max="158" width="7.703125" style="54" customWidth="1"/>
    <col min="159" max="159" width="35.703125" style="54" customWidth="1"/>
    <col min="160" max="160" width="40.703125" style="54" customWidth="1"/>
    <col min="161" max="162" width="7.703125" style="54" customWidth="1"/>
    <col min="163" max="163" width="35.703125" style="54" customWidth="1"/>
    <col min="164" max="164" width="40.703125" style="54" customWidth="1"/>
    <col min="165" max="166" width="7.703125" style="54" customWidth="1"/>
    <col min="167" max="167" width="35.703125" style="54" customWidth="1"/>
    <col min="168" max="168" width="40.703125" style="54" customWidth="1"/>
    <col min="169" max="170" width="7.703125" style="54" customWidth="1"/>
    <col min="171" max="171" width="35.703125" style="54" customWidth="1"/>
    <col min="172" max="172" width="40.703125" style="54" customWidth="1"/>
    <col min="173" max="174" width="7.703125" style="54" customWidth="1"/>
    <col min="175" max="175" width="40.703125" style="54" customWidth="1"/>
    <col min="176" max="177" width="7.703125" style="54" customWidth="1"/>
    <col min="178" max="178" width="35.703125" style="54" customWidth="1"/>
    <col min="179" max="179" width="40.703125" style="54" customWidth="1"/>
    <col min="180" max="181" width="7.703125" style="54" customWidth="1"/>
    <col min="182" max="182" width="35.703125" style="54" customWidth="1"/>
    <col min="183" max="183" width="40.703125" style="54" customWidth="1"/>
    <col min="184" max="185" width="7.703125" style="54" customWidth="1"/>
    <col min="186" max="186" width="35.703125" style="54" customWidth="1"/>
    <col min="187" max="187" width="40.703125" style="54" customWidth="1"/>
    <col min="188" max="189" width="7.703125" style="54" customWidth="1"/>
    <col min="190" max="190" width="35.703125" style="54" customWidth="1"/>
    <col min="191" max="191" width="40.703125" style="54" customWidth="1"/>
    <col min="192" max="193" width="7.703125" style="54" customWidth="1"/>
    <col min="194" max="194" width="35.703125" style="54" customWidth="1"/>
    <col min="195" max="195" width="40.703125" style="54" customWidth="1"/>
    <col min="196" max="197" width="7.703125" style="54" customWidth="1"/>
    <col min="198" max="198" width="35.703125" style="54" customWidth="1"/>
    <col min="199" max="199" width="40.703125" style="54" customWidth="1"/>
    <col min="200" max="201" width="7.703125" style="54" customWidth="1"/>
    <col min="202" max="202" width="35.703125" style="54" customWidth="1"/>
    <col min="203" max="203" width="40.703125" style="54" customWidth="1"/>
    <col min="204" max="205" width="7.703125" style="54" customWidth="1"/>
    <col min="206" max="206" width="35.703125" style="54" customWidth="1"/>
    <col min="207" max="207" width="40.703125" style="54" customWidth="1"/>
    <col min="208" max="209" width="7.703125" style="54" customWidth="1"/>
    <col min="210" max="210" width="35.703125" style="54" customWidth="1"/>
    <col min="211" max="211" width="40.703125" style="54" customWidth="1"/>
    <col min="212" max="213" width="7.703125" style="54" customWidth="1"/>
    <col min="214" max="214" width="40.703125" style="54" customWidth="1"/>
    <col min="215" max="216" width="7.703125" style="54" customWidth="1"/>
    <col min="217" max="217" width="35.703125" style="54" customWidth="1"/>
    <col min="218" max="218" width="40.703125" style="54" customWidth="1"/>
    <col min="219" max="220" width="7.703125" style="54" customWidth="1"/>
    <col min="221" max="221" width="35.703125" style="54" customWidth="1"/>
    <col min="222" max="222" width="40.703125" style="54" customWidth="1"/>
    <col min="223" max="224" width="7.703125" style="54" customWidth="1"/>
    <col min="225" max="225" width="35.703125" style="54" customWidth="1"/>
    <col min="226" max="226" width="40.703125" style="54" customWidth="1"/>
    <col min="227" max="228" width="7.703125" style="54" customWidth="1"/>
    <col min="229" max="229" width="35.703125" style="54" customWidth="1"/>
    <col min="230" max="230" width="40.703125" style="54" customWidth="1"/>
    <col min="231" max="232" width="7.703125" style="54" customWidth="1"/>
    <col min="233" max="233" width="35.703125" style="54" customWidth="1"/>
    <col min="234" max="234" width="40.703125" style="54" customWidth="1"/>
    <col min="235" max="236" width="7.703125" style="54" customWidth="1"/>
    <col min="237" max="237" width="35.703125" style="54" customWidth="1"/>
    <col min="238" max="238" width="40.703125" style="54" customWidth="1"/>
    <col min="239" max="240" width="7.703125" style="54" customWidth="1"/>
    <col min="241" max="241" width="35.703125" style="54" customWidth="1"/>
    <col min="242" max="242" width="40.703125" style="54" customWidth="1"/>
    <col min="243" max="244" width="7.703125" style="54" customWidth="1"/>
    <col min="245" max="245" width="35.703125" style="54" customWidth="1"/>
    <col min="246" max="246" width="40.703125" style="54" customWidth="1"/>
    <col min="247" max="248" width="7.703125" style="54" customWidth="1"/>
    <col min="249" max="249" width="35.703125" style="54" customWidth="1"/>
    <col min="250" max="250" width="40.703125" style="54" customWidth="1"/>
    <col min="251" max="252" width="7.703125" style="54" customWidth="1"/>
    <col min="253" max="253" width="40.703125" style="54" customWidth="1"/>
    <col min="254" max="255" width="7.703125" style="54" customWidth="1"/>
    <col min="256" max="256" width="35.703125" style="54" customWidth="1"/>
    <col min="257" max="257" width="40.703125" style="54" customWidth="1"/>
    <col min="258" max="259" width="7.703125" style="54" customWidth="1"/>
    <col min="260" max="260" width="35.703125" style="54" customWidth="1"/>
    <col min="261" max="261" width="40.703125" style="54" customWidth="1"/>
    <col min="262" max="263" width="7.703125" style="54" customWidth="1"/>
    <col min="264" max="264" width="35.703125" style="54" customWidth="1"/>
    <col min="265" max="265" width="40.703125" style="54" customWidth="1"/>
    <col min="266" max="267" width="7.703125" style="54" customWidth="1"/>
    <col min="268" max="268" width="35.703125" style="54" customWidth="1"/>
    <col min="269" max="269" width="40.703125" style="54" customWidth="1"/>
    <col min="270" max="271" width="7.703125" style="54" customWidth="1"/>
    <col min="272" max="272" width="35.703125" style="54" customWidth="1"/>
    <col min="273" max="273" width="40.703125" style="54" customWidth="1"/>
    <col min="274" max="275" width="7.703125" style="54" customWidth="1"/>
    <col min="276" max="276" width="35.703125" style="54" customWidth="1"/>
    <col min="277" max="277" width="40.703125" style="54" customWidth="1"/>
    <col min="278" max="279" width="7.703125" style="54" customWidth="1"/>
    <col min="280" max="280" width="35.703125" style="54" customWidth="1"/>
    <col min="281" max="281" width="40.703125" style="54" customWidth="1"/>
    <col min="282" max="283" width="7.703125" style="54" customWidth="1"/>
    <col min="284" max="284" width="35.703125" style="54" customWidth="1"/>
    <col min="285" max="285" width="40.703125" style="54" customWidth="1"/>
    <col min="286" max="287" width="7.703125" style="54" customWidth="1"/>
    <col min="288" max="288" width="35.703125" style="54" customWidth="1"/>
    <col min="289" max="289" width="40.703125" style="54" customWidth="1"/>
    <col min="290" max="291" width="7.703125" style="54" customWidth="1"/>
    <col min="292" max="292" width="40.703125" style="54" customWidth="1"/>
    <col min="293" max="294" width="7.703125" style="54" customWidth="1"/>
    <col min="295" max="295" width="35.703125" style="54" customWidth="1"/>
    <col min="296" max="296" width="40.703125" style="54" customWidth="1"/>
    <col min="297" max="298" width="7.703125" style="54" customWidth="1"/>
    <col min="299" max="299" width="35.703125" style="54" customWidth="1"/>
    <col min="300" max="300" width="40.703125" style="54" customWidth="1"/>
    <col min="301" max="302" width="7.703125" style="54" customWidth="1"/>
    <col min="303" max="303" width="35.703125" style="54" customWidth="1"/>
    <col min="304" max="304" width="40.703125" style="54" customWidth="1"/>
    <col min="305" max="306" width="7.703125" style="54" customWidth="1"/>
    <col min="307" max="307" width="35.703125" style="54" customWidth="1"/>
    <col min="308" max="308" width="40.703125" style="54" customWidth="1"/>
    <col min="309" max="310" width="7.703125" style="54" customWidth="1"/>
    <col min="311" max="311" width="35.703125" style="54" customWidth="1"/>
    <col min="312" max="312" width="40.703125" style="54" customWidth="1"/>
    <col min="313" max="314" width="7.703125" style="54" customWidth="1"/>
    <col min="315" max="315" width="35.703125" style="54" customWidth="1"/>
    <col min="316" max="316" width="40.703125" style="54" customWidth="1"/>
    <col min="317" max="318" width="7.703125" style="54" customWidth="1"/>
    <col min="319" max="319" width="35.703125" style="54" customWidth="1"/>
    <col min="320" max="320" width="40.703125" style="54" customWidth="1"/>
    <col min="321" max="322" width="7.703125" style="54" customWidth="1"/>
    <col min="323" max="323" width="35.703125" style="463" customWidth="1"/>
    <col min="324" max="324" width="40.703125" style="54" customWidth="1"/>
    <col min="325" max="326" width="7.703125" style="54" customWidth="1"/>
    <col min="327" max="327" width="35.703125" style="54" customWidth="1"/>
    <col min="328" max="328" width="40.703125" style="54" customWidth="1"/>
    <col min="329" max="330" width="7.703125" style="54" customWidth="1"/>
    <col min="331" max="331" width="40.703125" style="54" customWidth="1"/>
    <col min="332" max="333" width="7.703125" style="54" customWidth="1"/>
    <col min="334" max="334" width="35.703125" style="54" customWidth="1"/>
    <col min="335" max="335" width="40.703125" style="54" customWidth="1"/>
    <col min="336" max="337" width="7.703125" style="54" customWidth="1"/>
    <col min="338" max="338" width="35.703125" style="54" customWidth="1"/>
    <col min="339" max="339" width="40.703125" style="54" customWidth="1"/>
    <col min="340" max="341" width="7.703125" style="54" customWidth="1"/>
    <col min="342" max="342" width="35.703125" style="463" customWidth="1"/>
    <col min="343" max="343" width="40.703125" style="54" customWidth="1"/>
    <col min="344" max="345" width="7.703125" style="54" customWidth="1"/>
    <col min="346" max="346" width="35.703125" style="54" customWidth="1"/>
    <col min="347" max="347" width="40.703125" style="54" customWidth="1"/>
    <col min="348" max="349" width="7.703125" style="54" customWidth="1"/>
    <col min="350" max="350" width="35.703125" style="54" customWidth="1"/>
    <col min="351" max="351" width="40.703125" style="54" customWidth="1"/>
    <col min="352" max="353" width="7.703125" style="54" customWidth="1"/>
    <col min="354" max="354" width="35.703125" style="54" customWidth="1"/>
    <col min="355" max="355" width="40.703125" style="54" customWidth="1"/>
    <col min="356" max="357" width="7.703125" style="54" customWidth="1"/>
    <col min="358" max="358" width="35.703125" style="463" customWidth="1"/>
    <col min="359" max="359" width="40.703125" style="463" customWidth="1"/>
    <col min="360" max="361" width="7.703125" style="463" customWidth="1"/>
    <col min="362" max="362" width="35.703125" style="463" customWidth="1"/>
    <col min="363" max="363" width="40.703125" style="54" customWidth="1"/>
    <col min="364" max="365" width="7.703125" style="54" customWidth="1"/>
    <col min="366" max="366" width="35.703125" style="54" customWidth="1"/>
    <col min="367" max="367" width="40.703125" style="54" customWidth="1"/>
    <col min="368" max="368" width="7.703125" style="463" customWidth="1"/>
    <col min="369" max="369" width="7.703125" style="54" customWidth="1"/>
    <col min="370" max="370" width="40.703125" style="54" customWidth="1"/>
    <col min="371" max="371" width="7.703125" style="54" customWidth="1"/>
    <col min="372" max="372" width="7.703125" style="463" customWidth="1"/>
    <col min="373" max="373" width="35.703125" style="54" customWidth="1"/>
    <col min="374" max="374" width="40.703125" style="54" customWidth="1"/>
    <col min="375" max="375" width="7.703125" style="54" customWidth="1"/>
    <col min="376" max="376" width="7.703125" style="463" customWidth="1"/>
    <col min="377" max="377" width="35.703125" style="54" customWidth="1"/>
    <col min="378" max="378" width="40.703125" style="54" customWidth="1"/>
    <col min="379" max="379" width="7.703125" style="54" customWidth="1"/>
    <col min="380" max="380" width="7.703125" style="463" customWidth="1"/>
    <col min="381" max="381" width="35.703125" style="463" customWidth="1"/>
    <col min="382" max="382" width="40.703125" style="54" customWidth="1"/>
    <col min="383" max="383" width="7.703125" style="54" customWidth="1"/>
    <col min="384" max="384" width="7.703125" style="463" customWidth="1"/>
    <col min="385" max="385" width="35.703125" style="54" customWidth="1"/>
    <col min="386" max="386" width="40.703125" style="54" customWidth="1"/>
    <col min="387" max="387" width="7.703125" style="54" customWidth="1"/>
    <col min="388" max="388" width="7.703125" style="463" customWidth="1"/>
    <col min="389" max="389" width="35.703125" style="54" customWidth="1"/>
    <col min="390" max="390" width="40.703125" style="54" customWidth="1"/>
    <col min="391" max="391" width="7.703125" style="54" customWidth="1"/>
    <col min="392" max="392" width="7.703125" style="463" customWidth="1"/>
    <col min="393" max="393" width="35.703125" style="54" customWidth="1"/>
    <col min="394" max="394" width="40.703125" style="54" customWidth="1"/>
    <col min="395" max="395" width="7.703125" style="54" customWidth="1"/>
    <col min="396" max="396" width="7.703125" style="463" customWidth="1"/>
    <col min="397" max="397" width="35.703125" style="463" customWidth="1"/>
    <col min="398" max="398" width="40.703125" style="54" customWidth="1"/>
    <col min="399" max="399" width="7.703125" style="54" customWidth="1"/>
    <col min="400" max="400" width="7.703125" style="463" customWidth="1"/>
    <col min="401" max="401" width="35.703125" style="54" customWidth="1"/>
    <col min="402" max="402" width="40.703125" style="54" customWidth="1"/>
    <col min="403" max="403" width="7.703125" style="54" customWidth="1"/>
    <col min="404" max="404" width="7.703125" style="463" customWidth="1"/>
    <col min="405" max="405" width="35.703125" style="54" customWidth="1"/>
    <col min="406" max="406" width="40.703125" style="54" customWidth="1"/>
    <col min="407" max="408" width="7.703125" style="463" customWidth="1"/>
    <col min="409" max="409" width="40.703125" style="54" customWidth="1"/>
    <col min="410" max="410" width="7.703125" style="54" customWidth="1"/>
    <col min="411" max="411" width="7.703125" style="463" customWidth="1"/>
    <col min="412" max="412" width="35.703125" style="54" customWidth="1"/>
    <col min="413" max="413" width="40.703125" style="54" customWidth="1"/>
    <col min="414" max="414" width="7.703125" style="54" customWidth="1"/>
    <col min="415" max="415" width="7.703125" style="463" customWidth="1"/>
    <col min="416" max="416" width="35.703125" style="54" customWidth="1"/>
    <col min="417" max="417" width="40.703125" style="54" customWidth="1"/>
    <col min="418" max="418" width="7.703125" style="54" customWidth="1"/>
    <col min="419" max="419" width="7.703125" style="463" customWidth="1"/>
    <col min="420" max="420" width="35.703125" style="54" customWidth="1"/>
    <col min="421" max="421" width="40.703125" style="54" customWidth="1"/>
    <col min="422" max="422" width="7.703125" style="54" customWidth="1"/>
    <col min="423" max="423" width="7.703125" style="463" customWidth="1"/>
    <col min="424" max="424" width="35.703125" style="54" customWidth="1"/>
    <col min="425" max="425" width="40.703125" style="54" customWidth="1"/>
    <col min="426" max="426" width="7.703125" style="54" customWidth="1"/>
    <col min="427" max="427" width="7.703125" style="463" customWidth="1"/>
    <col min="428" max="428" width="35.703125" style="54" customWidth="1"/>
    <col min="429" max="429" width="40.703125" style="54" customWidth="1"/>
    <col min="430" max="430" width="7.703125" style="54" customWidth="1"/>
    <col min="431" max="431" width="7.703125" style="463" customWidth="1"/>
    <col min="432" max="432" width="35.703125" style="54" customWidth="1"/>
    <col min="433" max="433" width="40.703125" style="54" customWidth="1"/>
    <col min="434" max="434" width="7.703125" style="54" customWidth="1"/>
    <col min="435" max="435" width="7.703125" style="463" customWidth="1"/>
    <col min="436" max="436" width="35.703125" style="54" customWidth="1"/>
    <col min="437" max="437" width="40.703125" style="54" customWidth="1"/>
    <col min="438" max="438" width="7.703125" style="54" customWidth="1"/>
    <col min="439" max="439" width="7.703125" style="463" customWidth="1"/>
    <col min="440" max="440" width="35.703125" style="54" customWidth="1"/>
    <col min="441" max="441" width="40.703125" style="54" customWidth="1"/>
    <col min="442" max="442" width="7.703125" style="54" customWidth="1"/>
    <col min="443" max="443" width="7.703125" style="463" customWidth="1"/>
    <col min="444" max="444" width="35.703125" style="54" customWidth="1"/>
    <col min="445" max="445" width="40.703125" style="54" customWidth="1"/>
    <col min="446" max="446" width="7.703125" style="54" customWidth="1"/>
    <col min="447" max="447" width="7.703125" style="463" customWidth="1"/>
    <col min="448" max="448" width="40.703125" style="54" customWidth="1"/>
    <col min="449" max="450" width="7.703125" style="54" customWidth="1"/>
    <col min="451" max="452" width="40.703125" style="54" customWidth="1"/>
    <col min="453" max="454" width="7.703125" style="54" customWidth="1"/>
    <col min="455" max="456" width="40.703125" style="54" customWidth="1"/>
    <col min="457" max="458" width="7.703125" style="54" customWidth="1"/>
    <col min="459" max="460" width="40.703125" style="54" customWidth="1"/>
    <col min="461" max="462" width="7.703125" style="54" customWidth="1"/>
    <col min="463" max="464" width="40.703125" style="54" customWidth="1"/>
    <col min="465" max="466" width="7.703125" style="54" customWidth="1"/>
    <col min="467" max="468" width="40.703125" style="54" customWidth="1"/>
    <col min="469" max="470" width="7.703125" style="54" customWidth="1"/>
    <col min="471" max="472" width="40.703125" style="54" customWidth="1"/>
    <col min="473" max="474" width="7.703125" style="54" customWidth="1"/>
    <col min="475" max="476" width="40.703125" style="54" customWidth="1"/>
    <col min="477" max="478" width="7.703125" style="54" customWidth="1"/>
    <col min="479" max="480" width="40.703125" style="54" customWidth="1"/>
    <col min="481" max="482" width="7.703125" style="54" customWidth="1"/>
    <col min="483" max="484" width="40.703125" style="54" customWidth="1"/>
    <col min="485" max="486" width="7.703125" style="54" customWidth="1"/>
    <col min="487" max="487" width="40.703125" style="54" customWidth="1"/>
    <col min="488" max="489" width="7.703125" style="54" customWidth="1"/>
    <col min="490" max="491" width="40.703125" style="54" customWidth="1"/>
    <col min="492" max="493" width="7.703125" style="54" customWidth="1"/>
    <col min="494" max="495" width="40.703125" style="54" customWidth="1"/>
    <col min="496" max="497" width="7.703125" style="54" customWidth="1"/>
    <col min="498" max="499" width="40.703125" style="54" customWidth="1"/>
    <col min="500" max="501" width="7.703125" style="54" customWidth="1"/>
    <col min="502" max="503" width="40.703125" style="54" customWidth="1"/>
    <col min="504" max="505" width="7.703125" style="54" customWidth="1"/>
    <col min="506" max="507" width="40.703125" style="54" customWidth="1"/>
    <col min="508" max="509" width="7.703125" style="54" customWidth="1"/>
    <col min="510" max="511" width="40.703125" style="54" customWidth="1"/>
    <col min="512" max="513" width="7.703125" style="54" customWidth="1"/>
    <col min="514" max="515" width="40.703125" style="54" customWidth="1"/>
    <col min="516" max="517" width="7.703125" style="54" customWidth="1"/>
    <col min="518" max="519" width="40.703125" style="54" customWidth="1"/>
    <col min="520" max="521" width="7.703125" style="54" customWidth="1"/>
    <col min="522" max="523" width="40.703125" style="54" customWidth="1"/>
    <col min="524" max="525" width="7.703125" style="54" customWidth="1"/>
    <col min="526" max="526" width="40.703125" style="54" customWidth="1"/>
    <col min="527" max="528" width="7.703125" style="54" customWidth="1"/>
    <col min="529" max="530" width="40.703125" style="54" customWidth="1"/>
    <col min="531" max="532" width="7.703125" style="54" customWidth="1"/>
    <col min="533" max="534" width="40.703125" style="54" customWidth="1"/>
    <col min="535" max="536" width="7.703125" style="54" customWidth="1"/>
    <col min="537" max="538" width="40.703125" style="54" customWidth="1"/>
    <col min="539" max="540" width="7.703125" style="54" customWidth="1"/>
    <col min="541" max="542" width="40.703125" style="54" customWidth="1"/>
    <col min="543" max="544" width="7.703125" style="54" customWidth="1"/>
    <col min="545" max="546" width="40.703125" style="54" customWidth="1"/>
    <col min="547" max="548" width="7.703125" style="54" customWidth="1"/>
    <col min="549" max="550" width="40.703125" style="54" customWidth="1"/>
    <col min="551" max="552" width="7.703125" style="54" customWidth="1"/>
    <col min="553" max="554" width="40.703125" style="54" customWidth="1"/>
    <col min="555" max="556" width="7.703125" style="54" customWidth="1"/>
    <col min="557" max="558" width="40.703125" style="54" customWidth="1"/>
    <col min="559" max="560" width="7.703125" style="54" customWidth="1"/>
    <col min="561" max="562" width="40.703125" style="54" customWidth="1"/>
    <col min="563" max="564" width="7.703125" style="54" customWidth="1"/>
    <col min="565" max="565" width="40.703125" style="54" customWidth="1"/>
    <col min="566" max="567" width="7.703125" style="54" customWidth="1"/>
    <col min="568" max="569" width="40.703125" style="54" customWidth="1"/>
    <col min="570" max="571" width="7.703125" style="54" customWidth="1"/>
    <col min="572" max="573" width="40.703125" style="54" customWidth="1"/>
    <col min="574" max="575" width="7.703125" style="54" customWidth="1"/>
    <col min="576" max="577" width="40.703125" style="54" customWidth="1"/>
    <col min="578" max="579" width="7.703125" style="54" customWidth="1"/>
    <col min="580" max="581" width="40.703125" style="54" customWidth="1"/>
    <col min="582" max="583" width="7.703125" style="54" customWidth="1"/>
    <col min="584" max="585" width="40.703125" style="54" customWidth="1"/>
    <col min="586" max="587" width="7.703125" style="54" customWidth="1"/>
    <col min="588" max="589" width="40.703125" style="54" customWidth="1"/>
    <col min="590" max="591" width="7.703125" style="54" customWidth="1"/>
    <col min="592" max="593" width="40.703125" style="54" customWidth="1"/>
    <col min="594" max="595" width="7.703125" style="54" customWidth="1"/>
    <col min="596" max="597" width="40.703125" style="54" customWidth="1"/>
    <col min="598" max="599" width="7.703125" style="54" customWidth="1"/>
    <col min="600" max="601" width="40.703125" style="54" customWidth="1"/>
    <col min="602" max="603" width="7.703125" style="54" customWidth="1"/>
    <col min="604" max="604" width="40.703125" style="54" customWidth="1"/>
    <col min="605" max="606" width="7.703125" style="54" customWidth="1"/>
    <col min="607" max="608" width="40.703125" style="54" customWidth="1"/>
    <col min="609" max="610" width="7.703125" style="54" customWidth="1"/>
    <col min="611" max="612" width="40.703125" style="54" customWidth="1"/>
    <col min="613" max="614" width="7.703125" style="54" customWidth="1"/>
    <col min="615" max="616" width="40.703125" style="54" customWidth="1"/>
    <col min="617" max="618" width="7.703125" style="54" customWidth="1"/>
    <col min="619" max="620" width="40.703125" style="54" customWidth="1"/>
    <col min="621" max="622" width="7.703125" style="54" customWidth="1"/>
    <col min="623" max="624" width="40.703125" style="54" customWidth="1"/>
    <col min="625" max="626" width="7.703125" style="54" customWidth="1"/>
    <col min="627" max="628" width="40.703125" style="54" customWidth="1"/>
    <col min="629" max="630" width="7.703125" style="54" customWidth="1"/>
    <col min="631" max="632" width="40.703125" style="54" customWidth="1"/>
    <col min="633" max="634" width="7.703125" style="54" customWidth="1"/>
    <col min="635" max="636" width="40.703125" style="54" customWidth="1"/>
    <col min="637" max="638" width="7.703125" style="54" customWidth="1"/>
    <col min="639" max="640" width="40.703125" style="54" customWidth="1"/>
    <col min="641" max="642" width="7.703125" style="54" customWidth="1"/>
    <col min="643" max="643" width="40.703125" style="54" customWidth="1"/>
    <col min="644" max="645" width="7.703125" style="54" customWidth="1"/>
    <col min="646" max="647" width="40.703125" style="54" customWidth="1"/>
    <col min="648" max="649" width="7.703125" style="54" customWidth="1"/>
    <col min="650" max="651" width="40.703125" style="54" customWidth="1"/>
    <col min="652" max="653" width="7.703125" style="54" customWidth="1"/>
    <col min="654" max="655" width="40.703125" style="54" customWidth="1"/>
    <col min="656" max="657" width="7.703125" style="54" customWidth="1"/>
    <col min="658" max="659" width="40.703125" style="54" customWidth="1"/>
    <col min="660" max="661" width="7.703125" style="54" customWidth="1"/>
    <col min="662" max="663" width="40.703125" style="54" customWidth="1"/>
    <col min="664" max="665" width="7.703125" style="54" customWidth="1"/>
    <col min="666" max="667" width="40.703125" style="54" customWidth="1"/>
    <col min="668" max="669" width="7.703125" style="54" customWidth="1"/>
    <col min="670" max="671" width="40.703125" style="54" customWidth="1"/>
    <col min="672" max="673" width="7.703125" style="54" customWidth="1"/>
    <col min="674" max="675" width="40.703125" style="54" customWidth="1"/>
    <col min="676" max="677" width="7.703125" style="54" customWidth="1"/>
    <col min="678" max="679" width="40.703125" style="54" customWidth="1"/>
    <col min="680" max="681" width="7.703125" style="54" customWidth="1"/>
    <col min="682" max="682" width="40.703125" style="54" customWidth="1"/>
    <col min="683" max="684" width="7.703125" style="54" customWidth="1"/>
    <col min="685" max="686" width="40.703125" style="54" customWidth="1"/>
    <col min="687" max="688" width="7.703125" style="54" customWidth="1"/>
    <col min="689" max="690" width="40.703125" style="54" customWidth="1"/>
    <col min="691" max="692" width="7.703125" style="54" customWidth="1"/>
    <col min="693" max="694" width="40.703125" style="54" customWidth="1"/>
    <col min="695" max="696" width="7.703125" style="54" customWidth="1"/>
    <col min="697" max="698" width="40.703125" style="54" customWidth="1"/>
    <col min="699" max="700" width="7.703125" style="54" customWidth="1"/>
    <col min="701" max="702" width="40.703125" style="54" customWidth="1"/>
    <col min="703" max="704" width="7.703125" style="54" customWidth="1"/>
    <col min="705" max="706" width="40.703125" style="54" customWidth="1"/>
    <col min="707" max="708" width="7.703125" style="54" customWidth="1"/>
    <col min="709" max="710" width="40.703125" style="54" customWidth="1"/>
    <col min="711" max="712" width="7.703125" style="54" customWidth="1"/>
    <col min="713" max="714" width="40.703125" style="54" customWidth="1"/>
    <col min="715" max="716" width="7.703125" style="54" customWidth="1"/>
    <col min="717" max="718" width="40.703125" style="54" customWidth="1"/>
    <col min="719" max="720" width="7.703125" style="54" customWidth="1"/>
    <col min="721" max="721" width="60.703125" style="54" customWidth="1"/>
    <col min="722" max="723" width="8.703125" style="54" customWidth="1"/>
    <col min="724" max="725" width="60.703125" style="54" customWidth="1"/>
    <col min="726" max="727" width="8.703125" style="54" customWidth="1"/>
    <col min="728" max="729" width="60.703125" style="54" customWidth="1"/>
    <col min="730" max="731" width="8.703125" style="54" customWidth="1"/>
    <col min="732" max="733" width="60.703125" style="54" customWidth="1"/>
    <col min="734" max="735" width="8.703125" style="54" customWidth="1"/>
    <col min="736" max="737" width="60.703125" style="54" customWidth="1"/>
    <col min="738" max="739" width="8.703125" style="54" customWidth="1"/>
    <col min="740" max="741" width="60.703125" style="54" customWidth="1"/>
    <col min="742" max="743" width="8.703125" style="54" customWidth="1"/>
    <col min="744" max="745" width="60.703125" style="54" customWidth="1"/>
    <col min="746" max="747" width="8.703125" style="54" customWidth="1"/>
    <col min="748" max="749" width="60.703125" style="54" customWidth="1"/>
    <col min="750" max="751" width="8.703125" style="54" customWidth="1"/>
    <col min="752" max="753" width="60.703125" style="54" customWidth="1"/>
    <col min="754" max="755" width="8.703125" style="54" customWidth="1"/>
    <col min="756" max="757" width="60.703125" style="54" customWidth="1"/>
    <col min="758" max="759" width="8.703125" style="54" customWidth="1"/>
    <col min="760" max="760" width="80.703125" style="54" customWidth="1"/>
    <col min="761" max="762" width="10.703125" style="54" customWidth="1"/>
    <col min="763" max="764" width="80.703125" style="54" customWidth="1"/>
    <col min="765" max="766" width="10.703125" style="54" customWidth="1"/>
    <col min="767" max="768" width="80.703125" style="54" customWidth="1"/>
    <col min="769" max="770" width="10.703125" style="54" customWidth="1"/>
    <col min="771" max="772" width="80.703125" style="54" customWidth="1"/>
    <col min="773" max="774" width="10.703125" style="54" customWidth="1"/>
    <col min="775" max="776" width="80.703125" style="54" customWidth="1"/>
    <col min="777" max="778" width="10.703125" style="54" customWidth="1"/>
    <col min="779" max="780" width="80.703125" style="54" customWidth="1"/>
    <col min="781" max="782" width="10.703125" style="54" customWidth="1"/>
    <col min="783" max="784" width="80.703125" style="54" customWidth="1"/>
    <col min="785" max="786" width="10.703125" style="54" customWidth="1"/>
    <col min="787" max="788" width="80.703125" style="54" customWidth="1"/>
    <col min="789" max="790" width="10.703125" style="54" customWidth="1"/>
    <col min="791" max="792" width="80.703125" style="54" customWidth="1"/>
    <col min="793" max="794" width="10.703125" style="54" customWidth="1"/>
    <col min="795" max="796" width="80.703125" style="54" customWidth="1"/>
    <col min="797" max="798" width="10.703125" style="54" customWidth="1"/>
    <col min="799" max="799" width="150.703125" style="54" customWidth="1"/>
    <col min="800" max="801" width="50.703125" style="54" customWidth="1"/>
    <col min="802" max="803" width="150.703125" style="54" customWidth="1"/>
    <col min="804" max="805" width="50.703125" style="54" customWidth="1"/>
    <col min="806" max="807" width="150.703125" style="54" customWidth="1"/>
    <col min="808" max="809" width="50.703125" style="54" customWidth="1"/>
    <col min="810" max="811" width="150.703125" style="54" customWidth="1"/>
    <col min="812" max="813" width="50.703125" style="54" customWidth="1"/>
    <col min="814" max="815" width="150.703125" style="54" customWidth="1"/>
    <col min="816" max="817" width="50.703125" style="54" customWidth="1"/>
    <col min="818" max="819" width="150.703125" style="54" customWidth="1"/>
    <col min="820" max="821" width="50.703125" style="54" customWidth="1"/>
    <col min="822" max="823" width="150.703125" style="54" customWidth="1"/>
    <col min="824" max="825" width="50.703125" style="54" customWidth="1"/>
    <col min="826" max="827" width="150.703125" style="54" customWidth="1"/>
    <col min="828" max="829" width="50.703125" style="54" customWidth="1"/>
    <col min="830" max="831" width="150.703125" style="54" customWidth="1"/>
    <col min="832" max="833" width="50.703125" style="54" customWidth="1"/>
    <col min="834" max="835" width="150.703125" style="54" customWidth="1"/>
    <col min="836" max="837" width="50.703125" style="54" customWidth="1"/>
    <col min="838" max="914" width="33.41015625" style="54" customWidth="1"/>
    <col min="915" max="930" width="30.87890625" style="54" customWidth="1"/>
    <col min="931" max="946" width="26.703125" style="54" customWidth="1"/>
    <col min="947" max="16384" width="11.41015625" style="54"/>
  </cols>
  <sheetData>
    <row r="1" spans="1:603" ht="22.7" x14ac:dyDescent="0.4">
      <c r="B1" s="52" t="s">
        <v>296</v>
      </c>
      <c r="C1" s="53"/>
      <c r="D1" s="53"/>
      <c r="E1" s="53"/>
      <c r="F1" s="53"/>
      <c r="G1" s="53"/>
      <c r="H1" s="53"/>
      <c r="I1" s="53"/>
    </row>
    <row r="2" spans="1:603" ht="13" thickBot="1" x14ac:dyDescent="0.45">
      <c r="LK2" s="54"/>
      <c r="MD2" s="54"/>
      <c r="MT2" s="54"/>
      <c r="MU2" s="54"/>
      <c r="MV2" s="54"/>
      <c r="MW2" s="54"/>
      <c r="MX2" s="54"/>
      <c r="ND2" s="54"/>
      <c r="NH2" s="54"/>
      <c r="NL2" s="54"/>
      <c r="NP2" s="54"/>
      <c r="NQ2" s="54"/>
      <c r="NT2" s="54"/>
      <c r="NX2" s="54"/>
      <c r="OB2" s="54"/>
      <c r="OF2" s="54"/>
      <c r="OG2" s="54"/>
      <c r="OJ2" s="54"/>
      <c r="ON2" s="54"/>
      <c r="OQ2" s="54"/>
      <c r="OR2" s="54"/>
      <c r="OU2" s="54"/>
      <c r="OY2" s="54"/>
      <c r="PC2" s="54"/>
      <c r="PG2" s="54"/>
      <c r="PK2" s="54"/>
      <c r="PO2" s="54"/>
      <c r="PS2" s="54"/>
      <c r="PW2" s="54"/>
      <c r="QA2" s="54"/>
      <c r="QE2" s="54"/>
    </row>
    <row r="3" spans="1:603" s="12" customFormat="1" ht="21.7" thickTop="1" x14ac:dyDescent="0.4">
      <c r="A3" s="64" t="s">
        <v>68</v>
      </c>
      <c r="B3" s="65" t="s">
        <v>216</v>
      </c>
      <c r="C3" s="65"/>
      <c r="D3" s="66"/>
      <c r="E3" s="67"/>
      <c r="F3" s="65" t="s">
        <v>217</v>
      </c>
      <c r="G3" s="65"/>
      <c r="H3" s="66"/>
      <c r="I3" s="67"/>
      <c r="J3" s="68" t="s">
        <v>69</v>
      </c>
      <c r="K3" s="65"/>
      <c r="L3" s="66"/>
      <c r="M3" s="67"/>
      <c r="N3" s="69" t="s">
        <v>72</v>
      </c>
      <c r="O3" s="70"/>
      <c r="P3" s="71"/>
      <c r="Q3" s="72"/>
      <c r="R3" s="69" t="s">
        <v>32</v>
      </c>
      <c r="S3" s="70"/>
      <c r="T3" s="71"/>
      <c r="U3" s="72"/>
      <c r="V3" s="69" t="s">
        <v>73</v>
      </c>
      <c r="W3" s="70"/>
      <c r="X3" s="71"/>
      <c r="Y3" s="72"/>
      <c r="Z3" s="69" t="s">
        <v>74</v>
      </c>
      <c r="AA3" s="70"/>
      <c r="AB3" s="71"/>
      <c r="AC3" s="72"/>
      <c r="AD3" s="69" t="s">
        <v>75</v>
      </c>
      <c r="AE3" s="65"/>
      <c r="AF3" s="66"/>
      <c r="AG3" s="67"/>
      <c r="AH3" s="69" t="s">
        <v>33</v>
      </c>
      <c r="AI3" s="70"/>
      <c r="AJ3" s="71"/>
      <c r="AK3" s="72"/>
      <c r="AL3" s="69" t="s">
        <v>76</v>
      </c>
      <c r="AM3" s="70"/>
      <c r="AN3" s="71"/>
      <c r="AO3" s="72"/>
      <c r="AP3" s="69" t="s">
        <v>77</v>
      </c>
      <c r="AQ3" s="70"/>
      <c r="AR3" s="71"/>
      <c r="AS3" s="72"/>
      <c r="AT3" s="69" t="s">
        <v>78</v>
      </c>
      <c r="AU3" s="70"/>
      <c r="AV3" s="71"/>
      <c r="AW3" s="72"/>
      <c r="AX3" s="69" t="s">
        <v>79</v>
      </c>
      <c r="AY3" s="70"/>
      <c r="AZ3" s="71"/>
      <c r="BA3" s="72"/>
      <c r="BB3" s="69" t="s">
        <v>80</v>
      </c>
      <c r="BC3" s="65"/>
      <c r="BD3" s="66"/>
      <c r="BE3" s="67"/>
      <c r="BF3" s="69" t="s">
        <v>303</v>
      </c>
      <c r="BG3" s="65"/>
      <c r="BH3" s="66"/>
      <c r="BI3" s="67"/>
      <c r="BJ3" s="69" t="s">
        <v>17</v>
      </c>
      <c r="BK3" s="65"/>
      <c r="BL3" s="66"/>
      <c r="BM3" s="67"/>
    </row>
    <row r="4" spans="1:603" s="51" customFormat="1" ht="21.7" thickBot="1" x14ac:dyDescent="0.45">
      <c r="A4" s="73"/>
      <c r="B4" s="74" t="s">
        <v>21</v>
      </c>
      <c r="C4" s="74" t="s">
        <v>218</v>
      </c>
      <c r="D4" s="74" t="s">
        <v>219</v>
      </c>
      <c r="E4" s="75" t="s">
        <v>220</v>
      </c>
      <c r="F4" s="74" t="s">
        <v>21</v>
      </c>
      <c r="G4" s="74" t="s">
        <v>218</v>
      </c>
      <c r="H4" s="74" t="s">
        <v>219</v>
      </c>
      <c r="I4" s="75" t="s">
        <v>220</v>
      </c>
      <c r="J4" s="76" t="s">
        <v>21</v>
      </c>
      <c r="K4" s="74" t="s">
        <v>218</v>
      </c>
      <c r="L4" s="74" t="s">
        <v>219</v>
      </c>
      <c r="M4" s="75" t="s">
        <v>220</v>
      </c>
      <c r="N4" s="74" t="s">
        <v>21</v>
      </c>
      <c r="O4" s="74" t="s">
        <v>218</v>
      </c>
      <c r="P4" s="74" t="s">
        <v>219</v>
      </c>
      <c r="Q4" s="75" t="s">
        <v>220</v>
      </c>
      <c r="R4" s="74" t="s">
        <v>21</v>
      </c>
      <c r="S4" s="74" t="s">
        <v>218</v>
      </c>
      <c r="T4" s="74" t="s">
        <v>219</v>
      </c>
      <c r="U4" s="75" t="s">
        <v>220</v>
      </c>
      <c r="V4" s="74" t="s">
        <v>21</v>
      </c>
      <c r="W4" s="74" t="s">
        <v>218</v>
      </c>
      <c r="X4" s="74" t="s">
        <v>219</v>
      </c>
      <c r="Y4" s="75" t="s">
        <v>220</v>
      </c>
      <c r="Z4" s="74" t="s">
        <v>21</v>
      </c>
      <c r="AA4" s="74" t="s">
        <v>218</v>
      </c>
      <c r="AB4" s="74" t="s">
        <v>219</v>
      </c>
      <c r="AC4" s="75" t="s">
        <v>220</v>
      </c>
      <c r="AD4" s="74" t="s">
        <v>21</v>
      </c>
      <c r="AE4" s="74" t="s">
        <v>218</v>
      </c>
      <c r="AF4" s="74" t="s">
        <v>219</v>
      </c>
      <c r="AG4" s="75" t="s">
        <v>220</v>
      </c>
      <c r="AH4" s="74" t="s">
        <v>21</v>
      </c>
      <c r="AI4" s="74" t="s">
        <v>218</v>
      </c>
      <c r="AJ4" s="74" t="s">
        <v>219</v>
      </c>
      <c r="AK4" s="75" t="s">
        <v>220</v>
      </c>
      <c r="AL4" s="74" t="s">
        <v>21</v>
      </c>
      <c r="AM4" s="74" t="s">
        <v>218</v>
      </c>
      <c r="AN4" s="74" t="s">
        <v>219</v>
      </c>
      <c r="AO4" s="75" t="s">
        <v>220</v>
      </c>
      <c r="AP4" s="74" t="s">
        <v>21</v>
      </c>
      <c r="AQ4" s="74" t="s">
        <v>218</v>
      </c>
      <c r="AR4" s="74" t="s">
        <v>219</v>
      </c>
      <c r="AS4" s="75" t="s">
        <v>220</v>
      </c>
      <c r="AT4" s="74" t="s">
        <v>21</v>
      </c>
      <c r="AU4" s="74" t="s">
        <v>218</v>
      </c>
      <c r="AV4" s="74" t="s">
        <v>219</v>
      </c>
      <c r="AW4" s="75" t="s">
        <v>220</v>
      </c>
      <c r="AX4" s="74" t="s">
        <v>21</v>
      </c>
      <c r="AY4" s="74" t="s">
        <v>218</v>
      </c>
      <c r="AZ4" s="74" t="s">
        <v>219</v>
      </c>
      <c r="BA4" s="75" t="s">
        <v>220</v>
      </c>
      <c r="BB4" s="74" t="s">
        <v>21</v>
      </c>
      <c r="BC4" s="74" t="s">
        <v>218</v>
      </c>
      <c r="BD4" s="74" t="s">
        <v>219</v>
      </c>
      <c r="BE4" s="75" t="s">
        <v>220</v>
      </c>
      <c r="BF4" s="74" t="s">
        <v>21</v>
      </c>
      <c r="BG4" s="74" t="s">
        <v>218</v>
      </c>
      <c r="BH4" s="74" t="s">
        <v>219</v>
      </c>
      <c r="BI4" s="75" t="s">
        <v>220</v>
      </c>
      <c r="BJ4" s="74" t="s">
        <v>21</v>
      </c>
      <c r="BK4" s="74" t="s">
        <v>218</v>
      </c>
      <c r="BL4" s="74" t="s">
        <v>219</v>
      </c>
      <c r="BM4" s="75" t="s">
        <v>220</v>
      </c>
    </row>
    <row r="5" spans="1:603" s="56" customFormat="1" ht="51" thickTop="1" x14ac:dyDescent="0.4">
      <c r="A5" s="14">
        <v>1</v>
      </c>
      <c r="B5" s="15" t="s">
        <v>221</v>
      </c>
      <c r="C5" s="16" t="s">
        <v>448</v>
      </c>
      <c r="D5" s="17">
        <v>10</v>
      </c>
      <c r="E5" s="18" t="s">
        <v>98</v>
      </c>
      <c r="F5" s="15" t="s">
        <v>221</v>
      </c>
      <c r="G5" s="16" t="s">
        <v>448</v>
      </c>
      <c r="H5" s="17">
        <v>10</v>
      </c>
      <c r="I5" s="18" t="s">
        <v>98</v>
      </c>
      <c r="J5" s="19" t="s">
        <v>221</v>
      </c>
      <c r="K5" s="16" t="s">
        <v>448</v>
      </c>
      <c r="L5" s="17">
        <v>10</v>
      </c>
      <c r="M5" s="18" t="s">
        <v>98</v>
      </c>
      <c r="N5" s="15" t="s">
        <v>221</v>
      </c>
      <c r="O5" s="16" t="s">
        <v>448</v>
      </c>
      <c r="P5" s="17">
        <v>10</v>
      </c>
      <c r="Q5" s="18" t="s">
        <v>98</v>
      </c>
      <c r="R5" s="15" t="s">
        <v>221</v>
      </c>
      <c r="S5" s="16" t="s">
        <v>448</v>
      </c>
      <c r="T5" s="17">
        <v>10</v>
      </c>
      <c r="U5" s="18" t="s">
        <v>98</v>
      </c>
      <c r="V5" s="15" t="s">
        <v>221</v>
      </c>
      <c r="W5" s="16" t="s">
        <v>448</v>
      </c>
      <c r="X5" s="17">
        <v>10</v>
      </c>
      <c r="Y5" s="18" t="s">
        <v>98</v>
      </c>
      <c r="Z5" s="15" t="s">
        <v>221</v>
      </c>
      <c r="AA5" s="16" t="s">
        <v>448</v>
      </c>
      <c r="AB5" s="17">
        <v>10</v>
      </c>
      <c r="AC5" s="18" t="s">
        <v>98</v>
      </c>
      <c r="AD5" s="19" t="s">
        <v>221</v>
      </c>
      <c r="AE5" s="16" t="s">
        <v>448</v>
      </c>
      <c r="AF5" s="17">
        <v>10</v>
      </c>
      <c r="AG5" s="18" t="s">
        <v>98</v>
      </c>
      <c r="AH5" s="19" t="s">
        <v>221</v>
      </c>
      <c r="AI5" s="16" t="s">
        <v>448</v>
      </c>
      <c r="AJ5" s="17">
        <v>10</v>
      </c>
      <c r="AK5" s="18" t="s">
        <v>98</v>
      </c>
      <c r="AL5" s="15" t="s">
        <v>221</v>
      </c>
      <c r="AM5" s="16" t="s">
        <v>448</v>
      </c>
      <c r="AN5" s="17">
        <v>10</v>
      </c>
      <c r="AO5" s="18" t="s">
        <v>98</v>
      </c>
      <c r="AP5" s="15" t="s">
        <v>221</v>
      </c>
      <c r="AQ5" s="16" t="s">
        <v>448</v>
      </c>
      <c r="AR5" s="17">
        <v>10</v>
      </c>
      <c r="AS5" s="18" t="s">
        <v>98</v>
      </c>
      <c r="AT5" s="15" t="s">
        <v>221</v>
      </c>
      <c r="AU5" s="16" t="s">
        <v>448</v>
      </c>
      <c r="AV5" s="17">
        <v>10</v>
      </c>
      <c r="AW5" s="18" t="s">
        <v>98</v>
      </c>
      <c r="AX5" s="15" t="s">
        <v>221</v>
      </c>
      <c r="AY5" s="16" t="s">
        <v>448</v>
      </c>
      <c r="AZ5" s="17">
        <v>10</v>
      </c>
      <c r="BA5" s="18" t="s">
        <v>98</v>
      </c>
      <c r="BB5" s="19" t="s">
        <v>221</v>
      </c>
      <c r="BC5" s="16" t="s">
        <v>448</v>
      </c>
      <c r="BD5" s="17">
        <v>10</v>
      </c>
      <c r="BE5" s="18" t="s">
        <v>98</v>
      </c>
      <c r="BF5" s="19" t="s">
        <v>221</v>
      </c>
      <c r="BG5" s="16" t="s">
        <v>448</v>
      </c>
      <c r="BH5" s="17">
        <v>10</v>
      </c>
      <c r="BI5" s="18" t="s">
        <v>98</v>
      </c>
      <c r="BJ5" s="19" t="s">
        <v>221</v>
      </c>
      <c r="BK5" s="16" t="s">
        <v>448</v>
      </c>
      <c r="BL5" s="17">
        <v>10</v>
      </c>
      <c r="BM5" s="18" t="s">
        <v>98</v>
      </c>
    </row>
    <row r="6" spans="1:603" s="35" customFormat="1" ht="114" x14ac:dyDescent="0.4">
      <c r="A6" s="77">
        <v>2</v>
      </c>
      <c r="B6" s="78" t="s">
        <v>222</v>
      </c>
      <c r="C6" s="79"/>
      <c r="D6" s="80">
        <v>10</v>
      </c>
      <c r="E6" s="81" t="s">
        <v>98</v>
      </c>
      <c r="F6" s="78" t="s">
        <v>222</v>
      </c>
      <c r="G6" s="79"/>
      <c r="H6" s="80">
        <v>10</v>
      </c>
      <c r="I6" s="81" t="s">
        <v>98</v>
      </c>
      <c r="J6" s="82" t="s">
        <v>223</v>
      </c>
      <c r="K6" s="79"/>
      <c r="L6" s="80">
        <v>10</v>
      </c>
      <c r="M6" s="81" t="s">
        <v>98</v>
      </c>
      <c r="N6" s="78" t="s">
        <v>223</v>
      </c>
      <c r="O6" s="79"/>
      <c r="P6" s="80">
        <v>10</v>
      </c>
      <c r="Q6" s="81" t="s">
        <v>98</v>
      </c>
      <c r="R6" s="78" t="s">
        <v>81</v>
      </c>
      <c r="S6" s="79"/>
      <c r="T6" s="80">
        <v>10</v>
      </c>
      <c r="U6" s="81" t="s">
        <v>98</v>
      </c>
      <c r="V6" s="78" t="s">
        <v>563</v>
      </c>
      <c r="W6" s="83"/>
      <c r="X6" s="80">
        <v>10</v>
      </c>
      <c r="Y6" s="81" t="s">
        <v>98</v>
      </c>
      <c r="Z6" s="78" t="s">
        <v>564</v>
      </c>
      <c r="AA6" s="83"/>
      <c r="AB6" s="80">
        <v>10</v>
      </c>
      <c r="AC6" s="81" t="s">
        <v>98</v>
      </c>
      <c r="AD6" s="78" t="s">
        <v>222</v>
      </c>
      <c r="AE6" s="79"/>
      <c r="AF6" s="80">
        <v>10</v>
      </c>
      <c r="AG6" s="81" t="s">
        <v>98</v>
      </c>
      <c r="AH6" s="78" t="s">
        <v>224</v>
      </c>
      <c r="AI6" s="79"/>
      <c r="AJ6" s="80">
        <v>10</v>
      </c>
      <c r="AK6" s="81" t="s">
        <v>98</v>
      </c>
      <c r="AL6" s="78" t="s">
        <v>225</v>
      </c>
      <c r="AM6" s="83"/>
      <c r="AN6" s="80">
        <v>10</v>
      </c>
      <c r="AO6" s="81" t="s">
        <v>98</v>
      </c>
      <c r="AP6" s="78" t="s">
        <v>226</v>
      </c>
      <c r="AQ6" s="83"/>
      <c r="AR6" s="80">
        <v>20</v>
      </c>
      <c r="AS6" s="81" t="s">
        <v>98</v>
      </c>
      <c r="AT6" s="78" t="s">
        <v>82</v>
      </c>
      <c r="AU6" s="79"/>
      <c r="AV6" s="80">
        <v>15</v>
      </c>
      <c r="AW6" s="81" t="s">
        <v>98</v>
      </c>
      <c r="AX6" s="78" t="s">
        <v>83</v>
      </c>
      <c r="AY6" s="79"/>
      <c r="AZ6" s="80">
        <v>15</v>
      </c>
      <c r="BA6" s="81" t="s">
        <v>98</v>
      </c>
      <c r="BB6" s="82" t="s">
        <v>84</v>
      </c>
      <c r="BC6" s="79"/>
      <c r="BD6" s="80">
        <v>20</v>
      </c>
      <c r="BE6" s="81" t="s">
        <v>98</v>
      </c>
      <c r="BF6" s="82" t="s">
        <v>304</v>
      </c>
      <c r="BG6" s="79" t="s">
        <v>305</v>
      </c>
      <c r="BH6" s="80">
        <v>30</v>
      </c>
      <c r="BI6" s="81" t="s">
        <v>98</v>
      </c>
      <c r="BJ6" s="78" t="s">
        <v>306</v>
      </c>
      <c r="BK6" s="79" t="s">
        <v>307</v>
      </c>
      <c r="BL6" s="80">
        <v>20</v>
      </c>
      <c r="BM6" s="81" t="s">
        <v>98</v>
      </c>
      <c r="BN6" s="84"/>
      <c r="BO6" s="84"/>
      <c r="BP6" s="84"/>
      <c r="BQ6" s="84"/>
      <c r="BR6" s="84"/>
      <c r="BS6" s="84"/>
      <c r="BT6" s="84"/>
      <c r="BU6" s="84"/>
      <c r="BV6" s="84"/>
      <c r="BW6" s="84"/>
      <c r="BX6" s="84"/>
      <c r="BY6" s="84"/>
      <c r="BZ6" s="84"/>
      <c r="CA6" s="84"/>
      <c r="CB6" s="84"/>
      <c r="CC6" s="84"/>
      <c r="CD6" s="84"/>
      <c r="CE6" s="84"/>
      <c r="CF6" s="84"/>
      <c r="CG6" s="84"/>
      <c r="CH6" s="84"/>
      <c r="CI6" s="84"/>
      <c r="CJ6" s="84"/>
      <c r="CK6" s="84"/>
      <c r="CL6" s="84"/>
      <c r="CM6" s="84"/>
      <c r="CN6" s="84"/>
      <c r="CO6" s="84"/>
      <c r="CP6" s="84"/>
      <c r="CQ6" s="84"/>
      <c r="CR6" s="84"/>
      <c r="CS6" s="84"/>
      <c r="CT6" s="84"/>
      <c r="CU6" s="84"/>
      <c r="CV6" s="84"/>
      <c r="CW6" s="84"/>
      <c r="CX6" s="84"/>
      <c r="CY6" s="84"/>
      <c r="CZ6" s="84"/>
      <c r="DA6" s="84"/>
      <c r="DB6" s="84"/>
      <c r="DC6" s="84"/>
      <c r="DD6" s="84"/>
      <c r="DE6" s="84"/>
      <c r="DF6" s="84"/>
      <c r="DG6" s="84"/>
      <c r="DH6" s="84"/>
      <c r="DI6" s="84"/>
      <c r="DJ6" s="84"/>
      <c r="DK6" s="84"/>
      <c r="DL6" s="84"/>
      <c r="DM6" s="84"/>
      <c r="DN6" s="84"/>
      <c r="DO6" s="84"/>
      <c r="DP6" s="84"/>
      <c r="DQ6" s="84"/>
      <c r="DR6" s="84"/>
      <c r="DS6" s="84"/>
      <c r="DT6" s="84"/>
      <c r="DU6" s="84"/>
      <c r="DV6" s="84"/>
      <c r="DW6" s="84"/>
      <c r="DX6" s="84"/>
      <c r="DY6" s="84"/>
      <c r="DZ6" s="84"/>
      <c r="EA6" s="84"/>
      <c r="EB6" s="84"/>
      <c r="EC6" s="84"/>
      <c r="ED6" s="84"/>
      <c r="EE6" s="84"/>
      <c r="EF6" s="84"/>
      <c r="EG6" s="84"/>
      <c r="EH6" s="84"/>
      <c r="EI6" s="84"/>
      <c r="EJ6" s="84"/>
      <c r="EK6" s="84"/>
      <c r="EL6" s="84"/>
      <c r="EM6" s="84"/>
      <c r="EN6" s="84"/>
      <c r="EO6" s="84"/>
      <c r="EP6" s="84"/>
      <c r="EQ6" s="84"/>
      <c r="ER6" s="84"/>
      <c r="ES6" s="84"/>
      <c r="ET6" s="84"/>
      <c r="EU6" s="84"/>
      <c r="EV6" s="84"/>
      <c r="EW6" s="84"/>
      <c r="EX6" s="84"/>
      <c r="EY6" s="84"/>
      <c r="EZ6" s="84"/>
      <c r="FA6" s="84"/>
      <c r="FB6" s="84"/>
      <c r="FC6" s="84"/>
      <c r="FD6" s="84"/>
      <c r="FE6" s="84"/>
      <c r="FF6" s="84"/>
      <c r="FG6" s="84"/>
      <c r="FH6" s="84"/>
      <c r="FI6" s="84"/>
      <c r="FJ6" s="84"/>
      <c r="FK6" s="84"/>
      <c r="FL6" s="84"/>
      <c r="FM6" s="84"/>
      <c r="FN6" s="84"/>
      <c r="FO6" s="84"/>
      <c r="FP6" s="84"/>
      <c r="FQ6" s="84"/>
      <c r="FR6" s="84"/>
      <c r="FS6" s="84"/>
      <c r="FT6" s="84"/>
      <c r="FU6" s="84"/>
      <c r="FV6" s="84"/>
      <c r="FW6" s="84"/>
      <c r="FX6" s="84"/>
      <c r="FY6" s="84"/>
      <c r="FZ6" s="84"/>
      <c r="GA6" s="84"/>
      <c r="GB6" s="84"/>
      <c r="GC6" s="84"/>
      <c r="GD6" s="84"/>
      <c r="GE6" s="84"/>
      <c r="GF6" s="84"/>
      <c r="GG6" s="84"/>
      <c r="GH6" s="84"/>
      <c r="GI6" s="84"/>
      <c r="GJ6" s="84"/>
      <c r="GK6" s="84"/>
      <c r="GL6" s="84"/>
      <c r="GM6" s="84"/>
      <c r="GN6" s="84"/>
      <c r="GO6" s="84"/>
      <c r="GP6" s="84"/>
      <c r="GQ6" s="84"/>
      <c r="GR6" s="84"/>
      <c r="GS6" s="84"/>
      <c r="GT6" s="84"/>
      <c r="GU6" s="84"/>
      <c r="GV6" s="84"/>
      <c r="GW6" s="84"/>
      <c r="GX6" s="84"/>
      <c r="GY6" s="84"/>
      <c r="GZ6" s="84"/>
      <c r="HA6" s="84"/>
      <c r="HB6" s="84"/>
      <c r="HC6" s="84"/>
      <c r="HD6" s="84"/>
      <c r="HE6" s="84"/>
      <c r="HF6" s="84"/>
      <c r="HG6" s="84"/>
      <c r="HH6" s="84"/>
      <c r="HI6" s="84"/>
      <c r="HJ6" s="84"/>
      <c r="HK6" s="84"/>
      <c r="HL6" s="84"/>
      <c r="HM6" s="84"/>
      <c r="HN6" s="84"/>
      <c r="HO6" s="84"/>
      <c r="HP6" s="84"/>
      <c r="HQ6" s="84"/>
      <c r="HR6" s="84"/>
      <c r="HS6" s="84"/>
      <c r="HT6" s="84"/>
      <c r="HU6" s="84"/>
      <c r="HV6" s="84"/>
      <c r="HW6" s="84"/>
      <c r="HX6" s="84"/>
      <c r="HY6" s="84"/>
      <c r="HZ6" s="84"/>
      <c r="IA6" s="84"/>
      <c r="IB6" s="84"/>
      <c r="IC6" s="84"/>
      <c r="ID6" s="84"/>
      <c r="IE6" s="84"/>
      <c r="IF6" s="84"/>
      <c r="IG6" s="84"/>
      <c r="IH6" s="84"/>
      <c r="II6" s="84"/>
      <c r="IJ6" s="84"/>
      <c r="IK6" s="84"/>
      <c r="IL6" s="84"/>
      <c r="IM6" s="84"/>
      <c r="IN6" s="84"/>
      <c r="IO6" s="84"/>
      <c r="IP6" s="84"/>
      <c r="IQ6" s="84"/>
      <c r="IR6" s="84"/>
      <c r="IS6" s="84"/>
      <c r="IT6" s="84"/>
      <c r="IU6" s="84"/>
      <c r="IV6" s="84"/>
      <c r="IW6" s="84"/>
      <c r="IX6" s="84"/>
      <c r="IY6" s="84"/>
      <c r="IZ6" s="84"/>
      <c r="JA6" s="84"/>
      <c r="JB6" s="84"/>
      <c r="JC6" s="84"/>
      <c r="JD6" s="84"/>
      <c r="JE6" s="84"/>
      <c r="JF6" s="84"/>
      <c r="JG6" s="84"/>
      <c r="JH6" s="84"/>
      <c r="JI6" s="84"/>
      <c r="JJ6" s="84"/>
      <c r="JK6" s="84"/>
      <c r="JL6" s="84"/>
      <c r="JM6" s="84"/>
      <c r="JN6" s="84"/>
      <c r="JO6" s="84"/>
      <c r="JP6" s="84"/>
      <c r="JQ6" s="84"/>
      <c r="JR6" s="84"/>
      <c r="JS6" s="84"/>
      <c r="JT6" s="84"/>
      <c r="JU6" s="84"/>
      <c r="JV6" s="84"/>
      <c r="JW6" s="84"/>
      <c r="JX6" s="84"/>
      <c r="JY6" s="84"/>
      <c r="JZ6" s="84"/>
      <c r="KA6" s="84"/>
      <c r="KB6" s="84"/>
      <c r="KC6" s="84"/>
      <c r="KD6" s="84"/>
      <c r="KE6" s="84"/>
      <c r="KF6" s="84"/>
      <c r="KG6" s="84"/>
      <c r="KH6" s="84"/>
      <c r="KI6" s="84"/>
      <c r="KJ6" s="84"/>
      <c r="KK6" s="84"/>
      <c r="KL6" s="84"/>
      <c r="KM6" s="84"/>
      <c r="KN6" s="84"/>
      <c r="KO6" s="84"/>
      <c r="KP6" s="84"/>
      <c r="KQ6" s="84"/>
      <c r="KR6" s="84"/>
      <c r="KS6" s="84"/>
      <c r="KT6" s="84"/>
      <c r="KU6" s="84"/>
      <c r="KV6" s="84"/>
      <c r="KW6" s="84"/>
      <c r="KX6" s="84"/>
      <c r="KY6" s="84"/>
      <c r="KZ6" s="84"/>
      <c r="LA6" s="84"/>
      <c r="LB6" s="84"/>
      <c r="LC6" s="84"/>
      <c r="LD6" s="84"/>
      <c r="LE6" s="84"/>
      <c r="LF6" s="84"/>
      <c r="LG6" s="84"/>
      <c r="LH6" s="84"/>
      <c r="LI6" s="84"/>
      <c r="LJ6" s="84"/>
      <c r="LK6" s="84"/>
      <c r="LL6" s="84"/>
      <c r="LM6" s="84"/>
      <c r="LN6" s="84"/>
      <c r="LO6" s="84"/>
      <c r="LP6" s="84"/>
      <c r="LQ6" s="84"/>
      <c r="LR6" s="84"/>
      <c r="LS6" s="84"/>
      <c r="LT6" s="84"/>
      <c r="LU6" s="84"/>
      <c r="LV6" s="84"/>
      <c r="LW6" s="84"/>
      <c r="LX6" s="84"/>
      <c r="LY6" s="84"/>
      <c r="LZ6" s="84"/>
      <c r="MA6" s="84"/>
      <c r="MB6" s="84"/>
      <c r="MC6" s="84"/>
      <c r="MD6" s="84"/>
      <c r="ME6" s="84"/>
      <c r="MF6" s="84"/>
      <c r="MG6" s="84"/>
      <c r="MH6" s="84"/>
      <c r="MI6" s="84"/>
      <c r="MJ6" s="84"/>
      <c r="MK6" s="84"/>
      <c r="ML6" s="84"/>
      <c r="MM6" s="84"/>
      <c r="MN6" s="84"/>
      <c r="MO6" s="84"/>
      <c r="MP6" s="84"/>
      <c r="MQ6" s="84"/>
      <c r="MR6" s="84"/>
      <c r="MS6" s="84"/>
      <c r="MT6" s="84"/>
      <c r="MU6" s="84"/>
      <c r="MV6" s="84"/>
      <c r="MW6" s="84"/>
      <c r="MX6" s="84"/>
      <c r="MY6" s="84"/>
      <c r="MZ6" s="84"/>
      <c r="NA6" s="84"/>
      <c r="NB6" s="84"/>
      <c r="NC6" s="84"/>
      <c r="ND6" s="84"/>
      <c r="NE6" s="84"/>
      <c r="NF6" s="84"/>
      <c r="NG6" s="84"/>
      <c r="NH6" s="84"/>
      <c r="NI6" s="84"/>
      <c r="NJ6" s="84"/>
      <c r="NK6" s="84"/>
      <c r="NL6" s="84"/>
      <c r="NM6" s="84"/>
      <c r="NN6" s="84"/>
      <c r="NO6" s="84"/>
      <c r="NP6" s="84"/>
      <c r="NQ6" s="84"/>
      <c r="NR6" s="84"/>
      <c r="NS6" s="84"/>
      <c r="NT6" s="84"/>
      <c r="NU6" s="84"/>
      <c r="NV6" s="84"/>
      <c r="NW6" s="84"/>
      <c r="NX6" s="84"/>
      <c r="NY6" s="84"/>
      <c r="NZ6" s="84"/>
      <c r="OA6" s="84"/>
      <c r="OB6" s="84"/>
      <c r="OC6" s="84"/>
      <c r="OD6" s="84"/>
      <c r="OE6" s="84"/>
      <c r="OF6" s="84"/>
      <c r="OG6" s="84"/>
      <c r="OH6" s="84"/>
      <c r="OI6" s="84"/>
      <c r="OJ6" s="84"/>
      <c r="OK6" s="84"/>
      <c r="OL6" s="84"/>
      <c r="OM6" s="84"/>
      <c r="ON6" s="84"/>
      <c r="OO6" s="84"/>
      <c r="OP6" s="84"/>
      <c r="OQ6" s="84"/>
      <c r="OR6" s="84"/>
      <c r="OS6" s="84"/>
      <c r="OT6" s="84"/>
      <c r="OU6" s="84"/>
      <c r="OV6" s="84"/>
      <c r="OW6" s="84"/>
      <c r="OX6" s="84"/>
      <c r="OY6" s="84"/>
      <c r="OZ6" s="84"/>
      <c r="PA6" s="84"/>
      <c r="PB6" s="84"/>
      <c r="PC6" s="84"/>
      <c r="PD6" s="84"/>
      <c r="PE6" s="84"/>
      <c r="PF6" s="84"/>
      <c r="PG6" s="84"/>
      <c r="PH6" s="84"/>
      <c r="PI6" s="84"/>
      <c r="PJ6" s="84"/>
      <c r="PK6" s="84"/>
      <c r="PL6" s="84"/>
      <c r="PM6" s="84"/>
      <c r="PN6" s="84"/>
      <c r="PO6" s="84"/>
      <c r="PP6" s="84"/>
      <c r="PQ6" s="84"/>
      <c r="PR6" s="84"/>
      <c r="PS6" s="84"/>
      <c r="PT6" s="84"/>
      <c r="PU6" s="84"/>
      <c r="PV6" s="84"/>
      <c r="PW6" s="84"/>
      <c r="PX6" s="84"/>
      <c r="PY6" s="84"/>
      <c r="PZ6" s="84"/>
      <c r="QA6" s="84"/>
      <c r="QB6" s="84"/>
      <c r="QC6" s="84"/>
      <c r="QD6" s="84"/>
      <c r="QE6" s="84"/>
      <c r="QF6" s="84"/>
      <c r="QG6" s="84"/>
      <c r="QH6" s="84"/>
      <c r="QI6" s="84"/>
      <c r="QJ6" s="84"/>
      <c r="QK6" s="84"/>
      <c r="QL6" s="84"/>
      <c r="QM6" s="84"/>
      <c r="QN6" s="84"/>
      <c r="QO6" s="84"/>
      <c r="QP6" s="84"/>
      <c r="QQ6" s="84"/>
      <c r="QR6" s="84"/>
      <c r="QS6" s="84"/>
      <c r="QT6" s="84"/>
      <c r="QU6" s="84"/>
      <c r="QV6" s="84"/>
      <c r="QW6" s="84"/>
      <c r="QX6" s="84"/>
      <c r="QY6" s="84"/>
      <c r="QZ6" s="84"/>
      <c r="RA6" s="84"/>
      <c r="RB6" s="84"/>
      <c r="RC6" s="84"/>
      <c r="RD6" s="84"/>
      <c r="RE6" s="84"/>
      <c r="RF6" s="84"/>
      <c r="RG6" s="84"/>
      <c r="RH6" s="84"/>
      <c r="RI6" s="84"/>
      <c r="RJ6" s="84"/>
      <c r="RK6" s="84"/>
      <c r="RL6" s="84"/>
      <c r="RM6" s="84"/>
      <c r="RN6" s="84"/>
      <c r="RO6" s="84"/>
      <c r="RP6" s="84"/>
      <c r="RQ6" s="84"/>
      <c r="RR6" s="84"/>
      <c r="RS6" s="84"/>
      <c r="RT6" s="84"/>
      <c r="RU6" s="84"/>
      <c r="RV6" s="84"/>
      <c r="RW6" s="84"/>
      <c r="RX6" s="84"/>
      <c r="RY6" s="84"/>
      <c r="RZ6" s="84"/>
      <c r="SA6" s="84"/>
      <c r="SB6" s="84"/>
      <c r="SC6" s="84"/>
      <c r="SD6" s="84"/>
      <c r="SE6" s="84"/>
      <c r="SF6" s="84"/>
      <c r="SG6" s="84"/>
      <c r="SH6" s="84"/>
      <c r="SI6" s="84"/>
      <c r="SJ6" s="84"/>
      <c r="SK6" s="84"/>
      <c r="SL6" s="84"/>
      <c r="SM6" s="84"/>
      <c r="SN6" s="84"/>
      <c r="SO6" s="84"/>
      <c r="SP6" s="84"/>
      <c r="SQ6" s="84"/>
      <c r="SR6" s="84"/>
      <c r="SS6" s="84"/>
      <c r="ST6" s="84"/>
      <c r="SU6" s="84"/>
      <c r="SV6" s="84"/>
      <c r="SW6" s="84"/>
      <c r="SX6" s="84"/>
      <c r="SY6" s="84"/>
      <c r="SZ6" s="84"/>
      <c r="TA6" s="84"/>
      <c r="TB6" s="84"/>
      <c r="TC6" s="84"/>
      <c r="TD6" s="84"/>
      <c r="TE6" s="84"/>
      <c r="TF6" s="84"/>
      <c r="TG6" s="84"/>
      <c r="TH6" s="84"/>
      <c r="TI6" s="84"/>
      <c r="TJ6" s="84"/>
      <c r="TK6" s="84"/>
      <c r="TL6" s="84"/>
      <c r="TM6" s="84"/>
      <c r="TN6" s="84"/>
      <c r="TO6" s="84"/>
      <c r="TP6" s="84"/>
      <c r="TQ6" s="84"/>
      <c r="TR6" s="84"/>
      <c r="TS6" s="84"/>
      <c r="TT6" s="84"/>
      <c r="TU6" s="84"/>
      <c r="TV6" s="84"/>
      <c r="TW6" s="84"/>
      <c r="TX6" s="84"/>
      <c r="TY6" s="84"/>
      <c r="TZ6" s="84"/>
      <c r="UA6" s="84"/>
      <c r="UB6" s="84"/>
      <c r="UC6" s="84"/>
      <c r="UD6" s="84"/>
      <c r="UE6" s="84"/>
      <c r="UF6" s="84"/>
      <c r="UG6" s="84"/>
      <c r="UH6" s="84"/>
      <c r="UI6" s="84"/>
      <c r="UJ6" s="84"/>
      <c r="UK6" s="84"/>
      <c r="UL6" s="84"/>
      <c r="UM6" s="84"/>
      <c r="UN6" s="84"/>
      <c r="UO6" s="84"/>
      <c r="UP6" s="84"/>
      <c r="UQ6" s="84"/>
      <c r="UR6" s="84"/>
      <c r="US6" s="84"/>
      <c r="UT6" s="84"/>
      <c r="UU6" s="84"/>
      <c r="UV6" s="84"/>
      <c r="UW6" s="84"/>
      <c r="UX6" s="84"/>
      <c r="UY6" s="84"/>
      <c r="UZ6" s="84"/>
      <c r="VA6" s="84"/>
      <c r="VB6" s="84"/>
      <c r="VC6" s="84"/>
      <c r="VD6" s="84"/>
      <c r="VE6" s="84"/>
      <c r="VF6" s="84"/>
      <c r="VG6" s="84"/>
      <c r="VH6" s="84"/>
      <c r="VI6" s="84"/>
      <c r="VJ6" s="84"/>
      <c r="VK6" s="84"/>
      <c r="VL6" s="84"/>
      <c r="VM6" s="84"/>
      <c r="VN6" s="84"/>
      <c r="VO6" s="84"/>
      <c r="VP6" s="84"/>
      <c r="VQ6" s="84"/>
      <c r="VR6" s="84"/>
      <c r="VS6" s="84"/>
      <c r="VT6" s="84"/>
      <c r="VU6" s="84"/>
      <c r="VV6" s="84"/>
      <c r="VW6" s="84"/>
      <c r="VX6" s="84"/>
      <c r="VY6" s="84"/>
      <c r="VZ6" s="84"/>
      <c r="WA6" s="84"/>
      <c r="WB6" s="84"/>
      <c r="WC6" s="84"/>
      <c r="WD6" s="84"/>
      <c r="WE6" s="84"/>
    </row>
    <row r="7" spans="1:603" s="56" customFormat="1" ht="114" x14ac:dyDescent="0.4">
      <c r="A7" s="20">
        <v>3</v>
      </c>
      <c r="B7" s="21" t="s">
        <v>227</v>
      </c>
      <c r="C7" s="22"/>
      <c r="D7" s="23">
        <v>10</v>
      </c>
      <c r="E7" s="24" t="s">
        <v>98</v>
      </c>
      <c r="F7" s="21" t="s">
        <v>227</v>
      </c>
      <c r="G7" s="22"/>
      <c r="H7" s="23">
        <v>10</v>
      </c>
      <c r="I7" s="24" t="s">
        <v>98</v>
      </c>
      <c r="J7" s="25" t="s">
        <v>228</v>
      </c>
      <c r="K7" s="22" t="s">
        <v>229</v>
      </c>
      <c r="L7" s="23">
        <v>10</v>
      </c>
      <c r="M7" s="24" t="s">
        <v>98</v>
      </c>
      <c r="N7" s="21" t="s">
        <v>228</v>
      </c>
      <c r="O7" s="22" t="s">
        <v>229</v>
      </c>
      <c r="P7" s="23">
        <v>10</v>
      </c>
      <c r="Q7" s="24" t="s">
        <v>98</v>
      </c>
      <c r="R7" s="21" t="s">
        <v>230</v>
      </c>
      <c r="S7" s="22"/>
      <c r="T7" s="23">
        <v>10</v>
      </c>
      <c r="U7" s="24" t="s">
        <v>98</v>
      </c>
      <c r="V7" s="21" t="s">
        <v>231</v>
      </c>
      <c r="W7" s="22"/>
      <c r="X7" s="23">
        <v>10</v>
      </c>
      <c r="Y7" s="24" t="s">
        <v>99</v>
      </c>
      <c r="Z7" s="21" t="s">
        <v>232</v>
      </c>
      <c r="AA7" s="22"/>
      <c r="AB7" s="23">
        <v>10</v>
      </c>
      <c r="AC7" s="24" t="s">
        <v>99</v>
      </c>
      <c r="AD7" s="21" t="s">
        <v>233</v>
      </c>
      <c r="AE7" s="22"/>
      <c r="AF7" s="23">
        <v>10</v>
      </c>
      <c r="AG7" s="24" t="s">
        <v>98</v>
      </c>
      <c r="AH7" s="21" t="s">
        <v>234</v>
      </c>
      <c r="AI7" s="26"/>
      <c r="AJ7" s="23">
        <v>10</v>
      </c>
      <c r="AK7" s="24" t="s">
        <v>98</v>
      </c>
      <c r="AL7" s="21" t="s">
        <v>235</v>
      </c>
      <c r="AM7" s="22"/>
      <c r="AN7" s="23">
        <v>10</v>
      </c>
      <c r="AO7" s="24" t="s">
        <v>99</v>
      </c>
      <c r="AP7" s="21" t="s">
        <v>236</v>
      </c>
      <c r="AQ7" s="22"/>
      <c r="AR7" s="23">
        <v>20</v>
      </c>
      <c r="AS7" s="24" t="s">
        <v>99</v>
      </c>
      <c r="AT7" s="21" t="s">
        <v>237</v>
      </c>
      <c r="AU7" s="22" t="s">
        <v>238</v>
      </c>
      <c r="AV7" s="23">
        <v>5</v>
      </c>
      <c r="AW7" s="24" t="s">
        <v>98</v>
      </c>
      <c r="AX7" s="21" t="s">
        <v>237</v>
      </c>
      <c r="AY7" s="22" t="s">
        <v>238</v>
      </c>
      <c r="AZ7" s="23">
        <v>5</v>
      </c>
      <c r="BA7" s="24" t="s">
        <v>98</v>
      </c>
      <c r="BB7" s="25" t="s">
        <v>239</v>
      </c>
      <c r="BC7" s="22"/>
      <c r="BD7" s="23">
        <v>30</v>
      </c>
      <c r="BE7" s="24" t="s">
        <v>98</v>
      </c>
      <c r="BF7" s="60" t="s">
        <v>308</v>
      </c>
      <c r="BG7" s="22" t="s">
        <v>243</v>
      </c>
      <c r="BH7" s="23">
        <v>30</v>
      </c>
      <c r="BI7" s="24" t="s">
        <v>98</v>
      </c>
      <c r="BJ7" s="60" t="s">
        <v>309</v>
      </c>
      <c r="BK7" s="61" t="s">
        <v>310</v>
      </c>
      <c r="BL7" s="23">
        <v>20</v>
      </c>
      <c r="BM7" s="24" t="s">
        <v>98</v>
      </c>
    </row>
    <row r="8" spans="1:603" s="35" customFormat="1" ht="101.35" x14ac:dyDescent="0.4">
      <c r="A8" s="77">
        <v>4</v>
      </c>
      <c r="B8" s="78" t="s">
        <v>240</v>
      </c>
      <c r="C8" s="79" t="s">
        <v>241</v>
      </c>
      <c r="D8" s="80">
        <v>40</v>
      </c>
      <c r="E8" s="81" t="s">
        <v>100</v>
      </c>
      <c r="F8" s="78" t="s">
        <v>242</v>
      </c>
      <c r="G8" s="79" t="s">
        <v>241</v>
      </c>
      <c r="H8" s="80">
        <v>40</v>
      </c>
      <c r="I8" s="81" t="s">
        <v>100</v>
      </c>
      <c r="J8" s="82" t="s">
        <v>86</v>
      </c>
      <c r="K8" s="79" t="s">
        <v>243</v>
      </c>
      <c r="L8" s="80">
        <v>10</v>
      </c>
      <c r="M8" s="81" t="s">
        <v>98</v>
      </c>
      <c r="N8" s="78" t="s">
        <v>86</v>
      </c>
      <c r="O8" s="79" t="s">
        <v>243</v>
      </c>
      <c r="P8" s="80">
        <v>10</v>
      </c>
      <c r="Q8" s="81" t="s">
        <v>98</v>
      </c>
      <c r="R8" s="78" t="s">
        <v>87</v>
      </c>
      <c r="S8" s="79" t="s">
        <v>243</v>
      </c>
      <c r="T8" s="80">
        <v>10</v>
      </c>
      <c r="U8" s="81" t="s">
        <v>98</v>
      </c>
      <c r="V8" s="78" t="s">
        <v>88</v>
      </c>
      <c r="W8" s="79" t="s">
        <v>243</v>
      </c>
      <c r="X8" s="80">
        <v>10</v>
      </c>
      <c r="Y8" s="81" t="s">
        <v>98</v>
      </c>
      <c r="Z8" s="78" t="s">
        <v>88</v>
      </c>
      <c r="AA8" s="79" t="s">
        <v>243</v>
      </c>
      <c r="AB8" s="80">
        <v>10</v>
      </c>
      <c r="AC8" s="81" t="s">
        <v>98</v>
      </c>
      <c r="AD8" s="82" t="s">
        <v>88</v>
      </c>
      <c r="AE8" s="79" t="s">
        <v>243</v>
      </c>
      <c r="AF8" s="80">
        <v>10</v>
      </c>
      <c r="AG8" s="81" t="s">
        <v>98</v>
      </c>
      <c r="AH8" s="78" t="s">
        <v>244</v>
      </c>
      <c r="AI8" s="79" t="s">
        <v>243</v>
      </c>
      <c r="AJ8" s="80">
        <v>10</v>
      </c>
      <c r="AK8" s="81" t="s">
        <v>98</v>
      </c>
      <c r="AL8" s="78" t="s">
        <v>89</v>
      </c>
      <c r="AM8" s="79" t="s">
        <v>243</v>
      </c>
      <c r="AN8" s="80">
        <v>10</v>
      </c>
      <c r="AO8" s="81" t="s">
        <v>99</v>
      </c>
      <c r="AP8" s="78" t="s">
        <v>245</v>
      </c>
      <c r="AQ8" s="79"/>
      <c r="AR8" s="80">
        <v>20</v>
      </c>
      <c r="AS8" s="81" t="s">
        <v>98</v>
      </c>
      <c r="AT8" s="78" t="s">
        <v>85</v>
      </c>
      <c r="AU8" s="79"/>
      <c r="AV8" s="80">
        <v>5</v>
      </c>
      <c r="AW8" s="81" t="s">
        <v>98</v>
      </c>
      <c r="AX8" s="78" t="s">
        <v>246</v>
      </c>
      <c r="AY8" s="79"/>
      <c r="AZ8" s="80">
        <v>5</v>
      </c>
      <c r="BA8" s="81" t="s">
        <v>98</v>
      </c>
      <c r="BB8" s="82" t="s">
        <v>90</v>
      </c>
      <c r="BC8" s="79" t="s">
        <v>238</v>
      </c>
      <c r="BD8" s="80">
        <v>20</v>
      </c>
      <c r="BE8" s="81" t="s">
        <v>98</v>
      </c>
      <c r="BF8" s="82" t="s">
        <v>311</v>
      </c>
      <c r="BG8" s="79"/>
      <c r="BH8" s="80">
        <v>30</v>
      </c>
      <c r="BI8" s="81" t="s">
        <v>98</v>
      </c>
      <c r="BJ8" s="78" t="s">
        <v>312</v>
      </c>
      <c r="BK8" s="22" t="s">
        <v>243</v>
      </c>
      <c r="BL8" s="80">
        <v>20</v>
      </c>
      <c r="BM8" s="81" t="s">
        <v>98</v>
      </c>
      <c r="BN8" s="84"/>
      <c r="BO8" s="84"/>
      <c r="BP8" s="84"/>
      <c r="BQ8" s="84"/>
      <c r="BR8" s="84"/>
      <c r="BS8" s="84"/>
      <c r="BT8" s="84"/>
      <c r="BU8" s="84"/>
      <c r="BV8" s="84"/>
      <c r="BW8" s="84"/>
      <c r="BX8" s="84"/>
      <c r="BY8" s="84"/>
      <c r="BZ8" s="84"/>
      <c r="CA8" s="84"/>
      <c r="CB8" s="84"/>
      <c r="CC8" s="84"/>
      <c r="CD8" s="84"/>
      <c r="CE8" s="84"/>
      <c r="CF8" s="84"/>
      <c r="CG8" s="84"/>
      <c r="CH8" s="84"/>
      <c r="CI8" s="84"/>
      <c r="CJ8" s="84"/>
      <c r="CK8" s="84"/>
      <c r="CL8" s="84"/>
      <c r="CM8" s="84"/>
      <c r="CN8" s="84"/>
      <c r="CO8" s="84"/>
      <c r="CP8" s="84"/>
      <c r="CQ8" s="84"/>
      <c r="CR8" s="84"/>
      <c r="CS8" s="84"/>
      <c r="CT8" s="84"/>
      <c r="CU8" s="84"/>
      <c r="CV8" s="84"/>
      <c r="CW8" s="84"/>
      <c r="CX8" s="84"/>
      <c r="CY8" s="84"/>
      <c r="CZ8" s="84"/>
      <c r="DA8" s="84"/>
      <c r="DB8" s="84"/>
      <c r="DC8" s="84"/>
      <c r="DD8" s="84"/>
      <c r="DE8" s="84"/>
      <c r="DF8" s="84"/>
      <c r="DG8" s="84"/>
      <c r="DH8" s="84"/>
      <c r="DI8" s="84"/>
      <c r="DJ8" s="84"/>
      <c r="DK8" s="84"/>
      <c r="DL8" s="84"/>
      <c r="DM8" s="84"/>
      <c r="DN8" s="84"/>
      <c r="DO8" s="84"/>
      <c r="DP8" s="84"/>
      <c r="DQ8" s="84"/>
      <c r="DR8" s="84"/>
      <c r="DS8" s="84"/>
      <c r="DT8" s="84"/>
      <c r="DU8" s="84"/>
      <c r="DV8" s="84"/>
      <c r="DW8" s="84"/>
      <c r="DX8" s="84"/>
      <c r="DY8" s="84"/>
      <c r="DZ8" s="84"/>
      <c r="EA8" s="84"/>
      <c r="EB8" s="84"/>
      <c r="EC8" s="84"/>
      <c r="ED8" s="84"/>
      <c r="EE8" s="84"/>
      <c r="EF8" s="84"/>
      <c r="EG8" s="84"/>
      <c r="EH8" s="84"/>
      <c r="EI8" s="84"/>
      <c r="EJ8" s="84"/>
      <c r="EK8" s="84"/>
      <c r="EL8" s="84"/>
      <c r="EM8" s="84"/>
      <c r="EN8" s="84"/>
      <c r="EO8" s="84"/>
      <c r="EP8" s="84"/>
      <c r="EQ8" s="84"/>
      <c r="ER8" s="84"/>
      <c r="ES8" s="84"/>
      <c r="ET8" s="84"/>
      <c r="EU8" s="84"/>
      <c r="EV8" s="84"/>
      <c r="EW8" s="84"/>
      <c r="EX8" s="84"/>
      <c r="EY8" s="84"/>
      <c r="EZ8" s="84"/>
      <c r="FA8" s="84"/>
      <c r="FB8" s="84"/>
      <c r="FC8" s="84"/>
      <c r="FD8" s="84"/>
      <c r="FE8" s="84"/>
      <c r="FF8" s="84"/>
      <c r="FG8" s="84"/>
      <c r="FH8" s="84"/>
      <c r="FI8" s="84"/>
      <c r="FJ8" s="84"/>
      <c r="FK8" s="84"/>
      <c r="FL8" s="84"/>
      <c r="FM8" s="84"/>
      <c r="FN8" s="84"/>
      <c r="FO8" s="84"/>
      <c r="FP8" s="84"/>
      <c r="FQ8" s="84"/>
      <c r="FR8" s="84"/>
      <c r="FS8" s="84"/>
      <c r="FT8" s="84"/>
      <c r="FU8" s="84"/>
      <c r="FV8" s="84"/>
      <c r="FW8" s="84"/>
      <c r="FX8" s="84"/>
      <c r="FY8" s="84"/>
      <c r="FZ8" s="84"/>
      <c r="GA8" s="84"/>
      <c r="GB8" s="84"/>
      <c r="GC8" s="84"/>
      <c r="GD8" s="84"/>
      <c r="GE8" s="84"/>
      <c r="GF8" s="84"/>
      <c r="GG8" s="84"/>
      <c r="GH8" s="84"/>
      <c r="GI8" s="84"/>
      <c r="GJ8" s="84"/>
      <c r="GK8" s="84"/>
      <c r="GL8" s="84"/>
      <c r="GM8" s="84"/>
      <c r="GN8" s="84"/>
      <c r="GO8" s="84"/>
      <c r="GP8" s="84"/>
      <c r="GQ8" s="84"/>
      <c r="GR8" s="84"/>
      <c r="GS8" s="84"/>
      <c r="GT8" s="84"/>
      <c r="GU8" s="84"/>
      <c r="GV8" s="84"/>
      <c r="GW8" s="84"/>
      <c r="GX8" s="84"/>
      <c r="GY8" s="84"/>
      <c r="GZ8" s="84"/>
      <c r="HA8" s="84"/>
      <c r="HB8" s="84"/>
      <c r="HC8" s="84"/>
      <c r="HD8" s="84"/>
      <c r="HE8" s="84"/>
      <c r="HF8" s="84"/>
      <c r="HG8" s="84"/>
      <c r="HH8" s="84"/>
      <c r="HI8" s="84"/>
      <c r="HJ8" s="84"/>
      <c r="HK8" s="84"/>
      <c r="HL8" s="84"/>
      <c r="HM8" s="84"/>
      <c r="HN8" s="84"/>
      <c r="HO8" s="84"/>
      <c r="HP8" s="84"/>
      <c r="HQ8" s="84"/>
      <c r="HR8" s="84"/>
      <c r="HS8" s="84"/>
      <c r="HT8" s="84"/>
      <c r="HU8" s="84"/>
      <c r="HV8" s="84"/>
      <c r="HW8" s="84"/>
      <c r="HX8" s="84"/>
      <c r="HY8" s="84"/>
      <c r="HZ8" s="84"/>
      <c r="IA8" s="84"/>
      <c r="IB8" s="84"/>
      <c r="IC8" s="84"/>
      <c r="ID8" s="84"/>
      <c r="IE8" s="84"/>
      <c r="IF8" s="84"/>
      <c r="IG8" s="84"/>
      <c r="IH8" s="84"/>
      <c r="II8" s="84"/>
      <c r="IJ8" s="84"/>
      <c r="IK8" s="84"/>
      <c r="IL8" s="84"/>
      <c r="IM8" s="84"/>
      <c r="IN8" s="84"/>
      <c r="IO8" s="84"/>
      <c r="IP8" s="84"/>
      <c r="IQ8" s="84"/>
      <c r="IR8" s="84"/>
      <c r="IS8" s="84"/>
      <c r="IT8" s="84"/>
      <c r="IU8" s="84"/>
      <c r="IV8" s="84"/>
      <c r="IW8" s="84"/>
      <c r="IX8" s="84"/>
      <c r="IY8" s="84"/>
      <c r="IZ8" s="84"/>
      <c r="JA8" s="84"/>
      <c r="JB8" s="84"/>
      <c r="JC8" s="84"/>
      <c r="JD8" s="84"/>
      <c r="JE8" s="84"/>
      <c r="JF8" s="84"/>
      <c r="JG8" s="84"/>
      <c r="JH8" s="84"/>
      <c r="JI8" s="84"/>
      <c r="JJ8" s="84"/>
      <c r="JK8" s="84"/>
      <c r="JL8" s="84"/>
      <c r="JM8" s="84"/>
      <c r="JN8" s="84"/>
      <c r="JO8" s="84"/>
      <c r="JP8" s="84"/>
      <c r="JQ8" s="84"/>
      <c r="JR8" s="84"/>
      <c r="JS8" s="84"/>
      <c r="JT8" s="84"/>
      <c r="JU8" s="84"/>
      <c r="JV8" s="84"/>
      <c r="JW8" s="84"/>
      <c r="JX8" s="84"/>
      <c r="JY8" s="84"/>
      <c r="JZ8" s="84"/>
      <c r="KA8" s="84"/>
      <c r="KB8" s="84"/>
      <c r="KC8" s="84"/>
      <c r="KD8" s="84"/>
      <c r="KE8" s="84"/>
      <c r="KF8" s="84"/>
      <c r="KG8" s="84"/>
      <c r="KH8" s="84"/>
      <c r="KI8" s="84"/>
      <c r="KJ8" s="84"/>
      <c r="KK8" s="84"/>
      <c r="KL8" s="84"/>
      <c r="KM8" s="84"/>
      <c r="KN8" s="84"/>
      <c r="KO8" s="84"/>
      <c r="KP8" s="84"/>
      <c r="KQ8" s="84"/>
      <c r="KR8" s="84"/>
      <c r="KS8" s="84"/>
      <c r="KT8" s="84"/>
      <c r="KU8" s="84"/>
      <c r="KV8" s="84"/>
      <c r="KW8" s="84"/>
      <c r="KX8" s="84"/>
      <c r="KY8" s="84"/>
      <c r="KZ8" s="84"/>
      <c r="LA8" s="84"/>
      <c r="LB8" s="84"/>
      <c r="LC8" s="84"/>
      <c r="LD8" s="84"/>
      <c r="LE8" s="84"/>
      <c r="LF8" s="84"/>
      <c r="LG8" s="84"/>
      <c r="LH8" s="84"/>
      <c r="LI8" s="84"/>
      <c r="LJ8" s="84"/>
      <c r="LK8" s="84"/>
      <c r="LL8" s="84"/>
      <c r="LM8" s="84"/>
      <c r="LN8" s="84"/>
      <c r="LO8" s="84"/>
      <c r="LP8" s="84"/>
      <c r="LQ8" s="84"/>
      <c r="LR8" s="84"/>
      <c r="LS8" s="84"/>
      <c r="LT8" s="84"/>
      <c r="LU8" s="84"/>
      <c r="LV8" s="84"/>
      <c r="LW8" s="84"/>
      <c r="LX8" s="84"/>
      <c r="LY8" s="84"/>
      <c r="LZ8" s="84"/>
      <c r="MA8" s="84"/>
      <c r="MB8" s="84"/>
      <c r="MC8" s="84"/>
      <c r="MD8" s="84"/>
      <c r="ME8" s="84"/>
      <c r="MF8" s="84"/>
      <c r="MG8" s="84"/>
      <c r="MH8" s="84"/>
      <c r="MI8" s="84"/>
      <c r="MJ8" s="84"/>
      <c r="MK8" s="84"/>
      <c r="ML8" s="84"/>
      <c r="MM8" s="84"/>
      <c r="MN8" s="84"/>
      <c r="MO8" s="84"/>
      <c r="MP8" s="84"/>
      <c r="MQ8" s="84"/>
      <c r="MR8" s="84"/>
      <c r="MS8" s="84"/>
      <c r="MT8" s="84"/>
      <c r="MU8" s="84"/>
      <c r="MV8" s="84"/>
      <c r="MW8" s="84"/>
      <c r="MX8" s="84"/>
      <c r="MY8" s="84"/>
      <c r="MZ8" s="84"/>
      <c r="NA8" s="84"/>
      <c r="NB8" s="84"/>
      <c r="NC8" s="84"/>
      <c r="ND8" s="84"/>
      <c r="NE8" s="84"/>
      <c r="NF8" s="84"/>
      <c r="NG8" s="84"/>
      <c r="NH8" s="84"/>
      <c r="NI8" s="84"/>
      <c r="NJ8" s="84"/>
      <c r="NK8" s="84"/>
      <c r="NL8" s="84"/>
      <c r="NM8" s="84"/>
      <c r="NN8" s="84"/>
      <c r="NO8" s="84"/>
      <c r="NP8" s="84"/>
      <c r="NQ8" s="84"/>
      <c r="NR8" s="84"/>
      <c r="NS8" s="84"/>
      <c r="NT8" s="84"/>
      <c r="NU8" s="84"/>
      <c r="NV8" s="84"/>
      <c r="NW8" s="84"/>
      <c r="NX8" s="84"/>
      <c r="NY8" s="84"/>
      <c r="NZ8" s="84"/>
      <c r="OA8" s="84"/>
      <c r="OB8" s="84"/>
      <c r="OC8" s="84"/>
      <c r="OD8" s="84"/>
      <c r="OE8" s="84"/>
      <c r="OF8" s="84"/>
      <c r="OG8" s="84"/>
      <c r="OH8" s="84"/>
      <c r="OI8" s="84"/>
      <c r="OJ8" s="84"/>
      <c r="OK8" s="84"/>
      <c r="OL8" s="84"/>
      <c r="OM8" s="84"/>
      <c r="ON8" s="84"/>
      <c r="OO8" s="84"/>
      <c r="OP8" s="84"/>
      <c r="OQ8" s="84"/>
      <c r="OR8" s="84"/>
      <c r="OS8" s="84"/>
      <c r="OT8" s="84"/>
      <c r="OU8" s="84"/>
      <c r="OV8" s="84"/>
      <c r="OW8" s="84"/>
      <c r="OX8" s="84"/>
      <c r="OY8" s="84"/>
      <c r="OZ8" s="84"/>
      <c r="PA8" s="84"/>
      <c r="PB8" s="84"/>
      <c r="PC8" s="84"/>
      <c r="PD8" s="84"/>
      <c r="PE8" s="84"/>
      <c r="PF8" s="84"/>
      <c r="PG8" s="84"/>
      <c r="PH8" s="84"/>
      <c r="PI8" s="84"/>
      <c r="PJ8" s="84"/>
      <c r="PK8" s="84"/>
      <c r="PL8" s="84"/>
      <c r="PM8" s="84"/>
      <c r="PN8" s="84"/>
      <c r="PO8" s="84"/>
      <c r="PP8" s="84"/>
      <c r="PQ8" s="84"/>
      <c r="PR8" s="84"/>
      <c r="PS8" s="84"/>
      <c r="PT8" s="84"/>
      <c r="PU8" s="84"/>
      <c r="PV8" s="84"/>
      <c r="PW8" s="84"/>
      <c r="PX8" s="84"/>
      <c r="PY8" s="84"/>
      <c r="PZ8" s="84"/>
      <c r="QA8" s="84"/>
      <c r="QB8" s="84"/>
      <c r="QC8" s="84"/>
      <c r="QD8" s="84"/>
      <c r="QE8" s="84"/>
      <c r="QF8" s="84"/>
      <c r="QG8" s="84"/>
      <c r="QH8" s="84"/>
      <c r="QI8" s="84"/>
      <c r="QJ8" s="84"/>
      <c r="QK8" s="84"/>
      <c r="QL8" s="84"/>
      <c r="QM8" s="84"/>
      <c r="QN8" s="84"/>
      <c r="QO8" s="84"/>
      <c r="QP8" s="84"/>
      <c r="QQ8" s="84"/>
      <c r="QR8" s="84"/>
      <c r="QS8" s="84"/>
      <c r="QT8" s="84"/>
      <c r="QU8" s="84"/>
      <c r="QV8" s="84"/>
      <c r="QW8" s="84"/>
      <c r="QX8" s="84"/>
      <c r="QY8" s="84"/>
      <c r="QZ8" s="84"/>
      <c r="RA8" s="84"/>
      <c r="RB8" s="84"/>
      <c r="RC8" s="84"/>
      <c r="RD8" s="84"/>
      <c r="RE8" s="84"/>
      <c r="RF8" s="84"/>
      <c r="RG8" s="84"/>
      <c r="RH8" s="84"/>
      <c r="RI8" s="84"/>
      <c r="RJ8" s="84"/>
      <c r="RK8" s="84"/>
      <c r="RL8" s="84"/>
      <c r="RM8" s="84"/>
      <c r="RN8" s="84"/>
      <c r="RO8" s="84"/>
      <c r="RP8" s="84"/>
      <c r="RQ8" s="84"/>
      <c r="RR8" s="84"/>
      <c r="RS8" s="84"/>
      <c r="RT8" s="84"/>
      <c r="RU8" s="84"/>
      <c r="RV8" s="84"/>
      <c r="RW8" s="84"/>
      <c r="RX8" s="84"/>
      <c r="RY8" s="84"/>
      <c r="RZ8" s="84"/>
      <c r="SA8" s="84"/>
      <c r="SB8" s="84"/>
      <c r="SC8" s="84"/>
      <c r="SD8" s="84"/>
      <c r="SE8" s="84"/>
      <c r="SF8" s="84"/>
      <c r="SG8" s="84"/>
      <c r="SH8" s="84"/>
      <c r="SI8" s="84"/>
      <c r="SJ8" s="84"/>
      <c r="SK8" s="84"/>
      <c r="SL8" s="84"/>
      <c r="SM8" s="84"/>
      <c r="SN8" s="84"/>
      <c r="SO8" s="84"/>
      <c r="SP8" s="84"/>
      <c r="SQ8" s="84"/>
      <c r="SR8" s="84"/>
      <c r="SS8" s="84"/>
      <c r="ST8" s="84"/>
      <c r="SU8" s="84"/>
      <c r="SV8" s="84"/>
      <c r="SW8" s="84"/>
      <c r="SX8" s="84"/>
      <c r="SY8" s="84"/>
      <c r="SZ8" s="84"/>
      <c r="TA8" s="84"/>
      <c r="TB8" s="84"/>
      <c r="TC8" s="84"/>
      <c r="TD8" s="84"/>
      <c r="TE8" s="84"/>
      <c r="TF8" s="84"/>
      <c r="TG8" s="84"/>
      <c r="TH8" s="84"/>
      <c r="TI8" s="84"/>
      <c r="TJ8" s="84"/>
      <c r="TK8" s="84"/>
      <c r="TL8" s="84"/>
      <c r="TM8" s="84"/>
      <c r="TN8" s="84"/>
      <c r="TO8" s="84"/>
      <c r="TP8" s="84"/>
      <c r="TQ8" s="84"/>
      <c r="TR8" s="84"/>
      <c r="TS8" s="84"/>
      <c r="TT8" s="84"/>
      <c r="TU8" s="84"/>
      <c r="TV8" s="84"/>
      <c r="TW8" s="84"/>
      <c r="TX8" s="84"/>
      <c r="TY8" s="84"/>
      <c r="TZ8" s="84"/>
      <c r="UA8" s="84"/>
      <c r="UB8" s="84"/>
      <c r="UC8" s="84"/>
      <c r="UD8" s="84"/>
      <c r="UE8" s="84"/>
      <c r="UF8" s="84"/>
      <c r="UG8" s="84"/>
      <c r="UH8" s="84"/>
      <c r="UI8" s="84"/>
      <c r="UJ8" s="84"/>
      <c r="UK8" s="84"/>
      <c r="UL8" s="84"/>
      <c r="UM8" s="84"/>
      <c r="UN8" s="84"/>
      <c r="UO8" s="84"/>
      <c r="UP8" s="84"/>
      <c r="UQ8" s="84"/>
      <c r="UR8" s="84"/>
      <c r="US8" s="84"/>
      <c r="UT8" s="84"/>
      <c r="UU8" s="84"/>
      <c r="UV8" s="84"/>
      <c r="UW8" s="84"/>
      <c r="UX8" s="84"/>
      <c r="UY8" s="84"/>
      <c r="UZ8" s="84"/>
      <c r="VA8" s="84"/>
      <c r="VB8" s="84"/>
      <c r="VC8" s="84"/>
      <c r="VD8" s="84"/>
      <c r="VE8" s="84"/>
      <c r="VF8" s="84"/>
      <c r="VG8" s="84"/>
      <c r="VH8" s="84"/>
      <c r="VI8" s="84"/>
      <c r="VJ8" s="84"/>
      <c r="VK8" s="84"/>
      <c r="VL8" s="84"/>
      <c r="VM8" s="84"/>
      <c r="VN8" s="84"/>
      <c r="VO8" s="84"/>
      <c r="VP8" s="84"/>
      <c r="VQ8" s="84"/>
      <c r="VR8" s="84"/>
      <c r="VS8" s="84"/>
      <c r="VT8" s="84"/>
      <c r="VU8" s="84"/>
      <c r="VV8" s="84"/>
      <c r="VW8" s="84"/>
      <c r="VX8" s="84"/>
      <c r="VY8" s="84"/>
      <c r="VZ8" s="84"/>
      <c r="WA8" s="84"/>
      <c r="WB8" s="84"/>
      <c r="WC8" s="84"/>
      <c r="WD8" s="84"/>
      <c r="WE8" s="84"/>
    </row>
    <row r="9" spans="1:603" s="56" customFormat="1" ht="114.7" x14ac:dyDescent="0.4">
      <c r="A9" s="20">
        <v>5</v>
      </c>
      <c r="B9" s="27" t="s">
        <v>247</v>
      </c>
      <c r="C9" s="28" t="s">
        <v>248</v>
      </c>
      <c r="D9" s="29">
        <v>20</v>
      </c>
      <c r="E9" s="30" t="s">
        <v>99</v>
      </c>
      <c r="F9" s="27" t="s">
        <v>249</v>
      </c>
      <c r="G9" s="28" t="s">
        <v>248</v>
      </c>
      <c r="H9" s="29">
        <v>20</v>
      </c>
      <c r="I9" s="30" t="s">
        <v>99</v>
      </c>
      <c r="J9" s="25" t="s">
        <v>91</v>
      </c>
      <c r="K9" s="22" t="s">
        <v>250</v>
      </c>
      <c r="L9" s="23">
        <v>10</v>
      </c>
      <c r="M9" s="24" t="s">
        <v>98</v>
      </c>
      <c r="N9" s="21" t="s">
        <v>91</v>
      </c>
      <c r="O9" s="22" t="s">
        <v>250</v>
      </c>
      <c r="P9" s="23">
        <v>10</v>
      </c>
      <c r="Q9" s="24" t="s">
        <v>98</v>
      </c>
      <c r="R9" s="21" t="s">
        <v>91</v>
      </c>
      <c r="S9" s="22" t="s">
        <v>516</v>
      </c>
      <c r="T9" s="23">
        <v>10</v>
      </c>
      <c r="U9" s="24" t="s">
        <v>98</v>
      </c>
      <c r="V9" s="21" t="s">
        <v>252</v>
      </c>
      <c r="W9" s="22" t="s">
        <v>251</v>
      </c>
      <c r="X9" s="23">
        <v>10</v>
      </c>
      <c r="Y9" s="24" t="s">
        <v>98</v>
      </c>
      <c r="Z9" s="21" t="s">
        <v>252</v>
      </c>
      <c r="AA9" s="22" t="s">
        <v>251</v>
      </c>
      <c r="AB9" s="23">
        <v>10</v>
      </c>
      <c r="AC9" s="24" t="s">
        <v>98</v>
      </c>
      <c r="AD9" s="25" t="s">
        <v>252</v>
      </c>
      <c r="AE9" s="22" t="s">
        <v>253</v>
      </c>
      <c r="AF9" s="23">
        <v>10</v>
      </c>
      <c r="AG9" s="24" t="s">
        <v>98</v>
      </c>
      <c r="AH9" s="21" t="s">
        <v>254</v>
      </c>
      <c r="AI9" s="31" t="s">
        <v>255</v>
      </c>
      <c r="AJ9" s="23">
        <v>10</v>
      </c>
      <c r="AK9" s="24" t="s">
        <v>98</v>
      </c>
      <c r="AL9" s="21" t="s">
        <v>256</v>
      </c>
      <c r="AM9" s="31" t="s">
        <v>255</v>
      </c>
      <c r="AN9" s="23">
        <v>10</v>
      </c>
      <c r="AO9" s="24" t="s">
        <v>98</v>
      </c>
      <c r="AP9" s="21" t="s">
        <v>257</v>
      </c>
      <c r="AQ9" s="26"/>
      <c r="AR9" s="23">
        <v>20</v>
      </c>
      <c r="AS9" s="24" t="s">
        <v>98</v>
      </c>
      <c r="AT9" s="21" t="s">
        <v>258</v>
      </c>
      <c r="AU9" s="22" t="s">
        <v>259</v>
      </c>
      <c r="AV9" s="23">
        <v>5</v>
      </c>
      <c r="AW9" s="24" t="s">
        <v>99</v>
      </c>
      <c r="AX9" s="21" t="s">
        <v>258</v>
      </c>
      <c r="AY9" s="22" t="s">
        <v>259</v>
      </c>
      <c r="AZ9" s="23">
        <v>5</v>
      </c>
      <c r="BA9" s="24" t="s">
        <v>99</v>
      </c>
      <c r="BB9" s="32" t="s">
        <v>260</v>
      </c>
      <c r="BC9" s="28"/>
      <c r="BD9" s="29">
        <v>20</v>
      </c>
      <c r="BE9" s="30" t="s">
        <v>98</v>
      </c>
      <c r="BF9" s="25"/>
      <c r="BG9" s="28"/>
      <c r="BH9" s="29"/>
      <c r="BI9" s="30"/>
      <c r="BJ9" s="25" t="s">
        <v>487</v>
      </c>
      <c r="BK9" s="28"/>
      <c r="BL9" s="23">
        <v>30</v>
      </c>
      <c r="BM9" s="24" t="s">
        <v>98</v>
      </c>
    </row>
    <row r="10" spans="1:603" s="35" customFormat="1" ht="101.35" x14ac:dyDescent="0.4">
      <c r="A10" s="77">
        <v>6</v>
      </c>
      <c r="B10" s="85" t="s">
        <v>530</v>
      </c>
      <c r="C10" s="86"/>
      <c r="D10" s="87">
        <v>20</v>
      </c>
      <c r="E10" s="88" t="s">
        <v>99</v>
      </c>
      <c r="F10" s="85" t="s">
        <v>261</v>
      </c>
      <c r="G10" s="86"/>
      <c r="H10" s="87">
        <v>20</v>
      </c>
      <c r="I10" s="88" t="s">
        <v>99</v>
      </c>
      <c r="J10" s="82" t="s">
        <v>262</v>
      </c>
      <c r="K10" s="83"/>
      <c r="L10" s="80">
        <v>10</v>
      </c>
      <c r="M10" s="81" t="s">
        <v>98</v>
      </c>
      <c r="N10" s="78" t="s">
        <v>263</v>
      </c>
      <c r="O10" s="79"/>
      <c r="P10" s="80">
        <v>10</v>
      </c>
      <c r="Q10" s="81" t="s">
        <v>98</v>
      </c>
      <c r="R10" s="78" t="s">
        <v>263</v>
      </c>
      <c r="S10" s="79"/>
      <c r="T10" s="80">
        <v>10</v>
      </c>
      <c r="U10" s="81" t="s">
        <v>98</v>
      </c>
      <c r="V10" s="78" t="s">
        <v>565</v>
      </c>
      <c r="W10" s="79"/>
      <c r="X10" s="80">
        <v>10</v>
      </c>
      <c r="Y10" s="81" t="s">
        <v>98</v>
      </c>
      <c r="Z10" s="78" t="s">
        <v>565</v>
      </c>
      <c r="AA10" s="79"/>
      <c r="AB10" s="80">
        <v>10</v>
      </c>
      <c r="AC10" s="81" t="s">
        <v>98</v>
      </c>
      <c r="AD10" s="82" t="s">
        <v>262</v>
      </c>
      <c r="AE10" s="83"/>
      <c r="AF10" s="80">
        <v>10</v>
      </c>
      <c r="AG10" s="81" t="s">
        <v>98</v>
      </c>
      <c r="AH10" s="78" t="s">
        <v>264</v>
      </c>
      <c r="AI10" s="79"/>
      <c r="AJ10" s="80">
        <v>10</v>
      </c>
      <c r="AK10" s="81" t="s">
        <v>98</v>
      </c>
      <c r="AL10" s="78" t="s">
        <v>265</v>
      </c>
      <c r="AM10" s="79"/>
      <c r="AN10" s="80">
        <v>20</v>
      </c>
      <c r="AO10" s="81" t="s">
        <v>99</v>
      </c>
      <c r="AP10" s="78" t="s">
        <v>266</v>
      </c>
      <c r="AQ10" s="79"/>
      <c r="AR10" s="80">
        <v>5</v>
      </c>
      <c r="AS10" s="81" t="s">
        <v>99</v>
      </c>
      <c r="AT10" s="78" t="s">
        <v>92</v>
      </c>
      <c r="AU10" s="79" t="s">
        <v>259</v>
      </c>
      <c r="AV10" s="80">
        <v>5</v>
      </c>
      <c r="AW10" s="81" t="s">
        <v>99</v>
      </c>
      <c r="AX10" s="78" t="s">
        <v>267</v>
      </c>
      <c r="AY10" s="79" t="s">
        <v>268</v>
      </c>
      <c r="AZ10" s="80">
        <v>10</v>
      </c>
      <c r="BA10" s="81" t="s">
        <v>98</v>
      </c>
      <c r="BB10" s="82"/>
      <c r="BC10" s="79"/>
      <c r="BD10" s="80"/>
      <c r="BE10" s="81"/>
      <c r="BF10" s="82"/>
      <c r="BG10" s="79"/>
      <c r="BH10" s="80"/>
      <c r="BI10" s="81"/>
      <c r="BJ10" s="82"/>
      <c r="BK10" s="79"/>
      <c r="BL10" s="80"/>
      <c r="BM10" s="81"/>
      <c r="BN10" s="84"/>
      <c r="BO10" s="84"/>
      <c r="BP10" s="84"/>
      <c r="BQ10" s="84"/>
      <c r="BR10" s="84"/>
      <c r="BS10" s="84"/>
      <c r="BT10" s="84"/>
      <c r="BU10" s="84"/>
      <c r="BV10" s="84"/>
      <c r="BW10" s="84"/>
      <c r="BX10" s="84"/>
      <c r="BY10" s="84"/>
      <c r="BZ10" s="84"/>
      <c r="CA10" s="84"/>
      <c r="CB10" s="84"/>
      <c r="CC10" s="84"/>
      <c r="CD10" s="84"/>
      <c r="CE10" s="84"/>
      <c r="CF10" s="84"/>
      <c r="CG10" s="84"/>
      <c r="CH10" s="84"/>
      <c r="CI10" s="84"/>
      <c r="CJ10" s="84"/>
      <c r="CK10" s="84"/>
      <c r="CL10" s="84"/>
      <c r="CM10" s="84"/>
      <c r="CN10" s="84"/>
      <c r="CO10" s="84"/>
      <c r="CP10" s="84"/>
      <c r="CQ10" s="84"/>
      <c r="CR10" s="84"/>
      <c r="CS10" s="84"/>
      <c r="CT10" s="84"/>
      <c r="CU10" s="84"/>
      <c r="CV10" s="84"/>
      <c r="CW10" s="84"/>
      <c r="CX10" s="84"/>
      <c r="CY10" s="84"/>
      <c r="CZ10" s="84"/>
      <c r="DA10" s="84"/>
      <c r="DB10" s="84"/>
      <c r="DC10" s="84"/>
      <c r="DD10" s="84"/>
      <c r="DE10" s="84"/>
      <c r="DF10" s="84"/>
      <c r="DG10" s="84"/>
      <c r="DH10" s="84"/>
      <c r="DI10" s="84"/>
      <c r="DJ10" s="84"/>
      <c r="DK10" s="84"/>
      <c r="DL10" s="84"/>
      <c r="DM10" s="84"/>
      <c r="DN10" s="84"/>
      <c r="DO10" s="84"/>
      <c r="DP10" s="84"/>
      <c r="DQ10" s="84"/>
      <c r="DR10" s="84"/>
      <c r="DS10" s="84"/>
      <c r="DT10" s="84"/>
      <c r="DU10" s="84"/>
      <c r="DV10" s="84"/>
      <c r="DW10" s="84"/>
      <c r="DX10" s="84"/>
      <c r="DY10" s="84"/>
      <c r="DZ10" s="84"/>
      <c r="EA10" s="84"/>
      <c r="EB10" s="84"/>
      <c r="EC10" s="84"/>
      <c r="ED10" s="84"/>
      <c r="EE10" s="84"/>
      <c r="EF10" s="84"/>
      <c r="EG10" s="84"/>
      <c r="EH10" s="84"/>
      <c r="EI10" s="84"/>
      <c r="EJ10" s="84"/>
      <c r="EK10" s="84"/>
      <c r="EL10" s="84"/>
      <c r="EM10" s="84"/>
      <c r="EN10" s="84"/>
      <c r="EO10" s="84"/>
      <c r="EP10" s="84"/>
      <c r="EQ10" s="84"/>
      <c r="ER10" s="84"/>
      <c r="ES10" s="84"/>
      <c r="ET10" s="84"/>
      <c r="EU10" s="84"/>
      <c r="EV10" s="84"/>
      <c r="EW10" s="84"/>
      <c r="EX10" s="84"/>
      <c r="EY10" s="84"/>
      <c r="EZ10" s="84"/>
      <c r="FA10" s="84"/>
      <c r="FB10" s="84"/>
      <c r="FC10" s="84"/>
      <c r="FD10" s="84"/>
      <c r="FE10" s="84"/>
      <c r="FF10" s="84"/>
      <c r="FG10" s="84"/>
      <c r="FH10" s="84"/>
      <c r="FI10" s="84"/>
      <c r="FJ10" s="84"/>
      <c r="FK10" s="84"/>
      <c r="FL10" s="84"/>
      <c r="FM10" s="84"/>
      <c r="FN10" s="84"/>
      <c r="FO10" s="84"/>
      <c r="FP10" s="84"/>
      <c r="FQ10" s="84"/>
      <c r="FR10" s="84"/>
      <c r="FS10" s="84"/>
      <c r="FT10" s="84"/>
      <c r="FU10" s="84"/>
      <c r="FV10" s="84"/>
      <c r="FW10" s="84"/>
      <c r="FX10" s="84"/>
      <c r="FY10" s="84"/>
      <c r="FZ10" s="84"/>
      <c r="GA10" s="84"/>
      <c r="GB10" s="84"/>
      <c r="GC10" s="84"/>
      <c r="GD10" s="84"/>
      <c r="GE10" s="84"/>
      <c r="GF10" s="84"/>
      <c r="GG10" s="84"/>
      <c r="GH10" s="84"/>
      <c r="GI10" s="84"/>
      <c r="GJ10" s="84"/>
      <c r="GK10" s="84"/>
      <c r="GL10" s="84"/>
      <c r="GM10" s="84"/>
      <c r="GN10" s="84"/>
      <c r="GO10" s="84"/>
      <c r="GP10" s="84"/>
      <c r="GQ10" s="84"/>
      <c r="GR10" s="84"/>
      <c r="GS10" s="84"/>
      <c r="GT10" s="84"/>
      <c r="GU10" s="84"/>
      <c r="GV10" s="84"/>
      <c r="GW10" s="84"/>
      <c r="GX10" s="84"/>
      <c r="GY10" s="84"/>
      <c r="GZ10" s="84"/>
      <c r="HA10" s="84"/>
      <c r="HB10" s="84"/>
      <c r="HC10" s="84"/>
      <c r="HD10" s="84"/>
      <c r="HE10" s="84"/>
      <c r="HF10" s="84"/>
      <c r="HG10" s="84"/>
      <c r="HH10" s="84"/>
      <c r="HI10" s="84"/>
      <c r="HJ10" s="84"/>
      <c r="HK10" s="84"/>
      <c r="HL10" s="84"/>
      <c r="HM10" s="84"/>
      <c r="HN10" s="84"/>
      <c r="HO10" s="84"/>
      <c r="HP10" s="84"/>
      <c r="HQ10" s="84"/>
      <c r="HR10" s="84"/>
      <c r="HS10" s="84"/>
      <c r="HT10" s="84"/>
      <c r="HU10" s="84"/>
      <c r="HV10" s="84"/>
      <c r="HW10" s="84"/>
      <c r="HX10" s="84"/>
      <c r="HY10" s="84"/>
      <c r="HZ10" s="84"/>
      <c r="IA10" s="84"/>
      <c r="IB10" s="84"/>
      <c r="IC10" s="84"/>
      <c r="ID10" s="84"/>
      <c r="IE10" s="84"/>
      <c r="IF10" s="84"/>
      <c r="IG10" s="84"/>
      <c r="IH10" s="84"/>
      <c r="II10" s="84"/>
      <c r="IJ10" s="84"/>
      <c r="IK10" s="84"/>
      <c r="IL10" s="84"/>
      <c r="IM10" s="84"/>
      <c r="IN10" s="84"/>
      <c r="IO10" s="84"/>
      <c r="IP10" s="84"/>
      <c r="IQ10" s="84"/>
      <c r="IR10" s="84"/>
      <c r="IS10" s="84"/>
      <c r="IT10" s="84"/>
      <c r="IU10" s="84"/>
      <c r="IV10" s="84"/>
      <c r="IW10" s="84"/>
      <c r="IX10" s="84"/>
      <c r="IY10" s="84"/>
      <c r="IZ10" s="84"/>
      <c r="JA10" s="84"/>
      <c r="JB10" s="84"/>
      <c r="JC10" s="84"/>
      <c r="JD10" s="84"/>
      <c r="JE10" s="84"/>
      <c r="JF10" s="84"/>
      <c r="JG10" s="84"/>
      <c r="JH10" s="84"/>
      <c r="JI10" s="84"/>
      <c r="JJ10" s="84"/>
      <c r="JK10" s="84"/>
      <c r="JL10" s="84"/>
      <c r="JM10" s="84"/>
      <c r="JN10" s="84"/>
      <c r="JO10" s="84"/>
      <c r="JP10" s="84"/>
      <c r="JQ10" s="84"/>
      <c r="JR10" s="84"/>
      <c r="JS10" s="84"/>
      <c r="JT10" s="84"/>
      <c r="JU10" s="84"/>
      <c r="JV10" s="84"/>
      <c r="JW10" s="84"/>
      <c r="JX10" s="84"/>
      <c r="JY10" s="84"/>
      <c r="JZ10" s="84"/>
      <c r="KA10" s="84"/>
      <c r="KB10" s="84"/>
      <c r="KC10" s="84"/>
      <c r="KD10" s="84"/>
      <c r="KE10" s="84"/>
      <c r="KF10" s="84"/>
      <c r="KG10" s="84"/>
      <c r="KH10" s="84"/>
      <c r="KI10" s="84"/>
      <c r="KJ10" s="84"/>
      <c r="KK10" s="84"/>
      <c r="KL10" s="84"/>
      <c r="KM10" s="84"/>
      <c r="KN10" s="84"/>
      <c r="KO10" s="84"/>
      <c r="KP10" s="84"/>
      <c r="KQ10" s="84"/>
      <c r="KR10" s="84"/>
      <c r="KS10" s="84"/>
      <c r="KT10" s="84"/>
      <c r="KU10" s="84"/>
      <c r="KV10" s="84"/>
      <c r="KW10" s="84"/>
      <c r="KX10" s="84"/>
      <c r="KY10" s="84"/>
      <c r="KZ10" s="84"/>
      <c r="LA10" s="84"/>
      <c r="LB10" s="84"/>
      <c r="LC10" s="84"/>
      <c r="LD10" s="84"/>
      <c r="LE10" s="84"/>
      <c r="LF10" s="84"/>
      <c r="LG10" s="84"/>
      <c r="LH10" s="84"/>
      <c r="LI10" s="84"/>
      <c r="LJ10" s="84"/>
      <c r="LK10" s="84"/>
      <c r="LL10" s="84"/>
      <c r="LM10" s="84"/>
      <c r="LN10" s="84"/>
      <c r="LO10" s="84"/>
      <c r="LP10" s="84"/>
      <c r="LQ10" s="84"/>
      <c r="LR10" s="84"/>
      <c r="LS10" s="84"/>
      <c r="LT10" s="84"/>
      <c r="LU10" s="84"/>
      <c r="LV10" s="84"/>
      <c r="LW10" s="84"/>
      <c r="LX10" s="84"/>
      <c r="LY10" s="84"/>
      <c r="LZ10" s="84"/>
      <c r="MA10" s="84"/>
      <c r="MB10" s="84"/>
      <c r="MC10" s="84"/>
      <c r="MD10" s="84"/>
      <c r="ME10" s="84"/>
      <c r="MF10" s="84"/>
      <c r="MG10" s="84"/>
      <c r="MH10" s="84"/>
      <c r="MI10" s="84"/>
      <c r="MJ10" s="84"/>
      <c r="MK10" s="84"/>
      <c r="ML10" s="84"/>
      <c r="MM10" s="84"/>
      <c r="MN10" s="84"/>
      <c r="MO10" s="84"/>
      <c r="MP10" s="84"/>
      <c r="MQ10" s="84"/>
      <c r="MR10" s="84"/>
      <c r="MS10" s="84"/>
      <c r="MT10" s="84"/>
      <c r="MU10" s="84"/>
      <c r="MV10" s="84"/>
      <c r="MW10" s="84"/>
      <c r="MX10" s="84"/>
      <c r="MY10" s="84"/>
      <c r="MZ10" s="84"/>
      <c r="NA10" s="84"/>
      <c r="NB10" s="84"/>
      <c r="NC10" s="84"/>
      <c r="ND10" s="84"/>
      <c r="NE10" s="84"/>
      <c r="NF10" s="84"/>
      <c r="NG10" s="84"/>
      <c r="NH10" s="84"/>
      <c r="NI10" s="84"/>
      <c r="NJ10" s="84"/>
      <c r="NK10" s="84"/>
      <c r="NL10" s="84"/>
      <c r="NM10" s="84"/>
      <c r="NN10" s="84"/>
      <c r="NO10" s="84"/>
      <c r="NP10" s="84"/>
      <c r="NQ10" s="84"/>
      <c r="NR10" s="84"/>
      <c r="NS10" s="84"/>
      <c r="NT10" s="84"/>
      <c r="NU10" s="84"/>
      <c r="NV10" s="84"/>
      <c r="NW10" s="84"/>
      <c r="NX10" s="84"/>
      <c r="NY10" s="84"/>
      <c r="NZ10" s="84"/>
      <c r="OA10" s="84"/>
      <c r="OB10" s="84"/>
      <c r="OC10" s="84"/>
      <c r="OD10" s="84"/>
      <c r="OE10" s="84"/>
      <c r="OF10" s="84"/>
      <c r="OG10" s="84"/>
      <c r="OH10" s="84"/>
      <c r="OI10" s="84"/>
      <c r="OJ10" s="84"/>
      <c r="OK10" s="84"/>
      <c r="OL10" s="84"/>
      <c r="OM10" s="84"/>
      <c r="ON10" s="84"/>
      <c r="OO10" s="84"/>
      <c r="OP10" s="84"/>
      <c r="OQ10" s="84"/>
      <c r="OR10" s="84"/>
      <c r="OS10" s="84"/>
      <c r="OT10" s="84"/>
      <c r="OU10" s="84"/>
      <c r="OV10" s="84"/>
      <c r="OW10" s="84"/>
      <c r="OX10" s="84"/>
      <c r="OY10" s="84"/>
      <c r="OZ10" s="84"/>
      <c r="PA10" s="84"/>
      <c r="PB10" s="84"/>
      <c r="PC10" s="84"/>
      <c r="PD10" s="84"/>
      <c r="PE10" s="84"/>
      <c r="PF10" s="84"/>
      <c r="PG10" s="84"/>
      <c r="PH10" s="84"/>
      <c r="PI10" s="84"/>
      <c r="PJ10" s="84"/>
      <c r="PK10" s="84"/>
      <c r="PL10" s="84"/>
      <c r="PM10" s="84"/>
      <c r="PN10" s="84"/>
      <c r="PO10" s="84"/>
      <c r="PP10" s="84"/>
      <c r="PQ10" s="84"/>
      <c r="PR10" s="84"/>
      <c r="PS10" s="84"/>
      <c r="PT10" s="84"/>
      <c r="PU10" s="84"/>
      <c r="PV10" s="84"/>
      <c r="PW10" s="84"/>
      <c r="PX10" s="84"/>
      <c r="PY10" s="84"/>
      <c r="PZ10" s="84"/>
      <c r="QA10" s="84"/>
      <c r="QB10" s="84"/>
      <c r="QC10" s="84"/>
      <c r="QD10" s="84"/>
      <c r="QE10" s="84"/>
      <c r="QF10" s="84"/>
      <c r="QG10" s="84"/>
      <c r="QH10" s="84"/>
      <c r="QI10" s="84"/>
      <c r="QJ10" s="84"/>
      <c r="QK10" s="84"/>
      <c r="QL10" s="84"/>
      <c r="QM10" s="84"/>
      <c r="QN10" s="84"/>
      <c r="QO10" s="84"/>
      <c r="QP10" s="84"/>
      <c r="QQ10" s="84"/>
      <c r="QR10" s="84"/>
      <c r="QS10" s="84"/>
      <c r="QT10" s="84"/>
      <c r="QU10" s="84"/>
      <c r="QV10" s="84"/>
      <c r="QW10" s="84"/>
      <c r="QX10" s="84"/>
      <c r="QY10" s="84"/>
      <c r="QZ10" s="84"/>
      <c r="RA10" s="84"/>
      <c r="RB10" s="84"/>
      <c r="RC10" s="84"/>
      <c r="RD10" s="84"/>
      <c r="RE10" s="84"/>
      <c r="RF10" s="84"/>
      <c r="RG10" s="84"/>
      <c r="RH10" s="84"/>
      <c r="RI10" s="84"/>
      <c r="RJ10" s="84"/>
      <c r="RK10" s="84"/>
      <c r="RL10" s="84"/>
      <c r="RM10" s="84"/>
      <c r="RN10" s="84"/>
      <c r="RO10" s="84"/>
      <c r="RP10" s="84"/>
      <c r="RQ10" s="84"/>
      <c r="RR10" s="84"/>
      <c r="RS10" s="84"/>
      <c r="RT10" s="84"/>
      <c r="RU10" s="84"/>
      <c r="RV10" s="84"/>
      <c r="RW10" s="84"/>
      <c r="RX10" s="84"/>
      <c r="RY10" s="84"/>
      <c r="RZ10" s="84"/>
      <c r="SA10" s="84"/>
      <c r="SB10" s="84"/>
      <c r="SC10" s="84"/>
      <c r="SD10" s="84"/>
      <c r="SE10" s="84"/>
      <c r="SF10" s="84"/>
      <c r="SG10" s="84"/>
      <c r="SH10" s="84"/>
      <c r="SI10" s="84"/>
      <c r="SJ10" s="84"/>
      <c r="SK10" s="84"/>
      <c r="SL10" s="84"/>
      <c r="SM10" s="84"/>
      <c r="SN10" s="84"/>
      <c r="SO10" s="84"/>
      <c r="SP10" s="84"/>
      <c r="SQ10" s="84"/>
      <c r="SR10" s="84"/>
      <c r="SS10" s="84"/>
      <c r="ST10" s="84"/>
      <c r="SU10" s="84"/>
      <c r="SV10" s="84"/>
      <c r="SW10" s="84"/>
      <c r="SX10" s="84"/>
      <c r="SY10" s="84"/>
      <c r="SZ10" s="84"/>
      <c r="TA10" s="84"/>
      <c r="TB10" s="84"/>
      <c r="TC10" s="84"/>
      <c r="TD10" s="84"/>
      <c r="TE10" s="84"/>
      <c r="TF10" s="84"/>
      <c r="TG10" s="84"/>
      <c r="TH10" s="84"/>
      <c r="TI10" s="84"/>
      <c r="TJ10" s="84"/>
      <c r="TK10" s="84"/>
      <c r="TL10" s="84"/>
      <c r="TM10" s="84"/>
      <c r="TN10" s="84"/>
      <c r="TO10" s="84"/>
      <c r="TP10" s="84"/>
      <c r="TQ10" s="84"/>
      <c r="TR10" s="84"/>
      <c r="TS10" s="84"/>
      <c r="TT10" s="84"/>
      <c r="TU10" s="84"/>
      <c r="TV10" s="84"/>
      <c r="TW10" s="84"/>
      <c r="TX10" s="84"/>
      <c r="TY10" s="84"/>
      <c r="TZ10" s="84"/>
      <c r="UA10" s="84"/>
      <c r="UB10" s="84"/>
      <c r="UC10" s="84"/>
      <c r="UD10" s="84"/>
      <c r="UE10" s="84"/>
      <c r="UF10" s="84"/>
      <c r="UG10" s="84"/>
      <c r="UH10" s="84"/>
      <c r="UI10" s="84"/>
      <c r="UJ10" s="84"/>
      <c r="UK10" s="84"/>
      <c r="UL10" s="84"/>
      <c r="UM10" s="84"/>
      <c r="UN10" s="84"/>
      <c r="UO10" s="84"/>
      <c r="UP10" s="84"/>
      <c r="UQ10" s="84"/>
      <c r="UR10" s="84"/>
      <c r="US10" s="84"/>
      <c r="UT10" s="84"/>
      <c r="UU10" s="84"/>
      <c r="UV10" s="84"/>
      <c r="UW10" s="84"/>
      <c r="UX10" s="84"/>
      <c r="UY10" s="84"/>
      <c r="UZ10" s="84"/>
      <c r="VA10" s="84"/>
      <c r="VB10" s="84"/>
      <c r="VC10" s="84"/>
      <c r="VD10" s="84"/>
      <c r="VE10" s="84"/>
      <c r="VF10" s="84"/>
      <c r="VG10" s="84"/>
      <c r="VH10" s="84"/>
      <c r="VI10" s="84"/>
      <c r="VJ10" s="84"/>
      <c r="VK10" s="84"/>
      <c r="VL10" s="84"/>
      <c r="VM10" s="84"/>
      <c r="VN10" s="84"/>
      <c r="VO10" s="84"/>
      <c r="VP10" s="84"/>
      <c r="VQ10" s="84"/>
      <c r="VR10" s="84"/>
      <c r="VS10" s="84"/>
      <c r="VT10" s="84"/>
      <c r="VU10" s="84"/>
      <c r="VV10" s="84"/>
      <c r="VW10" s="84"/>
      <c r="VX10" s="84"/>
      <c r="VY10" s="84"/>
      <c r="VZ10" s="84"/>
      <c r="WA10" s="84"/>
      <c r="WB10" s="84"/>
      <c r="WC10" s="84"/>
      <c r="WD10" s="84"/>
      <c r="WE10" s="84"/>
    </row>
    <row r="11" spans="1:603" s="56" customFormat="1" ht="140.35" x14ac:dyDescent="0.4">
      <c r="A11" s="20">
        <v>7</v>
      </c>
      <c r="B11" s="27" t="s">
        <v>531</v>
      </c>
      <c r="C11" s="28"/>
      <c r="D11" s="29">
        <v>20</v>
      </c>
      <c r="E11" s="30" t="s">
        <v>99</v>
      </c>
      <c r="F11" s="27" t="s">
        <v>269</v>
      </c>
      <c r="G11" s="28"/>
      <c r="H11" s="29">
        <v>20</v>
      </c>
      <c r="I11" s="30" t="s">
        <v>99</v>
      </c>
      <c r="J11" s="25" t="s">
        <v>270</v>
      </c>
      <c r="K11" s="22"/>
      <c r="L11" s="23">
        <v>10</v>
      </c>
      <c r="M11" s="24" t="s">
        <v>99</v>
      </c>
      <c r="N11" s="21" t="s">
        <v>270</v>
      </c>
      <c r="O11" s="22"/>
      <c r="P11" s="23">
        <v>10</v>
      </c>
      <c r="Q11" s="24" t="s">
        <v>99</v>
      </c>
      <c r="R11" s="21" t="s">
        <v>271</v>
      </c>
      <c r="S11" s="22"/>
      <c r="T11" s="23">
        <v>15</v>
      </c>
      <c r="U11" s="24" t="s">
        <v>99</v>
      </c>
      <c r="V11" s="21" t="s">
        <v>271</v>
      </c>
      <c r="W11" s="22"/>
      <c r="X11" s="23">
        <v>15</v>
      </c>
      <c r="Y11" s="24" t="s">
        <v>99</v>
      </c>
      <c r="Z11" s="21" t="s">
        <v>271</v>
      </c>
      <c r="AA11" s="22"/>
      <c r="AB11" s="23">
        <v>15</v>
      </c>
      <c r="AC11" s="24" t="s">
        <v>99</v>
      </c>
      <c r="AD11" s="25" t="s">
        <v>270</v>
      </c>
      <c r="AE11" s="22"/>
      <c r="AF11" s="23">
        <v>10</v>
      </c>
      <c r="AG11" s="24" t="s">
        <v>99</v>
      </c>
      <c r="AH11" s="21" t="s">
        <v>272</v>
      </c>
      <c r="AI11" s="26"/>
      <c r="AJ11" s="23">
        <v>15</v>
      </c>
      <c r="AK11" s="24" t="s">
        <v>99</v>
      </c>
      <c r="AL11" s="33" t="s">
        <v>273</v>
      </c>
      <c r="AM11" s="22"/>
      <c r="AN11" s="23">
        <v>20</v>
      </c>
      <c r="AO11" s="24" t="s">
        <v>99</v>
      </c>
      <c r="AP11" s="21" t="s">
        <v>274</v>
      </c>
      <c r="AQ11" s="22"/>
      <c r="AR11" s="23">
        <v>5</v>
      </c>
      <c r="AS11" s="24" t="s">
        <v>99</v>
      </c>
      <c r="AT11" s="21" t="s">
        <v>267</v>
      </c>
      <c r="AU11" s="22" t="s">
        <v>268</v>
      </c>
      <c r="AV11" s="23">
        <v>10</v>
      </c>
      <c r="AW11" s="24" t="s">
        <v>98</v>
      </c>
      <c r="AX11" s="25" t="s">
        <v>93</v>
      </c>
      <c r="AY11" s="22"/>
      <c r="AZ11" s="23">
        <v>5</v>
      </c>
      <c r="BA11" s="34" t="s">
        <v>99</v>
      </c>
      <c r="BB11" s="25"/>
      <c r="BC11" s="22"/>
      <c r="BD11" s="23"/>
      <c r="BE11" s="24"/>
      <c r="BF11" s="25"/>
      <c r="BG11" s="22"/>
      <c r="BH11" s="23"/>
      <c r="BI11" s="24"/>
      <c r="BJ11" s="25"/>
      <c r="BK11" s="22"/>
      <c r="BL11" s="23"/>
      <c r="BM11" s="24"/>
    </row>
    <row r="12" spans="1:603" s="35" customFormat="1" ht="178.35" x14ac:dyDescent="0.4">
      <c r="A12" s="77">
        <v>8</v>
      </c>
      <c r="B12" s="89" t="s">
        <v>275</v>
      </c>
      <c r="C12" s="84" t="s">
        <v>276</v>
      </c>
      <c r="D12" s="80">
        <v>10</v>
      </c>
      <c r="E12" s="81" t="s">
        <v>99</v>
      </c>
      <c r="F12" s="78" t="s">
        <v>275</v>
      </c>
      <c r="G12" s="79" t="s">
        <v>276</v>
      </c>
      <c r="H12" s="80">
        <v>10</v>
      </c>
      <c r="I12" s="81" t="s">
        <v>99</v>
      </c>
      <c r="J12" s="82" t="s">
        <v>277</v>
      </c>
      <c r="K12" s="79" t="s">
        <v>278</v>
      </c>
      <c r="L12" s="80">
        <v>10</v>
      </c>
      <c r="M12" s="81" t="s">
        <v>99</v>
      </c>
      <c r="N12" s="78" t="s">
        <v>277</v>
      </c>
      <c r="O12" s="79" t="s">
        <v>278</v>
      </c>
      <c r="P12" s="80">
        <v>10</v>
      </c>
      <c r="Q12" s="81" t="s">
        <v>99</v>
      </c>
      <c r="R12" s="78" t="s">
        <v>279</v>
      </c>
      <c r="S12" s="79" t="s">
        <v>278</v>
      </c>
      <c r="T12" s="80">
        <v>15</v>
      </c>
      <c r="U12" s="81" t="s">
        <v>99</v>
      </c>
      <c r="V12" s="78" t="s">
        <v>280</v>
      </c>
      <c r="W12" s="79" t="s">
        <v>278</v>
      </c>
      <c r="X12" s="80">
        <v>15</v>
      </c>
      <c r="Y12" s="81" t="s">
        <v>99</v>
      </c>
      <c r="Z12" s="78" t="s">
        <v>280</v>
      </c>
      <c r="AA12" s="79" t="s">
        <v>278</v>
      </c>
      <c r="AB12" s="80">
        <v>15</v>
      </c>
      <c r="AC12" s="81" t="s">
        <v>99</v>
      </c>
      <c r="AD12" s="82" t="s">
        <v>281</v>
      </c>
      <c r="AE12" s="79"/>
      <c r="AF12" s="80">
        <v>10</v>
      </c>
      <c r="AG12" s="81" t="s">
        <v>99</v>
      </c>
      <c r="AH12" s="78" t="s">
        <v>282</v>
      </c>
      <c r="AI12" s="79" t="s">
        <v>283</v>
      </c>
      <c r="AJ12" s="80">
        <v>15</v>
      </c>
      <c r="AK12" s="81" t="s">
        <v>99</v>
      </c>
      <c r="AL12" s="85" t="s">
        <v>284</v>
      </c>
      <c r="AM12" s="86" t="s">
        <v>285</v>
      </c>
      <c r="AN12" s="87">
        <v>20</v>
      </c>
      <c r="AO12" s="88" t="s">
        <v>99</v>
      </c>
      <c r="AP12" s="78"/>
      <c r="AQ12" s="79"/>
      <c r="AR12" s="80"/>
      <c r="AS12" s="81"/>
      <c r="AT12" s="78" t="s">
        <v>93</v>
      </c>
      <c r="AU12" s="79"/>
      <c r="AV12" s="80">
        <v>5</v>
      </c>
      <c r="AW12" s="81" t="s">
        <v>99</v>
      </c>
      <c r="AX12" s="78" t="s">
        <v>286</v>
      </c>
      <c r="AY12" s="79"/>
      <c r="AZ12" s="80">
        <v>15</v>
      </c>
      <c r="BA12" s="81" t="s">
        <v>99</v>
      </c>
      <c r="BB12" s="82"/>
      <c r="BC12" s="79"/>
      <c r="BD12" s="80"/>
      <c r="BE12" s="81"/>
      <c r="BF12" s="82"/>
      <c r="BG12" s="79"/>
      <c r="BH12" s="80"/>
      <c r="BI12" s="81"/>
      <c r="BJ12" s="82"/>
      <c r="BK12" s="79"/>
      <c r="BL12" s="80"/>
      <c r="BM12" s="81"/>
      <c r="BN12" s="84"/>
      <c r="BO12" s="84"/>
      <c r="BP12" s="84"/>
      <c r="BQ12" s="84"/>
      <c r="BR12" s="84"/>
      <c r="BS12" s="84"/>
      <c r="BT12" s="84"/>
      <c r="BU12" s="84"/>
      <c r="BV12" s="84"/>
      <c r="BW12" s="84"/>
      <c r="BX12" s="84"/>
      <c r="BY12" s="84"/>
      <c r="BZ12" s="84"/>
      <c r="CA12" s="84"/>
      <c r="CB12" s="84"/>
      <c r="CC12" s="84"/>
      <c r="CD12" s="84"/>
      <c r="CE12" s="84"/>
      <c r="CF12" s="84"/>
      <c r="CG12" s="84"/>
      <c r="CH12" s="84"/>
      <c r="CI12" s="84"/>
      <c r="CJ12" s="84"/>
      <c r="CK12" s="84"/>
      <c r="CL12" s="84"/>
      <c r="CM12" s="84"/>
      <c r="CN12" s="84"/>
      <c r="CO12" s="84"/>
      <c r="CP12" s="84"/>
      <c r="CQ12" s="84"/>
      <c r="CR12" s="84"/>
      <c r="CS12" s="84"/>
      <c r="CT12" s="84"/>
      <c r="CU12" s="84"/>
      <c r="CV12" s="84"/>
      <c r="CW12" s="84"/>
      <c r="CX12" s="84"/>
      <c r="CY12" s="84"/>
      <c r="CZ12" s="84"/>
      <c r="DA12" s="84"/>
      <c r="DB12" s="84"/>
      <c r="DC12" s="84"/>
      <c r="DD12" s="84"/>
      <c r="DE12" s="84"/>
      <c r="DF12" s="84"/>
      <c r="DG12" s="84"/>
      <c r="DH12" s="84"/>
      <c r="DI12" s="84"/>
      <c r="DJ12" s="84"/>
      <c r="DK12" s="84"/>
      <c r="DL12" s="84"/>
      <c r="DM12" s="84"/>
      <c r="DN12" s="84"/>
      <c r="DO12" s="84"/>
      <c r="DP12" s="84"/>
      <c r="DQ12" s="84"/>
      <c r="DR12" s="84"/>
      <c r="DS12" s="84"/>
      <c r="DT12" s="84"/>
      <c r="DU12" s="84"/>
      <c r="DV12" s="84"/>
      <c r="DW12" s="84"/>
      <c r="DX12" s="84"/>
      <c r="DY12" s="84"/>
      <c r="DZ12" s="84"/>
      <c r="EA12" s="84"/>
      <c r="EB12" s="84"/>
      <c r="EC12" s="84"/>
      <c r="ED12" s="84"/>
      <c r="EE12" s="84"/>
      <c r="EF12" s="84"/>
      <c r="EG12" s="84"/>
      <c r="EH12" s="84"/>
      <c r="EI12" s="84"/>
      <c r="EJ12" s="84"/>
      <c r="EK12" s="84"/>
      <c r="EL12" s="84"/>
      <c r="EM12" s="84"/>
      <c r="EN12" s="84"/>
      <c r="EO12" s="84"/>
      <c r="EP12" s="84"/>
      <c r="EQ12" s="84"/>
      <c r="ER12" s="84"/>
      <c r="ES12" s="84"/>
      <c r="ET12" s="84"/>
      <c r="EU12" s="84"/>
      <c r="EV12" s="84"/>
      <c r="EW12" s="84"/>
      <c r="EX12" s="84"/>
      <c r="EY12" s="84"/>
      <c r="EZ12" s="84"/>
      <c r="FA12" s="84"/>
      <c r="FB12" s="84"/>
      <c r="FC12" s="84"/>
      <c r="FD12" s="84"/>
      <c r="FE12" s="84"/>
      <c r="FF12" s="84"/>
      <c r="FG12" s="84"/>
      <c r="FH12" s="84"/>
      <c r="FI12" s="84"/>
      <c r="FJ12" s="84"/>
      <c r="FK12" s="84"/>
      <c r="FL12" s="84"/>
      <c r="FM12" s="84"/>
      <c r="FN12" s="84"/>
      <c r="FO12" s="84"/>
      <c r="FP12" s="84"/>
      <c r="FQ12" s="84"/>
      <c r="FR12" s="84"/>
      <c r="FS12" s="84"/>
      <c r="FT12" s="84"/>
      <c r="FU12" s="84"/>
      <c r="FV12" s="84"/>
      <c r="FW12" s="84"/>
      <c r="FX12" s="84"/>
      <c r="FY12" s="84"/>
      <c r="FZ12" s="84"/>
      <c r="GA12" s="84"/>
      <c r="GB12" s="84"/>
      <c r="GC12" s="84"/>
      <c r="GD12" s="84"/>
      <c r="GE12" s="84"/>
      <c r="GF12" s="84"/>
      <c r="GG12" s="84"/>
      <c r="GH12" s="84"/>
      <c r="GI12" s="84"/>
      <c r="GJ12" s="84"/>
      <c r="GK12" s="84"/>
      <c r="GL12" s="84"/>
      <c r="GM12" s="84"/>
      <c r="GN12" s="84"/>
      <c r="GO12" s="84"/>
      <c r="GP12" s="84"/>
      <c r="GQ12" s="84"/>
      <c r="GR12" s="84"/>
      <c r="GS12" s="84"/>
      <c r="GT12" s="84"/>
      <c r="GU12" s="84"/>
      <c r="GV12" s="84"/>
      <c r="GW12" s="84"/>
      <c r="GX12" s="84"/>
      <c r="GY12" s="84"/>
      <c r="GZ12" s="84"/>
      <c r="HA12" s="84"/>
      <c r="HB12" s="84"/>
      <c r="HC12" s="84"/>
      <c r="HD12" s="84"/>
      <c r="HE12" s="84"/>
      <c r="HF12" s="84"/>
      <c r="HG12" s="84"/>
      <c r="HH12" s="84"/>
      <c r="HI12" s="84"/>
      <c r="HJ12" s="84"/>
      <c r="HK12" s="84"/>
      <c r="HL12" s="84"/>
      <c r="HM12" s="84"/>
      <c r="HN12" s="84"/>
      <c r="HO12" s="84"/>
      <c r="HP12" s="84"/>
      <c r="HQ12" s="84"/>
      <c r="HR12" s="84"/>
      <c r="HS12" s="84"/>
      <c r="HT12" s="84"/>
      <c r="HU12" s="84"/>
      <c r="HV12" s="84"/>
      <c r="HW12" s="84"/>
      <c r="HX12" s="84"/>
      <c r="HY12" s="84"/>
      <c r="HZ12" s="84"/>
      <c r="IA12" s="84"/>
      <c r="IB12" s="84"/>
      <c r="IC12" s="84"/>
      <c r="ID12" s="84"/>
      <c r="IE12" s="84"/>
      <c r="IF12" s="84"/>
      <c r="IG12" s="84"/>
      <c r="IH12" s="84"/>
      <c r="II12" s="84"/>
      <c r="IJ12" s="84"/>
      <c r="IK12" s="84"/>
      <c r="IL12" s="84"/>
      <c r="IM12" s="84"/>
      <c r="IN12" s="84"/>
      <c r="IO12" s="84"/>
      <c r="IP12" s="84"/>
      <c r="IQ12" s="84"/>
      <c r="IR12" s="84"/>
      <c r="IS12" s="84"/>
      <c r="IT12" s="84"/>
      <c r="IU12" s="84"/>
      <c r="IV12" s="84"/>
      <c r="IW12" s="84"/>
      <c r="IX12" s="84"/>
      <c r="IY12" s="84"/>
      <c r="IZ12" s="84"/>
      <c r="JA12" s="84"/>
      <c r="JB12" s="84"/>
      <c r="JC12" s="84"/>
      <c r="JD12" s="84"/>
      <c r="JE12" s="84"/>
      <c r="JF12" s="84"/>
      <c r="JG12" s="84"/>
      <c r="JH12" s="84"/>
      <c r="JI12" s="84"/>
      <c r="JJ12" s="84"/>
      <c r="JK12" s="84"/>
      <c r="JL12" s="84"/>
      <c r="JM12" s="84"/>
      <c r="JN12" s="84"/>
      <c r="JO12" s="84"/>
      <c r="JP12" s="84"/>
      <c r="JQ12" s="84"/>
      <c r="JR12" s="84"/>
      <c r="JS12" s="84"/>
      <c r="JT12" s="84"/>
      <c r="JU12" s="84"/>
      <c r="JV12" s="84"/>
      <c r="JW12" s="84"/>
      <c r="JX12" s="84"/>
      <c r="JY12" s="84"/>
      <c r="JZ12" s="84"/>
      <c r="KA12" s="84"/>
      <c r="KB12" s="84"/>
      <c r="KC12" s="84"/>
      <c r="KD12" s="84"/>
      <c r="KE12" s="84"/>
      <c r="KF12" s="84"/>
      <c r="KG12" s="84"/>
      <c r="KH12" s="84"/>
      <c r="KI12" s="84"/>
      <c r="KJ12" s="84"/>
      <c r="KK12" s="84"/>
      <c r="KL12" s="84"/>
      <c r="KM12" s="84"/>
      <c r="KN12" s="84"/>
      <c r="KO12" s="84"/>
      <c r="KP12" s="84"/>
      <c r="KQ12" s="84"/>
      <c r="KR12" s="84"/>
      <c r="KS12" s="84"/>
      <c r="KT12" s="84"/>
      <c r="KU12" s="84"/>
      <c r="KV12" s="84"/>
      <c r="KW12" s="84"/>
      <c r="KX12" s="84"/>
      <c r="KY12" s="84"/>
      <c r="KZ12" s="84"/>
      <c r="LA12" s="84"/>
      <c r="LB12" s="84"/>
      <c r="LC12" s="84"/>
      <c r="LD12" s="84"/>
      <c r="LE12" s="84"/>
      <c r="LF12" s="84"/>
      <c r="LG12" s="84"/>
      <c r="LH12" s="84"/>
      <c r="LI12" s="84"/>
      <c r="LJ12" s="84"/>
      <c r="LK12" s="84"/>
      <c r="LL12" s="84"/>
      <c r="LM12" s="84"/>
      <c r="LN12" s="84"/>
      <c r="LO12" s="84"/>
      <c r="LP12" s="84"/>
      <c r="LQ12" s="84"/>
      <c r="LR12" s="84"/>
      <c r="LS12" s="84"/>
      <c r="LT12" s="84"/>
      <c r="LU12" s="84"/>
      <c r="LV12" s="84"/>
      <c r="LW12" s="84"/>
      <c r="LX12" s="84"/>
      <c r="LY12" s="84"/>
      <c r="LZ12" s="84"/>
      <c r="MA12" s="84"/>
      <c r="MB12" s="84"/>
      <c r="MC12" s="84"/>
      <c r="MD12" s="84"/>
      <c r="ME12" s="84"/>
      <c r="MF12" s="84"/>
      <c r="MG12" s="84"/>
      <c r="MH12" s="84"/>
      <c r="MI12" s="84"/>
      <c r="MJ12" s="84"/>
      <c r="MK12" s="84"/>
      <c r="ML12" s="84"/>
      <c r="MM12" s="84"/>
      <c r="MN12" s="84"/>
      <c r="MO12" s="84"/>
      <c r="MP12" s="84"/>
      <c r="MQ12" s="84"/>
      <c r="MR12" s="84"/>
      <c r="MS12" s="84"/>
      <c r="MT12" s="84"/>
      <c r="MU12" s="84"/>
      <c r="MV12" s="84"/>
      <c r="MW12" s="84"/>
      <c r="MX12" s="84"/>
      <c r="MY12" s="84"/>
      <c r="MZ12" s="84"/>
      <c r="NA12" s="84"/>
      <c r="NB12" s="84"/>
      <c r="NC12" s="84"/>
      <c r="ND12" s="84"/>
      <c r="NE12" s="84"/>
      <c r="NF12" s="84"/>
      <c r="NG12" s="84"/>
      <c r="NH12" s="84"/>
      <c r="NI12" s="84"/>
      <c r="NJ12" s="84"/>
      <c r="NK12" s="84"/>
      <c r="NL12" s="84"/>
      <c r="NM12" s="84"/>
      <c r="NN12" s="84"/>
      <c r="NO12" s="84"/>
      <c r="NP12" s="84"/>
      <c r="NQ12" s="84"/>
      <c r="NR12" s="84"/>
      <c r="NS12" s="84"/>
      <c r="NT12" s="84"/>
      <c r="NU12" s="84"/>
      <c r="NV12" s="84"/>
      <c r="NW12" s="84"/>
      <c r="NX12" s="84"/>
      <c r="NY12" s="84"/>
      <c r="NZ12" s="84"/>
      <c r="OA12" s="84"/>
      <c r="OB12" s="84"/>
      <c r="OC12" s="84"/>
      <c r="OD12" s="84"/>
      <c r="OE12" s="84"/>
      <c r="OF12" s="84"/>
      <c r="OG12" s="84"/>
      <c r="OH12" s="84"/>
      <c r="OI12" s="84"/>
      <c r="OJ12" s="84"/>
      <c r="OK12" s="84"/>
      <c r="OL12" s="84"/>
      <c r="OM12" s="84"/>
      <c r="ON12" s="84"/>
      <c r="OO12" s="84"/>
      <c r="OP12" s="84"/>
      <c r="OQ12" s="84"/>
      <c r="OR12" s="84"/>
      <c r="OS12" s="84"/>
      <c r="OT12" s="84"/>
      <c r="OU12" s="84"/>
      <c r="OV12" s="84"/>
      <c r="OW12" s="84"/>
      <c r="OX12" s="84"/>
      <c r="OY12" s="84"/>
      <c r="OZ12" s="84"/>
      <c r="PA12" s="84"/>
      <c r="PB12" s="84"/>
      <c r="PC12" s="84"/>
      <c r="PD12" s="84"/>
      <c r="PE12" s="84"/>
      <c r="PF12" s="84"/>
      <c r="PG12" s="84"/>
      <c r="PH12" s="84"/>
      <c r="PI12" s="84"/>
      <c r="PJ12" s="84"/>
      <c r="PK12" s="84"/>
      <c r="PL12" s="84"/>
      <c r="PM12" s="84"/>
      <c r="PN12" s="84"/>
      <c r="PO12" s="84"/>
      <c r="PP12" s="84"/>
      <c r="PQ12" s="84"/>
      <c r="PR12" s="84"/>
      <c r="PS12" s="84"/>
      <c r="PT12" s="84"/>
      <c r="PU12" s="84"/>
      <c r="PV12" s="84"/>
      <c r="PW12" s="84"/>
      <c r="PX12" s="84"/>
      <c r="PY12" s="84"/>
      <c r="PZ12" s="84"/>
      <c r="QA12" s="84"/>
      <c r="QB12" s="84"/>
      <c r="QC12" s="84"/>
      <c r="QD12" s="84"/>
      <c r="QE12" s="84"/>
      <c r="QF12" s="84"/>
      <c r="QG12" s="84"/>
      <c r="QH12" s="84"/>
      <c r="QI12" s="84"/>
      <c r="QJ12" s="84"/>
      <c r="QK12" s="84"/>
      <c r="QL12" s="84"/>
      <c r="QM12" s="84"/>
      <c r="QN12" s="84"/>
      <c r="QO12" s="84"/>
      <c r="QP12" s="84"/>
      <c r="QQ12" s="84"/>
      <c r="QR12" s="84"/>
      <c r="QS12" s="84"/>
      <c r="QT12" s="84"/>
      <c r="QU12" s="84"/>
      <c r="QV12" s="84"/>
      <c r="QW12" s="84"/>
      <c r="QX12" s="84"/>
      <c r="QY12" s="84"/>
      <c r="QZ12" s="84"/>
      <c r="RA12" s="84"/>
      <c r="RB12" s="84"/>
      <c r="RC12" s="84"/>
      <c r="RD12" s="84"/>
      <c r="RE12" s="84"/>
      <c r="RF12" s="84"/>
      <c r="RG12" s="84"/>
      <c r="RH12" s="84"/>
      <c r="RI12" s="84"/>
      <c r="RJ12" s="84"/>
      <c r="RK12" s="84"/>
      <c r="RL12" s="84"/>
      <c r="RM12" s="84"/>
      <c r="RN12" s="84"/>
      <c r="RO12" s="84"/>
      <c r="RP12" s="84"/>
      <c r="RQ12" s="84"/>
      <c r="RR12" s="84"/>
      <c r="RS12" s="84"/>
      <c r="RT12" s="84"/>
      <c r="RU12" s="84"/>
      <c r="RV12" s="84"/>
      <c r="RW12" s="84"/>
      <c r="RX12" s="84"/>
      <c r="RY12" s="84"/>
      <c r="RZ12" s="84"/>
      <c r="SA12" s="84"/>
      <c r="SB12" s="84"/>
      <c r="SC12" s="84"/>
      <c r="SD12" s="84"/>
      <c r="SE12" s="84"/>
      <c r="SF12" s="84"/>
      <c r="SG12" s="84"/>
      <c r="SH12" s="84"/>
      <c r="SI12" s="84"/>
      <c r="SJ12" s="84"/>
      <c r="SK12" s="84"/>
      <c r="SL12" s="84"/>
      <c r="SM12" s="84"/>
      <c r="SN12" s="84"/>
      <c r="SO12" s="84"/>
      <c r="SP12" s="84"/>
      <c r="SQ12" s="84"/>
      <c r="SR12" s="84"/>
      <c r="SS12" s="84"/>
      <c r="ST12" s="84"/>
      <c r="SU12" s="84"/>
      <c r="SV12" s="84"/>
      <c r="SW12" s="84"/>
      <c r="SX12" s="84"/>
      <c r="SY12" s="84"/>
      <c r="SZ12" s="84"/>
      <c r="TA12" s="84"/>
      <c r="TB12" s="84"/>
      <c r="TC12" s="84"/>
      <c r="TD12" s="84"/>
      <c r="TE12" s="84"/>
      <c r="TF12" s="84"/>
      <c r="TG12" s="84"/>
      <c r="TH12" s="84"/>
      <c r="TI12" s="84"/>
      <c r="TJ12" s="84"/>
      <c r="TK12" s="84"/>
      <c r="TL12" s="84"/>
      <c r="TM12" s="84"/>
      <c r="TN12" s="84"/>
      <c r="TO12" s="84"/>
      <c r="TP12" s="84"/>
      <c r="TQ12" s="84"/>
      <c r="TR12" s="84"/>
      <c r="TS12" s="84"/>
      <c r="TT12" s="84"/>
      <c r="TU12" s="84"/>
      <c r="TV12" s="84"/>
      <c r="TW12" s="84"/>
      <c r="TX12" s="84"/>
      <c r="TY12" s="84"/>
      <c r="TZ12" s="84"/>
      <c r="UA12" s="84"/>
      <c r="UB12" s="84"/>
      <c r="UC12" s="84"/>
      <c r="UD12" s="84"/>
      <c r="UE12" s="84"/>
      <c r="UF12" s="84"/>
      <c r="UG12" s="84"/>
      <c r="UH12" s="84"/>
      <c r="UI12" s="84"/>
      <c r="UJ12" s="84"/>
      <c r="UK12" s="84"/>
      <c r="UL12" s="84"/>
      <c r="UM12" s="84"/>
      <c r="UN12" s="84"/>
      <c r="UO12" s="84"/>
      <c r="UP12" s="84"/>
      <c r="UQ12" s="84"/>
      <c r="UR12" s="84"/>
      <c r="US12" s="84"/>
      <c r="UT12" s="84"/>
      <c r="UU12" s="84"/>
      <c r="UV12" s="84"/>
      <c r="UW12" s="84"/>
      <c r="UX12" s="84"/>
      <c r="UY12" s="84"/>
      <c r="UZ12" s="84"/>
      <c r="VA12" s="84"/>
      <c r="VB12" s="84"/>
      <c r="VC12" s="84"/>
      <c r="VD12" s="84"/>
      <c r="VE12" s="84"/>
      <c r="VF12" s="84"/>
      <c r="VG12" s="84"/>
      <c r="VH12" s="84"/>
      <c r="VI12" s="84"/>
      <c r="VJ12" s="84"/>
      <c r="VK12" s="84"/>
      <c r="VL12" s="84"/>
      <c r="VM12" s="84"/>
      <c r="VN12" s="84"/>
      <c r="VO12" s="84"/>
      <c r="VP12" s="84"/>
      <c r="VQ12" s="84"/>
      <c r="VR12" s="84"/>
      <c r="VS12" s="84"/>
      <c r="VT12" s="84"/>
      <c r="VU12" s="84"/>
      <c r="VV12" s="84"/>
      <c r="VW12" s="84"/>
      <c r="VX12" s="84"/>
      <c r="VY12" s="84"/>
      <c r="VZ12" s="84"/>
      <c r="WA12" s="84"/>
      <c r="WB12" s="84"/>
      <c r="WC12" s="84"/>
      <c r="WD12" s="84"/>
      <c r="WE12" s="84"/>
    </row>
    <row r="13" spans="1:603" s="56" customFormat="1" ht="93.35" x14ac:dyDescent="0.4">
      <c r="A13" s="36">
        <v>9</v>
      </c>
      <c r="B13" s="37" t="s">
        <v>94</v>
      </c>
      <c r="C13" s="38"/>
      <c r="D13" s="39">
        <v>20</v>
      </c>
      <c r="E13" s="40" t="s">
        <v>97</v>
      </c>
      <c r="F13" s="41" t="s">
        <v>94</v>
      </c>
      <c r="G13" s="42"/>
      <c r="H13" s="43">
        <v>20</v>
      </c>
      <c r="I13" s="44" t="s">
        <v>97</v>
      </c>
      <c r="J13" s="45" t="s">
        <v>287</v>
      </c>
      <c r="K13" s="42" t="s">
        <v>288</v>
      </c>
      <c r="L13" s="43">
        <v>10</v>
      </c>
      <c r="M13" s="44" t="s">
        <v>99</v>
      </c>
      <c r="N13" s="41" t="s">
        <v>287</v>
      </c>
      <c r="O13" s="42" t="s">
        <v>288</v>
      </c>
      <c r="P13" s="43">
        <v>10</v>
      </c>
      <c r="Q13" s="44" t="s">
        <v>99</v>
      </c>
      <c r="R13" s="37" t="s">
        <v>289</v>
      </c>
      <c r="S13" s="38"/>
      <c r="T13" s="39">
        <v>10</v>
      </c>
      <c r="U13" s="40" t="s">
        <v>97</v>
      </c>
      <c r="V13" s="37" t="s">
        <v>289</v>
      </c>
      <c r="W13" s="42"/>
      <c r="X13" s="43">
        <v>10</v>
      </c>
      <c r="Y13" s="40" t="s">
        <v>97</v>
      </c>
      <c r="Z13" s="37" t="s">
        <v>289</v>
      </c>
      <c r="AA13" s="42"/>
      <c r="AB13" s="43">
        <v>10</v>
      </c>
      <c r="AC13" s="40" t="s">
        <v>97</v>
      </c>
      <c r="AD13" s="45" t="s">
        <v>287</v>
      </c>
      <c r="AE13" s="42" t="s">
        <v>288</v>
      </c>
      <c r="AF13" s="43">
        <v>10</v>
      </c>
      <c r="AG13" s="44" t="s">
        <v>99</v>
      </c>
      <c r="AH13" s="41" t="s">
        <v>290</v>
      </c>
      <c r="AI13" s="42"/>
      <c r="AJ13" s="43">
        <v>10</v>
      </c>
      <c r="AK13" s="44" t="s">
        <v>97</v>
      </c>
      <c r="AL13" s="46" t="s">
        <v>291</v>
      </c>
      <c r="AM13" s="47"/>
      <c r="AN13" s="48">
        <v>20</v>
      </c>
      <c r="AO13" s="49" t="s">
        <v>99</v>
      </c>
      <c r="AP13" s="21"/>
      <c r="AQ13" s="42"/>
      <c r="AR13" s="43"/>
      <c r="AS13" s="44" t="s">
        <v>98</v>
      </c>
      <c r="AT13" s="41" t="s">
        <v>286</v>
      </c>
      <c r="AU13" s="50"/>
      <c r="AV13" s="43">
        <v>15</v>
      </c>
      <c r="AW13" s="44" t="s">
        <v>99</v>
      </c>
      <c r="AX13" s="41" t="s">
        <v>96</v>
      </c>
      <c r="AY13" s="42"/>
      <c r="AZ13" s="43">
        <v>30</v>
      </c>
      <c r="BA13" s="44" t="s">
        <v>99</v>
      </c>
      <c r="BB13" s="45"/>
      <c r="BC13" s="42"/>
      <c r="BD13" s="43"/>
      <c r="BE13" s="44"/>
      <c r="BF13" s="45"/>
      <c r="BG13" s="42"/>
      <c r="BH13" s="43"/>
      <c r="BI13" s="44"/>
      <c r="BJ13" s="45"/>
      <c r="BK13" s="42"/>
      <c r="BL13" s="43"/>
      <c r="BM13" s="44"/>
    </row>
    <row r="14" spans="1:603" s="35" customFormat="1" ht="38.35" thickBot="1" x14ac:dyDescent="0.45">
      <c r="A14" s="90">
        <v>10</v>
      </c>
      <c r="B14" s="91"/>
      <c r="C14" s="92"/>
      <c r="D14" s="93"/>
      <c r="E14" s="94"/>
      <c r="F14" s="91"/>
      <c r="G14" s="92"/>
      <c r="H14" s="93"/>
      <c r="I14" s="94"/>
      <c r="J14" s="95" t="s">
        <v>289</v>
      </c>
      <c r="K14" s="92"/>
      <c r="L14" s="93">
        <v>10</v>
      </c>
      <c r="M14" s="94" t="s">
        <v>97</v>
      </c>
      <c r="N14" s="91" t="s">
        <v>289</v>
      </c>
      <c r="O14" s="92"/>
      <c r="P14" s="93">
        <v>10</v>
      </c>
      <c r="Q14" s="94" t="s">
        <v>97</v>
      </c>
      <c r="R14" s="91"/>
      <c r="S14" s="92"/>
      <c r="T14" s="93"/>
      <c r="U14" s="94"/>
      <c r="V14" s="91"/>
      <c r="W14" s="92"/>
      <c r="X14" s="93"/>
      <c r="Y14" s="94"/>
      <c r="Z14" s="91"/>
      <c r="AA14" s="92"/>
      <c r="AB14" s="93"/>
      <c r="AC14" s="94"/>
      <c r="AD14" s="91" t="s">
        <v>289</v>
      </c>
      <c r="AE14" s="92"/>
      <c r="AF14" s="93">
        <v>10</v>
      </c>
      <c r="AG14" s="94" t="s">
        <v>97</v>
      </c>
      <c r="AH14" s="91"/>
      <c r="AI14" s="92"/>
      <c r="AJ14" s="93"/>
      <c r="AK14" s="94"/>
      <c r="AL14" s="91" t="s">
        <v>292</v>
      </c>
      <c r="AM14" s="92"/>
      <c r="AN14" s="93">
        <v>10</v>
      </c>
      <c r="AO14" s="94" t="s">
        <v>97</v>
      </c>
      <c r="AP14" s="91"/>
      <c r="AQ14" s="92"/>
      <c r="AR14" s="93"/>
      <c r="AS14" s="94"/>
      <c r="AT14" s="91" t="s">
        <v>96</v>
      </c>
      <c r="AU14" s="92"/>
      <c r="AV14" s="93">
        <v>25</v>
      </c>
      <c r="AW14" s="94" t="s">
        <v>99</v>
      </c>
      <c r="AX14" s="91"/>
      <c r="AY14" s="92"/>
      <c r="AZ14" s="93"/>
      <c r="BA14" s="94"/>
      <c r="BB14" s="95"/>
      <c r="BC14" s="92"/>
      <c r="BD14" s="93"/>
      <c r="BE14" s="94"/>
      <c r="BF14" s="95"/>
      <c r="BG14" s="92"/>
      <c r="BH14" s="93"/>
      <c r="BI14" s="94"/>
      <c r="BJ14" s="95"/>
      <c r="BK14" s="92"/>
      <c r="BL14" s="93"/>
      <c r="BM14" s="94"/>
      <c r="BN14" s="84"/>
      <c r="BO14" s="84"/>
      <c r="BP14" s="84"/>
      <c r="BQ14" s="84"/>
      <c r="BR14" s="84"/>
      <c r="BS14" s="84"/>
      <c r="BT14" s="84"/>
      <c r="BU14" s="84"/>
      <c r="BV14" s="84"/>
      <c r="BW14" s="84"/>
      <c r="BX14" s="84"/>
      <c r="BY14" s="84"/>
      <c r="BZ14" s="84"/>
      <c r="CA14" s="84"/>
      <c r="CB14" s="84"/>
      <c r="CC14" s="84"/>
      <c r="CD14" s="84"/>
      <c r="CE14" s="84"/>
      <c r="CF14" s="84"/>
      <c r="CG14" s="84"/>
      <c r="CH14" s="84"/>
      <c r="CI14" s="84"/>
      <c r="CJ14" s="84"/>
      <c r="CK14" s="84"/>
      <c r="CL14" s="84"/>
      <c r="CM14" s="84"/>
      <c r="CN14" s="84"/>
      <c r="CO14" s="84"/>
      <c r="CP14" s="84"/>
      <c r="CQ14" s="84"/>
      <c r="CR14" s="84"/>
      <c r="CS14" s="84"/>
      <c r="CT14" s="84"/>
      <c r="CU14" s="84"/>
      <c r="CV14" s="84"/>
      <c r="CW14" s="84"/>
      <c r="CX14" s="84"/>
      <c r="CY14" s="84"/>
      <c r="CZ14" s="84"/>
      <c r="DA14" s="84"/>
      <c r="DB14" s="84"/>
      <c r="DC14" s="84"/>
      <c r="DD14" s="84"/>
      <c r="DE14" s="84"/>
      <c r="DF14" s="84"/>
      <c r="DG14" s="84"/>
      <c r="DH14" s="84"/>
      <c r="DI14" s="84"/>
      <c r="DJ14" s="84"/>
      <c r="DK14" s="84"/>
      <c r="DL14" s="84"/>
      <c r="DM14" s="84"/>
      <c r="DN14" s="84"/>
      <c r="DO14" s="84"/>
      <c r="DP14" s="84"/>
      <c r="DQ14" s="84"/>
      <c r="DR14" s="84"/>
      <c r="DS14" s="84"/>
      <c r="DT14" s="84"/>
      <c r="DU14" s="84"/>
      <c r="DV14" s="84"/>
      <c r="DW14" s="84"/>
      <c r="DX14" s="84"/>
      <c r="DY14" s="84"/>
      <c r="DZ14" s="84"/>
      <c r="EA14" s="84"/>
      <c r="EB14" s="84"/>
      <c r="EC14" s="84"/>
      <c r="ED14" s="84"/>
      <c r="EE14" s="84"/>
      <c r="EF14" s="84"/>
      <c r="EG14" s="84"/>
      <c r="EH14" s="84"/>
      <c r="EI14" s="84"/>
      <c r="EJ14" s="84"/>
      <c r="EK14" s="84"/>
      <c r="EL14" s="84"/>
      <c r="EM14" s="84"/>
      <c r="EN14" s="84"/>
      <c r="EO14" s="84"/>
      <c r="EP14" s="84"/>
      <c r="EQ14" s="84"/>
      <c r="ER14" s="84"/>
      <c r="ES14" s="84"/>
      <c r="ET14" s="84"/>
      <c r="EU14" s="84"/>
      <c r="EV14" s="84"/>
      <c r="EW14" s="84"/>
      <c r="EX14" s="84"/>
      <c r="EY14" s="84"/>
      <c r="EZ14" s="84"/>
      <c r="FA14" s="84"/>
      <c r="FB14" s="84"/>
      <c r="FC14" s="84"/>
      <c r="FD14" s="84"/>
      <c r="FE14" s="84"/>
      <c r="FF14" s="84"/>
      <c r="FG14" s="84"/>
      <c r="FH14" s="84"/>
      <c r="FI14" s="84"/>
      <c r="FJ14" s="84"/>
      <c r="FK14" s="84"/>
      <c r="FL14" s="84"/>
      <c r="FM14" s="84"/>
      <c r="FN14" s="84"/>
      <c r="FO14" s="84"/>
      <c r="FP14" s="84"/>
      <c r="FQ14" s="84"/>
      <c r="FR14" s="84"/>
      <c r="FS14" s="84"/>
      <c r="FT14" s="84"/>
      <c r="FU14" s="84"/>
      <c r="FV14" s="84"/>
      <c r="FW14" s="84"/>
      <c r="FX14" s="84"/>
      <c r="FY14" s="84"/>
      <c r="FZ14" s="84"/>
      <c r="GA14" s="84"/>
      <c r="GB14" s="84"/>
      <c r="GC14" s="84"/>
      <c r="GD14" s="84"/>
      <c r="GE14" s="84"/>
      <c r="GF14" s="84"/>
      <c r="GG14" s="84"/>
      <c r="GH14" s="84"/>
      <c r="GI14" s="84"/>
      <c r="GJ14" s="84"/>
      <c r="GK14" s="84"/>
      <c r="GL14" s="84"/>
      <c r="GM14" s="84"/>
      <c r="GN14" s="84"/>
      <c r="GO14" s="84"/>
      <c r="GP14" s="84"/>
      <c r="GQ14" s="84"/>
      <c r="GR14" s="84"/>
      <c r="GS14" s="84"/>
      <c r="GT14" s="84"/>
      <c r="GU14" s="84"/>
      <c r="GV14" s="84"/>
      <c r="GW14" s="84"/>
      <c r="GX14" s="84"/>
      <c r="GY14" s="84"/>
      <c r="GZ14" s="84"/>
      <c r="HA14" s="84"/>
      <c r="HB14" s="84"/>
      <c r="HC14" s="84"/>
      <c r="HD14" s="84"/>
      <c r="HE14" s="84"/>
      <c r="HF14" s="84"/>
      <c r="HG14" s="84"/>
      <c r="HH14" s="84"/>
      <c r="HI14" s="84"/>
      <c r="HJ14" s="84"/>
      <c r="HK14" s="84"/>
      <c r="HL14" s="84"/>
      <c r="HM14" s="84"/>
      <c r="HN14" s="84"/>
      <c r="HO14" s="84"/>
      <c r="HP14" s="84"/>
      <c r="HQ14" s="84"/>
      <c r="HR14" s="84"/>
      <c r="HS14" s="84"/>
      <c r="HT14" s="84"/>
      <c r="HU14" s="84"/>
      <c r="HV14" s="84"/>
      <c r="HW14" s="84"/>
      <c r="HX14" s="84"/>
      <c r="HY14" s="84"/>
      <c r="HZ14" s="84"/>
      <c r="IA14" s="84"/>
      <c r="IB14" s="84"/>
      <c r="IC14" s="84"/>
      <c r="ID14" s="84"/>
      <c r="IE14" s="84"/>
      <c r="IF14" s="84"/>
      <c r="IG14" s="84"/>
      <c r="IH14" s="84"/>
      <c r="II14" s="84"/>
      <c r="IJ14" s="84"/>
      <c r="IK14" s="84"/>
      <c r="IL14" s="84"/>
      <c r="IM14" s="84"/>
      <c r="IN14" s="84"/>
      <c r="IO14" s="84"/>
      <c r="IP14" s="84"/>
      <c r="IQ14" s="84"/>
      <c r="IR14" s="84"/>
      <c r="IS14" s="84"/>
      <c r="IT14" s="84"/>
      <c r="IU14" s="84"/>
      <c r="IV14" s="84"/>
      <c r="IW14" s="84"/>
      <c r="IX14" s="84"/>
      <c r="IY14" s="84"/>
      <c r="IZ14" s="84"/>
      <c r="JA14" s="84"/>
      <c r="JB14" s="84"/>
      <c r="JC14" s="84"/>
      <c r="JD14" s="84"/>
      <c r="JE14" s="84"/>
      <c r="JF14" s="84"/>
      <c r="JG14" s="84"/>
      <c r="JH14" s="84"/>
      <c r="JI14" s="84"/>
      <c r="JJ14" s="84"/>
      <c r="JK14" s="84"/>
      <c r="JL14" s="84"/>
      <c r="JM14" s="84"/>
      <c r="JN14" s="84"/>
      <c r="JO14" s="84"/>
      <c r="JP14" s="84"/>
      <c r="JQ14" s="84"/>
      <c r="JR14" s="84"/>
      <c r="JS14" s="84"/>
      <c r="JT14" s="84"/>
      <c r="JU14" s="84"/>
      <c r="JV14" s="84"/>
      <c r="JW14" s="84"/>
      <c r="JX14" s="84"/>
      <c r="JY14" s="84"/>
      <c r="JZ14" s="84"/>
      <c r="KA14" s="84"/>
      <c r="KB14" s="84"/>
      <c r="KC14" s="84"/>
      <c r="KD14" s="84"/>
      <c r="KE14" s="84"/>
      <c r="KF14" s="84"/>
      <c r="KG14" s="84"/>
      <c r="KH14" s="84"/>
      <c r="KI14" s="84"/>
      <c r="KJ14" s="84"/>
      <c r="KK14" s="84"/>
      <c r="KL14" s="84"/>
      <c r="KM14" s="84"/>
      <c r="KN14" s="84"/>
      <c r="KO14" s="84"/>
      <c r="KP14" s="84"/>
      <c r="KQ14" s="84"/>
      <c r="KR14" s="84"/>
      <c r="KS14" s="84"/>
      <c r="KT14" s="84"/>
      <c r="KU14" s="84"/>
      <c r="KV14" s="84"/>
      <c r="KW14" s="84"/>
      <c r="KX14" s="84"/>
      <c r="KY14" s="84"/>
      <c r="KZ14" s="84"/>
      <c r="LA14" s="84"/>
      <c r="LB14" s="84"/>
      <c r="LC14" s="84"/>
      <c r="LD14" s="84"/>
      <c r="LE14" s="84"/>
      <c r="LF14" s="84"/>
      <c r="LG14" s="84"/>
      <c r="LH14" s="84"/>
      <c r="LI14" s="84"/>
      <c r="LJ14" s="84"/>
      <c r="LK14" s="84"/>
      <c r="LL14" s="84"/>
      <c r="LM14" s="84"/>
      <c r="LN14" s="84"/>
      <c r="LO14" s="84"/>
      <c r="LP14" s="84"/>
      <c r="LQ14" s="84"/>
      <c r="LR14" s="84"/>
      <c r="LS14" s="84"/>
      <c r="LT14" s="84"/>
      <c r="LU14" s="84"/>
      <c r="LV14" s="84"/>
      <c r="LW14" s="84"/>
      <c r="LX14" s="84"/>
      <c r="LY14" s="84"/>
      <c r="LZ14" s="84"/>
      <c r="MA14" s="84"/>
      <c r="MB14" s="84"/>
      <c r="MC14" s="84"/>
      <c r="MD14" s="84"/>
      <c r="ME14" s="84"/>
      <c r="MF14" s="84"/>
      <c r="MG14" s="84"/>
      <c r="MH14" s="84"/>
      <c r="MI14" s="84"/>
      <c r="MJ14" s="84"/>
      <c r="MK14" s="84"/>
      <c r="ML14" s="84"/>
      <c r="MM14" s="84"/>
      <c r="MN14" s="84"/>
      <c r="MO14" s="84"/>
      <c r="MP14" s="84"/>
      <c r="MQ14" s="84"/>
      <c r="MR14" s="84"/>
      <c r="MS14" s="84"/>
      <c r="MT14" s="84"/>
      <c r="MU14" s="84"/>
      <c r="MV14" s="84"/>
      <c r="MW14" s="84"/>
      <c r="MX14" s="84"/>
      <c r="MY14" s="84"/>
      <c r="MZ14" s="84"/>
      <c r="NA14" s="84"/>
      <c r="NB14" s="84"/>
      <c r="NC14" s="84"/>
      <c r="ND14" s="84"/>
      <c r="NE14" s="84"/>
      <c r="NF14" s="84"/>
      <c r="NG14" s="84"/>
      <c r="NH14" s="84"/>
      <c r="NI14" s="84"/>
      <c r="NJ14" s="84"/>
      <c r="NK14" s="84"/>
      <c r="NL14" s="84"/>
      <c r="NM14" s="84"/>
      <c r="NN14" s="84"/>
      <c r="NO14" s="84"/>
      <c r="NP14" s="84"/>
      <c r="NQ14" s="84"/>
      <c r="NR14" s="84"/>
      <c r="NS14" s="84"/>
      <c r="NT14" s="84"/>
      <c r="NU14" s="84"/>
      <c r="NV14" s="84"/>
      <c r="NW14" s="84"/>
      <c r="NX14" s="84"/>
      <c r="NY14" s="84"/>
      <c r="NZ14" s="84"/>
      <c r="OA14" s="84"/>
      <c r="OB14" s="84"/>
      <c r="OC14" s="84"/>
      <c r="OD14" s="84"/>
      <c r="OE14" s="84"/>
      <c r="OF14" s="84"/>
      <c r="OG14" s="84"/>
      <c r="OH14" s="84"/>
      <c r="OI14" s="84"/>
      <c r="OJ14" s="84"/>
      <c r="OK14" s="84"/>
      <c r="OL14" s="84"/>
      <c r="OM14" s="84"/>
      <c r="ON14" s="84"/>
      <c r="OO14" s="84"/>
      <c r="OP14" s="84"/>
      <c r="OQ14" s="84"/>
      <c r="OR14" s="84"/>
      <c r="OS14" s="84"/>
      <c r="OT14" s="84"/>
      <c r="OU14" s="84"/>
      <c r="OV14" s="84"/>
      <c r="OW14" s="84"/>
      <c r="OX14" s="84"/>
      <c r="OY14" s="84"/>
      <c r="OZ14" s="84"/>
      <c r="PA14" s="84"/>
      <c r="PB14" s="84"/>
      <c r="PC14" s="84"/>
      <c r="PD14" s="84"/>
      <c r="PE14" s="84"/>
      <c r="PF14" s="84"/>
      <c r="PG14" s="84"/>
      <c r="PH14" s="84"/>
      <c r="PI14" s="84"/>
      <c r="PJ14" s="84"/>
      <c r="PK14" s="84"/>
      <c r="PL14" s="84"/>
      <c r="PM14" s="84"/>
      <c r="PN14" s="84"/>
      <c r="PO14" s="84"/>
      <c r="PP14" s="84"/>
      <c r="PQ14" s="84"/>
      <c r="PR14" s="84"/>
      <c r="PS14" s="84"/>
      <c r="PT14" s="84"/>
      <c r="PU14" s="84"/>
      <c r="PV14" s="84"/>
      <c r="PW14" s="84"/>
      <c r="PX14" s="84"/>
      <c r="PY14" s="84"/>
      <c r="PZ14" s="84"/>
      <c r="QA14" s="84"/>
      <c r="QB14" s="84"/>
      <c r="QC14" s="84"/>
      <c r="QD14" s="84"/>
      <c r="QE14" s="84"/>
      <c r="QF14" s="84"/>
      <c r="QG14" s="84"/>
      <c r="QH14" s="84"/>
      <c r="QI14" s="84"/>
      <c r="QJ14" s="84"/>
      <c r="QK14" s="84"/>
      <c r="QL14" s="84"/>
      <c r="QM14" s="84"/>
      <c r="QN14" s="84"/>
      <c r="QO14" s="84"/>
      <c r="QP14" s="84"/>
      <c r="QQ14" s="84"/>
      <c r="QR14" s="84"/>
      <c r="QS14" s="84"/>
      <c r="QT14" s="84"/>
      <c r="QU14" s="84"/>
      <c r="QV14" s="84"/>
      <c r="QW14" s="84"/>
      <c r="QX14" s="84"/>
      <c r="QY14" s="84"/>
      <c r="QZ14" s="84"/>
      <c r="RA14" s="84"/>
      <c r="RB14" s="84"/>
      <c r="RC14" s="84"/>
      <c r="RD14" s="84"/>
      <c r="RE14" s="84"/>
      <c r="RF14" s="84"/>
      <c r="RG14" s="84"/>
      <c r="RH14" s="84"/>
      <c r="RI14" s="84"/>
      <c r="RJ14" s="84"/>
      <c r="RK14" s="84"/>
      <c r="RL14" s="84"/>
      <c r="RM14" s="84"/>
      <c r="RN14" s="84"/>
      <c r="RO14" s="84"/>
      <c r="RP14" s="84"/>
      <c r="RQ14" s="84"/>
      <c r="RR14" s="84"/>
      <c r="RS14" s="84"/>
      <c r="RT14" s="84"/>
      <c r="RU14" s="84"/>
      <c r="RV14" s="84"/>
      <c r="RW14" s="84"/>
      <c r="RX14" s="84"/>
      <c r="RY14" s="84"/>
      <c r="RZ14" s="84"/>
      <c r="SA14" s="84"/>
      <c r="SB14" s="84"/>
      <c r="SC14" s="84"/>
      <c r="SD14" s="84"/>
      <c r="SE14" s="84"/>
      <c r="SF14" s="84"/>
      <c r="SG14" s="84"/>
      <c r="SH14" s="84"/>
      <c r="SI14" s="84"/>
      <c r="SJ14" s="84"/>
      <c r="SK14" s="84"/>
      <c r="SL14" s="84"/>
      <c r="SM14" s="84"/>
      <c r="SN14" s="84"/>
      <c r="SO14" s="84"/>
      <c r="SP14" s="84"/>
      <c r="SQ14" s="84"/>
      <c r="SR14" s="84"/>
      <c r="SS14" s="84"/>
      <c r="ST14" s="84"/>
      <c r="SU14" s="84"/>
      <c r="SV14" s="84"/>
      <c r="SW14" s="84"/>
      <c r="SX14" s="84"/>
      <c r="SY14" s="84"/>
      <c r="SZ14" s="84"/>
      <c r="TA14" s="84"/>
      <c r="TB14" s="84"/>
      <c r="TC14" s="84"/>
      <c r="TD14" s="84"/>
      <c r="TE14" s="84"/>
      <c r="TF14" s="84"/>
      <c r="TG14" s="84"/>
      <c r="TH14" s="84"/>
      <c r="TI14" s="84"/>
      <c r="TJ14" s="84"/>
      <c r="TK14" s="84"/>
      <c r="TL14" s="84"/>
      <c r="TM14" s="84"/>
      <c r="TN14" s="84"/>
      <c r="TO14" s="84"/>
      <c r="TP14" s="84"/>
      <c r="TQ14" s="84"/>
      <c r="TR14" s="84"/>
      <c r="TS14" s="84"/>
      <c r="TT14" s="84"/>
      <c r="TU14" s="84"/>
      <c r="TV14" s="84"/>
      <c r="TW14" s="84"/>
      <c r="TX14" s="84"/>
      <c r="TY14" s="84"/>
      <c r="TZ14" s="84"/>
      <c r="UA14" s="84"/>
      <c r="UB14" s="84"/>
      <c r="UC14" s="84"/>
      <c r="UD14" s="84"/>
      <c r="UE14" s="84"/>
      <c r="UF14" s="84"/>
      <c r="UG14" s="84"/>
      <c r="UH14" s="84"/>
      <c r="UI14" s="84"/>
      <c r="UJ14" s="84"/>
      <c r="UK14" s="84"/>
      <c r="UL14" s="84"/>
      <c r="UM14" s="84"/>
      <c r="UN14" s="84"/>
      <c r="UO14" s="84"/>
      <c r="UP14" s="84"/>
      <c r="UQ14" s="84"/>
      <c r="UR14" s="84"/>
      <c r="US14" s="84"/>
      <c r="UT14" s="84"/>
      <c r="UU14" s="84"/>
      <c r="UV14" s="84"/>
      <c r="UW14" s="84"/>
      <c r="UX14" s="84"/>
      <c r="UY14" s="84"/>
      <c r="UZ14" s="84"/>
      <c r="VA14" s="84"/>
      <c r="VB14" s="84"/>
      <c r="VC14" s="84"/>
      <c r="VD14" s="84"/>
      <c r="VE14" s="84"/>
      <c r="VF14" s="84"/>
      <c r="VG14" s="84"/>
      <c r="VH14" s="84"/>
      <c r="VI14" s="84"/>
      <c r="VJ14" s="84"/>
      <c r="VK14" s="84"/>
      <c r="VL14" s="84"/>
      <c r="VM14" s="84"/>
      <c r="VN14" s="84"/>
      <c r="VO14" s="84"/>
      <c r="VP14" s="84"/>
      <c r="VQ14" s="84"/>
      <c r="VR14" s="84"/>
      <c r="VS14" s="84"/>
      <c r="VT14" s="84"/>
      <c r="VU14" s="84"/>
      <c r="VV14" s="84"/>
      <c r="VW14" s="84"/>
      <c r="VX14" s="84"/>
      <c r="VY14" s="84"/>
      <c r="VZ14" s="84"/>
      <c r="WA14" s="84"/>
      <c r="WB14" s="84"/>
      <c r="WC14" s="84"/>
      <c r="WD14" s="84"/>
      <c r="WE14" s="84"/>
    </row>
    <row r="15" spans="1:603" s="35" customFormat="1" x14ac:dyDescent="0.4">
      <c r="A15" s="51"/>
      <c r="B15" s="51"/>
      <c r="C15" s="51"/>
      <c r="D15" s="51"/>
      <c r="E15" s="51"/>
      <c r="F15" s="51"/>
      <c r="G15" s="51"/>
      <c r="H15" s="51"/>
      <c r="I15" s="51"/>
      <c r="J15" s="54"/>
      <c r="K15" s="54"/>
      <c r="L15" s="55"/>
      <c r="M15" s="55"/>
      <c r="N15" s="54"/>
      <c r="O15" s="54"/>
      <c r="P15" s="55"/>
      <c r="Q15" s="55"/>
      <c r="R15" s="54"/>
      <c r="S15" s="54"/>
      <c r="T15" s="55"/>
      <c r="U15" s="55"/>
      <c r="V15" s="54"/>
      <c r="W15" s="54"/>
      <c r="X15" s="55"/>
      <c r="Y15" s="55"/>
      <c r="Z15" s="54"/>
      <c r="AA15" s="54"/>
      <c r="AB15" s="55"/>
      <c r="AC15" s="55"/>
      <c r="AD15" s="54"/>
      <c r="AE15" s="54"/>
      <c r="AF15" s="55"/>
      <c r="AG15" s="55"/>
      <c r="AH15" s="54"/>
      <c r="AI15" s="54"/>
      <c r="AJ15" s="55"/>
      <c r="AK15" s="55"/>
      <c r="AL15" s="54"/>
      <c r="AM15" s="54"/>
      <c r="AN15" s="55"/>
      <c r="AO15" s="55"/>
      <c r="AP15" s="54"/>
      <c r="AQ15" s="54"/>
      <c r="AR15" s="55"/>
      <c r="AS15" s="55"/>
      <c r="AT15" s="54"/>
      <c r="AU15" s="54"/>
      <c r="AV15" s="55"/>
      <c r="AW15" s="55"/>
      <c r="AX15" s="54"/>
      <c r="AY15" s="54"/>
      <c r="AZ15" s="55"/>
      <c r="BA15" s="55"/>
      <c r="BB15" s="54"/>
      <c r="BC15" s="54"/>
      <c r="BD15" s="55"/>
      <c r="BE15" s="55"/>
      <c r="BF15" s="54"/>
      <c r="BG15" s="54"/>
      <c r="BH15" s="54"/>
      <c r="BI15" s="54"/>
      <c r="BJ15" s="54"/>
      <c r="BK15" s="54"/>
      <c r="BL15" s="54"/>
      <c r="BM15" s="54"/>
      <c r="BN15" s="54"/>
      <c r="BO15" s="54"/>
      <c r="BP15" s="54"/>
      <c r="BQ15" s="54"/>
      <c r="BR15" s="54"/>
      <c r="BS15" s="54"/>
      <c r="BT15" s="54"/>
      <c r="BU15" s="54"/>
      <c r="BV15" s="54"/>
      <c r="BW15" s="54"/>
      <c r="BX15" s="54"/>
      <c r="BY15" s="54"/>
      <c r="BZ15" s="54"/>
      <c r="CA15" s="54"/>
      <c r="CB15" s="54"/>
      <c r="CC15" s="54"/>
      <c r="CD15" s="54"/>
      <c r="CE15" s="54"/>
      <c r="CF15" s="54"/>
      <c r="CG15" s="54"/>
      <c r="CH15" s="54"/>
      <c r="CI15" s="54"/>
      <c r="CJ15" s="54"/>
      <c r="CK15" s="54"/>
      <c r="CL15" s="54"/>
      <c r="CM15" s="54"/>
      <c r="CN15" s="54"/>
      <c r="CO15" s="54"/>
      <c r="CP15" s="54"/>
      <c r="CQ15" s="54"/>
      <c r="CR15" s="54"/>
      <c r="CS15" s="54"/>
      <c r="CT15" s="54"/>
      <c r="CU15" s="54"/>
      <c r="CV15" s="54"/>
      <c r="CW15" s="54"/>
      <c r="CX15" s="54"/>
      <c r="CY15" s="54"/>
      <c r="CZ15" s="54"/>
      <c r="DA15" s="54"/>
      <c r="DB15" s="54"/>
      <c r="DC15" s="54"/>
      <c r="DD15" s="54"/>
      <c r="DE15" s="54"/>
      <c r="DF15" s="54"/>
      <c r="DG15" s="54"/>
      <c r="DH15" s="54"/>
      <c r="DI15" s="54"/>
      <c r="DJ15" s="54"/>
      <c r="DK15" s="54"/>
      <c r="DL15" s="54"/>
      <c r="DM15" s="54"/>
      <c r="DN15" s="54"/>
      <c r="DO15" s="54"/>
      <c r="DP15" s="54"/>
      <c r="DQ15" s="54"/>
      <c r="DR15" s="54"/>
      <c r="DS15" s="54"/>
      <c r="DT15" s="54"/>
      <c r="DU15" s="54"/>
      <c r="DV15" s="54"/>
      <c r="DW15" s="54"/>
      <c r="DX15" s="54"/>
      <c r="DY15" s="54"/>
      <c r="DZ15" s="54"/>
      <c r="EA15" s="54"/>
      <c r="EB15" s="54"/>
      <c r="EC15" s="54"/>
      <c r="ED15" s="54"/>
      <c r="EE15" s="54"/>
      <c r="EF15" s="54"/>
      <c r="EG15" s="54"/>
      <c r="EH15" s="54"/>
      <c r="EI15" s="54"/>
      <c r="EJ15" s="54"/>
      <c r="EK15" s="54"/>
      <c r="EL15" s="54"/>
      <c r="EM15" s="54"/>
      <c r="EN15" s="54"/>
      <c r="EO15" s="54"/>
      <c r="EP15" s="54"/>
      <c r="EQ15" s="54"/>
      <c r="ER15" s="54"/>
      <c r="ES15" s="54"/>
      <c r="ET15" s="54"/>
      <c r="EU15" s="54"/>
      <c r="EV15" s="54"/>
      <c r="EW15" s="54"/>
      <c r="EX15" s="54"/>
      <c r="EY15" s="54"/>
      <c r="EZ15" s="54"/>
      <c r="FA15" s="54"/>
      <c r="FB15" s="54"/>
      <c r="FC15" s="54"/>
      <c r="FD15" s="54"/>
      <c r="FE15" s="54"/>
      <c r="FF15" s="54"/>
      <c r="FG15" s="54"/>
      <c r="FH15" s="54"/>
      <c r="FI15" s="54"/>
      <c r="FJ15" s="54"/>
      <c r="FK15" s="54"/>
      <c r="FL15" s="54"/>
      <c r="FM15" s="54"/>
      <c r="FN15" s="54"/>
      <c r="FO15" s="54"/>
      <c r="FP15" s="54"/>
      <c r="FQ15" s="54"/>
      <c r="FR15" s="54"/>
      <c r="FS15" s="54"/>
      <c r="FT15" s="54"/>
      <c r="FU15" s="54"/>
      <c r="FV15" s="54"/>
      <c r="FW15" s="54"/>
      <c r="FX15" s="54"/>
      <c r="FY15" s="54"/>
      <c r="FZ15" s="54"/>
      <c r="GA15" s="54"/>
      <c r="GB15" s="54"/>
      <c r="GC15" s="54"/>
      <c r="GD15" s="54"/>
      <c r="GE15" s="54"/>
      <c r="GF15" s="54"/>
      <c r="GG15" s="54"/>
      <c r="GH15" s="54"/>
      <c r="GI15" s="54"/>
      <c r="GJ15" s="54"/>
      <c r="GK15" s="54"/>
      <c r="GL15" s="54"/>
      <c r="GM15" s="54"/>
      <c r="GN15" s="54"/>
      <c r="GO15" s="54"/>
      <c r="GP15" s="54"/>
      <c r="GQ15" s="54"/>
      <c r="GR15" s="54"/>
      <c r="GS15" s="54"/>
      <c r="GT15" s="54"/>
      <c r="GU15" s="54"/>
      <c r="GV15" s="54"/>
      <c r="GW15" s="54"/>
      <c r="GX15" s="54"/>
      <c r="GY15" s="54"/>
      <c r="GZ15" s="54"/>
      <c r="HA15" s="54"/>
      <c r="HB15" s="54"/>
      <c r="HC15" s="54"/>
      <c r="HD15" s="54"/>
      <c r="HE15" s="54"/>
      <c r="HF15" s="54"/>
      <c r="HG15" s="54"/>
      <c r="HH15" s="54"/>
      <c r="HI15" s="54"/>
      <c r="HJ15" s="54"/>
      <c r="HK15" s="54"/>
      <c r="HL15" s="54"/>
      <c r="HM15" s="54"/>
      <c r="HN15" s="54"/>
      <c r="HO15" s="54"/>
      <c r="HP15" s="54"/>
      <c r="HQ15" s="54"/>
      <c r="HR15" s="54"/>
      <c r="HS15" s="54"/>
      <c r="HT15" s="54"/>
      <c r="HU15" s="54"/>
      <c r="HV15" s="54"/>
      <c r="HW15" s="54"/>
      <c r="HX15" s="54"/>
      <c r="HY15" s="54"/>
      <c r="HZ15" s="54"/>
      <c r="IA15" s="54"/>
      <c r="IB15" s="54"/>
      <c r="IC15" s="54"/>
      <c r="ID15" s="54"/>
      <c r="IE15" s="54"/>
      <c r="IF15" s="54"/>
      <c r="IG15" s="54"/>
      <c r="IH15" s="54"/>
      <c r="II15" s="54"/>
      <c r="IJ15" s="54"/>
      <c r="IK15" s="54"/>
      <c r="IL15" s="54"/>
      <c r="IM15" s="54"/>
      <c r="IN15" s="54"/>
      <c r="IO15" s="54"/>
      <c r="IP15" s="54"/>
      <c r="IQ15" s="54"/>
      <c r="IR15" s="54"/>
      <c r="IS15" s="54"/>
      <c r="IT15" s="54"/>
      <c r="IU15" s="54"/>
      <c r="IV15" s="54"/>
      <c r="IW15" s="54"/>
      <c r="IX15" s="54"/>
      <c r="IY15" s="54"/>
      <c r="IZ15" s="54"/>
      <c r="JA15" s="54"/>
      <c r="JB15" s="54"/>
      <c r="JC15" s="54"/>
      <c r="JD15" s="54"/>
      <c r="JE15" s="54"/>
      <c r="JF15" s="54"/>
      <c r="JG15" s="54"/>
      <c r="JH15" s="54"/>
      <c r="JI15" s="54"/>
      <c r="JJ15" s="54"/>
      <c r="JK15" s="54"/>
      <c r="JL15" s="54"/>
      <c r="JM15" s="54"/>
      <c r="JN15" s="54"/>
      <c r="JO15" s="54"/>
      <c r="JP15" s="54"/>
      <c r="JQ15" s="54"/>
      <c r="JR15" s="54"/>
      <c r="JS15" s="54"/>
      <c r="JT15" s="54"/>
      <c r="JU15" s="54"/>
      <c r="JV15" s="54"/>
      <c r="JW15" s="54"/>
      <c r="JX15" s="54"/>
      <c r="JY15" s="54"/>
      <c r="JZ15" s="54"/>
      <c r="KA15" s="54"/>
      <c r="KB15" s="54"/>
      <c r="KC15" s="54"/>
      <c r="KD15" s="54"/>
      <c r="KE15" s="54"/>
      <c r="KF15" s="54"/>
      <c r="KG15" s="54"/>
      <c r="KH15" s="54"/>
      <c r="KI15" s="54"/>
      <c r="KJ15" s="54"/>
      <c r="KK15" s="54"/>
      <c r="KL15" s="54"/>
      <c r="KM15" s="54"/>
      <c r="KN15" s="54"/>
      <c r="KO15" s="54"/>
      <c r="KP15" s="54"/>
      <c r="KQ15" s="54"/>
      <c r="KR15" s="54"/>
      <c r="KS15" s="54"/>
      <c r="KT15" s="54"/>
      <c r="KU15" s="54"/>
      <c r="KV15" s="54"/>
      <c r="KW15" s="54"/>
      <c r="KX15" s="54"/>
      <c r="KY15" s="54"/>
      <c r="KZ15" s="54"/>
      <c r="LA15" s="54"/>
      <c r="LB15" s="54"/>
      <c r="LC15" s="54"/>
      <c r="LD15" s="54"/>
      <c r="LE15" s="54"/>
      <c r="LF15" s="54"/>
      <c r="LG15" s="54"/>
      <c r="LH15" s="54"/>
      <c r="LI15" s="54"/>
      <c r="LJ15" s="54"/>
      <c r="LK15" s="54"/>
      <c r="LL15" s="54"/>
      <c r="LM15" s="54"/>
      <c r="LN15" s="54"/>
      <c r="LO15" s="54"/>
      <c r="LP15" s="54"/>
      <c r="LQ15" s="54"/>
      <c r="LR15" s="54"/>
      <c r="LS15" s="54"/>
      <c r="LT15" s="54"/>
      <c r="LU15" s="54"/>
      <c r="LV15" s="54"/>
      <c r="LW15" s="54"/>
      <c r="LX15" s="54"/>
      <c r="LY15" s="54"/>
      <c r="LZ15" s="54"/>
      <c r="MA15" s="54"/>
      <c r="MB15" s="54"/>
      <c r="MC15" s="54"/>
      <c r="MD15" s="54"/>
      <c r="ME15" s="54"/>
      <c r="MF15" s="54"/>
      <c r="MG15" s="54"/>
      <c r="MH15" s="54"/>
      <c r="MI15" s="54"/>
      <c r="MJ15" s="54"/>
      <c r="MK15" s="54"/>
      <c r="ML15" s="54"/>
      <c r="MM15" s="54"/>
      <c r="MN15" s="54"/>
      <c r="MO15" s="54"/>
      <c r="MP15" s="54"/>
      <c r="MQ15" s="54"/>
      <c r="MR15" s="54"/>
      <c r="MS15" s="54"/>
      <c r="MT15" s="54"/>
      <c r="MU15" s="54"/>
      <c r="MV15" s="54"/>
      <c r="MW15" s="54"/>
      <c r="MX15" s="54"/>
      <c r="MY15" s="54"/>
      <c r="MZ15" s="54"/>
      <c r="NA15" s="54"/>
      <c r="NB15" s="54"/>
      <c r="NC15" s="54"/>
      <c r="ND15" s="54"/>
      <c r="NE15" s="54"/>
      <c r="NF15" s="54"/>
      <c r="NG15" s="54"/>
      <c r="NH15" s="54"/>
      <c r="NI15" s="54"/>
      <c r="NJ15" s="54"/>
      <c r="NK15" s="54"/>
      <c r="NL15" s="54"/>
      <c r="NM15" s="54"/>
      <c r="NN15" s="54"/>
      <c r="NO15" s="54"/>
      <c r="NP15" s="54"/>
      <c r="NQ15" s="54"/>
      <c r="NR15" s="54"/>
      <c r="NS15" s="54"/>
      <c r="NT15" s="54"/>
      <c r="NU15" s="54"/>
      <c r="NV15" s="54"/>
      <c r="NW15" s="54"/>
      <c r="NX15" s="54"/>
      <c r="NY15" s="54"/>
      <c r="NZ15" s="54"/>
      <c r="OA15" s="54"/>
      <c r="OB15" s="54"/>
      <c r="OC15" s="54"/>
      <c r="OD15" s="54"/>
      <c r="OE15" s="54"/>
      <c r="OF15" s="54"/>
      <c r="OG15" s="54"/>
      <c r="OH15" s="54"/>
      <c r="OI15" s="54"/>
      <c r="OJ15" s="54"/>
      <c r="OK15" s="54"/>
      <c r="OL15" s="54"/>
      <c r="OM15" s="54"/>
      <c r="ON15" s="54"/>
      <c r="OO15" s="54"/>
      <c r="OP15" s="54"/>
      <c r="OQ15" s="54"/>
      <c r="OR15" s="54"/>
      <c r="OS15" s="54"/>
      <c r="OT15" s="54"/>
      <c r="OU15" s="54"/>
      <c r="OV15" s="54"/>
      <c r="OW15" s="54"/>
      <c r="OX15" s="54"/>
      <c r="OY15" s="54"/>
      <c r="OZ15" s="54"/>
      <c r="PA15" s="54"/>
      <c r="PB15" s="54"/>
      <c r="PC15" s="54"/>
      <c r="PD15" s="54"/>
      <c r="PE15" s="54"/>
      <c r="PF15" s="54"/>
      <c r="PG15" s="54"/>
      <c r="PH15" s="54"/>
      <c r="PI15" s="54"/>
      <c r="PJ15" s="54"/>
      <c r="PK15" s="54"/>
      <c r="PL15" s="54"/>
      <c r="PM15" s="54"/>
      <c r="PN15" s="54"/>
      <c r="PO15" s="54"/>
      <c r="PP15" s="54"/>
      <c r="PQ15" s="54"/>
      <c r="PR15" s="54"/>
      <c r="PS15" s="54"/>
      <c r="PT15" s="54"/>
      <c r="PU15" s="54"/>
      <c r="PV15" s="54"/>
      <c r="PW15" s="54"/>
      <c r="PX15" s="54"/>
      <c r="PY15" s="54"/>
      <c r="PZ15" s="54"/>
      <c r="QA15" s="54"/>
      <c r="QB15" s="54"/>
      <c r="QC15" s="54"/>
      <c r="QD15" s="54"/>
      <c r="QE15" s="54"/>
      <c r="QF15" s="54"/>
      <c r="QG15" s="54"/>
      <c r="QH15" s="54"/>
      <c r="QI15" s="54"/>
      <c r="QJ15" s="54"/>
      <c r="QK15" s="54"/>
      <c r="QL15" s="54"/>
      <c r="QM15" s="54"/>
      <c r="QN15" s="54"/>
      <c r="QO15" s="54"/>
      <c r="QP15" s="54"/>
      <c r="QQ15" s="54"/>
      <c r="QR15" s="54"/>
      <c r="QS15" s="54"/>
      <c r="QT15" s="54"/>
      <c r="QU15" s="54"/>
      <c r="QV15" s="54"/>
      <c r="QW15" s="54"/>
      <c r="QX15" s="54"/>
      <c r="QY15" s="54"/>
      <c r="QZ15" s="54"/>
      <c r="RA15" s="54"/>
      <c r="RB15" s="54"/>
      <c r="RC15" s="54"/>
      <c r="RD15" s="54"/>
      <c r="RE15" s="54"/>
      <c r="RF15" s="54"/>
      <c r="RG15" s="54"/>
      <c r="RH15" s="54"/>
      <c r="RI15" s="54"/>
      <c r="RJ15" s="54"/>
      <c r="RK15" s="54"/>
      <c r="RL15" s="54"/>
      <c r="RM15" s="54"/>
      <c r="RN15" s="54"/>
      <c r="RO15" s="54"/>
      <c r="RP15" s="54"/>
      <c r="RQ15" s="54"/>
      <c r="RR15" s="54"/>
      <c r="RS15" s="54"/>
      <c r="RT15" s="54"/>
      <c r="RU15" s="54"/>
      <c r="RV15" s="54"/>
      <c r="RW15" s="54"/>
      <c r="RX15" s="54"/>
      <c r="RY15" s="54"/>
      <c r="RZ15" s="54"/>
      <c r="SA15" s="54"/>
      <c r="SB15" s="54"/>
      <c r="SC15" s="54"/>
      <c r="SD15" s="54"/>
      <c r="SE15" s="54"/>
      <c r="SF15" s="54"/>
      <c r="SG15" s="54"/>
      <c r="SH15" s="54"/>
      <c r="SI15" s="54"/>
      <c r="SJ15" s="54"/>
      <c r="SK15" s="54"/>
      <c r="SL15" s="54"/>
      <c r="SM15" s="54"/>
      <c r="SN15" s="54"/>
      <c r="SO15" s="54"/>
      <c r="SP15" s="54"/>
      <c r="SQ15" s="54"/>
      <c r="SR15" s="54"/>
      <c r="SS15" s="54"/>
      <c r="ST15" s="54"/>
      <c r="SU15" s="54"/>
      <c r="SV15" s="54"/>
      <c r="SW15" s="54"/>
      <c r="SX15" s="54"/>
      <c r="SY15" s="54"/>
      <c r="SZ15" s="54"/>
      <c r="TA15" s="54"/>
      <c r="TB15" s="54"/>
      <c r="TC15" s="54"/>
      <c r="TD15" s="54"/>
      <c r="TE15" s="54"/>
      <c r="TF15" s="54"/>
      <c r="TG15" s="54"/>
      <c r="TH15" s="54"/>
      <c r="TI15" s="54"/>
      <c r="TJ15" s="54"/>
      <c r="TK15" s="54"/>
      <c r="TL15" s="54"/>
      <c r="TM15" s="54"/>
      <c r="TN15" s="54"/>
      <c r="TO15" s="54"/>
      <c r="TP15" s="54"/>
      <c r="TQ15" s="54"/>
      <c r="TR15" s="54"/>
      <c r="TS15" s="54"/>
      <c r="TT15" s="54"/>
      <c r="TU15" s="54"/>
      <c r="TV15" s="54"/>
      <c r="TW15" s="54"/>
      <c r="TX15" s="54"/>
      <c r="TY15" s="54"/>
      <c r="TZ15" s="54"/>
      <c r="UA15" s="54"/>
      <c r="UB15" s="54"/>
      <c r="UC15" s="54"/>
      <c r="UD15" s="54"/>
      <c r="UE15" s="54"/>
      <c r="UF15" s="54"/>
      <c r="UG15" s="54"/>
      <c r="UH15" s="54"/>
      <c r="UI15" s="54"/>
      <c r="UJ15" s="54"/>
      <c r="UK15" s="54"/>
      <c r="UL15" s="54"/>
      <c r="UM15" s="54"/>
      <c r="UN15" s="54"/>
      <c r="UO15" s="54"/>
      <c r="UP15" s="54"/>
      <c r="UQ15" s="54"/>
      <c r="UR15" s="54"/>
      <c r="US15" s="54"/>
      <c r="UT15" s="54"/>
      <c r="UU15" s="54"/>
      <c r="UV15" s="54"/>
      <c r="UW15" s="54"/>
      <c r="UX15" s="54"/>
      <c r="UY15" s="54"/>
      <c r="UZ15" s="54"/>
      <c r="VA15" s="54"/>
      <c r="VB15" s="54"/>
      <c r="VC15" s="54"/>
      <c r="VD15" s="54"/>
      <c r="VE15" s="54"/>
      <c r="VF15" s="54"/>
      <c r="VG15" s="54"/>
      <c r="VH15" s="54"/>
      <c r="VI15" s="54"/>
      <c r="VJ15" s="54"/>
      <c r="VK15" s="54"/>
      <c r="VL15" s="54"/>
      <c r="VM15" s="54"/>
      <c r="VN15" s="54"/>
      <c r="VO15" s="54"/>
      <c r="VP15" s="54"/>
      <c r="VQ15" s="54"/>
      <c r="VR15" s="54"/>
      <c r="VS15" s="54"/>
      <c r="VT15" s="54"/>
      <c r="VU15" s="54"/>
      <c r="VV15" s="54"/>
      <c r="VW15" s="54"/>
      <c r="VX15" s="54"/>
      <c r="VY15" s="54"/>
      <c r="VZ15" s="54"/>
      <c r="WA15" s="54"/>
      <c r="WB15" s="54"/>
      <c r="WC15" s="54"/>
      <c r="WD15" s="54"/>
      <c r="WE15" s="54"/>
    </row>
    <row r="16" spans="1:603" s="35" customFormat="1" x14ac:dyDescent="0.4">
      <c r="A16" s="51"/>
      <c r="B16" s="51"/>
      <c r="C16" s="51"/>
      <c r="D16" s="51"/>
      <c r="E16" s="51"/>
      <c r="F16" s="51"/>
      <c r="G16" s="51"/>
      <c r="H16" s="51"/>
      <c r="I16" s="51"/>
      <c r="J16" s="54"/>
      <c r="K16" s="54"/>
      <c r="L16" s="55"/>
      <c r="M16" s="55"/>
      <c r="N16" s="54"/>
      <c r="O16" s="54"/>
      <c r="P16" s="55"/>
      <c r="Q16" s="55"/>
      <c r="R16" s="54"/>
      <c r="S16" s="54"/>
      <c r="T16" s="55"/>
      <c r="U16" s="55"/>
      <c r="V16" s="54"/>
      <c r="W16" s="54"/>
      <c r="X16" s="55"/>
      <c r="Y16" s="55"/>
      <c r="Z16" s="54"/>
      <c r="AA16" s="54"/>
      <c r="AB16" s="55"/>
      <c r="AC16" s="55"/>
      <c r="AD16" s="54"/>
      <c r="AE16" s="54"/>
      <c r="AF16" s="55"/>
      <c r="AG16" s="55"/>
      <c r="AH16" s="54"/>
      <c r="AI16" s="54"/>
      <c r="AJ16" s="55"/>
      <c r="AK16" s="55"/>
      <c r="AL16" s="54"/>
      <c r="AM16" s="54"/>
      <c r="AN16" s="55"/>
      <c r="AO16" s="55"/>
      <c r="AP16" s="54"/>
      <c r="AQ16" s="54"/>
      <c r="AR16" s="55"/>
      <c r="AS16" s="55"/>
      <c r="AT16" s="54"/>
      <c r="AU16" s="54"/>
      <c r="AV16" s="55"/>
      <c r="AW16" s="55"/>
      <c r="AX16" s="54"/>
      <c r="AY16" s="54"/>
      <c r="AZ16" s="55"/>
      <c r="BA16" s="55"/>
      <c r="BB16" s="54"/>
      <c r="BC16" s="54"/>
      <c r="BD16" s="55"/>
      <c r="BE16" s="55"/>
      <c r="BF16" s="54"/>
      <c r="BG16" s="54"/>
      <c r="BH16" s="54"/>
      <c r="BI16" s="54"/>
      <c r="BJ16" s="54"/>
      <c r="BK16" s="54"/>
      <c r="BL16" s="54"/>
      <c r="BM16" s="54"/>
      <c r="BN16" s="54"/>
      <c r="BO16" s="54"/>
      <c r="BP16" s="54"/>
      <c r="BQ16" s="54"/>
      <c r="BR16" s="54"/>
      <c r="BS16" s="54"/>
      <c r="BT16" s="54"/>
      <c r="BU16" s="54"/>
      <c r="BV16" s="54"/>
      <c r="BW16" s="54"/>
      <c r="BX16" s="54"/>
      <c r="BY16" s="54"/>
      <c r="BZ16" s="54"/>
      <c r="CA16" s="54"/>
      <c r="CB16" s="54"/>
      <c r="CC16" s="54"/>
      <c r="CD16" s="54"/>
      <c r="CE16" s="54"/>
      <c r="CF16" s="54"/>
      <c r="CG16" s="54"/>
      <c r="CH16" s="54"/>
      <c r="CI16" s="54"/>
      <c r="CJ16" s="54"/>
      <c r="CK16" s="54"/>
      <c r="CL16" s="54"/>
      <c r="CM16" s="54"/>
      <c r="CN16" s="54"/>
      <c r="CO16" s="54"/>
      <c r="CP16" s="54"/>
      <c r="CQ16" s="54"/>
      <c r="CR16" s="54"/>
      <c r="CS16" s="54"/>
      <c r="CT16" s="54"/>
      <c r="CU16" s="54"/>
      <c r="CV16" s="54"/>
      <c r="CW16" s="54"/>
      <c r="CX16" s="54"/>
      <c r="CY16" s="54"/>
      <c r="CZ16" s="54"/>
      <c r="DA16" s="54"/>
      <c r="DB16" s="54"/>
      <c r="DC16" s="54"/>
      <c r="DD16" s="54"/>
      <c r="DE16" s="54"/>
      <c r="DF16" s="54"/>
      <c r="DG16" s="54"/>
      <c r="DH16" s="54"/>
      <c r="DI16" s="54"/>
      <c r="DJ16" s="54"/>
      <c r="DK16" s="54"/>
      <c r="DL16" s="54"/>
      <c r="DM16" s="54"/>
      <c r="DN16" s="54"/>
      <c r="DO16" s="54"/>
      <c r="DP16" s="54"/>
      <c r="DQ16" s="54"/>
      <c r="DR16" s="54"/>
      <c r="DS16" s="54"/>
      <c r="DT16" s="54"/>
      <c r="DU16" s="54"/>
      <c r="DV16" s="54"/>
      <c r="DW16" s="54"/>
      <c r="DX16" s="54"/>
      <c r="DY16" s="54"/>
      <c r="DZ16" s="54"/>
      <c r="EA16" s="54"/>
      <c r="EB16" s="54"/>
      <c r="EC16" s="54"/>
      <c r="ED16" s="54"/>
      <c r="EE16" s="54"/>
      <c r="EF16" s="54"/>
      <c r="EG16" s="54"/>
      <c r="EH16" s="54"/>
      <c r="EI16" s="54"/>
      <c r="EJ16" s="54"/>
      <c r="EK16" s="54"/>
      <c r="EL16" s="54"/>
      <c r="EM16" s="54"/>
      <c r="EN16" s="54"/>
      <c r="EO16" s="54"/>
      <c r="EP16" s="54"/>
      <c r="EQ16" s="54"/>
      <c r="ER16" s="54"/>
      <c r="ES16" s="54"/>
      <c r="ET16" s="54"/>
      <c r="EU16" s="54"/>
      <c r="EV16" s="54"/>
      <c r="EW16" s="54"/>
      <c r="EX16" s="54"/>
      <c r="EY16" s="54"/>
      <c r="EZ16" s="54"/>
      <c r="FA16" s="54"/>
      <c r="FB16" s="54"/>
      <c r="FC16" s="54"/>
      <c r="FD16" s="54"/>
      <c r="FE16" s="54"/>
      <c r="FF16" s="54"/>
      <c r="FG16" s="54"/>
      <c r="FH16" s="54"/>
      <c r="FI16" s="54"/>
      <c r="FJ16" s="54"/>
      <c r="FK16" s="54"/>
      <c r="FL16" s="54"/>
      <c r="FM16" s="54"/>
      <c r="FN16" s="54"/>
      <c r="FO16" s="54"/>
      <c r="FP16" s="54"/>
      <c r="FQ16" s="54"/>
      <c r="FR16" s="54"/>
      <c r="FS16" s="54"/>
      <c r="FT16" s="54"/>
      <c r="FU16" s="54"/>
      <c r="FV16" s="54"/>
      <c r="FW16" s="54"/>
      <c r="FX16" s="54"/>
      <c r="FY16" s="54"/>
      <c r="FZ16" s="54"/>
      <c r="GA16" s="54"/>
      <c r="GB16" s="54"/>
      <c r="GC16" s="54"/>
      <c r="GD16" s="54"/>
      <c r="GE16" s="54"/>
      <c r="GF16" s="54"/>
      <c r="GG16" s="54"/>
      <c r="GH16" s="54"/>
      <c r="GI16" s="54"/>
      <c r="GJ16" s="54"/>
      <c r="GK16" s="54"/>
      <c r="GL16" s="54"/>
      <c r="GM16" s="54"/>
      <c r="GN16" s="54"/>
      <c r="GO16" s="54"/>
      <c r="GP16" s="54"/>
      <c r="GQ16" s="54"/>
      <c r="GR16" s="54"/>
      <c r="GS16" s="54"/>
      <c r="GT16" s="54"/>
      <c r="GU16" s="54"/>
      <c r="GV16" s="54"/>
      <c r="GW16" s="54"/>
      <c r="GX16" s="54"/>
      <c r="GY16" s="54"/>
      <c r="GZ16" s="54"/>
      <c r="HA16" s="54"/>
      <c r="HB16" s="54"/>
      <c r="HC16" s="54"/>
      <c r="HD16" s="54"/>
      <c r="HE16" s="54"/>
      <c r="HF16" s="54"/>
      <c r="HG16" s="54"/>
      <c r="HH16" s="54"/>
      <c r="HI16" s="54"/>
      <c r="HJ16" s="54"/>
      <c r="HK16" s="54"/>
      <c r="HL16" s="54"/>
      <c r="HM16" s="54"/>
      <c r="HN16" s="54"/>
      <c r="HO16" s="54"/>
      <c r="HP16" s="54"/>
      <c r="HQ16" s="54"/>
      <c r="HR16" s="54"/>
      <c r="HS16" s="54"/>
      <c r="HT16" s="54"/>
      <c r="HU16" s="54"/>
      <c r="HV16" s="54"/>
      <c r="HW16" s="54"/>
      <c r="HX16" s="54"/>
      <c r="HY16" s="54"/>
      <c r="HZ16" s="54"/>
      <c r="IA16" s="54"/>
      <c r="IB16" s="54"/>
      <c r="IC16" s="54"/>
      <c r="ID16" s="54"/>
      <c r="IE16" s="54"/>
      <c r="IF16" s="54"/>
      <c r="IG16" s="54"/>
      <c r="IH16" s="54"/>
      <c r="II16" s="54"/>
      <c r="IJ16" s="54"/>
      <c r="IK16" s="54"/>
      <c r="IL16" s="54"/>
      <c r="IM16" s="54"/>
      <c r="IN16" s="54"/>
      <c r="IO16" s="54"/>
      <c r="IP16" s="54"/>
      <c r="IQ16" s="54"/>
      <c r="IR16" s="54"/>
      <c r="IS16" s="54"/>
      <c r="IT16" s="54"/>
      <c r="IU16" s="54"/>
      <c r="IV16" s="54"/>
      <c r="IW16" s="54"/>
      <c r="IX16" s="54"/>
      <c r="IY16" s="54"/>
      <c r="IZ16" s="54"/>
      <c r="JA16" s="54"/>
      <c r="JB16" s="54"/>
      <c r="JC16" s="54"/>
      <c r="JD16" s="54"/>
      <c r="JE16" s="54"/>
      <c r="JF16" s="54"/>
      <c r="JG16" s="54"/>
      <c r="JH16" s="54"/>
      <c r="JI16" s="54"/>
      <c r="JJ16" s="54"/>
      <c r="JK16" s="54"/>
      <c r="JL16" s="54"/>
      <c r="JM16" s="54"/>
      <c r="JN16" s="54"/>
      <c r="JO16" s="54"/>
      <c r="JP16" s="54"/>
      <c r="JQ16" s="54"/>
      <c r="JR16" s="54"/>
      <c r="JS16" s="54"/>
      <c r="JT16" s="54"/>
      <c r="JU16" s="54"/>
      <c r="JV16" s="54"/>
      <c r="JW16" s="54"/>
      <c r="JX16" s="54"/>
      <c r="JY16" s="54"/>
      <c r="JZ16" s="54"/>
      <c r="KA16" s="54"/>
      <c r="KB16" s="54"/>
      <c r="KC16" s="54"/>
      <c r="KD16" s="54"/>
      <c r="KE16" s="54"/>
      <c r="KF16" s="54"/>
      <c r="KG16" s="54"/>
      <c r="KH16" s="54"/>
      <c r="KI16" s="54"/>
      <c r="KJ16" s="54"/>
      <c r="KK16" s="54"/>
      <c r="KL16" s="54"/>
      <c r="KM16" s="54"/>
      <c r="KN16" s="54"/>
      <c r="KO16" s="54"/>
      <c r="KP16" s="54"/>
      <c r="KQ16" s="54"/>
      <c r="KR16" s="54"/>
      <c r="KS16" s="54"/>
      <c r="KT16" s="54"/>
      <c r="KU16" s="54"/>
      <c r="KV16" s="54"/>
      <c r="KW16" s="54"/>
      <c r="KX16" s="54"/>
      <c r="KY16" s="54"/>
      <c r="KZ16" s="54"/>
      <c r="LA16" s="54"/>
      <c r="LB16" s="54"/>
      <c r="LC16" s="54"/>
      <c r="LD16" s="54"/>
      <c r="LE16" s="54"/>
      <c r="LF16" s="54"/>
      <c r="LG16" s="54"/>
      <c r="LH16" s="54"/>
      <c r="LI16" s="54"/>
      <c r="LJ16" s="54"/>
      <c r="LK16" s="54"/>
      <c r="LL16" s="54"/>
      <c r="LM16" s="54"/>
      <c r="LN16" s="54"/>
      <c r="LO16" s="54"/>
      <c r="LP16" s="54"/>
      <c r="LQ16" s="54"/>
      <c r="LR16" s="54"/>
      <c r="LS16" s="54"/>
      <c r="LT16" s="54"/>
      <c r="LU16" s="54"/>
      <c r="LV16" s="54"/>
      <c r="LW16" s="54"/>
      <c r="LX16" s="54"/>
      <c r="LY16" s="54"/>
      <c r="LZ16" s="54"/>
      <c r="MA16" s="54"/>
      <c r="MB16" s="54"/>
      <c r="MC16" s="54"/>
      <c r="MD16" s="54"/>
      <c r="ME16" s="54"/>
      <c r="MF16" s="54"/>
      <c r="MG16" s="54"/>
      <c r="MH16" s="54"/>
      <c r="MI16" s="54"/>
      <c r="MJ16" s="54"/>
      <c r="MK16" s="54"/>
      <c r="ML16" s="54"/>
      <c r="MM16" s="54"/>
      <c r="MN16" s="54"/>
      <c r="MO16" s="54"/>
      <c r="MP16" s="54"/>
      <c r="MQ16" s="54"/>
      <c r="MR16" s="54"/>
      <c r="MS16" s="54"/>
      <c r="MT16" s="54"/>
      <c r="MU16" s="54"/>
      <c r="MV16" s="54"/>
      <c r="MW16" s="54"/>
      <c r="MX16" s="54"/>
      <c r="MY16" s="54"/>
      <c r="MZ16" s="54"/>
      <c r="NA16" s="54"/>
      <c r="NB16" s="54"/>
      <c r="NC16" s="54"/>
      <c r="ND16" s="54"/>
      <c r="NE16" s="54"/>
      <c r="NF16" s="54"/>
      <c r="NG16" s="54"/>
      <c r="NH16" s="54"/>
      <c r="NI16" s="54"/>
      <c r="NJ16" s="54"/>
      <c r="NK16" s="54"/>
      <c r="NL16" s="54"/>
      <c r="NM16" s="54"/>
      <c r="NN16" s="54"/>
      <c r="NO16" s="54"/>
      <c r="NP16" s="54"/>
      <c r="NQ16" s="54"/>
      <c r="NR16" s="54"/>
      <c r="NS16" s="54"/>
      <c r="NT16" s="54"/>
      <c r="NU16" s="54"/>
      <c r="NV16" s="54"/>
      <c r="NW16" s="54"/>
      <c r="NX16" s="54"/>
      <c r="NY16" s="54"/>
      <c r="NZ16" s="54"/>
      <c r="OA16" s="54"/>
      <c r="OB16" s="54"/>
      <c r="OC16" s="54"/>
      <c r="OD16" s="54"/>
      <c r="OE16" s="54"/>
      <c r="OF16" s="54"/>
      <c r="OG16" s="54"/>
      <c r="OH16" s="54"/>
      <c r="OI16" s="54"/>
      <c r="OJ16" s="54"/>
      <c r="OK16" s="54"/>
      <c r="OL16" s="54"/>
      <c r="OM16" s="54"/>
      <c r="ON16" s="54"/>
      <c r="OO16" s="54"/>
      <c r="OP16" s="54"/>
      <c r="OQ16" s="54"/>
      <c r="OR16" s="54"/>
      <c r="OS16" s="54"/>
      <c r="OT16" s="54"/>
      <c r="OU16" s="54"/>
      <c r="OV16" s="54"/>
      <c r="OW16" s="54"/>
      <c r="OX16" s="54"/>
      <c r="OY16" s="54"/>
      <c r="OZ16" s="54"/>
      <c r="PA16" s="54"/>
      <c r="PB16" s="54"/>
      <c r="PC16" s="54"/>
      <c r="PD16" s="54"/>
      <c r="PE16" s="54"/>
      <c r="PF16" s="54"/>
      <c r="PG16" s="54"/>
      <c r="PH16" s="54"/>
      <c r="PI16" s="54"/>
      <c r="PJ16" s="54"/>
      <c r="PK16" s="54"/>
      <c r="PL16" s="54"/>
      <c r="PM16" s="54"/>
      <c r="PN16" s="54"/>
      <c r="PO16" s="54"/>
      <c r="PP16" s="54"/>
      <c r="PQ16" s="54"/>
      <c r="PR16" s="54"/>
      <c r="PS16" s="54"/>
      <c r="PT16" s="54"/>
      <c r="PU16" s="54"/>
      <c r="PV16" s="54"/>
      <c r="PW16" s="54"/>
      <c r="PX16" s="54"/>
      <c r="PY16" s="54"/>
      <c r="PZ16" s="54"/>
      <c r="QA16" s="54"/>
      <c r="QB16" s="54"/>
      <c r="QC16" s="54"/>
      <c r="QD16" s="54"/>
      <c r="QE16" s="54"/>
      <c r="QF16" s="54"/>
      <c r="QG16" s="54"/>
      <c r="QH16" s="54"/>
      <c r="QI16" s="54"/>
      <c r="QJ16" s="54"/>
      <c r="QK16" s="54"/>
      <c r="QL16" s="54"/>
      <c r="QM16" s="54"/>
      <c r="QN16" s="54"/>
      <c r="QO16" s="54"/>
      <c r="QP16" s="54"/>
      <c r="QQ16" s="54"/>
      <c r="QR16" s="54"/>
      <c r="QS16" s="54"/>
      <c r="QT16" s="54"/>
      <c r="QU16" s="54"/>
      <c r="QV16" s="54"/>
      <c r="QW16" s="54"/>
      <c r="QX16" s="54"/>
      <c r="QY16" s="54"/>
      <c r="QZ16" s="54"/>
      <c r="RA16" s="54"/>
      <c r="RB16" s="54"/>
      <c r="RC16" s="54"/>
      <c r="RD16" s="54"/>
      <c r="RE16" s="54"/>
      <c r="RF16" s="54"/>
      <c r="RG16" s="54"/>
      <c r="RH16" s="54"/>
      <c r="RI16" s="54"/>
      <c r="RJ16" s="54"/>
      <c r="RK16" s="54"/>
      <c r="RL16" s="54"/>
      <c r="RM16" s="54"/>
      <c r="RN16" s="54"/>
      <c r="RO16" s="54"/>
      <c r="RP16" s="54"/>
      <c r="RQ16" s="54"/>
      <c r="RR16" s="54"/>
      <c r="RS16" s="54"/>
      <c r="RT16" s="54"/>
      <c r="RU16" s="54"/>
      <c r="RV16" s="54"/>
      <c r="RW16" s="54"/>
      <c r="RX16" s="54"/>
      <c r="RY16" s="54"/>
      <c r="RZ16" s="54"/>
      <c r="SA16" s="54"/>
      <c r="SB16" s="54"/>
      <c r="SC16" s="54"/>
      <c r="SD16" s="54"/>
      <c r="SE16" s="54"/>
      <c r="SF16" s="54"/>
      <c r="SG16" s="54"/>
      <c r="SH16" s="54"/>
      <c r="SI16" s="54"/>
      <c r="SJ16" s="54"/>
      <c r="SK16" s="54"/>
      <c r="SL16" s="54"/>
      <c r="SM16" s="54"/>
      <c r="SN16" s="54"/>
      <c r="SO16" s="54"/>
      <c r="SP16" s="54"/>
      <c r="SQ16" s="54"/>
      <c r="SR16" s="54"/>
      <c r="SS16" s="54"/>
      <c r="ST16" s="54"/>
      <c r="SU16" s="54"/>
      <c r="SV16" s="54"/>
      <c r="SW16" s="54"/>
      <c r="SX16" s="54"/>
      <c r="SY16" s="54"/>
      <c r="SZ16" s="54"/>
      <c r="TA16" s="54"/>
      <c r="TB16" s="54"/>
      <c r="TC16" s="54"/>
      <c r="TD16" s="54"/>
      <c r="TE16" s="54"/>
      <c r="TF16" s="54"/>
      <c r="TG16" s="54"/>
      <c r="TH16" s="54"/>
      <c r="TI16" s="54"/>
      <c r="TJ16" s="54"/>
      <c r="TK16" s="54"/>
      <c r="TL16" s="54"/>
      <c r="TM16" s="54"/>
      <c r="TN16" s="54"/>
      <c r="TO16" s="54"/>
      <c r="TP16" s="54"/>
      <c r="TQ16" s="54"/>
      <c r="TR16" s="54"/>
      <c r="TS16" s="54"/>
      <c r="TT16" s="54"/>
      <c r="TU16" s="54"/>
      <c r="TV16" s="54"/>
      <c r="TW16" s="54"/>
      <c r="TX16" s="54"/>
      <c r="TY16" s="54"/>
      <c r="TZ16" s="54"/>
      <c r="UA16" s="54"/>
      <c r="UB16" s="54"/>
      <c r="UC16" s="54"/>
      <c r="UD16" s="54"/>
      <c r="UE16" s="54"/>
      <c r="UF16" s="54"/>
      <c r="UG16" s="54"/>
      <c r="UH16" s="54"/>
      <c r="UI16" s="54"/>
      <c r="UJ16" s="54"/>
      <c r="UK16" s="54"/>
      <c r="UL16" s="54"/>
      <c r="UM16" s="54"/>
      <c r="UN16" s="54"/>
      <c r="UO16" s="54"/>
      <c r="UP16" s="54"/>
      <c r="UQ16" s="54"/>
      <c r="UR16" s="54"/>
      <c r="US16" s="54"/>
      <c r="UT16" s="54"/>
      <c r="UU16" s="54"/>
      <c r="UV16" s="54"/>
      <c r="UW16" s="54"/>
      <c r="UX16" s="54"/>
      <c r="UY16" s="54"/>
      <c r="UZ16" s="54"/>
      <c r="VA16" s="54"/>
      <c r="VB16" s="54"/>
      <c r="VC16" s="54"/>
      <c r="VD16" s="54"/>
      <c r="VE16" s="54"/>
      <c r="VF16" s="54"/>
      <c r="VG16" s="54"/>
      <c r="VH16" s="54"/>
      <c r="VI16" s="54"/>
      <c r="VJ16" s="54"/>
      <c r="VK16" s="54"/>
      <c r="VL16" s="54"/>
      <c r="VM16" s="54"/>
      <c r="VN16" s="54"/>
      <c r="VO16" s="54"/>
      <c r="VP16" s="54"/>
      <c r="VQ16" s="54"/>
      <c r="VR16" s="54"/>
      <c r="VS16" s="54"/>
      <c r="VT16" s="54"/>
      <c r="VU16" s="54"/>
      <c r="VV16" s="54"/>
      <c r="VW16" s="54"/>
      <c r="VX16" s="54"/>
      <c r="VY16" s="54"/>
      <c r="VZ16" s="54"/>
      <c r="WA16" s="54"/>
      <c r="WB16" s="54"/>
      <c r="WC16" s="54"/>
      <c r="WD16" s="54"/>
      <c r="WE16" s="54"/>
    </row>
    <row r="17" spans="1:603" s="35" customFormat="1" x14ac:dyDescent="0.4">
      <c r="A17" s="51"/>
      <c r="B17" s="51"/>
      <c r="C17" s="51"/>
      <c r="D17" s="51"/>
      <c r="E17" s="51"/>
      <c r="F17" s="51"/>
      <c r="G17" s="51"/>
      <c r="H17" s="51"/>
      <c r="I17" s="51"/>
      <c r="J17" s="54"/>
      <c r="K17" s="54"/>
      <c r="L17" s="55"/>
      <c r="M17" s="55"/>
      <c r="N17" s="54"/>
      <c r="O17" s="54"/>
      <c r="P17" s="55"/>
      <c r="Q17" s="55"/>
      <c r="R17" s="54"/>
      <c r="S17" s="54"/>
      <c r="T17" s="55"/>
      <c r="U17" s="55"/>
      <c r="V17" s="54"/>
      <c r="W17" s="54"/>
      <c r="X17" s="55"/>
      <c r="Y17" s="55"/>
      <c r="Z17" s="54"/>
      <c r="AA17" s="54"/>
      <c r="AB17" s="55"/>
      <c r="AC17" s="55"/>
      <c r="AD17" s="54"/>
      <c r="AE17" s="54"/>
      <c r="AF17" s="55"/>
      <c r="AG17" s="55"/>
      <c r="AH17" s="54"/>
      <c r="AI17" s="54"/>
      <c r="AJ17" s="55"/>
      <c r="AK17" s="55"/>
      <c r="AL17" s="54"/>
      <c r="AM17" s="54"/>
      <c r="AN17" s="55"/>
      <c r="AO17" s="55"/>
      <c r="AP17" s="54"/>
      <c r="AQ17" s="54"/>
      <c r="AR17" s="55"/>
      <c r="AS17" s="55"/>
      <c r="AT17" s="54"/>
      <c r="AU17" s="54"/>
      <c r="AV17" s="55"/>
      <c r="AW17" s="55"/>
      <c r="AX17" s="54"/>
      <c r="AY17" s="54"/>
      <c r="AZ17" s="55"/>
      <c r="BA17" s="55"/>
      <c r="BB17" s="54"/>
      <c r="BC17" s="54"/>
      <c r="BD17" s="55"/>
      <c r="BE17" s="55"/>
      <c r="BF17" s="54"/>
      <c r="BG17" s="54"/>
      <c r="BH17" s="54"/>
      <c r="BI17" s="54"/>
      <c r="BJ17" s="54"/>
      <c r="BK17" s="54"/>
      <c r="BL17" s="54"/>
      <c r="BM17" s="54"/>
      <c r="BN17" s="54"/>
      <c r="BO17" s="54"/>
      <c r="BP17" s="54"/>
      <c r="BQ17" s="54"/>
      <c r="BR17" s="54"/>
      <c r="BS17" s="54"/>
      <c r="BT17" s="54"/>
      <c r="BU17" s="54"/>
      <c r="BV17" s="54"/>
      <c r="BW17" s="54"/>
      <c r="BX17" s="54"/>
      <c r="BY17" s="54"/>
      <c r="BZ17" s="54"/>
      <c r="CA17" s="54"/>
      <c r="CB17" s="54"/>
      <c r="CC17" s="54"/>
      <c r="CD17" s="54"/>
      <c r="CE17" s="54"/>
      <c r="CF17" s="54"/>
      <c r="CG17" s="54"/>
      <c r="CH17" s="54"/>
      <c r="CI17" s="54"/>
      <c r="CJ17" s="54"/>
      <c r="CK17" s="54"/>
      <c r="CL17" s="54"/>
      <c r="CM17" s="54"/>
      <c r="CN17" s="54"/>
      <c r="CO17" s="54"/>
      <c r="CP17" s="54"/>
      <c r="CQ17" s="54"/>
      <c r="CR17" s="54"/>
      <c r="CS17" s="54"/>
      <c r="CT17" s="54"/>
      <c r="CU17" s="54"/>
      <c r="CV17" s="54"/>
      <c r="CW17" s="54"/>
      <c r="CX17" s="54"/>
      <c r="CY17" s="54"/>
      <c r="CZ17" s="54"/>
      <c r="DA17" s="54"/>
      <c r="DB17" s="54"/>
      <c r="DC17" s="54"/>
      <c r="DD17" s="54"/>
      <c r="DE17" s="54"/>
      <c r="DF17" s="54"/>
      <c r="DG17" s="54"/>
      <c r="DH17" s="54"/>
      <c r="DI17" s="54"/>
      <c r="DJ17" s="54"/>
      <c r="DK17" s="54"/>
      <c r="DL17" s="54"/>
      <c r="DM17" s="54"/>
      <c r="DN17" s="54"/>
      <c r="DO17" s="54"/>
      <c r="DP17" s="54"/>
      <c r="DQ17" s="54"/>
      <c r="DR17" s="54"/>
      <c r="DS17" s="54"/>
      <c r="DT17" s="54"/>
      <c r="DU17" s="54"/>
      <c r="DV17" s="54"/>
      <c r="DW17" s="54"/>
      <c r="DX17" s="54"/>
      <c r="DY17" s="54"/>
      <c r="DZ17" s="54"/>
      <c r="EA17" s="54"/>
      <c r="EB17" s="54"/>
      <c r="EC17" s="54"/>
      <c r="ED17" s="54"/>
      <c r="EE17" s="54"/>
      <c r="EF17" s="54"/>
      <c r="EG17" s="54"/>
      <c r="EH17" s="54"/>
      <c r="EI17" s="54"/>
      <c r="EJ17" s="54"/>
      <c r="EK17" s="54"/>
      <c r="EL17" s="54"/>
      <c r="EM17" s="54"/>
      <c r="EN17" s="54"/>
      <c r="EO17" s="54"/>
      <c r="EP17" s="54"/>
      <c r="EQ17" s="54"/>
      <c r="ER17" s="54"/>
      <c r="ES17" s="54"/>
      <c r="ET17" s="54"/>
      <c r="EU17" s="54"/>
      <c r="EV17" s="54"/>
      <c r="EW17" s="54"/>
      <c r="EX17" s="54"/>
      <c r="EY17" s="54"/>
      <c r="EZ17" s="54"/>
      <c r="FA17" s="54"/>
      <c r="FB17" s="54"/>
      <c r="FC17" s="54"/>
      <c r="FD17" s="54"/>
      <c r="FE17" s="54"/>
      <c r="FF17" s="54"/>
      <c r="FG17" s="54"/>
      <c r="FH17" s="54"/>
      <c r="FI17" s="54"/>
      <c r="FJ17" s="54"/>
      <c r="FK17" s="54"/>
      <c r="FL17" s="54"/>
      <c r="FM17" s="54"/>
      <c r="FN17" s="54"/>
      <c r="FO17" s="54"/>
      <c r="FP17" s="54"/>
      <c r="FQ17" s="54"/>
      <c r="FR17" s="54"/>
      <c r="FS17" s="54"/>
      <c r="FT17" s="54"/>
      <c r="FU17" s="54"/>
      <c r="FV17" s="54"/>
      <c r="FW17" s="54"/>
      <c r="FX17" s="54"/>
      <c r="FY17" s="54"/>
      <c r="FZ17" s="54"/>
      <c r="GA17" s="54"/>
      <c r="GB17" s="54"/>
      <c r="GC17" s="54"/>
      <c r="GD17" s="54"/>
      <c r="GE17" s="54"/>
      <c r="GF17" s="54"/>
      <c r="GG17" s="54"/>
      <c r="GH17" s="54"/>
      <c r="GI17" s="54"/>
      <c r="GJ17" s="54"/>
      <c r="GK17" s="54"/>
      <c r="GL17" s="54"/>
      <c r="GM17" s="54"/>
      <c r="GN17" s="54"/>
      <c r="GO17" s="54"/>
      <c r="GP17" s="54"/>
      <c r="GQ17" s="54"/>
      <c r="GR17" s="54"/>
      <c r="GS17" s="54"/>
      <c r="GT17" s="54"/>
      <c r="GU17" s="54"/>
      <c r="GV17" s="54"/>
      <c r="GW17" s="54"/>
      <c r="GX17" s="54"/>
      <c r="GY17" s="54"/>
      <c r="GZ17" s="54"/>
      <c r="HA17" s="54"/>
      <c r="HB17" s="54"/>
      <c r="HC17" s="54"/>
      <c r="HD17" s="54"/>
      <c r="HE17" s="54"/>
      <c r="HF17" s="54"/>
      <c r="HG17" s="54"/>
      <c r="HH17" s="54"/>
      <c r="HI17" s="54"/>
      <c r="HJ17" s="54"/>
      <c r="HK17" s="54"/>
      <c r="HL17" s="54"/>
      <c r="HM17" s="54"/>
      <c r="HN17" s="54"/>
      <c r="HO17" s="54"/>
      <c r="HP17" s="54"/>
      <c r="HQ17" s="54"/>
      <c r="HR17" s="54"/>
      <c r="HS17" s="54"/>
      <c r="HT17" s="54"/>
      <c r="HU17" s="54"/>
      <c r="HV17" s="54"/>
      <c r="HW17" s="54"/>
      <c r="HX17" s="54"/>
      <c r="HY17" s="54"/>
      <c r="HZ17" s="54"/>
      <c r="IA17" s="54"/>
      <c r="IB17" s="54"/>
      <c r="IC17" s="54"/>
      <c r="ID17" s="54"/>
      <c r="IE17" s="54"/>
      <c r="IF17" s="54"/>
      <c r="IG17" s="54"/>
      <c r="IH17" s="54"/>
      <c r="II17" s="54"/>
      <c r="IJ17" s="54"/>
      <c r="IK17" s="54"/>
      <c r="IL17" s="54"/>
      <c r="IM17" s="54"/>
      <c r="IN17" s="54"/>
      <c r="IO17" s="54"/>
      <c r="IP17" s="54"/>
      <c r="IQ17" s="54"/>
      <c r="IR17" s="54"/>
      <c r="IS17" s="54"/>
      <c r="IT17" s="54"/>
      <c r="IU17" s="54"/>
      <c r="IV17" s="54"/>
      <c r="IW17" s="54"/>
      <c r="IX17" s="54"/>
      <c r="IY17" s="54"/>
      <c r="IZ17" s="54"/>
      <c r="JA17" s="54"/>
      <c r="JB17" s="54"/>
      <c r="JC17" s="54"/>
      <c r="JD17" s="54"/>
      <c r="JE17" s="54"/>
      <c r="JF17" s="54"/>
      <c r="JG17" s="54"/>
      <c r="JH17" s="54"/>
      <c r="JI17" s="54"/>
      <c r="JJ17" s="54"/>
      <c r="JK17" s="54"/>
      <c r="JL17" s="54"/>
      <c r="JM17" s="54"/>
      <c r="JN17" s="54"/>
      <c r="JO17" s="54"/>
      <c r="JP17" s="54"/>
      <c r="JQ17" s="54"/>
      <c r="JR17" s="54"/>
      <c r="JS17" s="54"/>
      <c r="JT17" s="54"/>
      <c r="JU17" s="54"/>
      <c r="JV17" s="54"/>
      <c r="JW17" s="54"/>
      <c r="JX17" s="54"/>
      <c r="JY17" s="54"/>
      <c r="JZ17" s="54"/>
      <c r="KA17" s="54"/>
      <c r="KB17" s="54"/>
      <c r="KC17" s="54"/>
      <c r="KD17" s="54"/>
      <c r="KE17" s="54"/>
      <c r="KF17" s="54"/>
      <c r="KG17" s="54"/>
      <c r="KH17" s="54"/>
      <c r="KI17" s="54"/>
      <c r="KJ17" s="54"/>
      <c r="KK17" s="54"/>
      <c r="KL17" s="54"/>
      <c r="KM17" s="54"/>
      <c r="KN17" s="54"/>
      <c r="KO17" s="54"/>
      <c r="KP17" s="54"/>
      <c r="KQ17" s="54"/>
      <c r="KR17" s="54"/>
      <c r="KS17" s="54"/>
      <c r="KT17" s="54"/>
      <c r="KU17" s="54"/>
      <c r="KV17" s="54"/>
      <c r="KW17" s="54"/>
      <c r="KX17" s="54"/>
      <c r="KY17" s="54"/>
      <c r="KZ17" s="54"/>
      <c r="LA17" s="54"/>
      <c r="LB17" s="54"/>
      <c r="LC17" s="54"/>
      <c r="LD17" s="54"/>
      <c r="LE17" s="54"/>
      <c r="LF17" s="54"/>
      <c r="LG17" s="54"/>
      <c r="LH17" s="54"/>
      <c r="LI17" s="54"/>
      <c r="LJ17" s="54"/>
      <c r="LK17" s="54"/>
      <c r="LL17" s="54"/>
      <c r="LM17" s="54"/>
      <c r="LN17" s="54"/>
      <c r="LO17" s="54"/>
      <c r="LP17" s="54"/>
      <c r="LQ17" s="54"/>
      <c r="LR17" s="54"/>
      <c r="LS17" s="54"/>
      <c r="LT17" s="54"/>
      <c r="LU17" s="54"/>
      <c r="LV17" s="54"/>
      <c r="LW17" s="54"/>
      <c r="LX17" s="54"/>
      <c r="LY17" s="54"/>
      <c r="LZ17" s="54"/>
      <c r="MA17" s="54"/>
      <c r="MB17" s="54"/>
      <c r="MC17" s="54"/>
      <c r="MD17" s="54"/>
      <c r="ME17" s="54"/>
      <c r="MF17" s="54"/>
      <c r="MG17" s="54"/>
      <c r="MH17" s="54"/>
      <c r="MI17" s="54"/>
      <c r="MJ17" s="54"/>
      <c r="MK17" s="54"/>
      <c r="ML17" s="54"/>
      <c r="MM17" s="54"/>
      <c r="MN17" s="54"/>
      <c r="MO17" s="54"/>
      <c r="MP17" s="54"/>
      <c r="MQ17" s="54"/>
      <c r="MR17" s="54"/>
      <c r="MS17" s="54"/>
      <c r="MT17" s="54"/>
      <c r="MU17" s="54"/>
      <c r="MV17" s="54"/>
      <c r="MW17" s="54"/>
      <c r="MX17" s="54"/>
      <c r="MY17" s="54"/>
      <c r="MZ17" s="54"/>
      <c r="NA17" s="54"/>
      <c r="NB17" s="54"/>
      <c r="NC17" s="54"/>
      <c r="ND17" s="54"/>
      <c r="NE17" s="54"/>
      <c r="NF17" s="54"/>
      <c r="NG17" s="54"/>
      <c r="NH17" s="54"/>
      <c r="NI17" s="54"/>
      <c r="NJ17" s="54"/>
      <c r="NK17" s="54"/>
      <c r="NL17" s="54"/>
      <c r="NM17" s="54"/>
      <c r="NN17" s="54"/>
      <c r="NO17" s="54"/>
      <c r="NP17" s="54"/>
      <c r="NQ17" s="54"/>
      <c r="NR17" s="54"/>
      <c r="NS17" s="54"/>
      <c r="NT17" s="54"/>
      <c r="NU17" s="54"/>
      <c r="NV17" s="54"/>
      <c r="NW17" s="54"/>
      <c r="NX17" s="54"/>
      <c r="NY17" s="54"/>
      <c r="NZ17" s="54"/>
      <c r="OA17" s="54"/>
      <c r="OB17" s="54"/>
      <c r="OC17" s="54"/>
      <c r="OD17" s="54"/>
      <c r="OE17" s="54"/>
      <c r="OF17" s="54"/>
      <c r="OG17" s="54"/>
      <c r="OH17" s="54"/>
      <c r="OI17" s="54"/>
      <c r="OJ17" s="54"/>
      <c r="OK17" s="54"/>
      <c r="OL17" s="54"/>
      <c r="OM17" s="54"/>
      <c r="ON17" s="54"/>
      <c r="OO17" s="54"/>
      <c r="OP17" s="54"/>
      <c r="OQ17" s="54"/>
      <c r="OR17" s="54"/>
      <c r="OS17" s="54"/>
      <c r="OT17" s="54"/>
      <c r="OU17" s="54"/>
      <c r="OV17" s="54"/>
      <c r="OW17" s="54"/>
      <c r="OX17" s="54"/>
      <c r="OY17" s="54"/>
      <c r="OZ17" s="54"/>
      <c r="PA17" s="54"/>
      <c r="PB17" s="54"/>
      <c r="PC17" s="54"/>
      <c r="PD17" s="54"/>
      <c r="PE17" s="54"/>
      <c r="PF17" s="54"/>
      <c r="PG17" s="54"/>
      <c r="PH17" s="54"/>
      <c r="PI17" s="54"/>
      <c r="PJ17" s="54"/>
      <c r="PK17" s="54"/>
      <c r="PL17" s="54"/>
      <c r="PM17" s="54"/>
      <c r="PN17" s="54"/>
      <c r="PO17" s="54"/>
      <c r="PP17" s="54"/>
      <c r="PQ17" s="54"/>
      <c r="PR17" s="54"/>
      <c r="PS17" s="54"/>
      <c r="PT17" s="54"/>
      <c r="PU17" s="54"/>
      <c r="PV17" s="54"/>
      <c r="PW17" s="54"/>
      <c r="PX17" s="54"/>
      <c r="PY17" s="54"/>
      <c r="PZ17" s="54"/>
      <c r="QA17" s="54"/>
      <c r="QB17" s="54"/>
      <c r="QC17" s="54"/>
      <c r="QD17" s="54"/>
      <c r="QE17" s="54"/>
      <c r="QF17" s="54"/>
      <c r="QG17" s="54"/>
      <c r="QH17" s="54"/>
      <c r="QI17" s="54"/>
      <c r="QJ17" s="54"/>
      <c r="QK17" s="54"/>
      <c r="QL17" s="54"/>
      <c r="QM17" s="54"/>
      <c r="QN17" s="54"/>
      <c r="QO17" s="54"/>
      <c r="QP17" s="54"/>
      <c r="QQ17" s="54"/>
      <c r="QR17" s="54"/>
      <c r="QS17" s="54"/>
      <c r="QT17" s="54"/>
      <c r="QU17" s="54"/>
      <c r="QV17" s="54"/>
      <c r="QW17" s="54"/>
      <c r="QX17" s="54"/>
      <c r="QY17" s="54"/>
      <c r="QZ17" s="54"/>
      <c r="RA17" s="54"/>
      <c r="RB17" s="54"/>
      <c r="RC17" s="54"/>
      <c r="RD17" s="54"/>
      <c r="RE17" s="54"/>
      <c r="RF17" s="54"/>
      <c r="RG17" s="54"/>
      <c r="RH17" s="54"/>
      <c r="RI17" s="54"/>
      <c r="RJ17" s="54"/>
      <c r="RK17" s="54"/>
      <c r="RL17" s="54"/>
      <c r="RM17" s="54"/>
      <c r="RN17" s="54"/>
      <c r="RO17" s="54"/>
      <c r="RP17" s="54"/>
      <c r="RQ17" s="54"/>
      <c r="RR17" s="54"/>
      <c r="RS17" s="54"/>
      <c r="RT17" s="54"/>
      <c r="RU17" s="54"/>
      <c r="RV17" s="54"/>
      <c r="RW17" s="54"/>
      <c r="RX17" s="54"/>
      <c r="RY17" s="54"/>
      <c r="RZ17" s="54"/>
      <c r="SA17" s="54"/>
      <c r="SB17" s="54"/>
      <c r="SC17" s="54"/>
      <c r="SD17" s="54"/>
      <c r="SE17" s="54"/>
      <c r="SF17" s="54"/>
      <c r="SG17" s="54"/>
      <c r="SH17" s="54"/>
      <c r="SI17" s="54"/>
      <c r="SJ17" s="54"/>
      <c r="SK17" s="54"/>
      <c r="SL17" s="54"/>
      <c r="SM17" s="54"/>
      <c r="SN17" s="54"/>
      <c r="SO17" s="54"/>
      <c r="SP17" s="54"/>
      <c r="SQ17" s="54"/>
      <c r="SR17" s="54"/>
      <c r="SS17" s="54"/>
      <c r="ST17" s="54"/>
      <c r="SU17" s="54"/>
      <c r="SV17" s="54"/>
      <c r="SW17" s="54"/>
      <c r="SX17" s="54"/>
      <c r="SY17" s="54"/>
      <c r="SZ17" s="54"/>
      <c r="TA17" s="54"/>
      <c r="TB17" s="54"/>
      <c r="TC17" s="54"/>
      <c r="TD17" s="54"/>
      <c r="TE17" s="54"/>
      <c r="TF17" s="54"/>
      <c r="TG17" s="54"/>
      <c r="TH17" s="54"/>
      <c r="TI17" s="54"/>
      <c r="TJ17" s="54"/>
      <c r="TK17" s="54"/>
      <c r="TL17" s="54"/>
      <c r="TM17" s="54"/>
      <c r="TN17" s="54"/>
      <c r="TO17" s="54"/>
      <c r="TP17" s="54"/>
      <c r="TQ17" s="54"/>
      <c r="TR17" s="54"/>
      <c r="TS17" s="54"/>
      <c r="TT17" s="54"/>
      <c r="TU17" s="54"/>
      <c r="TV17" s="54"/>
      <c r="TW17" s="54"/>
      <c r="TX17" s="54"/>
      <c r="TY17" s="54"/>
      <c r="TZ17" s="54"/>
      <c r="UA17" s="54"/>
      <c r="UB17" s="54"/>
      <c r="UC17" s="54"/>
      <c r="UD17" s="54"/>
      <c r="UE17" s="54"/>
      <c r="UF17" s="54"/>
      <c r="UG17" s="54"/>
      <c r="UH17" s="54"/>
      <c r="UI17" s="54"/>
      <c r="UJ17" s="54"/>
      <c r="UK17" s="54"/>
      <c r="UL17" s="54"/>
      <c r="UM17" s="54"/>
      <c r="UN17" s="54"/>
      <c r="UO17" s="54"/>
      <c r="UP17" s="54"/>
      <c r="UQ17" s="54"/>
      <c r="UR17" s="54"/>
      <c r="US17" s="54"/>
      <c r="UT17" s="54"/>
      <c r="UU17" s="54"/>
      <c r="UV17" s="54"/>
      <c r="UW17" s="54"/>
      <c r="UX17" s="54"/>
      <c r="UY17" s="54"/>
      <c r="UZ17" s="54"/>
      <c r="VA17" s="54"/>
      <c r="VB17" s="54"/>
      <c r="VC17" s="54"/>
      <c r="VD17" s="54"/>
      <c r="VE17" s="54"/>
      <c r="VF17" s="54"/>
      <c r="VG17" s="54"/>
      <c r="VH17" s="54"/>
      <c r="VI17" s="54"/>
      <c r="VJ17" s="54"/>
      <c r="VK17" s="54"/>
      <c r="VL17" s="54"/>
      <c r="VM17" s="54"/>
      <c r="VN17" s="54"/>
      <c r="VO17" s="54"/>
      <c r="VP17" s="54"/>
      <c r="VQ17" s="54"/>
      <c r="VR17" s="54"/>
      <c r="VS17" s="54"/>
      <c r="VT17" s="54"/>
      <c r="VU17" s="54"/>
      <c r="VV17" s="54"/>
      <c r="VW17" s="54"/>
      <c r="VX17" s="54"/>
      <c r="VY17" s="54"/>
      <c r="VZ17" s="54"/>
      <c r="WA17" s="54"/>
      <c r="WB17" s="54"/>
      <c r="WC17" s="54"/>
      <c r="WD17" s="54"/>
      <c r="WE17" s="54"/>
    </row>
    <row r="18" spans="1:603" s="35" customFormat="1" x14ac:dyDescent="0.4">
      <c r="A18" s="51"/>
      <c r="B18" s="51"/>
      <c r="C18" s="51"/>
      <c r="D18" s="51"/>
      <c r="E18" s="51"/>
      <c r="F18" s="51"/>
      <c r="G18" s="51"/>
      <c r="H18" s="51"/>
      <c r="I18" s="51"/>
      <c r="J18" s="54"/>
      <c r="K18" s="54"/>
      <c r="L18" s="55"/>
      <c r="M18" s="55"/>
      <c r="N18" s="54"/>
      <c r="O18" s="54"/>
      <c r="P18" s="55"/>
      <c r="Q18" s="55"/>
      <c r="R18" s="54"/>
      <c r="S18" s="54"/>
      <c r="T18" s="55"/>
      <c r="U18" s="55"/>
      <c r="V18" s="54"/>
      <c r="W18" s="54"/>
      <c r="X18" s="55"/>
      <c r="Y18" s="55"/>
      <c r="Z18" s="54"/>
      <c r="AA18" s="54"/>
      <c r="AB18" s="55"/>
      <c r="AC18" s="55"/>
      <c r="AD18" s="54"/>
      <c r="AE18" s="54"/>
      <c r="AF18" s="55"/>
      <c r="AG18" s="55"/>
      <c r="AH18" s="54"/>
      <c r="AI18" s="54"/>
      <c r="AJ18" s="55"/>
      <c r="AK18" s="55"/>
      <c r="AL18" s="54"/>
      <c r="AM18" s="54"/>
      <c r="AN18" s="55"/>
      <c r="AO18" s="55"/>
      <c r="AP18" s="54"/>
      <c r="AQ18" s="54"/>
      <c r="AR18" s="55"/>
      <c r="AS18" s="55"/>
      <c r="AT18" s="54"/>
      <c r="AU18" s="54"/>
      <c r="AV18" s="55"/>
      <c r="AW18" s="55"/>
      <c r="AX18" s="54"/>
      <c r="AY18" s="54"/>
      <c r="AZ18" s="55"/>
      <c r="BA18" s="55"/>
      <c r="BB18" s="54"/>
      <c r="BC18" s="54"/>
      <c r="BD18" s="55"/>
      <c r="BE18" s="55"/>
      <c r="BF18" s="54"/>
      <c r="BG18" s="54"/>
      <c r="BH18" s="54"/>
      <c r="BI18" s="54"/>
      <c r="BJ18" s="54"/>
      <c r="BK18" s="54"/>
      <c r="BL18" s="54"/>
      <c r="BM18" s="54"/>
      <c r="BN18" s="54"/>
      <c r="BO18" s="54"/>
      <c r="BP18" s="54"/>
      <c r="BQ18" s="54"/>
      <c r="BR18" s="54"/>
      <c r="BS18" s="54"/>
      <c r="BT18" s="54"/>
      <c r="BU18" s="54"/>
      <c r="BV18" s="54"/>
      <c r="BW18" s="54"/>
      <c r="BX18" s="54"/>
      <c r="BY18" s="54"/>
      <c r="BZ18" s="54"/>
      <c r="CA18" s="54"/>
      <c r="CB18" s="54"/>
      <c r="CC18" s="54"/>
      <c r="CD18" s="54"/>
      <c r="CE18" s="54"/>
      <c r="CF18" s="54"/>
      <c r="CG18" s="54"/>
      <c r="CH18" s="54"/>
      <c r="CI18" s="54"/>
      <c r="CJ18" s="54"/>
      <c r="CK18" s="54"/>
      <c r="CL18" s="54"/>
      <c r="CM18" s="54"/>
      <c r="CN18" s="54"/>
      <c r="CO18" s="54"/>
      <c r="CP18" s="54"/>
      <c r="CQ18" s="54"/>
      <c r="CR18" s="54"/>
      <c r="CS18" s="54"/>
      <c r="CT18" s="54"/>
      <c r="CU18" s="54"/>
      <c r="CV18" s="54"/>
      <c r="CW18" s="54"/>
      <c r="CX18" s="54"/>
      <c r="CY18" s="54"/>
      <c r="CZ18" s="54"/>
      <c r="DA18" s="54"/>
      <c r="DB18" s="54"/>
      <c r="DC18" s="54"/>
      <c r="DD18" s="54"/>
      <c r="DE18" s="54"/>
      <c r="DF18" s="54"/>
      <c r="DG18" s="54"/>
      <c r="DH18" s="54"/>
      <c r="DI18" s="54"/>
      <c r="DJ18" s="54"/>
      <c r="DK18" s="54"/>
      <c r="DL18" s="54"/>
      <c r="DM18" s="54"/>
      <c r="DN18" s="54"/>
      <c r="DO18" s="54"/>
      <c r="DP18" s="54"/>
      <c r="DQ18" s="54"/>
      <c r="DR18" s="54"/>
      <c r="DS18" s="54"/>
      <c r="DT18" s="54"/>
      <c r="DU18" s="54"/>
      <c r="DV18" s="54"/>
      <c r="DW18" s="54"/>
      <c r="DX18" s="54"/>
      <c r="DY18" s="54"/>
      <c r="DZ18" s="54"/>
      <c r="EA18" s="54"/>
      <c r="EB18" s="54"/>
      <c r="EC18" s="54"/>
      <c r="ED18" s="54"/>
      <c r="EE18" s="54"/>
      <c r="EF18" s="54"/>
      <c r="EG18" s="54"/>
      <c r="EH18" s="54"/>
      <c r="EI18" s="54"/>
      <c r="EJ18" s="54"/>
      <c r="EK18" s="54"/>
      <c r="EL18" s="54"/>
      <c r="EM18" s="54"/>
      <c r="EN18" s="54"/>
      <c r="EO18" s="54"/>
      <c r="EP18" s="54"/>
      <c r="EQ18" s="54"/>
      <c r="ER18" s="54"/>
      <c r="ES18" s="54"/>
      <c r="ET18" s="54"/>
      <c r="EU18" s="54"/>
      <c r="EV18" s="54"/>
      <c r="EW18" s="54"/>
      <c r="EX18" s="54"/>
      <c r="EY18" s="54"/>
      <c r="EZ18" s="54"/>
      <c r="FA18" s="54"/>
      <c r="FB18" s="54"/>
      <c r="FC18" s="54"/>
      <c r="FD18" s="54"/>
      <c r="FE18" s="54"/>
      <c r="FF18" s="54"/>
      <c r="FG18" s="54"/>
      <c r="FH18" s="54"/>
      <c r="FI18" s="54"/>
      <c r="FJ18" s="54"/>
      <c r="FK18" s="54"/>
      <c r="FL18" s="54"/>
      <c r="FM18" s="54"/>
      <c r="FN18" s="54"/>
      <c r="FO18" s="54"/>
      <c r="FP18" s="54"/>
      <c r="FQ18" s="54"/>
      <c r="FR18" s="54"/>
      <c r="FS18" s="54"/>
      <c r="FT18" s="54"/>
      <c r="FU18" s="54"/>
      <c r="FV18" s="54"/>
      <c r="FW18" s="54"/>
      <c r="FX18" s="54"/>
      <c r="FY18" s="54"/>
      <c r="FZ18" s="54"/>
      <c r="GA18" s="54"/>
      <c r="GB18" s="54"/>
      <c r="GC18" s="54"/>
      <c r="GD18" s="54"/>
      <c r="GE18" s="54"/>
      <c r="GF18" s="54"/>
      <c r="GG18" s="54"/>
      <c r="GH18" s="54"/>
      <c r="GI18" s="54"/>
      <c r="GJ18" s="54"/>
      <c r="GK18" s="54"/>
      <c r="GL18" s="54"/>
      <c r="GM18" s="54"/>
      <c r="GN18" s="54"/>
      <c r="GO18" s="54"/>
      <c r="GP18" s="54"/>
      <c r="GQ18" s="54"/>
      <c r="GR18" s="54"/>
      <c r="GS18" s="54"/>
      <c r="GT18" s="54"/>
      <c r="GU18" s="54"/>
      <c r="GV18" s="54"/>
      <c r="GW18" s="54"/>
      <c r="GX18" s="54"/>
      <c r="GY18" s="54"/>
      <c r="GZ18" s="54"/>
      <c r="HA18" s="54"/>
      <c r="HB18" s="54"/>
      <c r="HC18" s="54"/>
      <c r="HD18" s="54"/>
      <c r="HE18" s="54"/>
      <c r="HF18" s="54"/>
      <c r="HG18" s="54"/>
      <c r="HH18" s="54"/>
      <c r="HI18" s="54"/>
      <c r="HJ18" s="54"/>
      <c r="HK18" s="54"/>
      <c r="HL18" s="54"/>
      <c r="HM18" s="54"/>
      <c r="HN18" s="54"/>
      <c r="HO18" s="54"/>
      <c r="HP18" s="54"/>
      <c r="HQ18" s="54"/>
      <c r="HR18" s="54"/>
      <c r="HS18" s="54"/>
      <c r="HT18" s="54"/>
      <c r="HU18" s="54"/>
      <c r="HV18" s="54"/>
      <c r="HW18" s="54"/>
      <c r="HX18" s="54"/>
      <c r="HY18" s="54"/>
      <c r="HZ18" s="54"/>
      <c r="IA18" s="54"/>
      <c r="IB18" s="54"/>
      <c r="IC18" s="54"/>
      <c r="ID18" s="54"/>
      <c r="IE18" s="54"/>
      <c r="IF18" s="54"/>
      <c r="IG18" s="54"/>
      <c r="IH18" s="54"/>
      <c r="II18" s="54"/>
      <c r="IJ18" s="54"/>
      <c r="IK18" s="54"/>
      <c r="IL18" s="54"/>
      <c r="IM18" s="54"/>
      <c r="IN18" s="54"/>
      <c r="IO18" s="54"/>
      <c r="IP18" s="54"/>
      <c r="IQ18" s="54"/>
      <c r="IR18" s="54"/>
      <c r="IS18" s="54"/>
      <c r="IT18" s="54"/>
      <c r="IU18" s="54"/>
      <c r="IV18" s="54"/>
      <c r="IW18" s="54"/>
      <c r="IX18" s="54"/>
      <c r="IY18" s="54"/>
      <c r="IZ18" s="54"/>
      <c r="JA18" s="54"/>
      <c r="JB18" s="54"/>
      <c r="JC18" s="54"/>
      <c r="JD18" s="54"/>
      <c r="JE18" s="54"/>
      <c r="JF18" s="54"/>
      <c r="JG18" s="54"/>
      <c r="JH18" s="54"/>
      <c r="JI18" s="54"/>
      <c r="JJ18" s="54"/>
      <c r="JK18" s="54"/>
      <c r="JL18" s="54"/>
      <c r="JM18" s="54"/>
      <c r="JN18" s="54"/>
      <c r="JO18" s="54"/>
      <c r="JP18" s="54"/>
      <c r="JQ18" s="54"/>
      <c r="JR18" s="54"/>
      <c r="JS18" s="54"/>
      <c r="JT18" s="54"/>
      <c r="JU18" s="54"/>
      <c r="JV18" s="54"/>
      <c r="JW18" s="54"/>
      <c r="JX18" s="54"/>
      <c r="JY18" s="54"/>
      <c r="JZ18" s="54"/>
      <c r="KA18" s="54"/>
      <c r="KB18" s="54"/>
      <c r="KC18" s="54"/>
      <c r="KD18" s="54"/>
      <c r="KE18" s="54"/>
      <c r="KF18" s="54"/>
      <c r="KG18" s="54"/>
      <c r="KH18" s="54"/>
      <c r="KI18" s="54"/>
      <c r="KJ18" s="54"/>
      <c r="KK18" s="54"/>
      <c r="KL18" s="54"/>
      <c r="KM18" s="54"/>
      <c r="KN18" s="54"/>
      <c r="KO18" s="54"/>
      <c r="KP18" s="54"/>
      <c r="KQ18" s="54"/>
      <c r="KR18" s="54"/>
      <c r="KS18" s="54"/>
      <c r="KT18" s="54"/>
      <c r="KU18" s="54"/>
      <c r="KV18" s="54"/>
      <c r="KW18" s="54"/>
      <c r="KX18" s="54"/>
      <c r="KY18" s="54"/>
      <c r="KZ18" s="54"/>
      <c r="LA18" s="54"/>
      <c r="LB18" s="54"/>
      <c r="LC18" s="54"/>
      <c r="LD18" s="54"/>
      <c r="LE18" s="54"/>
      <c r="LF18" s="54"/>
      <c r="LG18" s="54"/>
      <c r="LH18" s="54"/>
      <c r="LI18" s="54"/>
      <c r="LJ18" s="54"/>
      <c r="LK18" s="54"/>
      <c r="LL18" s="54"/>
      <c r="LM18" s="54"/>
      <c r="LN18" s="54"/>
      <c r="LO18" s="54"/>
      <c r="LP18" s="54"/>
      <c r="LQ18" s="54"/>
      <c r="LR18" s="54"/>
      <c r="LS18" s="54"/>
      <c r="LT18" s="54"/>
      <c r="LU18" s="54"/>
      <c r="LV18" s="54"/>
      <c r="LW18" s="54"/>
      <c r="LX18" s="54"/>
      <c r="LY18" s="54"/>
      <c r="LZ18" s="54"/>
      <c r="MA18" s="54"/>
      <c r="MB18" s="54"/>
      <c r="MC18" s="54"/>
      <c r="MD18" s="54"/>
      <c r="ME18" s="54"/>
      <c r="MF18" s="54"/>
      <c r="MG18" s="54"/>
      <c r="MH18" s="54"/>
      <c r="MI18" s="54"/>
      <c r="MJ18" s="54"/>
      <c r="MK18" s="54"/>
      <c r="ML18" s="54"/>
      <c r="MM18" s="54"/>
      <c r="MN18" s="54"/>
      <c r="MO18" s="54"/>
      <c r="MP18" s="54"/>
      <c r="MQ18" s="54"/>
      <c r="MR18" s="54"/>
      <c r="MS18" s="54"/>
      <c r="MT18" s="54"/>
      <c r="MU18" s="54"/>
      <c r="MV18" s="54"/>
      <c r="MW18" s="54"/>
      <c r="MX18" s="54"/>
      <c r="MY18" s="54"/>
      <c r="MZ18" s="54"/>
      <c r="NA18" s="54"/>
      <c r="NB18" s="54"/>
      <c r="NC18" s="54"/>
      <c r="ND18" s="54"/>
      <c r="NE18" s="54"/>
      <c r="NF18" s="54"/>
      <c r="NG18" s="54"/>
      <c r="NH18" s="54"/>
      <c r="NI18" s="54"/>
      <c r="NJ18" s="54"/>
      <c r="NK18" s="54"/>
      <c r="NL18" s="54"/>
      <c r="NM18" s="54"/>
      <c r="NN18" s="54"/>
      <c r="NO18" s="54"/>
      <c r="NP18" s="54"/>
      <c r="NQ18" s="54"/>
      <c r="NR18" s="54"/>
      <c r="NS18" s="54"/>
      <c r="NT18" s="54"/>
      <c r="NU18" s="54"/>
      <c r="NV18" s="54"/>
      <c r="NW18" s="54"/>
      <c r="NX18" s="54"/>
      <c r="NY18" s="54"/>
      <c r="NZ18" s="54"/>
      <c r="OA18" s="54"/>
      <c r="OB18" s="54"/>
      <c r="OC18" s="54"/>
      <c r="OD18" s="54"/>
      <c r="OE18" s="54"/>
      <c r="OF18" s="54"/>
      <c r="OG18" s="54"/>
      <c r="OH18" s="54"/>
      <c r="OI18" s="54"/>
      <c r="OJ18" s="54"/>
      <c r="OK18" s="54"/>
      <c r="OL18" s="54"/>
      <c r="OM18" s="54"/>
      <c r="ON18" s="54"/>
      <c r="OO18" s="54"/>
      <c r="OP18" s="54"/>
      <c r="OQ18" s="54"/>
      <c r="OR18" s="54"/>
      <c r="OS18" s="54"/>
      <c r="OT18" s="54"/>
      <c r="OU18" s="54"/>
      <c r="OV18" s="54"/>
      <c r="OW18" s="54"/>
      <c r="OX18" s="54"/>
      <c r="OY18" s="54"/>
      <c r="OZ18" s="54"/>
      <c r="PA18" s="54"/>
      <c r="PB18" s="54"/>
      <c r="PC18" s="54"/>
      <c r="PD18" s="54"/>
      <c r="PE18" s="54"/>
      <c r="PF18" s="54"/>
      <c r="PG18" s="54"/>
      <c r="PH18" s="54"/>
      <c r="PI18" s="54"/>
      <c r="PJ18" s="54"/>
      <c r="PK18" s="54"/>
      <c r="PL18" s="54"/>
      <c r="PM18" s="54"/>
      <c r="PN18" s="54"/>
      <c r="PO18" s="54"/>
      <c r="PP18" s="54"/>
      <c r="PQ18" s="54"/>
      <c r="PR18" s="54"/>
      <c r="PS18" s="54"/>
      <c r="PT18" s="54"/>
      <c r="PU18" s="54"/>
      <c r="PV18" s="54"/>
      <c r="PW18" s="54"/>
      <c r="PX18" s="54"/>
      <c r="PY18" s="54"/>
      <c r="PZ18" s="54"/>
      <c r="QA18" s="54"/>
      <c r="QB18" s="54"/>
      <c r="QC18" s="54"/>
      <c r="QD18" s="54"/>
      <c r="QE18" s="54"/>
      <c r="QF18" s="54"/>
      <c r="QG18" s="54"/>
      <c r="QH18" s="54"/>
      <c r="QI18" s="54"/>
      <c r="QJ18" s="54"/>
      <c r="QK18" s="54"/>
      <c r="QL18" s="54"/>
      <c r="QM18" s="54"/>
      <c r="QN18" s="54"/>
      <c r="QO18" s="54"/>
      <c r="QP18" s="54"/>
      <c r="QQ18" s="54"/>
      <c r="QR18" s="54"/>
      <c r="QS18" s="54"/>
      <c r="QT18" s="54"/>
      <c r="QU18" s="54"/>
      <c r="QV18" s="54"/>
      <c r="QW18" s="54"/>
      <c r="QX18" s="54"/>
      <c r="QY18" s="54"/>
      <c r="QZ18" s="54"/>
      <c r="RA18" s="54"/>
      <c r="RB18" s="54"/>
      <c r="RC18" s="54"/>
      <c r="RD18" s="54"/>
      <c r="RE18" s="54"/>
      <c r="RF18" s="54"/>
      <c r="RG18" s="54"/>
      <c r="RH18" s="54"/>
      <c r="RI18" s="54"/>
      <c r="RJ18" s="54"/>
      <c r="RK18" s="54"/>
      <c r="RL18" s="54"/>
      <c r="RM18" s="54"/>
      <c r="RN18" s="54"/>
      <c r="RO18" s="54"/>
      <c r="RP18" s="54"/>
      <c r="RQ18" s="54"/>
      <c r="RR18" s="54"/>
      <c r="RS18" s="54"/>
      <c r="RT18" s="54"/>
      <c r="RU18" s="54"/>
      <c r="RV18" s="54"/>
      <c r="RW18" s="54"/>
      <c r="RX18" s="54"/>
      <c r="RY18" s="54"/>
      <c r="RZ18" s="54"/>
      <c r="SA18" s="54"/>
      <c r="SB18" s="54"/>
      <c r="SC18" s="54"/>
      <c r="SD18" s="54"/>
      <c r="SE18" s="54"/>
      <c r="SF18" s="54"/>
      <c r="SG18" s="54"/>
      <c r="SH18" s="54"/>
      <c r="SI18" s="54"/>
      <c r="SJ18" s="54"/>
      <c r="SK18" s="54"/>
      <c r="SL18" s="54"/>
      <c r="SM18" s="54"/>
      <c r="SN18" s="54"/>
      <c r="SO18" s="54"/>
      <c r="SP18" s="54"/>
      <c r="SQ18" s="54"/>
      <c r="SR18" s="54"/>
      <c r="SS18" s="54"/>
      <c r="ST18" s="54"/>
      <c r="SU18" s="54"/>
      <c r="SV18" s="54"/>
      <c r="SW18" s="54"/>
      <c r="SX18" s="54"/>
      <c r="SY18" s="54"/>
      <c r="SZ18" s="54"/>
      <c r="TA18" s="54"/>
      <c r="TB18" s="54"/>
      <c r="TC18" s="54"/>
      <c r="TD18" s="54"/>
      <c r="TE18" s="54"/>
      <c r="TF18" s="54"/>
      <c r="TG18" s="54"/>
      <c r="TH18" s="54"/>
      <c r="TI18" s="54"/>
      <c r="TJ18" s="54"/>
      <c r="TK18" s="54"/>
      <c r="TL18" s="54"/>
      <c r="TM18" s="54"/>
      <c r="TN18" s="54"/>
      <c r="TO18" s="54"/>
      <c r="TP18" s="54"/>
      <c r="TQ18" s="54"/>
      <c r="TR18" s="54"/>
      <c r="TS18" s="54"/>
      <c r="TT18" s="54"/>
      <c r="TU18" s="54"/>
      <c r="TV18" s="54"/>
      <c r="TW18" s="54"/>
      <c r="TX18" s="54"/>
      <c r="TY18" s="54"/>
      <c r="TZ18" s="54"/>
      <c r="UA18" s="54"/>
      <c r="UB18" s="54"/>
      <c r="UC18" s="54"/>
      <c r="UD18" s="54"/>
      <c r="UE18" s="54"/>
      <c r="UF18" s="54"/>
      <c r="UG18" s="54"/>
      <c r="UH18" s="54"/>
      <c r="UI18" s="54"/>
      <c r="UJ18" s="54"/>
      <c r="UK18" s="54"/>
      <c r="UL18" s="54"/>
      <c r="UM18" s="54"/>
      <c r="UN18" s="54"/>
      <c r="UO18" s="54"/>
      <c r="UP18" s="54"/>
      <c r="UQ18" s="54"/>
      <c r="UR18" s="54"/>
      <c r="US18" s="54"/>
      <c r="UT18" s="54"/>
      <c r="UU18" s="54"/>
      <c r="UV18" s="54"/>
      <c r="UW18" s="54"/>
      <c r="UX18" s="54"/>
      <c r="UY18" s="54"/>
      <c r="UZ18" s="54"/>
      <c r="VA18" s="54"/>
      <c r="VB18" s="54"/>
      <c r="VC18" s="54"/>
      <c r="VD18" s="54"/>
      <c r="VE18" s="54"/>
      <c r="VF18" s="54"/>
      <c r="VG18" s="54"/>
      <c r="VH18" s="54"/>
      <c r="VI18" s="54"/>
      <c r="VJ18" s="54"/>
      <c r="VK18" s="54"/>
      <c r="VL18" s="54"/>
      <c r="VM18" s="54"/>
      <c r="VN18" s="54"/>
      <c r="VO18" s="54"/>
      <c r="VP18" s="54"/>
      <c r="VQ18" s="54"/>
      <c r="VR18" s="54"/>
      <c r="VS18" s="54"/>
      <c r="VT18" s="54"/>
      <c r="VU18" s="54"/>
      <c r="VV18" s="54"/>
      <c r="VW18" s="54"/>
      <c r="VX18" s="54"/>
      <c r="VY18" s="54"/>
      <c r="VZ18" s="54"/>
      <c r="WA18" s="54"/>
      <c r="WB18" s="54"/>
      <c r="WC18" s="54"/>
      <c r="WD18" s="54"/>
      <c r="WE18" s="54"/>
    </row>
    <row r="19" spans="1:603" s="35" customFormat="1" x14ac:dyDescent="0.4">
      <c r="A19" s="51"/>
      <c r="B19" s="51"/>
      <c r="C19" s="51"/>
      <c r="D19" s="51"/>
      <c r="E19" s="51"/>
      <c r="F19" s="51"/>
      <c r="G19" s="51"/>
      <c r="H19" s="51"/>
      <c r="I19" s="51"/>
      <c r="J19" s="54"/>
      <c r="K19" s="54"/>
      <c r="L19" s="55"/>
      <c r="M19" s="55"/>
      <c r="N19" s="54"/>
      <c r="O19" s="54"/>
      <c r="P19" s="55"/>
      <c r="Q19" s="55"/>
      <c r="R19" s="54"/>
      <c r="S19" s="54"/>
      <c r="T19" s="55"/>
      <c r="U19" s="55"/>
      <c r="V19" s="54"/>
      <c r="W19" s="54"/>
      <c r="X19" s="55"/>
      <c r="Y19" s="55"/>
      <c r="Z19" s="54"/>
      <c r="AA19" s="54"/>
      <c r="AB19" s="55"/>
      <c r="AC19" s="55"/>
      <c r="AD19" s="54"/>
      <c r="AE19" s="54"/>
      <c r="AF19" s="55"/>
      <c r="AG19" s="55"/>
      <c r="AH19" s="54"/>
      <c r="AI19" s="54"/>
      <c r="AJ19" s="55"/>
      <c r="AK19" s="55"/>
      <c r="AL19" s="54"/>
      <c r="AM19" s="54"/>
      <c r="AN19" s="55"/>
      <c r="AO19" s="55"/>
      <c r="AP19" s="54"/>
      <c r="AQ19" s="54"/>
      <c r="AR19" s="55"/>
      <c r="AS19" s="55"/>
      <c r="AT19" s="54"/>
      <c r="AU19" s="54"/>
      <c r="AV19" s="55"/>
      <c r="AW19" s="55"/>
      <c r="AX19" s="54"/>
      <c r="AY19" s="54"/>
      <c r="AZ19" s="55"/>
      <c r="BA19" s="55"/>
      <c r="BB19" s="54"/>
      <c r="BC19" s="54"/>
      <c r="BD19" s="55"/>
      <c r="BE19" s="55"/>
      <c r="BF19" s="54"/>
      <c r="BG19" s="54"/>
      <c r="BH19" s="54"/>
      <c r="BI19" s="54"/>
      <c r="BJ19" s="54"/>
      <c r="BK19" s="54"/>
      <c r="BL19" s="54"/>
      <c r="BM19" s="54"/>
      <c r="BN19" s="54"/>
      <c r="BO19" s="54"/>
      <c r="BP19" s="54"/>
      <c r="BQ19" s="54"/>
      <c r="BR19" s="54"/>
      <c r="BS19" s="54"/>
      <c r="BT19" s="54"/>
      <c r="BU19" s="54"/>
      <c r="BV19" s="54"/>
      <c r="BW19" s="54"/>
      <c r="BX19" s="54"/>
      <c r="BY19" s="54"/>
      <c r="BZ19" s="54"/>
      <c r="CA19" s="54"/>
      <c r="CB19" s="54"/>
      <c r="CC19" s="54"/>
      <c r="CD19" s="54"/>
      <c r="CE19" s="54"/>
      <c r="CF19" s="54"/>
      <c r="CG19" s="54"/>
      <c r="CH19" s="54"/>
      <c r="CI19" s="54"/>
      <c r="CJ19" s="54"/>
      <c r="CK19" s="54"/>
      <c r="CL19" s="54"/>
      <c r="CM19" s="54"/>
      <c r="CN19" s="54"/>
      <c r="CO19" s="54"/>
      <c r="CP19" s="54"/>
      <c r="CQ19" s="54"/>
      <c r="CR19" s="54"/>
      <c r="CS19" s="54"/>
      <c r="CT19" s="54"/>
      <c r="CU19" s="54"/>
      <c r="CV19" s="54"/>
      <c r="CW19" s="54"/>
      <c r="CX19" s="54"/>
      <c r="CY19" s="54"/>
      <c r="CZ19" s="54"/>
      <c r="DA19" s="54"/>
      <c r="DB19" s="54"/>
      <c r="DC19" s="54"/>
      <c r="DD19" s="54"/>
      <c r="DE19" s="54"/>
      <c r="DF19" s="54"/>
      <c r="DG19" s="54"/>
      <c r="DH19" s="54"/>
      <c r="DI19" s="54"/>
      <c r="DJ19" s="54"/>
      <c r="DK19" s="54"/>
      <c r="DL19" s="54"/>
      <c r="DM19" s="54"/>
      <c r="DN19" s="54"/>
      <c r="DO19" s="54"/>
      <c r="DP19" s="54"/>
      <c r="DQ19" s="54"/>
      <c r="DR19" s="54"/>
      <c r="DS19" s="54"/>
      <c r="DT19" s="54"/>
      <c r="DU19" s="54"/>
      <c r="DV19" s="54"/>
      <c r="DW19" s="54"/>
      <c r="DX19" s="54"/>
      <c r="DY19" s="54"/>
      <c r="DZ19" s="54"/>
      <c r="EA19" s="54"/>
      <c r="EB19" s="54"/>
      <c r="EC19" s="54"/>
      <c r="ED19" s="54"/>
      <c r="EE19" s="54"/>
      <c r="EF19" s="54"/>
      <c r="EG19" s="54"/>
      <c r="EH19" s="54"/>
      <c r="EI19" s="54"/>
      <c r="EJ19" s="54"/>
      <c r="EK19" s="54"/>
      <c r="EL19" s="54"/>
      <c r="EM19" s="54"/>
      <c r="EN19" s="54"/>
      <c r="EO19" s="54"/>
      <c r="EP19" s="54"/>
      <c r="EQ19" s="54"/>
      <c r="ER19" s="54"/>
      <c r="ES19" s="54"/>
      <c r="ET19" s="54"/>
      <c r="EU19" s="54"/>
      <c r="EV19" s="54"/>
      <c r="EW19" s="54"/>
      <c r="EX19" s="54"/>
      <c r="EY19" s="54"/>
      <c r="EZ19" s="54"/>
      <c r="FA19" s="54"/>
      <c r="FB19" s="54"/>
      <c r="FC19" s="54"/>
      <c r="FD19" s="54"/>
      <c r="FE19" s="54"/>
      <c r="FF19" s="54"/>
      <c r="FG19" s="54"/>
      <c r="FH19" s="54"/>
      <c r="FI19" s="54"/>
      <c r="FJ19" s="54"/>
      <c r="FK19" s="54"/>
      <c r="FL19" s="54"/>
      <c r="FM19" s="54"/>
      <c r="FN19" s="54"/>
      <c r="FO19" s="54"/>
      <c r="FP19" s="54"/>
      <c r="FQ19" s="54"/>
      <c r="FR19" s="54"/>
      <c r="FS19" s="54"/>
      <c r="FT19" s="54"/>
      <c r="FU19" s="54"/>
      <c r="FV19" s="54"/>
      <c r="FW19" s="54"/>
      <c r="FX19" s="54"/>
      <c r="FY19" s="54"/>
      <c r="FZ19" s="54"/>
      <c r="GA19" s="54"/>
      <c r="GB19" s="54"/>
      <c r="GC19" s="54"/>
      <c r="GD19" s="54"/>
      <c r="GE19" s="54"/>
      <c r="GF19" s="54"/>
      <c r="GG19" s="54"/>
      <c r="GH19" s="54"/>
      <c r="GI19" s="54"/>
      <c r="GJ19" s="54"/>
      <c r="GK19" s="54"/>
      <c r="GL19" s="54"/>
      <c r="GM19" s="54"/>
      <c r="GN19" s="54"/>
      <c r="GO19" s="54"/>
      <c r="GP19" s="54"/>
      <c r="GQ19" s="54"/>
      <c r="GR19" s="54"/>
      <c r="GS19" s="54"/>
      <c r="GT19" s="54"/>
      <c r="GU19" s="54"/>
      <c r="GV19" s="54"/>
      <c r="GW19" s="54"/>
      <c r="GX19" s="54"/>
      <c r="GY19" s="54"/>
      <c r="GZ19" s="54"/>
      <c r="HA19" s="54"/>
      <c r="HB19" s="54"/>
      <c r="HC19" s="54"/>
      <c r="HD19" s="54"/>
      <c r="HE19" s="54"/>
      <c r="HF19" s="54"/>
      <c r="HG19" s="54"/>
      <c r="HH19" s="54"/>
      <c r="HI19" s="54"/>
      <c r="HJ19" s="54"/>
      <c r="HK19" s="54"/>
      <c r="HL19" s="54"/>
      <c r="HM19" s="54"/>
      <c r="HN19" s="54"/>
      <c r="HO19" s="54"/>
      <c r="HP19" s="54"/>
      <c r="HQ19" s="54"/>
      <c r="HR19" s="54"/>
      <c r="HS19" s="54"/>
      <c r="HT19" s="54"/>
      <c r="HU19" s="54"/>
      <c r="HV19" s="54"/>
      <c r="HW19" s="54"/>
      <c r="HX19" s="54"/>
      <c r="HY19" s="54"/>
      <c r="HZ19" s="54"/>
      <c r="IA19" s="54"/>
      <c r="IB19" s="54"/>
      <c r="IC19" s="54"/>
      <c r="ID19" s="54"/>
      <c r="IE19" s="54"/>
      <c r="IF19" s="54"/>
      <c r="IG19" s="54"/>
      <c r="IH19" s="54"/>
      <c r="II19" s="54"/>
      <c r="IJ19" s="54"/>
      <c r="IK19" s="54"/>
      <c r="IL19" s="54"/>
      <c r="IM19" s="54"/>
      <c r="IN19" s="54"/>
      <c r="IO19" s="54"/>
      <c r="IP19" s="54"/>
      <c r="IQ19" s="54"/>
      <c r="IR19" s="54"/>
      <c r="IS19" s="54"/>
      <c r="IT19" s="54"/>
      <c r="IU19" s="54"/>
      <c r="IV19" s="54"/>
      <c r="IW19" s="54"/>
      <c r="IX19" s="54"/>
      <c r="IY19" s="54"/>
      <c r="IZ19" s="54"/>
      <c r="JA19" s="54"/>
      <c r="JB19" s="54"/>
      <c r="JC19" s="54"/>
      <c r="JD19" s="54"/>
      <c r="JE19" s="54"/>
      <c r="JF19" s="54"/>
      <c r="JG19" s="54"/>
      <c r="JH19" s="54"/>
      <c r="JI19" s="54"/>
      <c r="JJ19" s="54"/>
      <c r="JK19" s="54"/>
      <c r="JL19" s="54"/>
      <c r="JM19" s="54"/>
      <c r="JN19" s="54"/>
      <c r="JO19" s="54"/>
      <c r="JP19" s="54"/>
      <c r="JQ19" s="54"/>
      <c r="JR19" s="54"/>
      <c r="JS19" s="54"/>
      <c r="JT19" s="54"/>
      <c r="JU19" s="54"/>
      <c r="JV19" s="54"/>
      <c r="JW19" s="54"/>
      <c r="JX19" s="54"/>
      <c r="JY19" s="54"/>
      <c r="JZ19" s="54"/>
      <c r="KA19" s="54"/>
      <c r="KB19" s="54"/>
      <c r="KC19" s="54"/>
      <c r="KD19" s="54"/>
      <c r="KE19" s="54"/>
      <c r="KF19" s="54"/>
      <c r="KG19" s="54"/>
      <c r="KH19" s="54"/>
      <c r="KI19" s="54"/>
      <c r="KJ19" s="54"/>
      <c r="KK19" s="54"/>
      <c r="KL19" s="54"/>
      <c r="KM19" s="54"/>
      <c r="KN19" s="54"/>
      <c r="KO19" s="54"/>
      <c r="KP19" s="54"/>
      <c r="KQ19" s="54"/>
      <c r="KR19" s="54"/>
      <c r="KS19" s="54"/>
      <c r="KT19" s="54"/>
      <c r="KU19" s="54"/>
      <c r="KV19" s="54"/>
      <c r="KW19" s="54"/>
      <c r="KX19" s="54"/>
      <c r="KY19" s="54"/>
      <c r="KZ19" s="54"/>
      <c r="LA19" s="54"/>
      <c r="LB19" s="54"/>
      <c r="LC19" s="54"/>
      <c r="LD19" s="54"/>
      <c r="LE19" s="54"/>
      <c r="LF19" s="54"/>
      <c r="LG19" s="54"/>
      <c r="LH19" s="54"/>
      <c r="LI19" s="54"/>
      <c r="LJ19" s="54"/>
      <c r="LK19" s="54"/>
      <c r="LL19" s="54"/>
      <c r="LM19" s="54"/>
      <c r="LN19" s="54"/>
      <c r="LO19" s="54"/>
      <c r="LP19" s="54"/>
      <c r="LQ19" s="54"/>
      <c r="LR19" s="54"/>
      <c r="LS19" s="54"/>
      <c r="LT19" s="54"/>
      <c r="LU19" s="54"/>
      <c r="LV19" s="54"/>
      <c r="LW19" s="54"/>
      <c r="LX19" s="54"/>
      <c r="LY19" s="54"/>
      <c r="LZ19" s="54"/>
      <c r="MA19" s="54"/>
      <c r="MB19" s="54"/>
      <c r="MC19" s="54"/>
      <c r="MD19" s="54"/>
      <c r="ME19" s="54"/>
      <c r="MF19" s="54"/>
      <c r="MG19" s="54"/>
      <c r="MH19" s="54"/>
      <c r="MI19" s="54"/>
      <c r="MJ19" s="54"/>
      <c r="MK19" s="54"/>
      <c r="ML19" s="54"/>
      <c r="MM19" s="54"/>
      <c r="MN19" s="54"/>
      <c r="MO19" s="54"/>
      <c r="MP19" s="54"/>
      <c r="MQ19" s="54"/>
      <c r="MR19" s="54"/>
      <c r="MS19" s="54"/>
      <c r="MT19" s="54"/>
      <c r="MU19" s="54"/>
      <c r="MV19" s="54"/>
      <c r="MW19" s="54"/>
      <c r="MX19" s="54"/>
      <c r="MY19" s="54"/>
      <c r="MZ19" s="54"/>
      <c r="NA19" s="54"/>
      <c r="NB19" s="54"/>
      <c r="NC19" s="54"/>
      <c r="ND19" s="54"/>
      <c r="NE19" s="54"/>
      <c r="NF19" s="54"/>
      <c r="NG19" s="54"/>
      <c r="NH19" s="54"/>
      <c r="NI19" s="54"/>
      <c r="NJ19" s="54"/>
      <c r="NK19" s="54"/>
      <c r="NL19" s="54"/>
      <c r="NM19" s="54"/>
      <c r="NN19" s="54"/>
      <c r="NO19" s="54"/>
      <c r="NP19" s="54"/>
      <c r="NQ19" s="54"/>
      <c r="NR19" s="54"/>
      <c r="NS19" s="54"/>
      <c r="NT19" s="54"/>
      <c r="NU19" s="54"/>
      <c r="NV19" s="54"/>
      <c r="NW19" s="54"/>
      <c r="NX19" s="54"/>
      <c r="NY19" s="54"/>
      <c r="NZ19" s="54"/>
      <c r="OA19" s="54"/>
      <c r="OB19" s="54"/>
      <c r="OC19" s="54"/>
      <c r="OD19" s="54"/>
      <c r="OE19" s="54"/>
      <c r="OF19" s="54"/>
      <c r="OG19" s="54"/>
      <c r="OH19" s="54"/>
      <c r="OI19" s="54"/>
      <c r="OJ19" s="54"/>
      <c r="OK19" s="54"/>
      <c r="OL19" s="54"/>
      <c r="OM19" s="54"/>
      <c r="ON19" s="54"/>
      <c r="OO19" s="54"/>
      <c r="OP19" s="54"/>
      <c r="OQ19" s="54"/>
      <c r="OR19" s="54"/>
      <c r="OS19" s="54"/>
      <c r="OT19" s="54"/>
      <c r="OU19" s="54"/>
      <c r="OV19" s="54"/>
      <c r="OW19" s="54"/>
      <c r="OX19" s="54"/>
      <c r="OY19" s="54"/>
      <c r="OZ19" s="54"/>
      <c r="PA19" s="54"/>
      <c r="PB19" s="54"/>
      <c r="PC19" s="54"/>
      <c r="PD19" s="54"/>
      <c r="PE19" s="54"/>
      <c r="PF19" s="54"/>
      <c r="PG19" s="54"/>
      <c r="PH19" s="54"/>
      <c r="PI19" s="54"/>
      <c r="PJ19" s="54"/>
      <c r="PK19" s="54"/>
      <c r="PL19" s="54"/>
      <c r="PM19" s="54"/>
      <c r="PN19" s="54"/>
      <c r="PO19" s="54"/>
      <c r="PP19" s="54"/>
      <c r="PQ19" s="54"/>
      <c r="PR19" s="54"/>
      <c r="PS19" s="54"/>
      <c r="PT19" s="54"/>
      <c r="PU19" s="54"/>
      <c r="PV19" s="54"/>
      <c r="PW19" s="54"/>
      <c r="PX19" s="54"/>
      <c r="PY19" s="54"/>
      <c r="PZ19" s="54"/>
      <c r="QA19" s="54"/>
      <c r="QB19" s="54"/>
      <c r="QC19" s="54"/>
      <c r="QD19" s="54"/>
      <c r="QE19" s="54"/>
      <c r="QF19" s="54"/>
      <c r="QG19" s="54"/>
      <c r="QH19" s="54"/>
      <c r="QI19" s="54"/>
      <c r="QJ19" s="54"/>
      <c r="QK19" s="54"/>
      <c r="QL19" s="54"/>
      <c r="QM19" s="54"/>
      <c r="QN19" s="54"/>
      <c r="QO19" s="54"/>
      <c r="QP19" s="54"/>
      <c r="QQ19" s="54"/>
      <c r="QR19" s="54"/>
      <c r="QS19" s="54"/>
      <c r="QT19" s="54"/>
      <c r="QU19" s="54"/>
      <c r="QV19" s="54"/>
      <c r="QW19" s="54"/>
      <c r="QX19" s="54"/>
      <c r="QY19" s="54"/>
      <c r="QZ19" s="54"/>
      <c r="RA19" s="54"/>
      <c r="RB19" s="54"/>
      <c r="RC19" s="54"/>
      <c r="RD19" s="54"/>
      <c r="RE19" s="54"/>
      <c r="RF19" s="54"/>
      <c r="RG19" s="54"/>
      <c r="RH19" s="54"/>
      <c r="RI19" s="54"/>
      <c r="RJ19" s="54"/>
      <c r="RK19" s="54"/>
      <c r="RL19" s="54"/>
      <c r="RM19" s="54"/>
      <c r="RN19" s="54"/>
      <c r="RO19" s="54"/>
      <c r="RP19" s="54"/>
      <c r="RQ19" s="54"/>
      <c r="RR19" s="54"/>
      <c r="RS19" s="54"/>
      <c r="RT19" s="54"/>
      <c r="RU19" s="54"/>
      <c r="RV19" s="54"/>
      <c r="RW19" s="54"/>
      <c r="RX19" s="54"/>
      <c r="RY19" s="54"/>
      <c r="RZ19" s="54"/>
      <c r="SA19" s="54"/>
      <c r="SB19" s="54"/>
      <c r="SC19" s="54"/>
      <c r="SD19" s="54"/>
      <c r="SE19" s="54"/>
      <c r="SF19" s="54"/>
      <c r="SG19" s="54"/>
      <c r="SH19" s="54"/>
      <c r="SI19" s="54"/>
      <c r="SJ19" s="54"/>
      <c r="SK19" s="54"/>
      <c r="SL19" s="54"/>
      <c r="SM19" s="54"/>
      <c r="SN19" s="54"/>
      <c r="SO19" s="54"/>
      <c r="SP19" s="54"/>
      <c r="SQ19" s="54"/>
      <c r="SR19" s="54"/>
      <c r="SS19" s="54"/>
      <c r="ST19" s="54"/>
      <c r="SU19" s="54"/>
      <c r="SV19" s="54"/>
      <c r="SW19" s="54"/>
      <c r="SX19" s="54"/>
      <c r="SY19" s="54"/>
      <c r="SZ19" s="54"/>
      <c r="TA19" s="54"/>
      <c r="TB19" s="54"/>
      <c r="TC19" s="54"/>
      <c r="TD19" s="54"/>
      <c r="TE19" s="54"/>
      <c r="TF19" s="54"/>
      <c r="TG19" s="54"/>
      <c r="TH19" s="54"/>
      <c r="TI19" s="54"/>
      <c r="TJ19" s="54"/>
      <c r="TK19" s="54"/>
      <c r="TL19" s="54"/>
      <c r="TM19" s="54"/>
      <c r="TN19" s="54"/>
      <c r="TO19" s="54"/>
      <c r="TP19" s="54"/>
      <c r="TQ19" s="54"/>
      <c r="TR19" s="54"/>
      <c r="TS19" s="54"/>
      <c r="TT19" s="54"/>
      <c r="TU19" s="54"/>
      <c r="TV19" s="54"/>
      <c r="TW19" s="54"/>
      <c r="TX19" s="54"/>
      <c r="TY19" s="54"/>
      <c r="TZ19" s="54"/>
      <c r="UA19" s="54"/>
      <c r="UB19" s="54"/>
      <c r="UC19" s="54"/>
      <c r="UD19" s="54"/>
      <c r="UE19" s="54"/>
      <c r="UF19" s="54"/>
      <c r="UG19" s="54"/>
      <c r="UH19" s="54"/>
      <c r="UI19" s="54"/>
      <c r="UJ19" s="54"/>
      <c r="UK19" s="54"/>
      <c r="UL19" s="54"/>
      <c r="UM19" s="54"/>
      <c r="UN19" s="54"/>
      <c r="UO19" s="54"/>
      <c r="UP19" s="54"/>
      <c r="UQ19" s="54"/>
      <c r="UR19" s="54"/>
      <c r="US19" s="54"/>
      <c r="UT19" s="54"/>
      <c r="UU19" s="54"/>
      <c r="UV19" s="54"/>
      <c r="UW19" s="54"/>
      <c r="UX19" s="54"/>
      <c r="UY19" s="54"/>
      <c r="UZ19" s="54"/>
      <c r="VA19" s="54"/>
      <c r="VB19" s="54"/>
      <c r="VC19" s="54"/>
      <c r="VD19" s="54"/>
      <c r="VE19" s="54"/>
      <c r="VF19" s="54"/>
      <c r="VG19" s="54"/>
      <c r="VH19" s="54"/>
      <c r="VI19" s="54"/>
      <c r="VJ19" s="54"/>
      <c r="VK19" s="54"/>
      <c r="VL19" s="54"/>
      <c r="VM19" s="54"/>
      <c r="VN19" s="54"/>
      <c r="VO19" s="54"/>
      <c r="VP19" s="54"/>
      <c r="VQ19" s="54"/>
      <c r="VR19" s="54"/>
      <c r="VS19" s="54"/>
      <c r="VT19" s="54"/>
      <c r="VU19" s="54"/>
      <c r="VV19" s="54"/>
      <c r="VW19" s="54"/>
      <c r="VX19" s="54"/>
      <c r="VY19" s="54"/>
      <c r="VZ19" s="54"/>
      <c r="WA19" s="54"/>
      <c r="WB19" s="54"/>
      <c r="WC19" s="54"/>
      <c r="WD19" s="54"/>
      <c r="WE19" s="54"/>
    </row>
    <row r="20" spans="1:603" s="35" customFormat="1" x14ac:dyDescent="0.4">
      <c r="A20" s="51"/>
      <c r="B20" s="51"/>
      <c r="C20" s="51"/>
      <c r="D20" s="51"/>
      <c r="E20" s="51"/>
      <c r="F20" s="51"/>
      <c r="G20" s="51"/>
      <c r="H20" s="51"/>
      <c r="I20" s="51"/>
      <c r="J20" s="54"/>
      <c r="K20" s="54"/>
      <c r="L20" s="55"/>
      <c r="M20" s="55"/>
      <c r="N20" s="54"/>
      <c r="O20" s="54"/>
      <c r="P20" s="55"/>
      <c r="Q20" s="55"/>
      <c r="R20" s="54"/>
      <c r="S20" s="54"/>
      <c r="T20" s="55"/>
      <c r="U20" s="55"/>
      <c r="V20" s="54"/>
      <c r="W20" s="54"/>
      <c r="X20" s="55"/>
      <c r="Y20" s="55"/>
      <c r="Z20" s="54"/>
      <c r="AA20" s="54"/>
      <c r="AB20" s="55"/>
      <c r="AC20" s="55"/>
      <c r="AD20" s="54"/>
      <c r="AE20" s="54"/>
      <c r="AF20" s="55"/>
      <c r="AG20" s="55"/>
      <c r="AH20" s="54"/>
      <c r="AI20" s="54"/>
      <c r="AJ20" s="55"/>
      <c r="AK20" s="55"/>
      <c r="AL20" s="54"/>
      <c r="AM20" s="54"/>
      <c r="AN20" s="55"/>
      <c r="AO20" s="55"/>
      <c r="AP20" s="54"/>
      <c r="AQ20" s="54"/>
      <c r="AR20" s="55"/>
      <c r="AS20" s="55"/>
      <c r="AT20" s="54"/>
      <c r="AU20" s="54"/>
      <c r="AV20" s="55"/>
      <c r="AW20" s="55"/>
      <c r="AX20" s="54"/>
      <c r="AY20" s="54"/>
      <c r="AZ20" s="55"/>
      <c r="BA20" s="55"/>
      <c r="BB20" s="54"/>
      <c r="BC20" s="54"/>
      <c r="BD20" s="55"/>
      <c r="BE20" s="55"/>
      <c r="BF20" s="54"/>
      <c r="BG20" s="54"/>
      <c r="BH20" s="54"/>
      <c r="BI20" s="54"/>
      <c r="BJ20" s="54"/>
      <c r="BK20" s="54"/>
      <c r="BL20" s="54"/>
      <c r="BM20" s="54"/>
      <c r="BN20" s="54"/>
      <c r="BO20" s="54"/>
      <c r="BP20" s="54"/>
      <c r="BQ20" s="54"/>
      <c r="BR20" s="54"/>
      <c r="BS20" s="54"/>
      <c r="BT20" s="54"/>
      <c r="BU20" s="54"/>
      <c r="BV20" s="54"/>
      <c r="BW20" s="54"/>
      <c r="BX20" s="54"/>
      <c r="BY20" s="54"/>
      <c r="BZ20" s="54"/>
      <c r="CA20" s="54"/>
      <c r="CB20" s="54"/>
      <c r="CC20" s="54"/>
      <c r="CD20" s="54"/>
      <c r="CE20" s="54"/>
      <c r="CF20" s="54"/>
      <c r="CG20" s="54"/>
      <c r="CH20" s="54"/>
      <c r="CI20" s="54"/>
      <c r="CJ20" s="54"/>
      <c r="CK20" s="54"/>
      <c r="CL20" s="54"/>
      <c r="CM20" s="54"/>
      <c r="CN20" s="54"/>
      <c r="CO20" s="54"/>
      <c r="CP20" s="54"/>
      <c r="CQ20" s="54"/>
      <c r="CR20" s="54"/>
      <c r="CS20" s="54"/>
      <c r="CT20" s="54"/>
      <c r="CU20" s="54"/>
      <c r="CV20" s="54"/>
      <c r="CW20" s="54"/>
      <c r="CX20" s="54"/>
      <c r="CY20" s="54"/>
      <c r="CZ20" s="54"/>
      <c r="DA20" s="54"/>
      <c r="DB20" s="54"/>
      <c r="DC20" s="54"/>
      <c r="DD20" s="54"/>
      <c r="DE20" s="54"/>
      <c r="DF20" s="54"/>
      <c r="DG20" s="54"/>
      <c r="DH20" s="54"/>
      <c r="DI20" s="54"/>
      <c r="DJ20" s="54"/>
      <c r="DK20" s="54"/>
      <c r="DL20" s="54"/>
      <c r="DM20" s="54"/>
      <c r="DN20" s="54"/>
      <c r="DO20" s="54"/>
      <c r="DP20" s="54"/>
      <c r="DQ20" s="54"/>
      <c r="DR20" s="54"/>
      <c r="DS20" s="54"/>
      <c r="DT20" s="54"/>
      <c r="DU20" s="54"/>
      <c r="DV20" s="54"/>
      <c r="DW20" s="54"/>
      <c r="DX20" s="54"/>
      <c r="DY20" s="54"/>
      <c r="DZ20" s="54"/>
      <c r="EA20" s="54"/>
      <c r="EB20" s="54"/>
      <c r="EC20" s="54"/>
      <c r="ED20" s="54"/>
      <c r="EE20" s="54"/>
      <c r="EF20" s="54"/>
      <c r="EG20" s="54"/>
      <c r="EH20" s="54"/>
      <c r="EI20" s="54"/>
      <c r="EJ20" s="54"/>
      <c r="EK20" s="54"/>
      <c r="EL20" s="54"/>
      <c r="EM20" s="54"/>
      <c r="EN20" s="54"/>
      <c r="EO20" s="54"/>
      <c r="EP20" s="54"/>
      <c r="EQ20" s="54"/>
      <c r="ER20" s="54"/>
      <c r="ES20" s="54"/>
      <c r="ET20" s="54"/>
      <c r="EU20" s="54"/>
      <c r="EV20" s="54"/>
      <c r="EW20" s="54"/>
      <c r="EX20" s="54"/>
      <c r="EY20" s="54"/>
      <c r="EZ20" s="54"/>
      <c r="FA20" s="54"/>
      <c r="FB20" s="54"/>
      <c r="FC20" s="54"/>
      <c r="FD20" s="54"/>
      <c r="FE20" s="54"/>
      <c r="FF20" s="54"/>
      <c r="FG20" s="54"/>
      <c r="FH20" s="54"/>
      <c r="FI20" s="54"/>
      <c r="FJ20" s="54"/>
      <c r="FK20" s="54"/>
      <c r="FL20" s="54"/>
      <c r="FM20" s="54"/>
      <c r="FN20" s="54"/>
      <c r="FO20" s="54"/>
      <c r="FP20" s="54"/>
      <c r="FQ20" s="54"/>
      <c r="FR20" s="54"/>
      <c r="FS20" s="54"/>
      <c r="FT20" s="54"/>
      <c r="FU20" s="54"/>
      <c r="FV20" s="54"/>
      <c r="FW20" s="54"/>
      <c r="FX20" s="54"/>
      <c r="FY20" s="54"/>
      <c r="FZ20" s="54"/>
      <c r="GA20" s="54"/>
      <c r="GB20" s="54"/>
      <c r="GC20" s="54"/>
      <c r="GD20" s="54"/>
      <c r="GE20" s="54"/>
      <c r="GF20" s="54"/>
      <c r="GG20" s="54"/>
      <c r="GH20" s="54"/>
      <c r="GI20" s="54"/>
      <c r="GJ20" s="54"/>
      <c r="GK20" s="54"/>
      <c r="GL20" s="54"/>
      <c r="GM20" s="54"/>
      <c r="GN20" s="54"/>
      <c r="GO20" s="54"/>
      <c r="GP20" s="54"/>
      <c r="GQ20" s="54"/>
      <c r="GR20" s="54"/>
      <c r="GS20" s="54"/>
      <c r="GT20" s="54"/>
      <c r="GU20" s="54"/>
      <c r="GV20" s="54"/>
      <c r="GW20" s="54"/>
      <c r="GX20" s="54"/>
      <c r="GY20" s="54"/>
      <c r="GZ20" s="54"/>
      <c r="HA20" s="54"/>
      <c r="HB20" s="54"/>
      <c r="HC20" s="54"/>
      <c r="HD20" s="54"/>
      <c r="HE20" s="54"/>
      <c r="HF20" s="54"/>
      <c r="HG20" s="54"/>
      <c r="HH20" s="54"/>
      <c r="HI20" s="54"/>
      <c r="HJ20" s="54"/>
      <c r="HK20" s="54"/>
      <c r="HL20" s="54"/>
      <c r="HM20" s="54"/>
      <c r="HN20" s="54"/>
      <c r="HO20" s="54"/>
      <c r="HP20" s="54"/>
      <c r="HQ20" s="54"/>
      <c r="HR20" s="54"/>
      <c r="HS20" s="54"/>
      <c r="HT20" s="54"/>
      <c r="HU20" s="54"/>
      <c r="HV20" s="54"/>
      <c r="HW20" s="54"/>
      <c r="HX20" s="54"/>
      <c r="HY20" s="54"/>
      <c r="HZ20" s="54"/>
      <c r="IA20" s="54"/>
      <c r="IB20" s="54"/>
      <c r="IC20" s="54"/>
      <c r="ID20" s="54"/>
      <c r="IE20" s="54"/>
      <c r="IF20" s="54"/>
      <c r="IG20" s="54"/>
      <c r="IH20" s="54"/>
      <c r="II20" s="54"/>
      <c r="IJ20" s="54"/>
      <c r="IK20" s="54"/>
      <c r="IL20" s="54"/>
      <c r="IM20" s="54"/>
      <c r="IN20" s="54"/>
      <c r="IO20" s="54"/>
      <c r="IP20" s="54"/>
      <c r="IQ20" s="54"/>
      <c r="IR20" s="54"/>
      <c r="IS20" s="54"/>
      <c r="IT20" s="54"/>
      <c r="IU20" s="54"/>
      <c r="IV20" s="54"/>
      <c r="IW20" s="54"/>
      <c r="IX20" s="54"/>
      <c r="IY20" s="54"/>
      <c r="IZ20" s="54"/>
      <c r="JA20" s="54"/>
      <c r="JB20" s="54"/>
      <c r="JC20" s="54"/>
      <c r="JD20" s="54"/>
      <c r="JE20" s="54"/>
      <c r="JF20" s="54"/>
      <c r="JG20" s="54"/>
      <c r="JH20" s="54"/>
      <c r="JI20" s="54"/>
      <c r="JJ20" s="54"/>
      <c r="JK20" s="54"/>
      <c r="JL20" s="54"/>
      <c r="JM20" s="54"/>
      <c r="JN20" s="54"/>
      <c r="JO20" s="54"/>
      <c r="JP20" s="54"/>
      <c r="JQ20" s="54"/>
      <c r="JR20" s="54"/>
      <c r="JS20" s="54"/>
      <c r="JT20" s="54"/>
      <c r="JU20" s="54"/>
      <c r="JV20" s="54"/>
      <c r="JW20" s="54"/>
      <c r="JX20" s="54"/>
      <c r="JY20" s="54"/>
      <c r="JZ20" s="54"/>
      <c r="KA20" s="54"/>
      <c r="KB20" s="54"/>
      <c r="KC20" s="54"/>
      <c r="KD20" s="54"/>
      <c r="KE20" s="54"/>
      <c r="KF20" s="54"/>
      <c r="KG20" s="54"/>
      <c r="KH20" s="54"/>
      <c r="KI20" s="54"/>
      <c r="KJ20" s="54"/>
      <c r="KK20" s="54"/>
      <c r="KL20" s="54"/>
      <c r="KM20" s="54"/>
      <c r="KN20" s="54"/>
      <c r="KO20" s="54"/>
      <c r="KP20" s="54"/>
      <c r="KQ20" s="54"/>
      <c r="KR20" s="54"/>
      <c r="KS20" s="54"/>
      <c r="KT20" s="54"/>
      <c r="KU20" s="54"/>
      <c r="KV20" s="54"/>
      <c r="KW20" s="54"/>
      <c r="KX20" s="54"/>
      <c r="KY20" s="54"/>
      <c r="KZ20" s="54"/>
      <c r="LA20" s="54"/>
      <c r="LB20" s="54"/>
      <c r="LC20" s="54"/>
      <c r="LD20" s="54"/>
      <c r="LE20" s="54"/>
      <c r="LF20" s="54"/>
      <c r="LG20" s="54"/>
      <c r="LH20" s="54"/>
      <c r="LI20" s="54"/>
      <c r="LJ20" s="54"/>
      <c r="LK20" s="54"/>
      <c r="LL20" s="54"/>
      <c r="LM20" s="54"/>
      <c r="LN20" s="54"/>
      <c r="LO20" s="54"/>
      <c r="LP20" s="54"/>
      <c r="LQ20" s="54"/>
      <c r="LR20" s="54"/>
      <c r="LS20" s="54"/>
      <c r="LT20" s="54"/>
      <c r="LU20" s="54"/>
      <c r="LV20" s="54"/>
      <c r="LW20" s="54"/>
      <c r="LX20" s="54"/>
      <c r="LY20" s="54"/>
      <c r="LZ20" s="54"/>
      <c r="MA20" s="54"/>
      <c r="MB20" s="54"/>
      <c r="MC20" s="54"/>
      <c r="MD20" s="54"/>
      <c r="ME20" s="54"/>
      <c r="MF20" s="54"/>
      <c r="MG20" s="54"/>
      <c r="MH20" s="54"/>
      <c r="MI20" s="54"/>
      <c r="MJ20" s="54"/>
      <c r="MK20" s="54"/>
      <c r="ML20" s="54"/>
      <c r="MM20" s="54"/>
      <c r="MN20" s="54"/>
      <c r="MO20" s="54"/>
      <c r="MP20" s="54"/>
      <c r="MQ20" s="54"/>
      <c r="MR20" s="54"/>
      <c r="MS20" s="54"/>
      <c r="MT20" s="54"/>
      <c r="MU20" s="54"/>
      <c r="MV20" s="54"/>
      <c r="MW20" s="54"/>
      <c r="MX20" s="54"/>
      <c r="MY20" s="54"/>
      <c r="MZ20" s="54"/>
      <c r="NA20" s="54"/>
      <c r="NB20" s="54"/>
      <c r="NC20" s="54"/>
      <c r="ND20" s="54"/>
      <c r="NE20" s="54"/>
      <c r="NF20" s="54"/>
      <c r="NG20" s="54"/>
      <c r="NH20" s="54"/>
      <c r="NI20" s="54"/>
      <c r="NJ20" s="54"/>
      <c r="NK20" s="54"/>
      <c r="NL20" s="54"/>
      <c r="NM20" s="54"/>
      <c r="NN20" s="54"/>
      <c r="NO20" s="54"/>
      <c r="NP20" s="54"/>
      <c r="NQ20" s="54"/>
      <c r="NR20" s="54"/>
      <c r="NS20" s="54"/>
      <c r="NT20" s="54"/>
      <c r="NU20" s="54"/>
      <c r="NV20" s="54"/>
      <c r="NW20" s="54"/>
      <c r="NX20" s="54"/>
      <c r="NY20" s="54"/>
      <c r="NZ20" s="54"/>
      <c r="OA20" s="54"/>
      <c r="OB20" s="54"/>
      <c r="OC20" s="54"/>
      <c r="OD20" s="54"/>
      <c r="OE20" s="54"/>
      <c r="OF20" s="54"/>
      <c r="OG20" s="54"/>
      <c r="OH20" s="54"/>
      <c r="OI20" s="54"/>
      <c r="OJ20" s="54"/>
      <c r="OK20" s="54"/>
      <c r="OL20" s="54"/>
      <c r="OM20" s="54"/>
      <c r="ON20" s="54"/>
      <c r="OO20" s="54"/>
      <c r="OP20" s="54"/>
      <c r="OQ20" s="54"/>
      <c r="OR20" s="54"/>
      <c r="OS20" s="54"/>
      <c r="OT20" s="54"/>
      <c r="OU20" s="54"/>
      <c r="OV20" s="54"/>
      <c r="OW20" s="54"/>
      <c r="OX20" s="54"/>
      <c r="OY20" s="54"/>
      <c r="OZ20" s="54"/>
      <c r="PA20" s="54"/>
      <c r="PB20" s="54"/>
      <c r="PC20" s="54"/>
      <c r="PD20" s="54"/>
      <c r="PE20" s="54"/>
      <c r="PF20" s="54"/>
      <c r="PG20" s="54"/>
      <c r="PH20" s="54"/>
      <c r="PI20" s="54"/>
      <c r="PJ20" s="54"/>
      <c r="PK20" s="54"/>
      <c r="PL20" s="54"/>
      <c r="PM20" s="54"/>
      <c r="PN20" s="54"/>
      <c r="PO20" s="54"/>
      <c r="PP20" s="54"/>
      <c r="PQ20" s="54"/>
      <c r="PR20" s="54"/>
      <c r="PS20" s="54"/>
      <c r="PT20" s="54"/>
      <c r="PU20" s="54"/>
      <c r="PV20" s="54"/>
      <c r="PW20" s="54"/>
      <c r="PX20" s="54"/>
      <c r="PY20" s="54"/>
      <c r="PZ20" s="54"/>
      <c r="QA20" s="54"/>
      <c r="QB20" s="54"/>
      <c r="QC20" s="54"/>
      <c r="QD20" s="54"/>
      <c r="QE20" s="54"/>
      <c r="QF20" s="54"/>
      <c r="QG20" s="54"/>
      <c r="QH20" s="54"/>
      <c r="QI20" s="54"/>
      <c r="QJ20" s="54"/>
      <c r="QK20" s="54"/>
      <c r="QL20" s="54"/>
      <c r="QM20" s="54"/>
      <c r="QN20" s="54"/>
      <c r="QO20" s="54"/>
      <c r="QP20" s="54"/>
      <c r="QQ20" s="54"/>
      <c r="QR20" s="54"/>
      <c r="QS20" s="54"/>
      <c r="QT20" s="54"/>
      <c r="QU20" s="54"/>
      <c r="QV20" s="54"/>
      <c r="QW20" s="54"/>
      <c r="QX20" s="54"/>
      <c r="QY20" s="54"/>
      <c r="QZ20" s="54"/>
      <c r="RA20" s="54"/>
      <c r="RB20" s="54"/>
      <c r="RC20" s="54"/>
      <c r="RD20" s="54"/>
      <c r="RE20" s="54"/>
      <c r="RF20" s="54"/>
      <c r="RG20" s="54"/>
      <c r="RH20" s="54"/>
      <c r="RI20" s="54"/>
      <c r="RJ20" s="54"/>
      <c r="RK20" s="54"/>
      <c r="RL20" s="54"/>
      <c r="RM20" s="54"/>
      <c r="RN20" s="54"/>
      <c r="RO20" s="54"/>
      <c r="RP20" s="54"/>
      <c r="RQ20" s="54"/>
      <c r="RR20" s="54"/>
      <c r="RS20" s="54"/>
      <c r="RT20" s="54"/>
      <c r="RU20" s="54"/>
      <c r="RV20" s="54"/>
      <c r="RW20" s="54"/>
      <c r="RX20" s="54"/>
      <c r="RY20" s="54"/>
      <c r="RZ20" s="54"/>
      <c r="SA20" s="54"/>
      <c r="SB20" s="54"/>
      <c r="SC20" s="54"/>
      <c r="SD20" s="54"/>
      <c r="SE20" s="54"/>
      <c r="SF20" s="54"/>
      <c r="SG20" s="54"/>
      <c r="SH20" s="54"/>
      <c r="SI20" s="54"/>
      <c r="SJ20" s="54"/>
      <c r="SK20" s="54"/>
      <c r="SL20" s="54"/>
      <c r="SM20" s="54"/>
      <c r="SN20" s="54"/>
      <c r="SO20" s="54"/>
      <c r="SP20" s="54"/>
      <c r="SQ20" s="54"/>
      <c r="SR20" s="54"/>
      <c r="SS20" s="54"/>
      <c r="ST20" s="54"/>
      <c r="SU20" s="54"/>
      <c r="SV20" s="54"/>
      <c r="SW20" s="54"/>
      <c r="SX20" s="54"/>
      <c r="SY20" s="54"/>
      <c r="SZ20" s="54"/>
      <c r="TA20" s="54"/>
      <c r="TB20" s="54"/>
      <c r="TC20" s="54"/>
      <c r="TD20" s="54"/>
      <c r="TE20" s="54"/>
      <c r="TF20" s="54"/>
      <c r="TG20" s="54"/>
      <c r="TH20" s="54"/>
      <c r="TI20" s="54"/>
      <c r="TJ20" s="54"/>
      <c r="TK20" s="54"/>
      <c r="TL20" s="54"/>
      <c r="TM20" s="54"/>
      <c r="TN20" s="54"/>
      <c r="TO20" s="54"/>
      <c r="TP20" s="54"/>
      <c r="TQ20" s="54"/>
      <c r="TR20" s="54"/>
      <c r="TS20" s="54"/>
      <c r="TT20" s="54"/>
      <c r="TU20" s="54"/>
      <c r="TV20" s="54"/>
      <c r="TW20" s="54"/>
      <c r="TX20" s="54"/>
      <c r="TY20" s="54"/>
      <c r="TZ20" s="54"/>
      <c r="UA20" s="54"/>
      <c r="UB20" s="54"/>
      <c r="UC20" s="54"/>
      <c r="UD20" s="54"/>
      <c r="UE20" s="54"/>
      <c r="UF20" s="54"/>
      <c r="UG20" s="54"/>
      <c r="UH20" s="54"/>
      <c r="UI20" s="54"/>
      <c r="UJ20" s="54"/>
      <c r="UK20" s="54"/>
      <c r="UL20" s="54"/>
      <c r="UM20" s="54"/>
      <c r="UN20" s="54"/>
      <c r="UO20" s="54"/>
      <c r="UP20" s="54"/>
      <c r="UQ20" s="54"/>
      <c r="UR20" s="54"/>
      <c r="US20" s="54"/>
      <c r="UT20" s="54"/>
      <c r="UU20" s="54"/>
      <c r="UV20" s="54"/>
      <c r="UW20" s="54"/>
      <c r="UX20" s="54"/>
      <c r="UY20" s="54"/>
      <c r="UZ20" s="54"/>
      <c r="VA20" s="54"/>
      <c r="VB20" s="54"/>
      <c r="VC20" s="54"/>
      <c r="VD20" s="54"/>
      <c r="VE20" s="54"/>
      <c r="VF20" s="54"/>
      <c r="VG20" s="54"/>
      <c r="VH20" s="54"/>
      <c r="VI20" s="54"/>
      <c r="VJ20" s="54"/>
      <c r="VK20" s="54"/>
      <c r="VL20" s="54"/>
      <c r="VM20" s="54"/>
      <c r="VN20" s="54"/>
      <c r="VO20" s="54"/>
      <c r="VP20" s="54"/>
      <c r="VQ20" s="54"/>
      <c r="VR20" s="54"/>
      <c r="VS20" s="54"/>
      <c r="VT20" s="54"/>
      <c r="VU20" s="54"/>
      <c r="VV20" s="54"/>
      <c r="VW20" s="54"/>
      <c r="VX20" s="54"/>
      <c r="VY20" s="54"/>
      <c r="VZ20" s="54"/>
      <c r="WA20" s="54"/>
      <c r="WB20" s="54"/>
      <c r="WC20" s="54"/>
      <c r="WD20" s="54"/>
      <c r="WE20" s="54"/>
    </row>
    <row r="21" spans="1:603" s="35" customFormat="1" x14ac:dyDescent="0.4">
      <c r="A21" s="51"/>
      <c r="B21" s="51"/>
      <c r="C21" s="51"/>
      <c r="D21" s="51"/>
      <c r="E21" s="51"/>
      <c r="F21" s="51"/>
      <c r="G21" s="51"/>
      <c r="H21" s="51"/>
      <c r="I21" s="51"/>
      <c r="J21" s="54"/>
      <c r="K21" s="54"/>
      <c r="L21" s="55"/>
      <c r="M21" s="55"/>
      <c r="N21" s="54"/>
      <c r="O21" s="54"/>
      <c r="P21" s="55"/>
      <c r="Q21" s="55"/>
      <c r="R21" s="54"/>
      <c r="S21" s="54"/>
      <c r="T21" s="55"/>
      <c r="U21" s="55"/>
      <c r="V21" s="54"/>
      <c r="W21" s="54"/>
      <c r="X21" s="55"/>
      <c r="Y21" s="55"/>
      <c r="Z21" s="54"/>
      <c r="AA21" s="54"/>
      <c r="AB21" s="55"/>
      <c r="AC21" s="55"/>
      <c r="AD21" s="54"/>
      <c r="AE21" s="54"/>
      <c r="AF21" s="55"/>
      <c r="AG21" s="55"/>
      <c r="AH21" s="54"/>
      <c r="AI21" s="54"/>
      <c r="AJ21" s="55"/>
      <c r="AK21" s="55"/>
      <c r="AL21" s="54"/>
      <c r="AM21" s="54"/>
      <c r="AN21" s="55"/>
      <c r="AO21" s="55"/>
      <c r="AP21" s="54"/>
      <c r="AQ21" s="54"/>
      <c r="AR21" s="55"/>
      <c r="AS21" s="55"/>
      <c r="AT21" s="54"/>
      <c r="AU21" s="54"/>
      <c r="AV21" s="55"/>
      <c r="AW21" s="55"/>
      <c r="AX21" s="54"/>
      <c r="AY21" s="54"/>
      <c r="AZ21" s="55"/>
      <c r="BA21" s="55"/>
      <c r="BB21" s="54"/>
      <c r="BC21" s="54"/>
      <c r="BD21" s="55"/>
      <c r="BE21" s="55"/>
      <c r="BF21" s="54"/>
      <c r="BG21" s="54"/>
      <c r="BH21" s="54"/>
      <c r="BI21" s="54"/>
      <c r="BJ21" s="54"/>
      <c r="BK21" s="54"/>
      <c r="BL21" s="54"/>
      <c r="BM21" s="54"/>
      <c r="BN21" s="54"/>
      <c r="BO21" s="54"/>
      <c r="BP21" s="54"/>
      <c r="BQ21" s="54"/>
      <c r="BR21" s="54"/>
      <c r="BS21" s="54"/>
      <c r="BT21" s="54"/>
      <c r="BU21" s="54"/>
      <c r="BV21" s="54"/>
      <c r="BW21" s="54"/>
      <c r="BX21" s="54"/>
      <c r="BY21" s="54"/>
      <c r="BZ21" s="54"/>
      <c r="CA21" s="54"/>
      <c r="CB21" s="54"/>
      <c r="CC21" s="54"/>
      <c r="CD21" s="54"/>
      <c r="CE21" s="54"/>
      <c r="CF21" s="54"/>
      <c r="CG21" s="54"/>
      <c r="CH21" s="54"/>
      <c r="CI21" s="54"/>
      <c r="CJ21" s="54"/>
      <c r="CK21" s="54"/>
      <c r="CL21" s="54"/>
      <c r="CM21" s="54"/>
      <c r="CN21" s="54"/>
      <c r="CO21" s="54"/>
      <c r="CP21" s="54"/>
      <c r="CQ21" s="54"/>
      <c r="CR21" s="54"/>
      <c r="CS21" s="54"/>
      <c r="CT21" s="54"/>
      <c r="CU21" s="54"/>
      <c r="CV21" s="54"/>
      <c r="CW21" s="54"/>
      <c r="CX21" s="54"/>
      <c r="CY21" s="54"/>
      <c r="CZ21" s="54"/>
      <c r="DA21" s="54"/>
      <c r="DB21" s="54"/>
      <c r="DC21" s="54"/>
      <c r="DD21" s="54"/>
      <c r="DE21" s="54"/>
      <c r="DF21" s="54"/>
      <c r="DG21" s="54"/>
      <c r="DH21" s="54"/>
      <c r="DI21" s="54"/>
      <c r="DJ21" s="54"/>
      <c r="DK21" s="54"/>
      <c r="DL21" s="54"/>
      <c r="DM21" s="54"/>
      <c r="DN21" s="54"/>
      <c r="DO21" s="54"/>
      <c r="DP21" s="54"/>
      <c r="DQ21" s="54"/>
      <c r="DR21" s="54"/>
      <c r="DS21" s="54"/>
      <c r="DT21" s="54"/>
      <c r="DU21" s="54"/>
      <c r="DV21" s="54"/>
      <c r="DW21" s="54"/>
      <c r="DX21" s="54"/>
      <c r="DY21" s="54"/>
      <c r="DZ21" s="54"/>
      <c r="EA21" s="54"/>
      <c r="EB21" s="54"/>
      <c r="EC21" s="54"/>
      <c r="ED21" s="54"/>
      <c r="EE21" s="54"/>
      <c r="EF21" s="54"/>
      <c r="EG21" s="54"/>
      <c r="EH21" s="54"/>
      <c r="EI21" s="54"/>
      <c r="EJ21" s="54"/>
      <c r="EK21" s="54"/>
      <c r="EL21" s="54"/>
      <c r="EM21" s="54"/>
      <c r="EN21" s="54"/>
      <c r="EO21" s="54"/>
      <c r="EP21" s="54"/>
      <c r="EQ21" s="54"/>
      <c r="ER21" s="54"/>
      <c r="ES21" s="54"/>
      <c r="ET21" s="54"/>
      <c r="EU21" s="54"/>
      <c r="EV21" s="54"/>
      <c r="EW21" s="54"/>
      <c r="EX21" s="54"/>
      <c r="EY21" s="54"/>
      <c r="EZ21" s="54"/>
      <c r="FA21" s="54"/>
      <c r="FB21" s="54"/>
      <c r="FC21" s="54"/>
      <c r="FD21" s="54"/>
      <c r="FE21" s="54"/>
      <c r="FF21" s="54"/>
      <c r="FG21" s="54"/>
      <c r="FH21" s="54"/>
      <c r="FI21" s="54"/>
      <c r="FJ21" s="54"/>
      <c r="FK21" s="54"/>
      <c r="FL21" s="54"/>
      <c r="FM21" s="54"/>
      <c r="FN21" s="54"/>
      <c r="FO21" s="54"/>
      <c r="FP21" s="54"/>
      <c r="FQ21" s="54"/>
      <c r="FR21" s="54"/>
      <c r="FS21" s="54"/>
      <c r="FT21" s="54"/>
      <c r="FU21" s="54"/>
      <c r="FV21" s="54"/>
      <c r="FW21" s="54"/>
      <c r="FX21" s="54"/>
      <c r="FY21" s="54"/>
      <c r="FZ21" s="54"/>
      <c r="GA21" s="54"/>
      <c r="GB21" s="54"/>
      <c r="GC21" s="54"/>
      <c r="GD21" s="54"/>
      <c r="GE21" s="54"/>
      <c r="GF21" s="54"/>
      <c r="GG21" s="54"/>
      <c r="GH21" s="54"/>
      <c r="GI21" s="54"/>
      <c r="GJ21" s="54"/>
      <c r="GK21" s="54"/>
      <c r="GL21" s="54"/>
      <c r="GM21" s="54"/>
      <c r="GN21" s="54"/>
      <c r="GO21" s="54"/>
      <c r="GP21" s="54"/>
      <c r="GQ21" s="54"/>
      <c r="GR21" s="54"/>
      <c r="GS21" s="54"/>
      <c r="GT21" s="54"/>
      <c r="GU21" s="54"/>
      <c r="GV21" s="54"/>
      <c r="GW21" s="54"/>
      <c r="GX21" s="54"/>
      <c r="GY21" s="54"/>
      <c r="GZ21" s="54"/>
      <c r="HA21" s="54"/>
      <c r="HB21" s="54"/>
      <c r="HC21" s="54"/>
      <c r="HD21" s="54"/>
      <c r="HE21" s="54"/>
      <c r="HF21" s="54"/>
      <c r="HG21" s="54"/>
      <c r="HH21" s="54"/>
      <c r="HI21" s="54"/>
      <c r="HJ21" s="54"/>
      <c r="HK21" s="54"/>
      <c r="HL21" s="54"/>
      <c r="HM21" s="54"/>
      <c r="HN21" s="54"/>
      <c r="HO21" s="54"/>
      <c r="HP21" s="54"/>
      <c r="HQ21" s="54"/>
      <c r="HR21" s="54"/>
      <c r="HS21" s="54"/>
      <c r="HT21" s="54"/>
      <c r="HU21" s="54"/>
      <c r="HV21" s="54"/>
      <c r="HW21" s="54"/>
      <c r="HX21" s="54"/>
      <c r="HY21" s="54"/>
      <c r="HZ21" s="54"/>
      <c r="IA21" s="54"/>
      <c r="IB21" s="54"/>
      <c r="IC21" s="54"/>
      <c r="ID21" s="54"/>
      <c r="IE21" s="54"/>
      <c r="IF21" s="54"/>
      <c r="IG21" s="54"/>
      <c r="IH21" s="54"/>
      <c r="II21" s="54"/>
      <c r="IJ21" s="54"/>
      <c r="IK21" s="54"/>
      <c r="IL21" s="54"/>
      <c r="IM21" s="54"/>
      <c r="IN21" s="54"/>
      <c r="IO21" s="54"/>
      <c r="IP21" s="54"/>
      <c r="IQ21" s="54"/>
      <c r="IR21" s="54"/>
      <c r="IS21" s="54"/>
      <c r="IT21" s="54"/>
      <c r="IU21" s="54"/>
      <c r="IV21" s="54"/>
      <c r="IW21" s="54"/>
      <c r="IX21" s="54"/>
      <c r="IY21" s="54"/>
      <c r="IZ21" s="54"/>
      <c r="JA21" s="54"/>
      <c r="JB21" s="54"/>
      <c r="JC21" s="54"/>
      <c r="JD21" s="54"/>
      <c r="JE21" s="54"/>
      <c r="JF21" s="54"/>
      <c r="JG21" s="54"/>
      <c r="JH21" s="54"/>
      <c r="JI21" s="54"/>
      <c r="JJ21" s="54"/>
      <c r="JK21" s="54"/>
      <c r="JL21" s="54"/>
      <c r="JM21" s="54"/>
      <c r="JN21" s="54"/>
      <c r="JO21" s="54"/>
      <c r="JP21" s="54"/>
      <c r="JQ21" s="54"/>
      <c r="JR21" s="54"/>
      <c r="JS21" s="54"/>
      <c r="JT21" s="54"/>
      <c r="JU21" s="54"/>
      <c r="JV21" s="54"/>
      <c r="JW21" s="54"/>
      <c r="JX21" s="54"/>
      <c r="JY21" s="54"/>
      <c r="JZ21" s="54"/>
      <c r="KA21" s="54"/>
      <c r="KB21" s="54"/>
      <c r="KC21" s="54"/>
      <c r="KD21" s="54"/>
      <c r="KE21" s="54"/>
      <c r="KF21" s="54"/>
      <c r="KG21" s="54"/>
      <c r="KH21" s="54"/>
      <c r="KI21" s="54"/>
      <c r="KJ21" s="54"/>
      <c r="KK21" s="54"/>
      <c r="KL21" s="54"/>
      <c r="KM21" s="54"/>
      <c r="KN21" s="54"/>
      <c r="KO21" s="54"/>
      <c r="KP21" s="54"/>
      <c r="KQ21" s="54"/>
      <c r="KR21" s="54"/>
      <c r="KS21" s="54"/>
      <c r="KT21" s="54"/>
      <c r="KU21" s="54"/>
      <c r="KV21" s="54"/>
      <c r="KW21" s="54"/>
      <c r="KX21" s="54"/>
      <c r="KY21" s="54"/>
      <c r="KZ21" s="54"/>
      <c r="LA21" s="54"/>
      <c r="LB21" s="54"/>
      <c r="LC21" s="54"/>
      <c r="LD21" s="54"/>
      <c r="LE21" s="54"/>
      <c r="LF21" s="54"/>
      <c r="LG21" s="54"/>
      <c r="LH21" s="54"/>
      <c r="LI21" s="54"/>
      <c r="LJ21" s="54"/>
      <c r="LK21" s="54"/>
      <c r="LL21" s="54"/>
      <c r="LM21" s="54"/>
      <c r="LN21" s="54"/>
      <c r="LO21" s="54"/>
      <c r="LP21" s="54"/>
      <c r="LQ21" s="54"/>
      <c r="LR21" s="54"/>
      <c r="LS21" s="54"/>
      <c r="LT21" s="54"/>
      <c r="LU21" s="54"/>
      <c r="LV21" s="54"/>
      <c r="LW21" s="54"/>
      <c r="LX21" s="54"/>
      <c r="LY21" s="54"/>
      <c r="LZ21" s="54"/>
      <c r="MA21" s="54"/>
      <c r="MB21" s="54"/>
      <c r="MC21" s="54"/>
      <c r="MD21" s="54"/>
      <c r="ME21" s="54"/>
      <c r="MF21" s="54"/>
      <c r="MG21" s="54"/>
      <c r="MH21" s="54"/>
      <c r="MI21" s="54"/>
      <c r="MJ21" s="54"/>
      <c r="MK21" s="54"/>
      <c r="ML21" s="54"/>
      <c r="MM21" s="54"/>
      <c r="MN21" s="54"/>
      <c r="MO21" s="54"/>
      <c r="MP21" s="54"/>
      <c r="MQ21" s="54"/>
      <c r="MR21" s="54"/>
      <c r="MS21" s="54"/>
      <c r="MT21" s="54"/>
      <c r="MU21" s="54"/>
      <c r="MV21" s="54"/>
      <c r="MW21" s="54"/>
      <c r="MX21" s="54"/>
      <c r="MY21" s="54"/>
      <c r="MZ21" s="54"/>
      <c r="NA21" s="54"/>
      <c r="NB21" s="54"/>
      <c r="NC21" s="54"/>
      <c r="ND21" s="54"/>
      <c r="NE21" s="54"/>
      <c r="NF21" s="54"/>
      <c r="NG21" s="54"/>
      <c r="NH21" s="54"/>
      <c r="NI21" s="54"/>
      <c r="NJ21" s="54"/>
      <c r="NK21" s="54"/>
      <c r="NL21" s="54"/>
      <c r="NM21" s="54"/>
      <c r="NN21" s="54"/>
      <c r="NO21" s="54"/>
      <c r="NP21" s="54"/>
      <c r="NQ21" s="54"/>
      <c r="NR21" s="54"/>
      <c r="NS21" s="54"/>
      <c r="NT21" s="54"/>
      <c r="NU21" s="54"/>
      <c r="NV21" s="54"/>
      <c r="NW21" s="54"/>
      <c r="NX21" s="54"/>
      <c r="NY21" s="54"/>
      <c r="NZ21" s="54"/>
      <c r="OA21" s="54"/>
      <c r="OB21" s="54"/>
      <c r="OC21" s="54"/>
      <c r="OD21" s="54"/>
      <c r="OE21" s="54"/>
      <c r="OF21" s="54"/>
      <c r="OG21" s="54"/>
      <c r="OH21" s="54"/>
      <c r="OI21" s="54"/>
      <c r="OJ21" s="54"/>
      <c r="OK21" s="54"/>
      <c r="OL21" s="54"/>
      <c r="OM21" s="54"/>
      <c r="ON21" s="54"/>
      <c r="OO21" s="54"/>
      <c r="OP21" s="54"/>
      <c r="OQ21" s="54"/>
      <c r="OR21" s="54"/>
      <c r="OS21" s="54"/>
      <c r="OT21" s="54"/>
      <c r="OU21" s="54"/>
      <c r="OV21" s="54"/>
      <c r="OW21" s="54"/>
      <c r="OX21" s="54"/>
      <c r="OY21" s="54"/>
      <c r="OZ21" s="54"/>
      <c r="PA21" s="54"/>
      <c r="PB21" s="54"/>
      <c r="PC21" s="54"/>
      <c r="PD21" s="54"/>
      <c r="PE21" s="54"/>
      <c r="PF21" s="54"/>
      <c r="PG21" s="54"/>
      <c r="PH21" s="54"/>
      <c r="PI21" s="54"/>
      <c r="PJ21" s="54"/>
      <c r="PK21" s="54"/>
      <c r="PL21" s="54"/>
      <c r="PM21" s="54"/>
      <c r="PN21" s="54"/>
      <c r="PO21" s="54"/>
      <c r="PP21" s="54"/>
      <c r="PQ21" s="54"/>
      <c r="PR21" s="54"/>
      <c r="PS21" s="54"/>
      <c r="PT21" s="54"/>
      <c r="PU21" s="54"/>
      <c r="PV21" s="54"/>
      <c r="PW21" s="54"/>
      <c r="PX21" s="54"/>
      <c r="PY21" s="54"/>
      <c r="PZ21" s="54"/>
      <c r="QA21" s="54"/>
      <c r="QB21" s="54"/>
      <c r="QC21" s="54"/>
      <c r="QD21" s="54"/>
      <c r="QE21" s="54"/>
      <c r="QF21" s="54"/>
      <c r="QG21" s="54"/>
      <c r="QH21" s="54"/>
      <c r="QI21" s="54"/>
      <c r="QJ21" s="54"/>
      <c r="QK21" s="54"/>
      <c r="QL21" s="54"/>
      <c r="QM21" s="54"/>
      <c r="QN21" s="54"/>
      <c r="QO21" s="54"/>
      <c r="QP21" s="54"/>
      <c r="QQ21" s="54"/>
      <c r="QR21" s="54"/>
      <c r="QS21" s="54"/>
      <c r="QT21" s="54"/>
      <c r="QU21" s="54"/>
      <c r="QV21" s="54"/>
      <c r="QW21" s="54"/>
      <c r="QX21" s="54"/>
      <c r="QY21" s="54"/>
      <c r="QZ21" s="54"/>
      <c r="RA21" s="54"/>
      <c r="RB21" s="54"/>
      <c r="RC21" s="54"/>
      <c r="RD21" s="54"/>
      <c r="RE21" s="54"/>
      <c r="RF21" s="54"/>
      <c r="RG21" s="54"/>
      <c r="RH21" s="54"/>
      <c r="RI21" s="54"/>
      <c r="RJ21" s="54"/>
      <c r="RK21" s="54"/>
      <c r="RL21" s="54"/>
      <c r="RM21" s="54"/>
      <c r="RN21" s="54"/>
      <c r="RO21" s="54"/>
      <c r="RP21" s="54"/>
      <c r="RQ21" s="54"/>
      <c r="RR21" s="54"/>
      <c r="RS21" s="54"/>
      <c r="RT21" s="54"/>
      <c r="RU21" s="54"/>
      <c r="RV21" s="54"/>
      <c r="RW21" s="54"/>
      <c r="RX21" s="54"/>
      <c r="RY21" s="54"/>
      <c r="RZ21" s="54"/>
      <c r="SA21" s="54"/>
      <c r="SB21" s="54"/>
      <c r="SC21" s="54"/>
      <c r="SD21" s="54"/>
      <c r="SE21" s="54"/>
      <c r="SF21" s="54"/>
      <c r="SG21" s="54"/>
      <c r="SH21" s="54"/>
      <c r="SI21" s="54"/>
      <c r="SJ21" s="54"/>
      <c r="SK21" s="54"/>
      <c r="SL21" s="54"/>
      <c r="SM21" s="54"/>
      <c r="SN21" s="54"/>
      <c r="SO21" s="54"/>
      <c r="SP21" s="54"/>
      <c r="SQ21" s="54"/>
      <c r="SR21" s="54"/>
      <c r="SS21" s="54"/>
      <c r="ST21" s="54"/>
      <c r="SU21" s="54"/>
      <c r="SV21" s="54"/>
      <c r="SW21" s="54"/>
      <c r="SX21" s="54"/>
      <c r="SY21" s="54"/>
      <c r="SZ21" s="54"/>
      <c r="TA21" s="54"/>
      <c r="TB21" s="54"/>
      <c r="TC21" s="54"/>
      <c r="TD21" s="54"/>
      <c r="TE21" s="54"/>
      <c r="TF21" s="54"/>
      <c r="TG21" s="54"/>
      <c r="TH21" s="54"/>
      <c r="TI21" s="54"/>
      <c r="TJ21" s="54"/>
      <c r="TK21" s="54"/>
      <c r="TL21" s="54"/>
      <c r="TM21" s="54"/>
      <c r="TN21" s="54"/>
      <c r="TO21" s="54"/>
      <c r="TP21" s="54"/>
      <c r="TQ21" s="54"/>
      <c r="TR21" s="54"/>
      <c r="TS21" s="54"/>
      <c r="TT21" s="54"/>
      <c r="TU21" s="54"/>
      <c r="TV21" s="54"/>
      <c r="TW21" s="54"/>
      <c r="TX21" s="54"/>
      <c r="TY21" s="54"/>
      <c r="TZ21" s="54"/>
      <c r="UA21" s="54"/>
      <c r="UB21" s="54"/>
      <c r="UC21" s="54"/>
      <c r="UD21" s="54"/>
      <c r="UE21" s="54"/>
      <c r="UF21" s="54"/>
      <c r="UG21" s="54"/>
      <c r="UH21" s="54"/>
      <c r="UI21" s="54"/>
      <c r="UJ21" s="54"/>
      <c r="UK21" s="54"/>
      <c r="UL21" s="54"/>
      <c r="UM21" s="54"/>
      <c r="UN21" s="54"/>
      <c r="UO21" s="54"/>
      <c r="UP21" s="54"/>
      <c r="UQ21" s="54"/>
      <c r="UR21" s="54"/>
      <c r="US21" s="54"/>
      <c r="UT21" s="54"/>
      <c r="UU21" s="54"/>
      <c r="UV21" s="54"/>
      <c r="UW21" s="54"/>
      <c r="UX21" s="54"/>
      <c r="UY21" s="54"/>
      <c r="UZ21" s="54"/>
      <c r="VA21" s="54"/>
      <c r="VB21" s="54"/>
      <c r="VC21" s="54"/>
      <c r="VD21" s="54"/>
      <c r="VE21" s="54"/>
      <c r="VF21" s="54"/>
      <c r="VG21" s="54"/>
      <c r="VH21" s="54"/>
      <c r="VI21" s="54"/>
      <c r="VJ21" s="54"/>
      <c r="VK21" s="54"/>
      <c r="VL21" s="54"/>
      <c r="VM21" s="54"/>
      <c r="VN21" s="54"/>
      <c r="VO21" s="54"/>
      <c r="VP21" s="54"/>
      <c r="VQ21" s="54"/>
      <c r="VR21" s="54"/>
      <c r="VS21" s="54"/>
      <c r="VT21" s="54"/>
      <c r="VU21" s="54"/>
      <c r="VV21" s="54"/>
      <c r="VW21" s="54"/>
      <c r="VX21" s="54"/>
      <c r="VY21" s="54"/>
      <c r="VZ21" s="54"/>
      <c r="WA21" s="54"/>
      <c r="WB21" s="54"/>
      <c r="WC21" s="54"/>
      <c r="WD21" s="54"/>
      <c r="WE21" s="54"/>
    </row>
    <row r="22" spans="1:603" s="35" customFormat="1" x14ac:dyDescent="0.4">
      <c r="A22" s="51"/>
      <c r="B22" s="51"/>
      <c r="C22" s="51"/>
      <c r="D22" s="51"/>
      <c r="E22" s="51"/>
      <c r="F22" s="51"/>
      <c r="G22" s="51"/>
      <c r="H22" s="51"/>
      <c r="I22" s="51"/>
      <c r="J22" s="54"/>
      <c r="K22" s="54"/>
      <c r="L22" s="55"/>
      <c r="M22" s="55"/>
      <c r="N22" s="54"/>
      <c r="O22" s="54"/>
      <c r="P22" s="55"/>
      <c r="Q22" s="55"/>
      <c r="R22" s="54"/>
      <c r="S22" s="54"/>
      <c r="T22" s="55"/>
      <c r="U22" s="55"/>
      <c r="V22" s="54"/>
      <c r="W22" s="54"/>
      <c r="X22" s="55"/>
      <c r="Y22" s="55"/>
      <c r="Z22" s="54"/>
      <c r="AA22" s="54"/>
      <c r="AB22" s="55"/>
      <c r="AC22" s="55"/>
      <c r="AD22" s="54"/>
      <c r="AE22" s="54"/>
      <c r="AF22" s="55"/>
      <c r="AG22" s="55"/>
      <c r="AH22" s="54"/>
      <c r="AI22" s="54"/>
      <c r="AJ22" s="55"/>
      <c r="AK22" s="55"/>
      <c r="AL22" s="54"/>
      <c r="AM22" s="54"/>
      <c r="AN22" s="55"/>
      <c r="AO22" s="55"/>
      <c r="AP22" s="54"/>
      <c r="AQ22" s="54"/>
      <c r="AR22" s="55"/>
      <c r="AS22" s="55"/>
      <c r="AT22" s="54"/>
      <c r="AU22" s="54"/>
      <c r="AV22" s="55"/>
      <c r="AW22" s="55"/>
      <c r="AX22" s="54"/>
      <c r="AY22" s="54"/>
      <c r="AZ22" s="55"/>
      <c r="BA22" s="55"/>
      <c r="BB22" s="54"/>
      <c r="BC22" s="54"/>
      <c r="BD22" s="55"/>
      <c r="BE22" s="55"/>
      <c r="BF22" s="54"/>
      <c r="BG22" s="54"/>
      <c r="BH22" s="54"/>
      <c r="BI22" s="54"/>
      <c r="BJ22" s="54"/>
      <c r="BK22" s="54"/>
      <c r="BL22" s="54"/>
      <c r="BM22" s="54"/>
      <c r="BN22" s="54"/>
      <c r="BO22" s="54"/>
      <c r="BP22" s="54"/>
      <c r="BQ22" s="54"/>
      <c r="BR22" s="54"/>
      <c r="BS22" s="54"/>
      <c r="BT22" s="54"/>
      <c r="BU22" s="54"/>
      <c r="BV22" s="54"/>
      <c r="BW22" s="54"/>
      <c r="BX22" s="54"/>
      <c r="BY22" s="54"/>
      <c r="BZ22" s="54"/>
      <c r="CA22" s="54"/>
      <c r="CB22" s="54"/>
      <c r="CC22" s="54"/>
      <c r="CD22" s="54"/>
      <c r="CE22" s="54"/>
      <c r="CF22" s="54"/>
      <c r="CG22" s="54"/>
      <c r="CH22" s="54"/>
      <c r="CI22" s="54"/>
      <c r="CJ22" s="54"/>
      <c r="CK22" s="54"/>
      <c r="CL22" s="54"/>
      <c r="CM22" s="54"/>
      <c r="CN22" s="54"/>
      <c r="CO22" s="54"/>
      <c r="CP22" s="54"/>
      <c r="CQ22" s="54"/>
      <c r="CR22" s="54"/>
      <c r="CS22" s="54"/>
      <c r="CT22" s="54"/>
      <c r="CU22" s="54"/>
      <c r="CV22" s="54"/>
      <c r="CW22" s="54"/>
      <c r="CX22" s="54"/>
      <c r="CY22" s="54"/>
      <c r="CZ22" s="54"/>
      <c r="DA22" s="54"/>
      <c r="DB22" s="54"/>
      <c r="DC22" s="54"/>
      <c r="DD22" s="54"/>
      <c r="DE22" s="54"/>
      <c r="DF22" s="54"/>
      <c r="DG22" s="54"/>
      <c r="DH22" s="54"/>
      <c r="DI22" s="54"/>
      <c r="DJ22" s="54"/>
      <c r="DK22" s="54"/>
      <c r="DL22" s="54"/>
      <c r="DM22" s="54"/>
      <c r="DN22" s="54"/>
      <c r="DO22" s="54"/>
      <c r="DP22" s="54"/>
      <c r="DQ22" s="54"/>
      <c r="DR22" s="54"/>
      <c r="DS22" s="54"/>
      <c r="DT22" s="54"/>
      <c r="DU22" s="54"/>
      <c r="DV22" s="54"/>
      <c r="DW22" s="54"/>
      <c r="DX22" s="54"/>
      <c r="DY22" s="54"/>
      <c r="DZ22" s="54"/>
      <c r="EA22" s="54"/>
      <c r="EB22" s="54"/>
      <c r="EC22" s="54"/>
      <c r="ED22" s="54"/>
      <c r="EE22" s="54"/>
      <c r="EF22" s="54"/>
      <c r="EG22" s="54"/>
      <c r="EH22" s="54"/>
      <c r="EI22" s="54"/>
      <c r="EJ22" s="54"/>
      <c r="EK22" s="54"/>
      <c r="EL22" s="54"/>
      <c r="EM22" s="54"/>
      <c r="EN22" s="54"/>
      <c r="EO22" s="54"/>
      <c r="EP22" s="54"/>
      <c r="EQ22" s="54"/>
      <c r="ER22" s="54"/>
      <c r="ES22" s="54"/>
      <c r="ET22" s="54"/>
      <c r="EU22" s="54"/>
      <c r="EV22" s="54"/>
      <c r="EW22" s="54"/>
      <c r="EX22" s="54"/>
      <c r="EY22" s="54"/>
      <c r="EZ22" s="54"/>
      <c r="FA22" s="54"/>
      <c r="FB22" s="54"/>
      <c r="FC22" s="54"/>
      <c r="FD22" s="54"/>
      <c r="FE22" s="54"/>
      <c r="FF22" s="54"/>
      <c r="FG22" s="54"/>
      <c r="FH22" s="54"/>
      <c r="FI22" s="54"/>
      <c r="FJ22" s="54"/>
      <c r="FK22" s="54"/>
      <c r="FL22" s="54"/>
      <c r="FM22" s="54"/>
      <c r="FN22" s="54"/>
      <c r="FO22" s="54"/>
      <c r="FP22" s="54"/>
      <c r="FQ22" s="54"/>
      <c r="FR22" s="54"/>
      <c r="FS22" s="54"/>
      <c r="FT22" s="54"/>
      <c r="FU22" s="54"/>
      <c r="FV22" s="54"/>
      <c r="FW22" s="54"/>
      <c r="FX22" s="54"/>
      <c r="FY22" s="54"/>
      <c r="FZ22" s="54"/>
      <c r="GA22" s="54"/>
      <c r="GB22" s="54"/>
      <c r="GC22" s="54"/>
      <c r="GD22" s="54"/>
      <c r="GE22" s="54"/>
      <c r="GF22" s="54"/>
      <c r="GG22" s="54"/>
      <c r="GH22" s="54"/>
      <c r="GI22" s="54"/>
      <c r="GJ22" s="54"/>
      <c r="GK22" s="54"/>
      <c r="GL22" s="54"/>
      <c r="GM22" s="54"/>
      <c r="GN22" s="54"/>
      <c r="GO22" s="54"/>
      <c r="GP22" s="54"/>
      <c r="GQ22" s="54"/>
      <c r="GR22" s="54"/>
      <c r="GS22" s="54"/>
      <c r="GT22" s="54"/>
      <c r="GU22" s="54"/>
      <c r="GV22" s="54"/>
      <c r="GW22" s="54"/>
      <c r="GX22" s="54"/>
      <c r="GY22" s="54"/>
      <c r="GZ22" s="54"/>
      <c r="HA22" s="54"/>
      <c r="HB22" s="54"/>
      <c r="HC22" s="54"/>
      <c r="HD22" s="54"/>
      <c r="HE22" s="54"/>
      <c r="HF22" s="54"/>
      <c r="HG22" s="54"/>
      <c r="HH22" s="54"/>
      <c r="HI22" s="54"/>
      <c r="HJ22" s="54"/>
      <c r="HK22" s="54"/>
      <c r="HL22" s="54"/>
      <c r="HM22" s="54"/>
      <c r="HN22" s="54"/>
      <c r="HO22" s="54"/>
      <c r="HP22" s="54"/>
      <c r="HQ22" s="54"/>
      <c r="HR22" s="54"/>
      <c r="HS22" s="54"/>
      <c r="HT22" s="54"/>
      <c r="HU22" s="54"/>
      <c r="HV22" s="54"/>
      <c r="HW22" s="54"/>
      <c r="HX22" s="54"/>
      <c r="HY22" s="54"/>
      <c r="HZ22" s="54"/>
      <c r="IA22" s="54"/>
      <c r="IB22" s="54"/>
      <c r="IC22" s="54"/>
      <c r="ID22" s="54"/>
      <c r="IE22" s="54"/>
      <c r="IF22" s="54"/>
      <c r="IG22" s="54"/>
      <c r="IH22" s="54"/>
      <c r="II22" s="54"/>
      <c r="IJ22" s="54"/>
      <c r="IK22" s="54"/>
      <c r="IL22" s="54"/>
      <c r="IM22" s="54"/>
      <c r="IN22" s="54"/>
      <c r="IO22" s="54"/>
      <c r="IP22" s="54"/>
      <c r="IQ22" s="54"/>
      <c r="IR22" s="54"/>
      <c r="IS22" s="54"/>
      <c r="IT22" s="54"/>
      <c r="IU22" s="54"/>
      <c r="IV22" s="54"/>
      <c r="IW22" s="54"/>
      <c r="IX22" s="54"/>
      <c r="IY22" s="54"/>
      <c r="IZ22" s="54"/>
      <c r="JA22" s="54"/>
      <c r="JB22" s="54"/>
      <c r="JC22" s="54"/>
      <c r="JD22" s="54"/>
      <c r="JE22" s="54"/>
      <c r="JF22" s="54"/>
      <c r="JG22" s="54"/>
      <c r="JH22" s="54"/>
      <c r="JI22" s="54"/>
      <c r="JJ22" s="54"/>
      <c r="JK22" s="54"/>
      <c r="JL22" s="54"/>
      <c r="JM22" s="54"/>
      <c r="JN22" s="54"/>
      <c r="JO22" s="54"/>
      <c r="JP22" s="54"/>
      <c r="JQ22" s="54"/>
      <c r="JR22" s="54"/>
      <c r="JS22" s="54"/>
      <c r="JT22" s="54"/>
      <c r="JU22" s="54"/>
      <c r="JV22" s="54"/>
      <c r="JW22" s="54"/>
      <c r="JX22" s="54"/>
      <c r="JY22" s="54"/>
      <c r="JZ22" s="54"/>
      <c r="KA22" s="54"/>
      <c r="KB22" s="54"/>
      <c r="KC22" s="54"/>
      <c r="KD22" s="54"/>
      <c r="KE22" s="54"/>
      <c r="KF22" s="54"/>
      <c r="KG22" s="54"/>
      <c r="KH22" s="54"/>
      <c r="KI22" s="54"/>
      <c r="KJ22" s="54"/>
      <c r="KK22" s="54"/>
      <c r="KL22" s="54"/>
      <c r="KM22" s="54"/>
      <c r="KN22" s="54"/>
      <c r="KO22" s="54"/>
      <c r="KP22" s="54"/>
      <c r="KQ22" s="54"/>
      <c r="KR22" s="54"/>
      <c r="KS22" s="54"/>
      <c r="KT22" s="54"/>
      <c r="KU22" s="54"/>
      <c r="KV22" s="54"/>
      <c r="KW22" s="54"/>
      <c r="KX22" s="54"/>
      <c r="KY22" s="54"/>
      <c r="KZ22" s="54"/>
      <c r="LA22" s="54"/>
      <c r="LB22" s="54"/>
      <c r="LC22" s="54"/>
      <c r="LD22" s="54"/>
      <c r="LE22" s="54"/>
      <c r="LF22" s="54"/>
      <c r="LG22" s="54"/>
      <c r="LH22" s="54"/>
      <c r="LI22" s="54"/>
      <c r="LJ22" s="54"/>
      <c r="LK22" s="54"/>
      <c r="LL22" s="54"/>
      <c r="LM22" s="54"/>
      <c r="LN22" s="54"/>
      <c r="LO22" s="54"/>
      <c r="LP22" s="54"/>
      <c r="LQ22" s="54"/>
      <c r="LR22" s="54"/>
      <c r="LS22" s="54"/>
      <c r="LT22" s="54"/>
      <c r="LU22" s="54"/>
      <c r="LV22" s="54"/>
      <c r="LW22" s="54"/>
      <c r="LX22" s="54"/>
      <c r="LY22" s="54"/>
      <c r="LZ22" s="54"/>
      <c r="MA22" s="54"/>
      <c r="MB22" s="54"/>
      <c r="MC22" s="54"/>
      <c r="MD22" s="54"/>
      <c r="ME22" s="54"/>
      <c r="MF22" s="54"/>
      <c r="MG22" s="54"/>
      <c r="MH22" s="54"/>
      <c r="MI22" s="54"/>
      <c r="MJ22" s="54"/>
      <c r="MK22" s="54"/>
      <c r="ML22" s="54"/>
      <c r="MM22" s="54"/>
      <c r="MN22" s="54"/>
      <c r="MO22" s="54"/>
      <c r="MP22" s="54"/>
      <c r="MQ22" s="54"/>
      <c r="MR22" s="54"/>
      <c r="MS22" s="54"/>
      <c r="MT22" s="54"/>
      <c r="MU22" s="54"/>
      <c r="MV22" s="54"/>
      <c r="MW22" s="54"/>
      <c r="MX22" s="54"/>
      <c r="MY22" s="54"/>
      <c r="MZ22" s="54"/>
      <c r="NA22" s="54"/>
      <c r="NB22" s="54"/>
      <c r="NC22" s="54"/>
      <c r="ND22" s="54"/>
      <c r="NE22" s="54"/>
      <c r="NF22" s="54"/>
      <c r="NG22" s="54"/>
      <c r="NH22" s="54"/>
      <c r="NI22" s="54"/>
      <c r="NJ22" s="54"/>
      <c r="NK22" s="54"/>
      <c r="NL22" s="54"/>
      <c r="NM22" s="54"/>
      <c r="NN22" s="54"/>
      <c r="NO22" s="54"/>
      <c r="NP22" s="54"/>
      <c r="NQ22" s="54"/>
      <c r="NR22" s="54"/>
      <c r="NS22" s="54"/>
      <c r="NT22" s="54"/>
      <c r="NU22" s="54"/>
      <c r="NV22" s="54"/>
      <c r="NW22" s="54"/>
      <c r="NX22" s="54"/>
      <c r="NY22" s="54"/>
      <c r="NZ22" s="54"/>
      <c r="OA22" s="54"/>
      <c r="OB22" s="54"/>
      <c r="OC22" s="54"/>
      <c r="OD22" s="54"/>
      <c r="OE22" s="54"/>
      <c r="OF22" s="54"/>
      <c r="OG22" s="54"/>
      <c r="OH22" s="54"/>
      <c r="OI22" s="54"/>
      <c r="OJ22" s="54"/>
      <c r="OK22" s="54"/>
      <c r="OL22" s="54"/>
      <c r="OM22" s="54"/>
      <c r="ON22" s="54"/>
      <c r="OO22" s="54"/>
      <c r="OP22" s="54"/>
      <c r="OQ22" s="54"/>
      <c r="OR22" s="54"/>
      <c r="OS22" s="54"/>
      <c r="OT22" s="54"/>
      <c r="OU22" s="54"/>
      <c r="OV22" s="54"/>
      <c r="OW22" s="54"/>
      <c r="OX22" s="54"/>
      <c r="OY22" s="54"/>
      <c r="OZ22" s="54"/>
      <c r="PA22" s="54"/>
      <c r="PB22" s="54"/>
      <c r="PC22" s="54"/>
      <c r="PD22" s="54"/>
      <c r="PE22" s="54"/>
      <c r="PF22" s="54"/>
      <c r="PG22" s="54"/>
      <c r="PH22" s="54"/>
      <c r="PI22" s="54"/>
      <c r="PJ22" s="54"/>
      <c r="PK22" s="54"/>
      <c r="PL22" s="54"/>
      <c r="PM22" s="54"/>
      <c r="PN22" s="54"/>
      <c r="PO22" s="54"/>
      <c r="PP22" s="54"/>
      <c r="PQ22" s="54"/>
      <c r="PR22" s="54"/>
      <c r="PS22" s="54"/>
      <c r="PT22" s="54"/>
      <c r="PU22" s="54"/>
      <c r="PV22" s="54"/>
      <c r="PW22" s="54"/>
      <c r="PX22" s="54"/>
      <c r="PY22" s="54"/>
      <c r="PZ22" s="54"/>
      <c r="QA22" s="54"/>
      <c r="QB22" s="54"/>
      <c r="QC22" s="54"/>
      <c r="QD22" s="54"/>
      <c r="QE22" s="54"/>
      <c r="QF22" s="54"/>
      <c r="QG22" s="54"/>
      <c r="QH22" s="54"/>
      <c r="QI22" s="54"/>
      <c r="QJ22" s="54"/>
      <c r="QK22" s="54"/>
      <c r="QL22" s="54"/>
      <c r="QM22" s="54"/>
      <c r="QN22" s="54"/>
      <c r="QO22" s="54"/>
      <c r="QP22" s="54"/>
      <c r="QQ22" s="54"/>
      <c r="QR22" s="54"/>
      <c r="QS22" s="54"/>
      <c r="QT22" s="54"/>
      <c r="QU22" s="54"/>
      <c r="QV22" s="54"/>
      <c r="QW22" s="54"/>
      <c r="QX22" s="54"/>
      <c r="QY22" s="54"/>
      <c r="QZ22" s="54"/>
      <c r="RA22" s="54"/>
      <c r="RB22" s="54"/>
      <c r="RC22" s="54"/>
      <c r="RD22" s="54"/>
      <c r="RE22" s="54"/>
      <c r="RF22" s="54"/>
      <c r="RG22" s="54"/>
      <c r="RH22" s="54"/>
      <c r="RI22" s="54"/>
      <c r="RJ22" s="54"/>
      <c r="RK22" s="54"/>
      <c r="RL22" s="54"/>
      <c r="RM22" s="54"/>
      <c r="RN22" s="54"/>
      <c r="RO22" s="54"/>
      <c r="RP22" s="54"/>
      <c r="RQ22" s="54"/>
      <c r="RR22" s="54"/>
      <c r="RS22" s="54"/>
      <c r="RT22" s="54"/>
      <c r="RU22" s="54"/>
      <c r="RV22" s="54"/>
      <c r="RW22" s="54"/>
      <c r="RX22" s="54"/>
      <c r="RY22" s="54"/>
      <c r="RZ22" s="54"/>
      <c r="SA22" s="54"/>
      <c r="SB22" s="54"/>
      <c r="SC22" s="54"/>
      <c r="SD22" s="54"/>
      <c r="SE22" s="54"/>
      <c r="SF22" s="54"/>
      <c r="SG22" s="54"/>
      <c r="SH22" s="54"/>
      <c r="SI22" s="54"/>
      <c r="SJ22" s="54"/>
      <c r="SK22" s="54"/>
      <c r="SL22" s="54"/>
      <c r="SM22" s="54"/>
      <c r="SN22" s="54"/>
      <c r="SO22" s="54"/>
      <c r="SP22" s="54"/>
      <c r="SQ22" s="54"/>
      <c r="SR22" s="54"/>
      <c r="SS22" s="54"/>
      <c r="ST22" s="54"/>
      <c r="SU22" s="54"/>
      <c r="SV22" s="54"/>
      <c r="SW22" s="54"/>
      <c r="SX22" s="54"/>
      <c r="SY22" s="54"/>
      <c r="SZ22" s="54"/>
      <c r="TA22" s="54"/>
      <c r="TB22" s="54"/>
      <c r="TC22" s="54"/>
      <c r="TD22" s="54"/>
      <c r="TE22" s="54"/>
      <c r="TF22" s="54"/>
      <c r="TG22" s="54"/>
      <c r="TH22" s="54"/>
      <c r="TI22" s="54"/>
      <c r="TJ22" s="54"/>
      <c r="TK22" s="54"/>
      <c r="TL22" s="54"/>
      <c r="TM22" s="54"/>
      <c r="TN22" s="54"/>
      <c r="TO22" s="54"/>
      <c r="TP22" s="54"/>
      <c r="TQ22" s="54"/>
      <c r="TR22" s="54"/>
      <c r="TS22" s="54"/>
      <c r="TT22" s="54"/>
      <c r="TU22" s="54"/>
      <c r="TV22" s="54"/>
      <c r="TW22" s="54"/>
      <c r="TX22" s="54"/>
      <c r="TY22" s="54"/>
      <c r="TZ22" s="54"/>
      <c r="UA22" s="54"/>
      <c r="UB22" s="54"/>
      <c r="UC22" s="54"/>
      <c r="UD22" s="54"/>
      <c r="UE22" s="54"/>
      <c r="UF22" s="54"/>
      <c r="UG22" s="54"/>
      <c r="UH22" s="54"/>
      <c r="UI22" s="54"/>
      <c r="UJ22" s="54"/>
      <c r="UK22" s="54"/>
      <c r="UL22" s="54"/>
      <c r="UM22" s="54"/>
      <c r="UN22" s="54"/>
      <c r="UO22" s="54"/>
      <c r="UP22" s="54"/>
      <c r="UQ22" s="54"/>
      <c r="UR22" s="54"/>
      <c r="US22" s="54"/>
      <c r="UT22" s="54"/>
      <c r="UU22" s="54"/>
      <c r="UV22" s="54"/>
      <c r="UW22" s="54"/>
      <c r="UX22" s="54"/>
      <c r="UY22" s="54"/>
      <c r="UZ22" s="54"/>
      <c r="VA22" s="54"/>
      <c r="VB22" s="54"/>
      <c r="VC22" s="54"/>
      <c r="VD22" s="54"/>
      <c r="VE22" s="54"/>
      <c r="VF22" s="54"/>
      <c r="VG22" s="54"/>
      <c r="VH22" s="54"/>
      <c r="VI22" s="54"/>
      <c r="VJ22" s="54"/>
      <c r="VK22" s="54"/>
      <c r="VL22" s="54"/>
      <c r="VM22" s="54"/>
      <c r="VN22" s="54"/>
      <c r="VO22" s="54"/>
      <c r="VP22" s="54"/>
      <c r="VQ22" s="54"/>
      <c r="VR22" s="54"/>
      <c r="VS22" s="54"/>
      <c r="VT22" s="54"/>
      <c r="VU22" s="54"/>
      <c r="VV22" s="54"/>
      <c r="VW22" s="54"/>
      <c r="VX22" s="54"/>
      <c r="VY22" s="54"/>
      <c r="VZ22" s="54"/>
      <c r="WA22" s="54"/>
      <c r="WB22" s="54"/>
      <c r="WC22" s="54"/>
      <c r="WD22" s="54"/>
      <c r="WE22" s="54"/>
    </row>
    <row r="23" spans="1:603" s="35" customFormat="1" x14ac:dyDescent="0.4">
      <c r="A23" s="51"/>
      <c r="B23" s="51"/>
      <c r="C23" s="51"/>
      <c r="D23" s="51"/>
      <c r="E23" s="51"/>
      <c r="F23" s="51"/>
      <c r="G23" s="51"/>
      <c r="H23" s="51"/>
      <c r="I23" s="51"/>
      <c r="J23" s="54"/>
      <c r="K23" s="54"/>
      <c r="L23" s="55"/>
      <c r="M23" s="55"/>
      <c r="N23" s="54"/>
      <c r="O23" s="54"/>
      <c r="P23" s="55"/>
      <c r="Q23" s="55"/>
      <c r="R23" s="54"/>
      <c r="S23" s="54"/>
      <c r="T23" s="55"/>
      <c r="U23" s="55"/>
      <c r="V23" s="54"/>
      <c r="W23" s="54"/>
      <c r="X23" s="55"/>
      <c r="Y23" s="55"/>
      <c r="Z23" s="54"/>
      <c r="AA23" s="54"/>
      <c r="AB23" s="55"/>
      <c r="AC23" s="55"/>
      <c r="AD23" s="54"/>
      <c r="AE23" s="54"/>
      <c r="AF23" s="55"/>
      <c r="AG23" s="55"/>
      <c r="AH23" s="54"/>
      <c r="AI23" s="54"/>
      <c r="AJ23" s="55"/>
      <c r="AK23" s="55"/>
      <c r="AL23" s="54"/>
      <c r="AM23" s="54"/>
      <c r="AN23" s="55"/>
      <c r="AO23" s="55"/>
      <c r="AP23" s="54"/>
      <c r="AQ23" s="54"/>
      <c r="AR23" s="55"/>
      <c r="AS23" s="55"/>
      <c r="AT23" s="54"/>
      <c r="AU23" s="54"/>
      <c r="AV23" s="55"/>
      <c r="AW23" s="55"/>
      <c r="AX23" s="54"/>
      <c r="AY23" s="54"/>
      <c r="AZ23" s="55"/>
      <c r="BA23" s="55"/>
      <c r="BB23" s="54"/>
      <c r="BC23" s="54"/>
      <c r="BD23" s="55"/>
      <c r="BE23" s="55"/>
      <c r="BF23" s="54"/>
      <c r="BG23" s="54"/>
      <c r="BH23" s="54"/>
      <c r="BI23" s="54"/>
      <c r="BJ23" s="54"/>
      <c r="BK23" s="54"/>
      <c r="BL23" s="54"/>
      <c r="BM23" s="54"/>
      <c r="BN23" s="54"/>
      <c r="BO23" s="54"/>
      <c r="BP23" s="54"/>
      <c r="BQ23" s="54"/>
      <c r="BR23" s="54"/>
      <c r="BS23" s="54"/>
      <c r="BT23" s="54"/>
      <c r="BU23" s="54"/>
      <c r="BV23" s="54"/>
      <c r="BW23" s="54"/>
      <c r="BX23" s="54"/>
      <c r="BY23" s="54"/>
      <c r="BZ23" s="54"/>
      <c r="CA23" s="54"/>
      <c r="CB23" s="54"/>
      <c r="CC23" s="54"/>
      <c r="CD23" s="54"/>
      <c r="CE23" s="54"/>
      <c r="CF23" s="54"/>
      <c r="CG23" s="54"/>
      <c r="CH23" s="54"/>
      <c r="CI23" s="54"/>
      <c r="CJ23" s="54"/>
      <c r="CK23" s="54"/>
      <c r="CL23" s="54"/>
      <c r="CM23" s="54"/>
      <c r="CN23" s="54"/>
      <c r="CO23" s="54"/>
      <c r="CP23" s="54"/>
      <c r="CQ23" s="54"/>
      <c r="CR23" s="54"/>
      <c r="CS23" s="54"/>
      <c r="CT23" s="54"/>
      <c r="CU23" s="54"/>
      <c r="CV23" s="54"/>
      <c r="CW23" s="54"/>
      <c r="CX23" s="54"/>
      <c r="CY23" s="54"/>
      <c r="CZ23" s="54"/>
      <c r="DA23" s="54"/>
      <c r="DB23" s="54"/>
      <c r="DC23" s="54"/>
      <c r="DD23" s="54"/>
      <c r="DE23" s="54"/>
      <c r="DF23" s="54"/>
      <c r="DG23" s="54"/>
      <c r="DH23" s="54"/>
      <c r="DI23" s="54"/>
      <c r="DJ23" s="54"/>
      <c r="DK23" s="54"/>
      <c r="DL23" s="54"/>
      <c r="DM23" s="54"/>
      <c r="DN23" s="54"/>
      <c r="DO23" s="54"/>
      <c r="DP23" s="54"/>
      <c r="DQ23" s="54"/>
      <c r="DR23" s="54"/>
      <c r="DS23" s="54"/>
      <c r="DT23" s="54"/>
      <c r="DU23" s="54"/>
      <c r="DV23" s="54"/>
      <c r="DW23" s="54"/>
      <c r="DX23" s="54"/>
      <c r="DY23" s="54"/>
      <c r="DZ23" s="54"/>
      <c r="EA23" s="54"/>
      <c r="EB23" s="54"/>
      <c r="EC23" s="54"/>
      <c r="ED23" s="54"/>
      <c r="EE23" s="54"/>
      <c r="EF23" s="54"/>
      <c r="EG23" s="54"/>
      <c r="EH23" s="54"/>
      <c r="EI23" s="54"/>
      <c r="EJ23" s="54"/>
      <c r="EK23" s="54"/>
      <c r="EL23" s="54"/>
      <c r="EM23" s="54"/>
      <c r="EN23" s="54"/>
      <c r="EO23" s="54"/>
      <c r="EP23" s="54"/>
      <c r="EQ23" s="54"/>
      <c r="ER23" s="54"/>
      <c r="ES23" s="54"/>
      <c r="ET23" s="54"/>
      <c r="EU23" s="54"/>
      <c r="EV23" s="54"/>
      <c r="EW23" s="54"/>
      <c r="EX23" s="54"/>
      <c r="EY23" s="54"/>
      <c r="EZ23" s="54"/>
      <c r="FA23" s="54"/>
      <c r="FB23" s="54"/>
      <c r="FC23" s="54"/>
      <c r="FD23" s="54"/>
      <c r="FE23" s="54"/>
      <c r="FF23" s="54"/>
      <c r="FG23" s="54"/>
      <c r="FH23" s="54"/>
      <c r="FI23" s="54"/>
      <c r="FJ23" s="54"/>
      <c r="FK23" s="54"/>
      <c r="FL23" s="54"/>
      <c r="FM23" s="54"/>
      <c r="FN23" s="54"/>
      <c r="FO23" s="54"/>
      <c r="FP23" s="54"/>
      <c r="FQ23" s="54"/>
      <c r="FR23" s="54"/>
      <c r="FS23" s="54"/>
      <c r="FT23" s="54"/>
      <c r="FU23" s="54"/>
      <c r="FV23" s="54"/>
      <c r="FW23" s="54"/>
      <c r="FX23" s="54"/>
      <c r="FY23" s="54"/>
      <c r="FZ23" s="54"/>
      <c r="GA23" s="54"/>
      <c r="GB23" s="54"/>
      <c r="GC23" s="54"/>
      <c r="GD23" s="54"/>
      <c r="GE23" s="54"/>
      <c r="GF23" s="54"/>
      <c r="GG23" s="54"/>
      <c r="GH23" s="54"/>
      <c r="GI23" s="54"/>
      <c r="GJ23" s="54"/>
      <c r="GK23" s="54"/>
      <c r="GL23" s="54"/>
      <c r="GM23" s="54"/>
      <c r="GN23" s="54"/>
      <c r="GO23" s="54"/>
      <c r="GP23" s="54"/>
      <c r="GQ23" s="54"/>
      <c r="GR23" s="54"/>
      <c r="GS23" s="54"/>
      <c r="GT23" s="54"/>
      <c r="GU23" s="54"/>
      <c r="GV23" s="54"/>
      <c r="GW23" s="54"/>
      <c r="GX23" s="54"/>
      <c r="GY23" s="54"/>
      <c r="GZ23" s="54"/>
      <c r="HA23" s="54"/>
      <c r="HB23" s="54"/>
      <c r="HC23" s="54"/>
      <c r="HD23" s="54"/>
      <c r="HE23" s="54"/>
      <c r="HF23" s="54"/>
      <c r="HG23" s="54"/>
      <c r="HH23" s="54"/>
      <c r="HI23" s="54"/>
      <c r="HJ23" s="54"/>
      <c r="HK23" s="54"/>
      <c r="HL23" s="54"/>
      <c r="HM23" s="54"/>
      <c r="HN23" s="54"/>
      <c r="HO23" s="54"/>
      <c r="HP23" s="54"/>
      <c r="HQ23" s="54"/>
      <c r="HR23" s="54"/>
      <c r="HS23" s="54"/>
      <c r="HT23" s="54"/>
      <c r="HU23" s="54"/>
      <c r="HV23" s="54"/>
      <c r="HW23" s="54"/>
      <c r="HX23" s="54"/>
      <c r="HY23" s="54"/>
      <c r="HZ23" s="54"/>
      <c r="IA23" s="54"/>
      <c r="IB23" s="54"/>
      <c r="IC23" s="54"/>
      <c r="ID23" s="54"/>
      <c r="IE23" s="54"/>
      <c r="IF23" s="54"/>
      <c r="IG23" s="54"/>
      <c r="IH23" s="54"/>
      <c r="II23" s="54"/>
      <c r="IJ23" s="54"/>
      <c r="IK23" s="54"/>
      <c r="IL23" s="54"/>
      <c r="IM23" s="54"/>
      <c r="IN23" s="54"/>
      <c r="IO23" s="54"/>
      <c r="IP23" s="54"/>
      <c r="IQ23" s="54"/>
      <c r="IR23" s="54"/>
      <c r="IS23" s="54"/>
      <c r="IT23" s="54"/>
      <c r="IU23" s="54"/>
      <c r="IV23" s="54"/>
      <c r="IW23" s="54"/>
      <c r="IX23" s="54"/>
      <c r="IY23" s="54"/>
      <c r="IZ23" s="54"/>
      <c r="JA23" s="54"/>
      <c r="JB23" s="54"/>
      <c r="JC23" s="54"/>
      <c r="JD23" s="54"/>
      <c r="JE23" s="54"/>
      <c r="JF23" s="54"/>
      <c r="JG23" s="54"/>
      <c r="JH23" s="54"/>
      <c r="JI23" s="54"/>
      <c r="JJ23" s="54"/>
      <c r="JK23" s="54"/>
      <c r="JL23" s="54"/>
      <c r="JM23" s="54"/>
      <c r="JN23" s="54"/>
      <c r="JO23" s="54"/>
      <c r="JP23" s="54"/>
      <c r="JQ23" s="54"/>
      <c r="JR23" s="54"/>
      <c r="JS23" s="54"/>
      <c r="JT23" s="54"/>
      <c r="JU23" s="54"/>
      <c r="JV23" s="54"/>
      <c r="JW23" s="54"/>
      <c r="JX23" s="54"/>
      <c r="JY23" s="54"/>
      <c r="JZ23" s="54"/>
      <c r="KA23" s="54"/>
      <c r="KB23" s="54"/>
      <c r="KC23" s="54"/>
      <c r="KD23" s="54"/>
      <c r="KE23" s="54"/>
      <c r="KF23" s="54"/>
      <c r="KG23" s="54"/>
      <c r="KH23" s="54"/>
      <c r="KI23" s="54"/>
      <c r="KJ23" s="54"/>
      <c r="KK23" s="54"/>
      <c r="KL23" s="54"/>
      <c r="KM23" s="54"/>
      <c r="KN23" s="54"/>
      <c r="KO23" s="54"/>
      <c r="KP23" s="54"/>
      <c r="KQ23" s="54"/>
      <c r="KR23" s="54"/>
      <c r="KS23" s="54"/>
      <c r="KT23" s="54"/>
      <c r="KU23" s="54"/>
      <c r="KV23" s="54"/>
      <c r="KW23" s="54"/>
      <c r="KX23" s="54"/>
      <c r="KY23" s="54"/>
      <c r="KZ23" s="54"/>
      <c r="LA23" s="54"/>
      <c r="LB23" s="54"/>
      <c r="LC23" s="54"/>
      <c r="LD23" s="54"/>
      <c r="LE23" s="54"/>
      <c r="LF23" s="54"/>
      <c r="LG23" s="54"/>
      <c r="LH23" s="54"/>
      <c r="LI23" s="54"/>
      <c r="LJ23" s="54"/>
      <c r="LK23" s="54"/>
      <c r="LL23" s="54"/>
      <c r="LM23" s="54"/>
      <c r="LN23" s="54"/>
      <c r="LO23" s="54"/>
      <c r="LP23" s="54"/>
      <c r="LQ23" s="54"/>
      <c r="LR23" s="54"/>
      <c r="LS23" s="54"/>
      <c r="LT23" s="54"/>
      <c r="LU23" s="54"/>
      <c r="LV23" s="54"/>
      <c r="LW23" s="54"/>
      <c r="LX23" s="54"/>
      <c r="LY23" s="54"/>
      <c r="LZ23" s="54"/>
      <c r="MA23" s="54"/>
      <c r="MB23" s="54"/>
      <c r="MC23" s="54"/>
      <c r="MD23" s="54"/>
      <c r="ME23" s="54"/>
      <c r="MF23" s="54"/>
      <c r="MG23" s="54"/>
      <c r="MH23" s="54"/>
      <c r="MI23" s="54"/>
      <c r="MJ23" s="54"/>
      <c r="MK23" s="54"/>
      <c r="ML23" s="54"/>
      <c r="MM23" s="54"/>
      <c r="MN23" s="54"/>
      <c r="MO23" s="54"/>
      <c r="MP23" s="54"/>
      <c r="MQ23" s="54"/>
      <c r="MR23" s="54"/>
      <c r="MS23" s="54"/>
      <c r="MT23" s="54"/>
      <c r="MU23" s="54"/>
      <c r="MV23" s="54"/>
      <c r="MW23" s="54"/>
      <c r="MX23" s="54"/>
      <c r="MY23" s="54"/>
      <c r="MZ23" s="54"/>
      <c r="NA23" s="54"/>
      <c r="NB23" s="54"/>
      <c r="NC23" s="54"/>
      <c r="ND23" s="54"/>
      <c r="NE23" s="54"/>
      <c r="NF23" s="54"/>
      <c r="NG23" s="54"/>
      <c r="NH23" s="54"/>
      <c r="NI23" s="54"/>
      <c r="NJ23" s="54"/>
      <c r="NK23" s="54"/>
      <c r="NL23" s="54"/>
      <c r="NM23" s="54"/>
      <c r="NN23" s="54"/>
      <c r="NO23" s="54"/>
      <c r="NP23" s="54"/>
      <c r="NQ23" s="54"/>
      <c r="NR23" s="54"/>
      <c r="NS23" s="54"/>
      <c r="NT23" s="54"/>
      <c r="NU23" s="54"/>
      <c r="NV23" s="54"/>
      <c r="NW23" s="54"/>
      <c r="NX23" s="54"/>
      <c r="NY23" s="54"/>
      <c r="NZ23" s="54"/>
      <c r="OA23" s="54"/>
      <c r="OB23" s="54"/>
      <c r="OC23" s="54"/>
      <c r="OD23" s="54"/>
      <c r="OE23" s="54"/>
      <c r="OF23" s="54"/>
      <c r="OG23" s="54"/>
      <c r="OH23" s="54"/>
      <c r="OI23" s="54"/>
      <c r="OJ23" s="54"/>
      <c r="OK23" s="54"/>
      <c r="OL23" s="54"/>
      <c r="OM23" s="54"/>
      <c r="ON23" s="54"/>
      <c r="OO23" s="54"/>
      <c r="OP23" s="54"/>
      <c r="OQ23" s="54"/>
      <c r="OR23" s="54"/>
      <c r="OS23" s="54"/>
      <c r="OT23" s="54"/>
      <c r="OU23" s="54"/>
      <c r="OV23" s="54"/>
      <c r="OW23" s="54"/>
      <c r="OX23" s="54"/>
      <c r="OY23" s="54"/>
      <c r="OZ23" s="54"/>
      <c r="PA23" s="54"/>
      <c r="PB23" s="54"/>
      <c r="PC23" s="54"/>
      <c r="PD23" s="54"/>
      <c r="PE23" s="54"/>
      <c r="PF23" s="54"/>
      <c r="PG23" s="54"/>
      <c r="PH23" s="54"/>
      <c r="PI23" s="54"/>
      <c r="PJ23" s="54"/>
      <c r="PK23" s="54"/>
      <c r="PL23" s="54"/>
      <c r="PM23" s="54"/>
      <c r="PN23" s="54"/>
      <c r="PO23" s="54"/>
      <c r="PP23" s="54"/>
      <c r="PQ23" s="54"/>
      <c r="PR23" s="54"/>
      <c r="PS23" s="54"/>
      <c r="PT23" s="54"/>
      <c r="PU23" s="54"/>
      <c r="PV23" s="54"/>
      <c r="PW23" s="54"/>
      <c r="PX23" s="54"/>
      <c r="PY23" s="54"/>
      <c r="PZ23" s="54"/>
      <c r="QA23" s="54"/>
      <c r="QB23" s="54"/>
      <c r="QC23" s="54"/>
      <c r="QD23" s="54"/>
      <c r="QE23" s="54"/>
      <c r="QF23" s="54"/>
      <c r="QG23" s="54"/>
      <c r="QH23" s="54"/>
      <c r="QI23" s="54"/>
      <c r="QJ23" s="54"/>
      <c r="QK23" s="54"/>
      <c r="QL23" s="54"/>
      <c r="QM23" s="54"/>
      <c r="QN23" s="54"/>
      <c r="QO23" s="54"/>
      <c r="QP23" s="54"/>
      <c r="QQ23" s="54"/>
      <c r="QR23" s="54"/>
      <c r="QS23" s="54"/>
      <c r="QT23" s="54"/>
      <c r="QU23" s="54"/>
      <c r="QV23" s="54"/>
      <c r="QW23" s="54"/>
      <c r="QX23" s="54"/>
      <c r="QY23" s="54"/>
      <c r="QZ23" s="54"/>
      <c r="RA23" s="54"/>
      <c r="RB23" s="54"/>
      <c r="RC23" s="54"/>
      <c r="RD23" s="54"/>
      <c r="RE23" s="54"/>
      <c r="RF23" s="54"/>
      <c r="RG23" s="54"/>
      <c r="RH23" s="54"/>
      <c r="RI23" s="54"/>
      <c r="RJ23" s="54"/>
      <c r="RK23" s="54"/>
      <c r="RL23" s="54"/>
      <c r="RM23" s="54"/>
      <c r="RN23" s="54"/>
      <c r="RO23" s="54"/>
      <c r="RP23" s="54"/>
      <c r="RQ23" s="54"/>
      <c r="RR23" s="54"/>
      <c r="RS23" s="54"/>
      <c r="RT23" s="54"/>
      <c r="RU23" s="54"/>
      <c r="RV23" s="54"/>
      <c r="RW23" s="54"/>
      <c r="RX23" s="54"/>
      <c r="RY23" s="54"/>
      <c r="RZ23" s="54"/>
      <c r="SA23" s="54"/>
      <c r="SB23" s="54"/>
      <c r="SC23" s="54"/>
      <c r="SD23" s="54"/>
      <c r="SE23" s="54"/>
      <c r="SF23" s="54"/>
      <c r="SG23" s="54"/>
      <c r="SH23" s="54"/>
      <c r="SI23" s="54"/>
      <c r="SJ23" s="54"/>
      <c r="SK23" s="54"/>
      <c r="SL23" s="54"/>
      <c r="SM23" s="54"/>
      <c r="SN23" s="54"/>
      <c r="SO23" s="54"/>
      <c r="SP23" s="54"/>
      <c r="SQ23" s="54"/>
      <c r="SR23" s="54"/>
      <c r="SS23" s="54"/>
      <c r="ST23" s="54"/>
      <c r="SU23" s="54"/>
      <c r="SV23" s="54"/>
      <c r="SW23" s="54"/>
      <c r="SX23" s="54"/>
      <c r="SY23" s="54"/>
      <c r="SZ23" s="54"/>
      <c r="TA23" s="54"/>
      <c r="TB23" s="54"/>
      <c r="TC23" s="54"/>
      <c r="TD23" s="54"/>
      <c r="TE23" s="54"/>
      <c r="TF23" s="54"/>
      <c r="TG23" s="54"/>
      <c r="TH23" s="54"/>
      <c r="TI23" s="54"/>
      <c r="TJ23" s="54"/>
      <c r="TK23" s="54"/>
      <c r="TL23" s="54"/>
      <c r="TM23" s="54"/>
      <c r="TN23" s="54"/>
      <c r="TO23" s="54"/>
      <c r="TP23" s="54"/>
      <c r="TQ23" s="54"/>
      <c r="TR23" s="54"/>
      <c r="TS23" s="54"/>
      <c r="TT23" s="54"/>
      <c r="TU23" s="54"/>
      <c r="TV23" s="54"/>
      <c r="TW23" s="54"/>
      <c r="TX23" s="54"/>
      <c r="TY23" s="54"/>
      <c r="TZ23" s="54"/>
      <c r="UA23" s="54"/>
      <c r="UB23" s="54"/>
      <c r="UC23" s="54"/>
      <c r="UD23" s="54"/>
      <c r="UE23" s="54"/>
      <c r="UF23" s="54"/>
      <c r="UG23" s="54"/>
      <c r="UH23" s="54"/>
      <c r="UI23" s="54"/>
      <c r="UJ23" s="54"/>
      <c r="UK23" s="54"/>
      <c r="UL23" s="54"/>
      <c r="UM23" s="54"/>
      <c r="UN23" s="54"/>
      <c r="UO23" s="54"/>
      <c r="UP23" s="54"/>
      <c r="UQ23" s="54"/>
      <c r="UR23" s="54"/>
      <c r="US23" s="54"/>
      <c r="UT23" s="54"/>
      <c r="UU23" s="54"/>
      <c r="UV23" s="54"/>
      <c r="UW23" s="54"/>
      <c r="UX23" s="54"/>
      <c r="UY23" s="54"/>
      <c r="UZ23" s="54"/>
      <c r="VA23" s="54"/>
      <c r="VB23" s="54"/>
      <c r="VC23" s="54"/>
      <c r="VD23" s="54"/>
      <c r="VE23" s="54"/>
      <c r="VF23" s="54"/>
      <c r="VG23" s="54"/>
      <c r="VH23" s="54"/>
      <c r="VI23" s="54"/>
      <c r="VJ23" s="54"/>
      <c r="VK23" s="54"/>
      <c r="VL23" s="54"/>
      <c r="VM23" s="54"/>
      <c r="VN23" s="54"/>
      <c r="VO23" s="54"/>
      <c r="VP23" s="54"/>
      <c r="VQ23" s="54"/>
      <c r="VR23" s="54"/>
      <c r="VS23" s="54"/>
      <c r="VT23" s="54"/>
      <c r="VU23" s="54"/>
      <c r="VV23" s="54"/>
      <c r="VW23" s="54"/>
      <c r="VX23" s="54"/>
      <c r="VY23" s="54"/>
      <c r="VZ23" s="54"/>
      <c r="WA23" s="54"/>
      <c r="WB23" s="54"/>
      <c r="WC23" s="54"/>
      <c r="WD23" s="54"/>
      <c r="WE23" s="54"/>
    </row>
    <row r="24" spans="1:603" s="57" customFormat="1" x14ac:dyDescent="0.4">
      <c r="A24" s="51"/>
      <c r="B24" s="51"/>
      <c r="C24" s="51"/>
      <c r="D24" s="51"/>
      <c r="E24" s="51"/>
      <c r="F24" s="51"/>
      <c r="G24" s="51"/>
      <c r="H24" s="51"/>
      <c r="I24" s="51"/>
      <c r="J24" s="54"/>
      <c r="K24" s="54"/>
      <c r="L24" s="55"/>
      <c r="M24" s="55"/>
      <c r="N24" s="54"/>
      <c r="O24" s="54"/>
      <c r="P24" s="55"/>
      <c r="Q24" s="55"/>
      <c r="R24" s="54"/>
      <c r="S24" s="54"/>
      <c r="T24" s="55"/>
      <c r="U24" s="55"/>
      <c r="V24" s="54"/>
      <c r="W24" s="54"/>
      <c r="X24" s="55"/>
      <c r="Y24" s="55"/>
      <c r="Z24" s="54"/>
      <c r="AA24" s="54"/>
      <c r="AB24" s="55"/>
      <c r="AC24" s="55"/>
      <c r="AD24" s="54"/>
      <c r="AE24" s="54"/>
      <c r="AF24" s="55"/>
      <c r="AG24" s="55"/>
      <c r="AH24" s="54"/>
      <c r="AI24" s="54"/>
      <c r="AJ24" s="55"/>
      <c r="AK24" s="55"/>
      <c r="AL24" s="54"/>
      <c r="AM24" s="54"/>
      <c r="AN24" s="55"/>
      <c r="AO24" s="55"/>
      <c r="AP24" s="54"/>
      <c r="AQ24" s="54"/>
      <c r="AR24" s="55"/>
      <c r="AS24" s="55"/>
      <c r="AT24" s="54"/>
      <c r="AU24" s="54"/>
      <c r="AV24" s="55"/>
      <c r="AW24" s="55"/>
      <c r="AX24" s="54"/>
      <c r="AY24" s="54"/>
      <c r="AZ24" s="55"/>
      <c r="BA24" s="55"/>
      <c r="BB24" s="54"/>
      <c r="BC24" s="54"/>
      <c r="BD24" s="55"/>
      <c r="BE24" s="55"/>
      <c r="BF24" s="54"/>
      <c r="BG24" s="54"/>
      <c r="BH24" s="54"/>
      <c r="BI24" s="54"/>
      <c r="BJ24" s="54"/>
      <c r="BK24" s="54"/>
      <c r="BL24" s="54"/>
      <c r="BM24" s="54"/>
      <c r="BN24" s="54"/>
      <c r="BO24" s="54"/>
      <c r="BP24" s="54"/>
      <c r="BQ24" s="54"/>
      <c r="BR24" s="54"/>
      <c r="BS24" s="54"/>
      <c r="BT24" s="54"/>
      <c r="BU24" s="54"/>
      <c r="BV24" s="54"/>
      <c r="BW24" s="54"/>
      <c r="BX24" s="54"/>
      <c r="BY24" s="54"/>
      <c r="BZ24" s="54"/>
      <c r="CA24" s="54"/>
      <c r="CB24" s="54"/>
      <c r="CC24" s="54"/>
      <c r="CD24" s="54"/>
      <c r="CE24" s="54"/>
      <c r="CF24" s="54"/>
      <c r="CG24" s="54"/>
      <c r="CH24" s="54"/>
      <c r="CI24" s="54"/>
      <c r="CJ24" s="54"/>
      <c r="CK24" s="54"/>
      <c r="CL24" s="54"/>
      <c r="CM24" s="54"/>
      <c r="CN24" s="54"/>
      <c r="CO24" s="54"/>
      <c r="CP24" s="54"/>
      <c r="CQ24" s="54"/>
      <c r="CR24" s="54"/>
      <c r="CS24" s="54"/>
      <c r="CT24" s="54"/>
      <c r="CU24" s="54"/>
      <c r="CV24" s="54"/>
      <c r="CW24" s="54"/>
      <c r="CX24" s="54"/>
      <c r="CY24" s="54"/>
      <c r="CZ24" s="54"/>
      <c r="DA24" s="54"/>
      <c r="DB24" s="54"/>
      <c r="DC24" s="54"/>
      <c r="DD24" s="54"/>
      <c r="DE24" s="54"/>
      <c r="DF24" s="54"/>
      <c r="DG24" s="54"/>
      <c r="DH24" s="54"/>
      <c r="DI24" s="54"/>
      <c r="DJ24" s="54"/>
      <c r="DK24" s="54"/>
      <c r="DL24" s="54"/>
      <c r="DM24" s="54"/>
      <c r="DN24" s="54"/>
      <c r="DO24" s="54"/>
      <c r="DP24" s="54"/>
      <c r="DQ24" s="54"/>
      <c r="DR24" s="54"/>
      <c r="DS24" s="54"/>
      <c r="DT24" s="54"/>
      <c r="DU24" s="54"/>
      <c r="DV24" s="54"/>
      <c r="DW24" s="54"/>
      <c r="DX24" s="54"/>
      <c r="DY24" s="54"/>
      <c r="DZ24" s="54"/>
      <c r="EA24" s="54"/>
      <c r="EB24" s="54"/>
      <c r="EC24" s="54"/>
      <c r="ED24" s="54"/>
      <c r="EE24" s="54"/>
      <c r="EF24" s="54"/>
      <c r="EG24" s="54"/>
      <c r="EH24" s="54"/>
      <c r="EI24" s="54"/>
      <c r="EJ24" s="54"/>
      <c r="EK24" s="54"/>
      <c r="EL24" s="54"/>
      <c r="EM24" s="54"/>
      <c r="EN24" s="54"/>
      <c r="EO24" s="54"/>
      <c r="EP24" s="54"/>
      <c r="EQ24" s="54"/>
      <c r="ER24" s="54"/>
      <c r="ES24" s="54"/>
      <c r="ET24" s="54"/>
      <c r="EU24" s="54"/>
      <c r="EV24" s="54"/>
      <c r="EW24" s="54"/>
      <c r="EX24" s="54"/>
      <c r="EY24" s="54"/>
      <c r="EZ24" s="54"/>
      <c r="FA24" s="54"/>
      <c r="FB24" s="54"/>
      <c r="FC24" s="54"/>
      <c r="FD24" s="54"/>
      <c r="FE24" s="54"/>
      <c r="FF24" s="54"/>
      <c r="FG24" s="54"/>
      <c r="FH24" s="54"/>
      <c r="FI24" s="54"/>
      <c r="FJ24" s="54"/>
      <c r="FK24" s="54"/>
      <c r="FL24" s="54"/>
      <c r="FM24" s="54"/>
      <c r="FN24" s="54"/>
      <c r="FO24" s="54"/>
      <c r="FP24" s="54"/>
      <c r="FQ24" s="54"/>
      <c r="FR24" s="54"/>
      <c r="FS24" s="54"/>
      <c r="FT24" s="54"/>
      <c r="FU24" s="54"/>
      <c r="FV24" s="54"/>
      <c r="FW24" s="54"/>
      <c r="FX24" s="54"/>
      <c r="FY24" s="54"/>
      <c r="FZ24" s="54"/>
      <c r="GA24" s="54"/>
      <c r="GB24" s="54"/>
      <c r="GC24" s="54"/>
      <c r="GD24" s="54"/>
      <c r="GE24" s="54"/>
      <c r="GF24" s="54"/>
      <c r="GG24" s="54"/>
      <c r="GH24" s="54"/>
      <c r="GI24" s="54"/>
      <c r="GJ24" s="54"/>
      <c r="GK24" s="54"/>
      <c r="GL24" s="54"/>
      <c r="GM24" s="54"/>
      <c r="GN24" s="54"/>
      <c r="GO24" s="54"/>
      <c r="GP24" s="54"/>
      <c r="GQ24" s="54"/>
      <c r="GR24" s="54"/>
      <c r="GS24" s="54"/>
      <c r="GT24" s="54"/>
      <c r="GU24" s="54"/>
      <c r="GV24" s="54"/>
      <c r="GW24" s="54"/>
      <c r="GX24" s="54"/>
      <c r="GY24" s="54"/>
      <c r="GZ24" s="54"/>
      <c r="HA24" s="54"/>
      <c r="HB24" s="54"/>
      <c r="HC24" s="54"/>
      <c r="HD24" s="54"/>
      <c r="HE24" s="54"/>
      <c r="HF24" s="54"/>
      <c r="HG24" s="54"/>
      <c r="HH24" s="54"/>
      <c r="HI24" s="54"/>
      <c r="HJ24" s="54"/>
      <c r="HK24" s="54"/>
      <c r="HL24" s="54"/>
      <c r="HM24" s="54"/>
      <c r="HN24" s="54"/>
      <c r="HO24" s="54"/>
      <c r="HP24" s="54"/>
      <c r="HQ24" s="54"/>
      <c r="HR24" s="54"/>
      <c r="HS24" s="54"/>
      <c r="HT24" s="54"/>
      <c r="HU24" s="54"/>
      <c r="HV24" s="54"/>
      <c r="HW24" s="54"/>
      <c r="HX24" s="54"/>
      <c r="HY24" s="54"/>
      <c r="HZ24" s="54"/>
      <c r="IA24" s="54"/>
      <c r="IB24" s="54"/>
      <c r="IC24" s="54"/>
      <c r="ID24" s="54"/>
      <c r="IE24" s="54"/>
      <c r="IF24" s="54"/>
      <c r="IG24" s="54"/>
      <c r="IH24" s="54"/>
      <c r="II24" s="54"/>
      <c r="IJ24" s="54"/>
      <c r="IK24" s="54"/>
      <c r="IL24" s="54"/>
      <c r="IM24" s="54"/>
      <c r="IN24" s="54"/>
      <c r="IO24" s="54"/>
      <c r="IP24" s="54"/>
      <c r="IQ24" s="54"/>
      <c r="IR24" s="54"/>
      <c r="IS24" s="54"/>
      <c r="IT24" s="54"/>
      <c r="IU24" s="54"/>
      <c r="IV24" s="54"/>
      <c r="IW24" s="54"/>
      <c r="IX24" s="54"/>
      <c r="IY24" s="54"/>
      <c r="IZ24" s="54"/>
      <c r="JA24" s="54"/>
      <c r="JB24" s="54"/>
      <c r="JC24" s="54"/>
      <c r="JD24" s="54"/>
      <c r="JE24" s="54"/>
      <c r="JF24" s="54"/>
      <c r="JG24" s="54"/>
      <c r="JH24" s="54"/>
      <c r="JI24" s="54"/>
      <c r="JJ24" s="54"/>
      <c r="JK24" s="54"/>
      <c r="JL24" s="54"/>
      <c r="JM24" s="54"/>
      <c r="JN24" s="54"/>
      <c r="JO24" s="54"/>
      <c r="JP24" s="54"/>
      <c r="JQ24" s="54"/>
      <c r="JR24" s="54"/>
      <c r="JS24" s="54"/>
      <c r="JT24" s="54"/>
      <c r="JU24" s="54"/>
      <c r="JV24" s="54"/>
      <c r="JW24" s="54"/>
      <c r="JX24" s="54"/>
      <c r="JY24" s="54"/>
      <c r="JZ24" s="54"/>
      <c r="KA24" s="54"/>
      <c r="KB24" s="54"/>
      <c r="KC24" s="54"/>
      <c r="KD24" s="54"/>
      <c r="KE24" s="54"/>
      <c r="KF24" s="54"/>
      <c r="KG24" s="54"/>
      <c r="KH24" s="54"/>
      <c r="KI24" s="54"/>
      <c r="KJ24" s="54"/>
      <c r="KK24" s="54"/>
      <c r="KL24" s="54"/>
      <c r="KM24" s="54"/>
      <c r="KN24" s="54"/>
      <c r="KO24" s="54"/>
      <c r="KP24" s="54"/>
      <c r="KQ24" s="54"/>
      <c r="KR24" s="54"/>
      <c r="KS24" s="54"/>
      <c r="KT24" s="54"/>
      <c r="KU24" s="54"/>
      <c r="KV24" s="54"/>
      <c r="KW24" s="54"/>
      <c r="KX24" s="54"/>
      <c r="KY24" s="54"/>
      <c r="KZ24" s="54"/>
      <c r="LA24" s="54"/>
      <c r="LB24" s="54"/>
      <c r="LC24" s="54"/>
      <c r="LD24" s="54"/>
      <c r="LE24" s="54"/>
      <c r="LF24" s="54"/>
      <c r="LG24" s="54"/>
      <c r="LH24" s="54"/>
      <c r="LI24" s="54"/>
      <c r="LJ24" s="54"/>
      <c r="LK24" s="54"/>
      <c r="LL24" s="54"/>
      <c r="LM24" s="54"/>
      <c r="LN24" s="54"/>
      <c r="LO24" s="54"/>
      <c r="LP24" s="54"/>
      <c r="LQ24" s="54"/>
      <c r="LR24" s="54"/>
      <c r="LS24" s="54"/>
      <c r="LT24" s="54"/>
      <c r="LU24" s="54"/>
      <c r="LV24" s="54"/>
      <c r="LW24" s="54"/>
      <c r="LX24" s="54"/>
      <c r="LY24" s="54"/>
      <c r="LZ24" s="54"/>
      <c r="MA24" s="54"/>
      <c r="MB24" s="54"/>
      <c r="MC24" s="54"/>
      <c r="MD24" s="54"/>
      <c r="ME24" s="54"/>
      <c r="MF24" s="54"/>
      <c r="MG24" s="54"/>
      <c r="MH24" s="54"/>
      <c r="MI24" s="54"/>
      <c r="MJ24" s="54"/>
      <c r="MK24" s="54"/>
      <c r="ML24" s="54"/>
      <c r="MM24" s="54"/>
      <c r="MN24" s="54"/>
      <c r="MO24" s="54"/>
      <c r="MP24" s="54"/>
      <c r="MQ24" s="54"/>
      <c r="MR24" s="54"/>
      <c r="MS24" s="54"/>
      <c r="MT24" s="54"/>
      <c r="MU24" s="54"/>
      <c r="MV24" s="54"/>
      <c r="MW24" s="54"/>
      <c r="MX24" s="54"/>
      <c r="MY24" s="54"/>
      <c r="MZ24" s="54"/>
      <c r="NA24" s="54"/>
      <c r="NB24" s="54"/>
      <c r="NC24" s="54"/>
      <c r="ND24" s="54"/>
      <c r="NE24" s="54"/>
      <c r="NF24" s="54"/>
      <c r="NG24" s="54"/>
      <c r="NH24" s="54"/>
      <c r="NI24" s="54"/>
      <c r="NJ24" s="54"/>
      <c r="NK24" s="54"/>
      <c r="NL24" s="54"/>
      <c r="NM24" s="54"/>
      <c r="NN24" s="54"/>
      <c r="NO24" s="54"/>
      <c r="NP24" s="54"/>
      <c r="NQ24" s="54"/>
      <c r="NR24" s="54"/>
      <c r="NS24" s="54"/>
      <c r="NT24" s="54"/>
      <c r="NU24" s="54"/>
      <c r="NV24" s="54"/>
      <c r="NW24" s="54"/>
      <c r="NX24" s="54"/>
      <c r="NY24" s="54"/>
      <c r="NZ24" s="54"/>
      <c r="OA24" s="54"/>
      <c r="OB24" s="54"/>
      <c r="OC24" s="54"/>
      <c r="OD24" s="54"/>
      <c r="OE24" s="54"/>
      <c r="OF24" s="54"/>
      <c r="OG24" s="54"/>
      <c r="OH24" s="54"/>
      <c r="OI24" s="54"/>
      <c r="OJ24" s="54"/>
      <c r="OK24" s="54"/>
      <c r="OL24" s="54"/>
      <c r="OM24" s="54"/>
      <c r="ON24" s="54"/>
      <c r="OO24" s="54"/>
      <c r="OP24" s="54"/>
      <c r="OQ24" s="54"/>
      <c r="OR24" s="54"/>
      <c r="OS24" s="54"/>
      <c r="OT24" s="54"/>
      <c r="OU24" s="54"/>
      <c r="OV24" s="54"/>
      <c r="OW24" s="54"/>
      <c r="OX24" s="54"/>
      <c r="OY24" s="54"/>
      <c r="OZ24" s="54"/>
      <c r="PA24" s="54"/>
      <c r="PB24" s="54"/>
      <c r="PC24" s="54"/>
      <c r="PD24" s="54"/>
      <c r="PE24" s="54"/>
      <c r="PF24" s="54"/>
      <c r="PG24" s="54"/>
      <c r="PH24" s="54"/>
      <c r="PI24" s="54"/>
      <c r="PJ24" s="54"/>
      <c r="PK24" s="54"/>
      <c r="PL24" s="54"/>
      <c r="PM24" s="54"/>
      <c r="PN24" s="54"/>
      <c r="PO24" s="54"/>
      <c r="PP24" s="54"/>
      <c r="PQ24" s="54"/>
      <c r="PR24" s="54"/>
      <c r="PS24" s="54"/>
      <c r="PT24" s="54"/>
      <c r="PU24" s="54"/>
      <c r="PV24" s="54"/>
      <c r="PW24" s="54"/>
      <c r="PX24" s="54"/>
      <c r="PY24" s="54"/>
      <c r="PZ24" s="54"/>
      <c r="QA24" s="54"/>
      <c r="QB24" s="54"/>
      <c r="QC24" s="54"/>
      <c r="QD24" s="54"/>
      <c r="QE24" s="54"/>
      <c r="QF24" s="54"/>
      <c r="QG24" s="54"/>
      <c r="QH24" s="54"/>
      <c r="QI24" s="54"/>
      <c r="QJ24" s="54"/>
      <c r="QK24" s="54"/>
      <c r="QL24" s="54"/>
      <c r="QM24" s="54"/>
      <c r="QN24" s="54"/>
      <c r="QO24" s="54"/>
      <c r="QP24" s="54"/>
      <c r="QQ24" s="54"/>
      <c r="QR24" s="54"/>
      <c r="QS24" s="54"/>
      <c r="QT24" s="54"/>
      <c r="QU24" s="54"/>
      <c r="QV24" s="54"/>
      <c r="QW24" s="54"/>
      <c r="QX24" s="54"/>
      <c r="QY24" s="54"/>
      <c r="QZ24" s="54"/>
      <c r="RA24" s="54"/>
      <c r="RB24" s="54"/>
      <c r="RC24" s="54"/>
      <c r="RD24" s="54"/>
      <c r="RE24" s="54"/>
      <c r="RF24" s="54"/>
      <c r="RG24" s="54"/>
      <c r="RH24" s="54"/>
      <c r="RI24" s="54"/>
      <c r="RJ24" s="54"/>
      <c r="RK24" s="54"/>
      <c r="RL24" s="54"/>
      <c r="RM24" s="54"/>
      <c r="RN24" s="54"/>
      <c r="RO24" s="54"/>
      <c r="RP24" s="54"/>
      <c r="RQ24" s="54"/>
      <c r="RR24" s="54"/>
      <c r="RS24" s="54"/>
      <c r="RT24" s="54"/>
      <c r="RU24" s="54"/>
      <c r="RV24" s="54"/>
      <c r="RW24" s="54"/>
      <c r="RX24" s="54"/>
      <c r="RY24" s="54"/>
      <c r="RZ24" s="54"/>
      <c r="SA24" s="54"/>
      <c r="SB24" s="54"/>
      <c r="SC24" s="54"/>
      <c r="SD24" s="54"/>
      <c r="SE24" s="54"/>
      <c r="SF24" s="54"/>
      <c r="SG24" s="54"/>
      <c r="SH24" s="54"/>
      <c r="SI24" s="54"/>
      <c r="SJ24" s="54"/>
      <c r="SK24" s="54"/>
      <c r="SL24" s="54"/>
      <c r="SM24" s="54"/>
      <c r="SN24" s="54"/>
      <c r="SO24" s="54"/>
      <c r="SP24" s="54"/>
      <c r="SQ24" s="54"/>
      <c r="SR24" s="54"/>
      <c r="SS24" s="54"/>
      <c r="ST24" s="54"/>
      <c r="SU24" s="54"/>
      <c r="SV24" s="54"/>
      <c r="SW24" s="54"/>
      <c r="SX24" s="54"/>
      <c r="SY24" s="54"/>
      <c r="SZ24" s="54"/>
      <c r="TA24" s="54"/>
      <c r="TB24" s="54"/>
      <c r="TC24" s="54"/>
      <c r="TD24" s="54"/>
      <c r="TE24" s="54"/>
      <c r="TF24" s="54"/>
      <c r="TG24" s="54"/>
      <c r="TH24" s="54"/>
      <c r="TI24" s="54"/>
      <c r="TJ24" s="54"/>
      <c r="TK24" s="54"/>
      <c r="TL24" s="54"/>
      <c r="TM24" s="54"/>
      <c r="TN24" s="54"/>
      <c r="TO24" s="54"/>
      <c r="TP24" s="54"/>
      <c r="TQ24" s="54"/>
      <c r="TR24" s="54"/>
      <c r="TS24" s="54"/>
      <c r="TT24" s="54"/>
      <c r="TU24" s="54"/>
      <c r="TV24" s="54"/>
      <c r="TW24" s="54"/>
      <c r="TX24" s="54"/>
      <c r="TY24" s="54"/>
      <c r="TZ24" s="54"/>
      <c r="UA24" s="54"/>
      <c r="UB24" s="54"/>
      <c r="UC24" s="54"/>
      <c r="UD24" s="54"/>
      <c r="UE24" s="54"/>
      <c r="UF24" s="54"/>
      <c r="UG24" s="54"/>
      <c r="UH24" s="54"/>
      <c r="UI24" s="54"/>
      <c r="UJ24" s="54"/>
      <c r="UK24" s="54"/>
      <c r="UL24" s="54"/>
      <c r="UM24" s="54"/>
      <c r="UN24" s="54"/>
      <c r="UO24" s="54"/>
      <c r="UP24" s="54"/>
      <c r="UQ24" s="54"/>
      <c r="UR24" s="54"/>
      <c r="US24" s="54"/>
      <c r="UT24" s="54"/>
      <c r="UU24" s="54"/>
      <c r="UV24" s="54"/>
      <c r="UW24" s="54"/>
      <c r="UX24" s="54"/>
      <c r="UY24" s="54"/>
      <c r="UZ24" s="54"/>
      <c r="VA24" s="54"/>
      <c r="VB24" s="54"/>
      <c r="VC24" s="54"/>
      <c r="VD24" s="54"/>
      <c r="VE24" s="54"/>
      <c r="VF24" s="54"/>
      <c r="VG24" s="54"/>
      <c r="VH24" s="54"/>
      <c r="VI24" s="54"/>
      <c r="VJ24" s="54"/>
      <c r="VK24" s="54"/>
      <c r="VL24" s="54"/>
      <c r="VM24" s="54"/>
      <c r="VN24" s="54"/>
      <c r="VO24" s="54"/>
      <c r="VP24" s="54"/>
      <c r="VQ24" s="54"/>
      <c r="VR24" s="54"/>
      <c r="VS24" s="54"/>
      <c r="VT24" s="54"/>
      <c r="VU24" s="54"/>
      <c r="VV24" s="54"/>
      <c r="VW24" s="54"/>
      <c r="VX24" s="54"/>
      <c r="VY24" s="54"/>
      <c r="VZ24" s="54"/>
      <c r="WA24" s="54"/>
      <c r="WB24" s="54"/>
      <c r="WC24" s="54"/>
      <c r="WD24" s="54"/>
      <c r="WE24" s="54"/>
    </row>
    <row r="25" spans="1:603" s="58" customFormat="1" x14ac:dyDescent="0.4">
      <c r="A25" s="51"/>
      <c r="B25" s="51"/>
      <c r="C25" s="51"/>
      <c r="D25" s="51"/>
      <c r="E25" s="51"/>
      <c r="F25" s="51"/>
      <c r="G25" s="51"/>
      <c r="H25" s="51"/>
      <c r="I25" s="51"/>
      <c r="J25" s="54"/>
      <c r="K25" s="54"/>
      <c r="L25" s="55"/>
      <c r="M25" s="55"/>
      <c r="N25" s="54"/>
      <c r="O25" s="54"/>
      <c r="P25" s="55"/>
      <c r="Q25" s="55"/>
      <c r="R25" s="54"/>
      <c r="S25" s="54"/>
      <c r="T25" s="55"/>
      <c r="U25" s="55"/>
      <c r="V25" s="54"/>
      <c r="W25" s="54"/>
      <c r="X25" s="55"/>
      <c r="Y25" s="55"/>
      <c r="Z25" s="54"/>
      <c r="AA25" s="54"/>
      <c r="AB25" s="55"/>
      <c r="AC25" s="55"/>
      <c r="AD25" s="54"/>
      <c r="AE25" s="54"/>
      <c r="AF25" s="55"/>
      <c r="AG25" s="55"/>
      <c r="AH25" s="54"/>
      <c r="AI25" s="54"/>
      <c r="AJ25" s="55"/>
      <c r="AK25" s="55"/>
      <c r="AL25" s="54"/>
      <c r="AM25" s="54"/>
      <c r="AN25" s="55"/>
      <c r="AO25" s="55"/>
      <c r="AP25" s="54"/>
      <c r="AQ25" s="54"/>
      <c r="AR25" s="55"/>
      <c r="AS25" s="55"/>
      <c r="AT25" s="54"/>
      <c r="AU25" s="54"/>
      <c r="AV25" s="55"/>
      <c r="AW25" s="55"/>
      <c r="AX25" s="54"/>
      <c r="AY25" s="54"/>
      <c r="AZ25" s="55"/>
      <c r="BA25" s="55"/>
      <c r="BB25" s="54"/>
      <c r="BC25" s="54"/>
      <c r="BD25" s="55"/>
      <c r="BE25" s="55"/>
      <c r="BF25" s="54"/>
      <c r="BG25" s="54"/>
      <c r="BH25" s="54"/>
      <c r="BI25" s="54"/>
      <c r="BJ25" s="54"/>
      <c r="BK25" s="54"/>
      <c r="BL25" s="54"/>
      <c r="BM25" s="54"/>
      <c r="BN25" s="54"/>
      <c r="BO25" s="54"/>
      <c r="BP25" s="54"/>
      <c r="BQ25" s="54"/>
      <c r="BR25" s="54"/>
      <c r="BS25" s="54"/>
      <c r="BT25" s="54"/>
      <c r="BU25" s="54"/>
      <c r="BV25" s="54"/>
      <c r="BW25" s="54"/>
      <c r="BX25" s="54"/>
      <c r="BY25" s="54"/>
      <c r="BZ25" s="54"/>
      <c r="CA25" s="54"/>
      <c r="CB25" s="54"/>
      <c r="CC25" s="54"/>
      <c r="CD25" s="54"/>
      <c r="CE25" s="54"/>
      <c r="CF25" s="54"/>
      <c r="CG25" s="54"/>
      <c r="CH25" s="54"/>
      <c r="CI25" s="54"/>
      <c r="CJ25" s="54"/>
      <c r="CK25" s="54"/>
      <c r="CL25" s="54"/>
      <c r="CM25" s="54"/>
      <c r="CN25" s="54"/>
      <c r="CO25" s="54"/>
      <c r="CP25" s="54"/>
      <c r="CQ25" s="54"/>
      <c r="CR25" s="54"/>
      <c r="CS25" s="54"/>
      <c r="CT25" s="54"/>
      <c r="CU25" s="54"/>
      <c r="CV25" s="54"/>
      <c r="CW25" s="54"/>
      <c r="CX25" s="54"/>
      <c r="CY25" s="54"/>
      <c r="CZ25" s="54"/>
      <c r="DA25" s="54"/>
      <c r="DB25" s="54"/>
      <c r="DC25" s="54"/>
      <c r="DD25" s="54"/>
      <c r="DE25" s="54"/>
      <c r="DF25" s="54"/>
      <c r="DG25" s="54"/>
      <c r="DH25" s="54"/>
      <c r="DI25" s="54"/>
      <c r="DJ25" s="54"/>
      <c r="DK25" s="54"/>
      <c r="DL25" s="54"/>
      <c r="DM25" s="54"/>
      <c r="DN25" s="54"/>
      <c r="DO25" s="54"/>
      <c r="DP25" s="54"/>
      <c r="DQ25" s="54"/>
      <c r="DR25" s="54"/>
      <c r="DS25" s="54"/>
      <c r="DT25" s="54"/>
      <c r="DU25" s="54"/>
      <c r="DV25" s="54"/>
      <c r="DW25" s="54"/>
      <c r="DX25" s="54"/>
      <c r="DY25" s="54"/>
      <c r="DZ25" s="54"/>
      <c r="EA25" s="54"/>
      <c r="EB25" s="54"/>
      <c r="EC25" s="54"/>
      <c r="ED25" s="54"/>
      <c r="EE25" s="54"/>
      <c r="EF25" s="54"/>
      <c r="EG25" s="54"/>
      <c r="EH25" s="54"/>
      <c r="EI25" s="54"/>
      <c r="EJ25" s="54"/>
      <c r="EK25" s="54"/>
      <c r="EL25" s="54"/>
      <c r="EM25" s="54"/>
      <c r="EN25" s="54"/>
      <c r="EO25" s="54"/>
      <c r="EP25" s="54"/>
      <c r="EQ25" s="54"/>
      <c r="ER25" s="54"/>
      <c r="ES25" s="54"/>
      <c r="ET25" s="54"/>
      <c r="EU25" s="54"/>
      <c r="EV25" s="54"/>
      <c r="EW25" s="54"/>
      <c r="EX25" s="54"/>
      <c r="EY25" s="54"/>
      <c r="EZ25" s="54"/>
      <c r="FA25" s="54"/>
      <c r="FB25" s="54"/>
      <c r="FC25" s="54"/>
      <c r="FD25" s="54"/>
      <c r="FE25" s="54"/>
      <c r="FF25" s="54"/>
      <c r="FG25" s="54"/>
      <c r="FH25" s="54"/>
      <c r="FI25" s="54"/>
      <c r="FJ25" s="54"/>
      <c r="FK25" s="54"/>
      <c r="FL25" s="54"/>
      <c r="FM25" s="54"/>
      <c r="FN25" s="54"/>
      <c r="FO25" s="54"/>
      <c r="FP25" s="54"/>
      <c r="FQ25" s="54"/>
      <c r="FR25" s="54"/>
      <c r="FS25" s="54"/>
      <c r="FT25" s="54"/>
      <c r="FU25" s="54"/>
      <c r="FV25" s="54"/>
      <c r="FW25" s="54"/>
      <c r="FX25" s="54"/>
      <c r="FY25" s="54"/>
      <c r="FZ25" s="54"/>
      <c r="GA25" s="54"/>
      <c r="GB25" s="54"/>
      <c r="GC25" s="54"/>
      <c r="GD25" s="54"/>
      <c r="GE25" s="54"/>
      <c r="GF25" s="54"/>
      <c r="GG25" s="54"/>
      <c r="GH25" s="54"/>
      <c r="GI25" s="54"/>
      <c r="GJ25" s="54"/>
      <c r="GK25" s="54"/>
      <c r="GL25" s="54"/>
      <c r="GM25" s="54"/>
      <c r="GN25" s="54"/>
      <c r="GO25" s="54"/>
      <c r="GP25" s="54"/>
      <c r="GQ25" s="54"/>
      <c r="GR25" s="54"/>
      <c r="GS25" s="54"/>
      <c r="GT25" s="54"/>
      <c r="GU25" s="54"/>
      <c r="GV25" s="54"/>
      <c r="GW25" s="54"/>
      <c r="GX25" s="54"/>
      <c r="GY25" s="54"/>
      <c r="GZ25" s="54"/>
      <c r="HA25" s="54"/>
      <c r="HB25" s="54"/>
      <c r="HC25" s="54"/>
      <c r="HD25" s="54"/>
      <c r="HE25" s="54"/>
      <c r="HF25" s="54"/>
      <c r="HG25" s="54"/>
      <c r="HH25" s="54"/>
      <c r="HI25" s="54"/>
      <c r="HJ25" s="54"/>
      <c r="HK25" s="54"/>
      <c r="HL25" s="54"/>
      <c r="HM25" s="54"/>
      <c r="HN25" s="54"/>
      <c r="HO25" s="54"/>
      <c r="HP25" s="54"/>
      <c r="HQ25" s="54"/>
      <c r="HR25" s="54"/>
      <c r="HS25" s="54"/>
      <c r="HT25" s="54"/>
      <c r="HU25" s="54"/>
      <c r="HV25" s="54"/>
      <c r="HW25" s="54"/>
      <c r="HX25" s="54"/>
      <c r="HY25" s="54"/>
      <c r="HZ25" s="54"/>
      <c r="IA25" s="54"/>
      <c r="IB25" s="54"/>
      <c r="IC25" s="54"/>
      <c r="ID25" s="54"/>
      <c r="IE25" s="54"/>
      <c r="IF25" s="54"/>
      <c r="IG25" s="54"/>
      <c r="IH25" s="54"/>
      <c r="II25" s="54"/>
      <c r="IJ25" s="54"/>
      <c r="IK25" s="54"/>
      <c r="IL25" s="54"/>
      <c r="IM25" s="54"/>
      <c r="IN25" s="54"/>
      <c r="IO25" s="54"/>
      <c r="IP25" s="54"/>
      <c r="IQ25" s="54"/>
      <c r="IR25" s="54"/>
      <c r="IS25" s="54"/>
      <c r="IT25" s="54"/>
      <c r="IU25" s="54"/>
      <c r="IV25" s="54"/>
      <c r="IW25" s="54"/>
      <c r="IX25" s="54"/>
      <c r="IY25" s="54"/>
      <c r="IZ25" s="54"/>
      <c r="JA25" s="54"/>
      <c r="JB25" s="54"/>
      <c r="JC25" s="54"/>
      <c r="JD25" s="54"/>
      <c r="JE25" s="54"/>
      <c r="JF25" s="54"/>
      <c r="JG25" s="54"/>
      <c r="JH25" s="54"/>
      <c r="JI25" s="54"/>
      <c r="JJ25" s="54"/>
      <c r="JK25" s="54"/>
      <c r="JL25" s="54"/>
      <c r="JM25" s="54"/>
      <c r="JN25" s="54"/>
      <c r="JO25" s="54"/>
      <c r="JP25" s="54"/>
      <c r="JQ25" s="54"/>
      <c r="JR25" s="54"/>
      <c r="JS25" s="54"/>
      <c r="JT25" s="54"/>
      <c r="JU25" s="54"/>
      <c r="JV25" s="54"/>
      <c r="JW25" s="54"/>
      <c r="JX25" s="54"/>
      <c r="JY25" s="54"/>
      <c r="JZ25" s="54"/>
      <c r="KA25" s="54"/>
      <c r="KB25" s="54"/>
      <c r="KC25" s="54"/>
      <c r="KD25" s="54"/>
      <c r="KE25" s="54"/>
      <c r="KF25" s="54"/>
      <c r="KG25" s="54"/>
      <c r="KH25" s="54"/>
      <c r="KI25" s="54"/>
      <c r="KJ25" s="54"/>
      <c r="KK25" s="54"/>
      <c r="KL25" s="54"/>
      <c r="KM25" s="54"/>
      <c r="KN25" s="54"/>
      <c r="KO25" s="54"/>
      <c r="KP25" s="54"/>
      <c r="KQ25" s="54"/>
      <c r="KR25" s="54"/>
      <c r="KS25" s="54"/>
      <c r="KT25" s="54"/>
      <c r="KU25" s="54"/>
      <c r="KV25" s="54"/>
      <c r="KW25" s="54"/>
      <c r="KX25" s="54"/>
      <c r="KY25" s="54"/>
      <c r="KZ25" s="54"/>
      <c r="LA25" s="54"/>
      <c r="LB25" s="54"/>
      <c r="LC25" s="54"/>
      <c r="LD25" s="54"/>
      <c r="LE25" s="54"/>
      <c r="LF25" s="54"/>
      <c r="LG25" s="54"/>
      <c r="LH25" s="54"/>
      <c r="LI25" s="54"/>
      <c r="LJ25" s="54"/>
      <c r="LK25" s="54"/>
      <c r="LL25" s="54"/>
      <c r="LM25" s="54"/>
      <c r="LN25" s="54"/>
      <c r="LO25" s="54"/>
      <c r="LP25" s="54"/>
      <c r="LQ25" s="54"/>
      <c r="LR25" s="54"/>
      <c r="LS25" s="54"/>
      <c r="LT25" s="54"/>
      <c r="LU25" s="54"/>
      <c r="LV25" s="54"/>
      <c r="LW25" s="54"/>
      <c r="LX25" s="54"/>
      <c r="LY25" s="54"/>
      <c r="LZ25" s="54"/>
      <c r="MA25" s="54"/>
      <c r="MB25" s="54"/>
      <c r="MC25" s="54"/>
      <c r="MD25" s="54"/>
      <c r="ME25" s="54"/>
      <c r="MF25" s="54"/>
      <c r="MG25" s="54"/>
      <c r="MH25" s="54"/>
      <c r="MI25" s="54"/>
      <c r="MJ25" s="54"/>
      <c r="MK25" s="54"/>
      <c r="ML25" s="54"/>
      <c r="MM25" s="54"/>
      <c r="MN25" s="54"/>
      <c r="MO25" s="54"/>
      <c r="MP25" s="54"/>
      <c r="MQ25" s="54"/>
      <c r="MR25" s="54"/>
      <c r="MS25" s="54"/>
      <c r="MT25" s="54"/>
      <c r="MU25" s="54"/>
      <c r="MV25" s="54"/>
      <c r="MW25" s="54"/>
      <c r="MX25" s="54"/>
      <c r="MY25" s="54"/>
      <c r="MZ25" s="54"/>
      <c r="NA25" s="54"/>
      <c r="NB25" s="54"/>
      <c r="NC25" s="54"/>
      <c r="ND25" s="54"/>
      <c r="NE25" s="54"/>
      <c r="NF25" s="54"/>
      <c r="NG25" s="54"/>
      <c r="NH25" s="54"/>
      <c r="NI25" s="54"/>
      <c r="NJ25" s="54"/>
      <c r="NK25" s="54"/>
      <c r="NL25" s="54"/>
      <c r="NM25" s="54"/>
      <c r="NN25" s="54"/>
      <c r="NO25" s="54"/>
      <c r="NP25" s="54"/>
      <c r="NQ25" s="54"/>
      <c r="NR25" s="54"/>
      <c r="NS25" s="54"/>
      <c r="NT25" s="54"/>
      <c r="NU25" s="54"/>
      <c r="NV25" s="54"/>
      <c r="NW25" s="54"/>
      <c r="NX25" s="54"/>
      <c r="NY25" s="54"/>
      <c r="NZ25" s="54"/>
      <c r="OA25" s="54"/>
      <c r="OB25" s="54"/>
      <c r="OC25" s="54"/>
      <c r="OD25" s="54"/>
      <c r="OE25" s="54"/>
      <c r="OF25" s="54"/>
      <c r="OG25" s="54"/>
      <c r="OH25" s="54"/>
      <c r="OI25" s="54"/>
      <c r="OJ25" s="54"/>
      <c r="OK25" s="54"/>
      <c r="OL25" s="54"/>
      <c r="OM25" s="54"/>
      <c r="ON25" s="54"/>
      <c r="OO25" s="54"/>
      <c r="OP25" s="54"/>
      <c r="OQ25" s="54"/>
      <c r="OR25" s="54"/>
      <c r="OS25" s="54"/>
      <c r="OT25" s="54"/>
      <c r="OU25" s="54"/>
      <c r="OV25" s="54"/>
      <c r="OW25" s="54"/>
      <c r="OX25" s="54"/>
      <c r="OY25" s="54"/>
      <c r="OZ25" s="54"/>
      <c r="PA25" s="54"/>
      <c r="PB25" s="54"/>
      <c r="PC25" s="54"/>
      <c r="PD25" s="54"/>
      <c r="PE25" s="54"/>
      <c r="PF25" s="54"/>
      <c r="PG25" s="54"/>
      <c r="PH25" s="54"/>
      <c r="PI25" s="54"/>
      <c r="PJ25" s="54"/>
      <c r="PK25" s="54"/>
      <c r="PL25" s="54"/>
      <c r="PM25" s="54"/>
      <c r="PN25" s="54"/>
      <c r="PO25" s="54"/>
      <c r="PP25" s="54"/>
      <c r="PQ25" s="54"/>
      <c r="PR25" s="54"/>
      <c r="PS25" s="54"/>
      <c r="PT25" s="54"/>
      <c r="PU25" s="54"/>
      <c r="PV25" s="54"/>
      <c r="PW25" s="54"/>
      <c r="PX25" s="54"/>
      <c r="PY25" s="54"/>
      <c r="PZ25" s="54"/>
      <c r="QA25" s="54"/>
      <c r="QB25" s="54"/>
      <c r="QC25" s="54"/>
      <c r="QD25" s="54"/>
      <c r="QE25" s="54"/>
      <c r="QF25" s="54"/>
      <c r="QG25" s="54"/>
      <c r="QH25" s="54"/>
      <c r="QI25" s="54"/>
      <c r="QJ25" s="54"/>
      <c r="QK25" s="54"/>
      <c r="QL25" s="54"/>
      <c r="QM25" s="54"/>
      <c r="QN25" s="54"/>
      <c r="QO25" s="54"/>
      <c r="QP25" s="54"/>
      <c r="QQ25" s="54"/>
      <c r="QR25" s="54"/>
      <c r="QS25" s="54"/>
      <c r="QT25" s="54"/>
      <c r="QU25" s="54"/>
      <c r="QV25" s="54"/>
      <c r="QW25" s="54"/>
      <c r="QX25" s="54"/>
      <c r="QY25" s="54"/>
      <c r="QZ25" s="54"/>
      <c r="RA25" s="54"/>
      <c r="RB25" s="54"/>
      <c r="RC25" s="54"/>
      <c r="RD25" s="54"/>
      <c r="RE25" s="54"/>
      <c r="RF25" s="54"/>
      <c r="RG25" s="54"/>
      <c r="RH25" s="54"/>
      <c r="RI25" s="54"/>
      <c r="RJ25" s="54"/>
      <c r="RK25" s="54"/>
      <c r="RL25" s="54"/>
      <c r="RM25" s="54"/>
      <c r="RN25" s="54"/>
      <c r="RO25" s="54"/>
      <c r="RP25" s="54"/>
      <c r="RQ25" s="54"/>
      <c r="RR25" s="54"/>
      <c r="RS25" s="54"/>
      <c r="RT25" s="54"/>
      <c r="RU25" s="54"/>
      <c r="RV25" s="54"/>
      <c r="RW25" s="54"/>
      <c r="RX25" s="54"/>
      <c r="RY25" s="54"/>
      <c r="RZ25" s="54"/>
      <c r="SA25" s="54"/>
      <c r="SB25" s="54"/>
      <c r="SC25" s="54"/>
      <c r="SD25" s="54"/>
      <c r="SE25" s="54"/>
      <c r="SF25" s="54"/>
      <c r="SG25" s="54"/>
      <c r="SH25" s="54"/>
      <c r="SI25" s="54"/>
      <c r="SJ25" s="54"/>
      <c r="SK25" s="54"/>
      <c r="SL25" s="54"/>
      <c r="SM25" s="54"/>
      <c r="SN25" s="54"/>
      <c r="SO25" s="54"/>
      <c r="SP25" s="54"/>
      <c r="SQ25" s="54"/>
      <c r="SR25" s="54"/>
      <c r="SS25" s="54"/>
      <c r="ST25" s="54"/>
      <c r="SU25" s="54"/>
      <c r="SV25" s="54"/>
      <c r="SW25" s="54"/>
      <c r="SX25" s="54"/>
      <c r="SY25" s="54"/>
      <c r="SZ25" s="54"/>
      <c r="TA25" s="54"/>
      <c r="TB25" s="54"/>
      <c r="TC25" s="54"/>
      <c r="TD25" s="54"/>
      <c r="TE25" s="54"/>
      <c r="TF25" s="54"/>
      <c r="TG25" s="54"/>
      <c r="TH25" s="54"/>
      <c r="TI25" s="54"/>
      <c r="TJ25" s="54"/>
      <c r="TK25" s="54"/>
      <c r="TL25" s="54"/>
      <c r="TM25" s="54"/>
      <c r="TN25" s="54"/>
      <c r="TO25" s="54"/>
      <c r="TP25" s="54"/>
      <c r="TQ25" s="54"/>
      <c r="TR25" s="54"/>
      <c r="TS25" s="54"/>
      <c r="TT25" s="54"/>
      <c r="TU25" s="54"/>
      <c r="TV25" s="54"/>
      <c r="TW25" s="54"/>
      <c r="TX25" s="54"/>
      <c r="TY25" s="54"/>
      <c r="TZ25" s="54"/>
      <c r="UA25" s="54"/>
      <c r="UB25" s="54"/>
      <c r="UC25" s="54"/>
      <c r="UD25" s="54"/>
      <c r="UE25" s="54"/>
      <c r="UF25" s="54"/>
      <c r="UG25" s="54"/>
      <c r="UH25" s="54"/>
      <c r="UI25" s="54"/>
      <c r="UJ25" s="54"/>
      <c r="UK25" s="54"/>
      <c r="UL25" s="54"/>
      <c r="UM25" s="54"/>
      <c r="UN25" s="54"/>
      <c r="UO25" s="54"/>
      <c r="UP25" s="54"/>
      <c r="UQ25" s="54"/>
      <c r="UR25" s="54"/>
      <c r="US25" s="54"/>
      <c r="UT25" s="54"/>
      <c r="UU25" s="54"/>
      <c r="UV25" s="54"/>
      <c r="UW25" s="54"/>
      <c r="UX25" s="54"/>
      <c r="UY25" s="54"/>
      <c r="UZ25" s="54"/>
      <c r="VA25" s="54"/>
      <c r="VB25" s="54"/>
      <c r="VC25" s="54"/>
      <c r="VD25" s="54"/>
      <c r="VE25" s="54"/>
      <c r="VF25" s="54"/>
      <c r="VG25" s="54"/>
      <c r="VH25" s="54"/>
      <c r="VI25" s="54"/>
      <c r="VJ25" s="54"/>
      <c r="VK25" s="54"/>
      <c r="VL25" s="54"/>
      <c r="VM25" s="54"/>
      <c r="VN25" s="54"/>
      <c r="VO25" s="54"/>
      <c r="VP25" s="54"/>
      <c r="VQ25" s="54"/>
      <c r="VR25" s="54"/>
      <c r="VS25" s="54"/>
      <c r="VT25" s="54"/>
      <c r="VU25" s="54"/>
      <c r="VV25" s="54"/>
      <c r="VW25" s="54"/>
      <c r="VX25" s="54"/>
      <c r="VY25" s="54"/>
      <c r="VZ25" s="54"/>
      <c r="WA25" s="54"/>
      <c r="WB25" s="54"/>
      <c r="WC25" s="54"/>
      <c r="WD25" s="54"/>
      <c r="WE25" s="54"/>
    </row>
    <row r="26" spans="1:603" s="58" customFormat="1" x14ac:dyDescent="0.4">
      <c r="A26" s="51"/>
      <c r="B26" s="51"/>
      <c r="C26" s="51"/>
      <c r="D26" s="51"/>
      <c r="E26" s="51"/>
      <c r="F26" s="51"/>
      <c r="G26" s="51"/>
      <c r="H26" s="51"/>
      <c r="I26" s="51"/>
      <c r="J26" s="54"/>
      <c r="K26" s="54"/>
      <c r="L26" s="55"/>
      <c r="M26" s="55"/>
      <c r="N26" s="54"/>
      <c r="O26" s="54"/>
      <c r="P26" s="55"/>
      <c r="Q26" s="55"/>
      <c r="R26" s="54"/>
      <c r="S26" s="54"/>
      <c r="T26" s="55"/>
      <c r="U26" s="55"/>
      <c r="V26" s="54"/>
      <c r="W26" s="54"/>
      <c r="X26" s="55"/>
      <c r="Y26" s="55"/>
      <c r="Z26" s="54"/>
      <c r="AA26" s="54"/>
      <c r="AB26" s="55"/>
      <c r="AC26" s="55"/>
      <c r="AD26" s="54"/>
      <c r="AE26" s="54"/>
      <c r="AF26" s="55"/>
      <c r="AG26" s="55"/>
      <c r="AH26" s="54"/>
      <c r="AI26" s="54"/>
      <c r="AJ26" s="55"/>
      <c r="AK26" s="55"/>
      <c r="AL26" s="54"/>
      <c r="AM26" s="54"/>
      <c r="AN26" s="55"/>
      <c r="AO26" s="55"/>
      <c r="AP26" s="54"/>
      <c r="AQ26" s="54"/>
      <c r="AR26" s="55"/>
      <c r="AS26" s="55"/>
      <c r="AT26" s="54"/>
      <c r="AU26" s="54"/>
      <c r="AV26" s="55"/>
      <c r="AW26" s="55"/>
      <c r="AX26" s="54"/>
      <c r="AY26" s="54"/>
      <c r="AZ26" s="55"/>
      <c r="BA26" s="55"/>
      <c r="BB26" s="54"/>
      <c r="BC26" s="54"/>
      <c r="BD26" s="55"/>
      <c r="BE26" s="55"/>
      <c r="BF26" s="54"/>
      <c r="BG26" s="54"/>
      <c r="BH26" s="54"/>
      <c r="BI26" s="54"/>
      <c r="BJ26" s="54"/>
      <c r="BK26" s="54"/>
      <c r="BL26" s="54"/>
      <c r="BM26" s="54"/>
      <c r="BN26" s="54"/>
      <c r="BO26" s="54"/>
      <c r="BP26" s="54"/>
      <c r="BQ26" s="54"/>
      <c r="BR26" s="54"/>
      <c r="BS26" s="54"/>
      <c r="BT26" s="54"/>
      <c r="BU26" s="54"/>
      <c r="BV26" s="54"/>
      <c r="BW26" s="54"/>
      <c r="BX26" s="54"/>
      <c r="BY26" s="54"/>
      <c r="BZ26" s="54"/>
      <c r="CA26" s="54"/>
      <c r="CB26" s="54"/>
      <c r="CC26" s="54"/>
      <c r="CD26" s="54"/>
      <c r="CE26" s="54"/>
      <c r="CF26" s="54"/>
      <c r="CG26" s="54"/>
      <c r="CH26" s="54"/>
      <c r="CI26" s="54"/>
      <c r="CJ26" s="54"/>
      <c r="CK26" s="54"/>
      <c r="CL26" s="54"/>
      <c r="CM26" s="54"/>
      <c r="CN26" s="54"/>
      <c r="CO26" s="54"/>
      <c r="CP26" s="54"/>
      <c r="CQ26" s="54"/>
      <c r="CR26" s="54"/>
      <c r="CS26" s="54"/>
      <c r="CT26" s="54"/>
      <c r="CU26" s="54"/>
      <c r="CV26" s="54"/>
      <c r="CW26" s="54"/>
      <c r="CX26" s="54"/>
      <c r="CY26" s="54"/>
      <c r="CZ26" s="54"/>
      <c r="DA26" s="54"/>
      <c r="DB26" s="54"/>
      <c r="DC26" s="54"/>
      <c r="DD26" s="54"/>
      <c r="DE26" s="54"/>
      <c r="DF26" s="54"/>
      <c r="DG26" s="54"/>
      <c r="DH26" s="54"/>
      <c r="DI26" s="54"/>
      <c r="DJ26" s="54"/>
      <c r="DK26" s="54"/>
      <c r="DL26" s="54"/>
      <c r="DM26" s="54"/>
      <c r="DN26" s="54"/>
      <c r="DO26" s="54"/>
      <c r="DP26" s="54"/>
      <c r="DQ26" s="54"/>
      <c r="DR26" s="54"/>
      <c r="DS26" s="54"/>
      <c r="DT26" s="54"/>
      <c r="DU26" s="54"/>
      <c r="DV26" s="54"/>
      <c r="DW26" s="54"/>
      <c r="DX26" s="54"/>
      <c r="DY26" s="54"/>
      <c r="DZ26" s="54"/>
      <c r="EA26" s="54"/>
      <c r="EB26" s="54"/>
      <c r="EC26" s="54"/>
      <c r="ED26" s="54"/>
      <c r="EE26" s="54"/>
      <c r="EF26" s="54"/>
      <c r="EG26" s="54"/>
      <c r="EH26" s="54"/>
      <c r="EI26" s="54"/>
      <c r="EJ26" s="54"/>
      <c r="EK26" s="54"/>
      <c r="EL26" s="54"/>
      <c r="EM26" s="54"/>
      <c r="EN26" s="54"/>
      <c r="EO26" s="54"/>
      <c r="EP26" s="54"/>
      <c r="EQ26" s="54"/>
      <c r="ER26" s="54"/>
      <c r="ES26" s="54"/>
      <c r="ET26" s="54"/>
      <c r="EU26" s="54"/>
      <c r="EV26" s="54"/>
      <c r="EW26" s="54"/>
      <c r="EX26" s="54"/>
      <c r="EY26" s="54"/>
      <c r="EZ26" s="54"/>
      <c r="FA26" s="54"/>
      <c r="FB26" s="54"/>
      <c r="FC26" s="54"/>
      <c r="FD26" s="54"/>
      <c r="FE26" s="54"/>
      <c r="FF26" s="54"/>
      <c r="FG26" s="54"/>
      <c r="FH26" s="54"/>
      <c r="FI26" s="54"/>
      <c r="FJ26" s="54"/>
      <c r="FK26" s="54"/>
      <c r="FL26" s="54"/>
      <c r="FM26" s="54"/>
      <c r="FN26" s="54"/>
      <c r="FO26" s="54"/>
      <c r="FP26" s="54"/>
      <c r="FQ26" s="54"/>
      <c r="FR26" s="54"/>
      <c r="FS26" s="54"/>
      <c r="FT26" s="54"/>
      <c r="FU26" s="54"/>
      <c r="FV26" s="54"/>
      <c r="FW26" s="54"/>
      <c r="FX26" s="54"/>
      <c r="FY26" s="54"/>
      <c r="FZ26" s="54"/>
      <c r="GA26" s="54"/>
      <c r="GB26" s="54"/>
      <c r="GC26" s="54"/>
      <c r="GD26" s="54"/>
      <c r="GE26" s="54"/>
      <c r="GF26" s="54"/>
      <c r="GG26" s="54"/>
      <c r="GH26" s="54"/>
      <c r="GI26" s="54"/>
      <c r="GJ26" s="54"/>
      <c r="GK26" s="54"/>
      <c r="GL26" s="54"/>
      <c r="GM26" s="54"/>
      <c r="GN26" s="54"/>
      <c r="GO26" s="54"/>
      <c r="GP26" s="54"/>
      <c r="GQ26" s="54"/>
      <c r="GR26" s="54"/>
      <c r="GS26" s="54"/>
      <c r="GT26" s="54"/>
      <c r="GU26" s="54"/>
      <c r="GV26" s="54"/>
      <c r="GW26" s="54"/>
      <c r="GX26" s="54"/>
      <c r="GY26" s="54"/>
      <c r="GZ26" s="54"/>
      <c r="HA26" s="54"/>
      <c r="HB26" s="54"/>
      <c r="HC26" s="54"/>
      <c r="HD26" s="54"/>
      <c r="HE26" s="54"/>
      <c r="HF26" s="54"/>
      <c r="HG26" s="54"/>
      <c r="HH26" s="54"/>
      <c r="HI26" s="54"/>
      <c r="HJ26" s="54"/>
      <c r="HK26" s="54"/>
      <c r="HL26" s="54"/>
      <c r="HM26" s="54"/>
      <c r="HN26" s="54"/>
      <c r="HO26" s="54"/>
      <c r="HP26" s="54"/>
      <c r="HQ26" s="54"/>
      <c r="HR26" s="54"/>
      <c r="HS26" s="54"/>
      <c r="HT26" s="54"/>
      <c r="HU26" s="54"/>
      <c r="HV26" s="54"/>
      <c r="HW26" s="54"/>
      <c r="HX26" s="54"/>
      <c r="HY26" s="54"/>
      <c r="HZ26" s="54"/>
      <c r="IA26" s="54"/>
      <c r="IB26" s="54"/>
      <c r="IC26" s="54"/>
      <c r="ID26" s="54"/>
      <c r="IE26" s="54"/>
      <c r="IF26" s="54"/>
      <c r="IG26" s="54"/>
      <c r="IH26" s="54"/>
      <c r="II26" s="54"/>
      <c r="IJ26" s="54"/>
      <c r="IK26" s="54"/>
      <c r="IL26" s="54"/>
      <c r="IM26" s="54"/>
      <c r="IN26" s="54"/>
      <c r="IO26" s="54"/>
      <c r="IP26" s="54"/>
      <c r="IQ26" s="54"/>
      <c r="IR26" s="54"/>
      <c r="IS26" s="54"/>
      <c r="IT26" s="54"/>
      <c r="IU26" s="54"/>
      <c r="IV26" s="54"/>
      <c r="IW26" s="54"/>
      <c r="IX26" s="54"/>
      <c r="IY26" s="54"/>
      <c r="IZ26" s="54"/>
      <c r="JA26" s="54"/>
      <c r="JB26" s="54"/>
      <c r="JC26" s="54"/>
      <c r="JD26" s="54"/>
      <c r="JE26" s="54"/>
      <c r="JF26" s="54"/>
      <c r="JG26" s="54"/>
      <c r="JH26" s="54"/>
      <c r="JI26" s="54"/>
      <c r="JJ26" s="54"/>
      <c r="JK26" s="54"/>
      <c r="JL26" s="54"/>
      <c r="JM26" s="54"/>
      <c r="JN26" s="54"/>
      <c r="JO26" s="54"/>
      <c r="JP26" s="54"/>
      <c r="JQ26" s="54"/>
      <c r="JR26" s="54"/>
      <c r="JS26" s="54"/>
      <c r="JT26" s="54"/>
      <c r="JU26" s="54"/>
      <c r="JV26" s="54"/>
      <c r="JW26" s="54"/>
      <c r="JX26" s="54"/>
      <c r="JY26" s="54"/>
      <c r="JZ26" s="54"/>
      <c r="KA26" s="54"/>
      <c r="KB26" s="54"/>
      <c r="KC26" s="54"/>
      <c r="KD26" s="54"/>
      <c r="KE26" s="54"/>
      <c r="KF26" s="54"/>
      <c r="KG26" s="54"/>
      <c r="KH26" s="54"/>
      <c r="KI26" s="54"/>
      <c r="KJ26" s="54"/>
      <c r="KK26" s="54"/>
      <c r="KL26" s="54"/>
      <c r="KM26" s="54"/>
      <c r="KN26" s="54"/>
      <c r="KO26" s="54"/>
      <c r="KP26" s="54"/>
      <c r="KQ26" s="54"/>
      <c r="KR26" s="54"/>
      <c r="KS26" s="54"/>
      <c r="KT26" s="54"/>
      <c r="KU26" s="54"/>
      <c r="KV26" s="54"/>
      <c r="KW26" s="54"/>
      <c r="KX26" s="54"/>
      <c r="KY26" s="54"/>
      <c r="KZ26" s="54"/>
      <c r="LA26" s="54"/>
      <c r="LB26" s="54"/>
      <c r="LC26" s="54"/>
      <c r="LD26" s="54"/>
      <c r="LE26" s="54"/>
      <c r="LF26" s="54"/>
      <c r="LG26" s="54"/>
      <c r="LH26" s="54"/>
      <c r="LI26" s="54"/>
      <c r="LJ26" s="54"/>
      <c r="LK26" s="54"/>
      <c r="LL26" s="54"/>
      <c r="LM26" s="54"/>
      <c r="LN26" s="54"/>
      <c r="LO26" s="54"/>
      <c r="LP26" s="54"/>
      <c r="LQ26" s="54"/>
      <c r="LR26" s="54"/>
      <c r="LS26" s="54"/>
      <c r="LT26" s="54"/>
      <c r="LU26" s="54"/>
      <c r="LV26" s="54"/>
      <c r="LW26" s="54"/>
      <c r="LX26" s="54"/>
      <c r="LY26" s="54"/>
      <c r="LZ26" s="54"/>
      <c r="MA26" s="54"/>
      <c r="MB26" s="54"/>
      <c r="MC26" s="54"/>
      <c r="MD26" s="54"/>
      <c r="ME26" s="54"/>
      <c r="MF26" s="54"/>
      <c r="MG26" s="54"/>
      <c r="MH26" s="54"/>
      <c r="MI26" s="54"/>
      <c r="MJ26" s="54"/>
      <c r="MK26" s="54"/>
      <c r="ML26" s="54"/>
      <c r="MM26" s="54"/>
      <c r="MN26" s="54"/>
      <c r="MO26" s="54"/>
      <c r="MP26" s="54"/>
      <c r="MQ26" s="54"/>
      <c r="MR26" s="54"/>
      <c r="MS26" s="54"/>
      <c r="MT26" s="54"/>
      <c r="MU26" s="54"/>
      <c r="MV26" s="54"/>
      <c r="MW26" s="54"/>
      <c r="MX26" s="54"/>
      <c r="MY26" s="54"/>
      <c r="MZ26" s="54"/>
      <c r="NA26" s="54"/>
      <c r="NB26" s="54"/>
      <c r="NC26" s="54"/>
      <c r="ND26" s="54"/>
      <c r="NE26" s="54"/>
      <c r="NF26" s="54"/>
      <c r="NG26" s="54"/>
      <c r="NH26" s="54"/>
      <c r="NI26" s="54"/>
      <c r="NJ26" s="54"/>
      <c r="NK26" s="54"/>
      <c r="NL26" s="54"/>
      <c r="NM26" s="54"/>
      <c r="NN26" s="54"/>
      <c r="NO26" s="54"/>
      <c r="NP26" s="54"/>
      <c r="NQ26" s="54"/>
      <c r="NR26" s="54"/>
      <c r="NS26" s="54"/>
      <c r="NT26" s="54"/>
      <c r="NU26" s="54"/>
      <c r="NV26" s="54"/>
      <c r="NW26" s="54"/>
      <c r="NX26" s="54"/>
      <c r="NY26" s="54"/>
      <c r="NZ26" s="54"/>
      <c r="OA26" s="54"/>
      <c r="OB26" s="54"/>
      <c r="OC26" s="54"/>
      <c r="OD26" s="54"/>
      <c r="OE26" s="54"/>
      <c r="OF26" s="54"/>
      <c r="OG26" s="54"/>
      <c r="OH26" s="54"/>
      <c r="OI26" s="54"/>
      <c r="OJ26" s="54"/>
      <c r="OK26" s="54"/>
      <c r="OL26" s="54"/>
      <c r="OM26" s="54"/>
      <c r="ON26" s="54"/>
      <c r="OO26" s="54"/>
      <c r="OP26" s="54"/>
      <c r="OQ26" s="54"/>
      <c r="OR26" s="54"/>
      <c r="OS26" s="54"/>
      <c r="OT26" s="54"/>
      <c r="OU26" s="54"/>
      <c r="OV26" s="54"/>
      <c r="OW26" s="54"/>
      <c r="OX26" s="54"/>
      <c r="OY26" s="54"/>
      <c r="OZ26" s="54"/>
      <c r="PA26" s="54"/>
      <c r="PB26" s="54"/>
      <c r="PC26" s="54"/>
      <c r="PD26" s="54"/>
      <c r="PE26" s="54"/>
      <c r="PF26" s="54"/>
      <c r="PG26" s="54"/>
      <c r="PH26" s="54"/>
      <c r="PI26" s="54"/>
      <c r="PJ26" s="54"/>
      <c r="PK26" s="54"/>
      <c r="PL26" s="54"/>
      <c r="PM26" s="54"/>
      <c r="PN26" s="54"/>
      <c r="PO26" s="54"/>
      <c r="PP26" s="54"/>
      <c r="PQ26" s="54"/>
      <c r="PR26" s="54"/>
      <c r="PS26" s="54"/>
      <c r="PT26" s="54"/>
      <c r="PU26" s="54"/>
      <c r="PV26" s="54"/>
      <c r="PW26" s="54"/>
      <c r="PX26" s="54"/>
      <c r="PY26" s="54"/>
      <c r="PZ26" s="54"/>
      <c r="QA26" s="54"/>
      <c r="QB26" s="54"/>
      <c r="QC26" s="54"/>
      <c r="QD26" s="54"/>
      <c r="QE26" s="54"/>
      <c r="QF26" s="54"/>
      <c r="QG26" s="54"/>
      <c r="QH26" s="54"/>
      <c r="QI26" s="54"/>
      <c r="QJ26" s="54"/>
      <c r="QK26" s="54"/>
      <c r="QL26" s="54"/>
      <c r="QM26" s="54"/>
      <c r="QN26" s="54"/>
      <c r="QO26" s="54"/>
      <c r="QP26" s="54"/>
      <c r="QQ26" s="54"/>
      <c r="QR26" s="54"/>
      <c r="QS26" s="54"/>
      <c r="QT26" s="54"/>
      <c r="QU26" s="54"/>
      <c r="QV26" s="54"/>
      <c r="QW26" s="54"/>
      <c r="QX26" s="54"/>
      <c r="QY26" s="54"/>
      <c r="QZ26" s="54"/>
      <c r="RA26" s="54"/>
      <c r="RB26" s="54"/>
      <c r="RC26" s="54"/>
      <c r="RD26" s="54"/>
      <c r="RE26" s="54"/>
      <c r="RF26" s="54"/>
      <c r="RG26" s="54"/>
      <c r="RH26" s="54"/>
      <c r="RI26" s="54"/>
      <c r="RJ26" s="54"/>
      <c r="RK26" s="54"/>
      <c r="RL26" s="54"/>
      <c r="RM26" s="54"/>
      <c r="RN26" s="54"/>
      <c r="RO26" s="54"/>
      <c r="RP26" s="54"/>
      <c r="RQ26" s="54"/>
      <c r="RR26" s="54"/>
      <c r="RS26" s="54"/>
      <c r="RT26" s="54"/>
      <c r="RU26" s="54"/>
      <c r="RV26" s="54"/>
      <c r="RW26" s="54"/>
      <c r="RX26" s="54"/>
      <c r="RY26" s="54"/>
      <c r="RZ26" s="54"/>
      <c r="SA26" s="54"/>
      <c r="SB26" s="54"/>
      <c r="SC26" s="54"/>
      <c r="SD26" s="54"/>
      <c r="SE26" s="54"/>
      <c r="SF26" s="54"/>
      <c r="SG26" s="54"/>
      <c r="SH26" s="54"/>
      <c r="SI26" s="54"/>
      <c r="SJ26" s="54"/>
      <c r="SK26" s="54"/>
      <c r="SL26" s="54"/>
      <c r="SM26" s="54"/>
      <c r="SN26" s="54"/>
      <c r="SO26" s="54"/>
      <c r="SP26" s="54"/>
      <c r="SQ26" s="54"/>
      <c r="SR26" s="54"/>
      <c r="SS26" s="54"/>
      <c r="ST26" s="54"/>
      <c r="SU26" s="54"/>
      <c r="SV26" s="54"/>
      <c r="SW26" s="54"/>
      <c r="SX26" s="54"/>
      <c r="SY26" s="54"/>
      <c r="SZ26" s="54"/>
      <c r="TA26" s="54"/>
      <c r="TB26" s="54"/>
      <c r="TC26" s="54"/>
      <c r="TD26" s="54"/>
      <c r="TE26" s="54"/>
      <c r="TF26" s="54"/>
      <c r="TG26" s="54"/>
      <c r="TH26" s="54"/>
      <c r="TI26" s="54"/>
      <c r="TJ26" s="54"/>
      <c r="TK26" s="54"/>
      <c r="TL26" s="54"/>
      <c r="TM26" s="54"/>
      <c r="TN26" s="54"/>
      <c r="TO26" s="54"/>
      <c r="TP26" s="54"/>
      <c r="TQ26" s="54"/>
      <c r="TR26" s="54"/>
      <c r="TS26" s="54"/>
      <c r="TT26" s="54"/>
      <c r="TU26" s="54"/>
      <c r="TV26" s="54"/>
      <c r="TW26" s="54"/>
      <c r="TX26" s="54"/>
      <c r="TY26" s="54"/>
      <c r="TZ26" s="54"/>
      <c r="UA26" s="54"/>
      <c r="UB26" s="54"/>
      <c r="UC26" s="54"/>
      <c r="UD26" s="54"/>
      <c r="UE26" s="54"/>
      <c r="UF26" s="54"/>
      <c r="UG26" s="54"/>
      <c r="UH26" s="54"/>
      <c r="UI26" s="54"/>
      <c r="UJ26" s="54"/>
      <c r="UK26" s="54"/>
      <c r="UL26" s="54"/>
      <c r="UM26" s="54"/>
      <c r="UN26" s="54"/>
      <c r="UO26" s="54"/>
      <c r="UP26" s="54"/>
      <c r="UQ26" s="54"/>
      <c r="UR26" s="54"/>
      <c r="US26" s="54"/>
      <c r="UT26" s="54"/>
      <c r="UU26" s="54"/>
      <c r="UV26" s="54"/>
      <c r="UW26" s="54"/>
      <c r="UX26" s="54"/>
      <c r="UY26" s="54"/>
      <c r="UZ26" s="54"/>
      <c r="VA26" s="54"/>
      <c r="VB26" s="54"/>
      <c r="VC26" s="54"/>
      <c r="VD26" s="54"/>
      <c r="VE26" s="54"/>
      <c r="VF26" s="54"/>
      <c r="VG26" s="54"/>
      <c r="VH26" s="54"/>
      <c r="VI26" s="54"/>
      <c r="VJ26" s="54"/>
      <c r="VK26" s="54"/>
      <c r="VL26" s="54"/>
      <c r="VM26" s="54"/>
      <c r="VN26" s="54"/>
      <c r="VO26" s="54"/>
      <c r="VP26" s="54"/>
      <c r="VQ26" s="54"/>
      <c r="VR26" s="54"/>
      <c r="VS26" s="54"/>
      <c r="VT26" s="54"/>
      <c r="VU26" s="54"/>
      <c r="VV26" s="54"/>
      <c r="VW26" s="54"/>
      <c r="VX26" s="54"/>
      <c r="VY26" s="54"/>
      <c r="VZ26" s="54"/>
      <c r="WA26" s="54"/>
      <c r="WB26" s="54"/>
      <c r="WC26" s="54"/>
      <c r="WD26" s="54"/>
      <c r="WE26" s="54"/>
    </row>
    <row r="27" spans="1:603" s="58" customFormat="1" x14ac:dyDescent="0.4">
      <c r="A27" s="51"/>
      <c r="B27" s="51"/>
      <c r="C27" s="51"/>
      <c r="D27" s="51"/>
      <c r="E27" s="51"/>
      <c r="F27" s="51"/>
      <c r="G27" s="51"/>
      <c r="H27" s="51"/>
      <c r="I27" s="51"/>
      <c r="J27" s="54"/>
      <c r="K27" s="54"/>
      <c r="L27" s="55"/>
      <c r="M27" s="55"/>
      <c r="N27" s="54"/>
      <c r="O27" s="54"/>
      <c r="P27" s="55"/>
      <c r="Q27" s="55"/>
      <c r="R27" s="54"/>
      <c r="S27" s="54"/>
      <c r="T27" s="55"/>
      <c r="U27" s="55"/>
      <c r="V27" s="54"/>
      <c r="W27" s="54"/>
      <c r="X27" s="55"/>
      <c r="Y27" s="55"/>
      <c r="Z27" s="54"/>
      <c r="AA27" s="54"/>
      <c r="AB27" s="55"/>
      <c r="AC27" s="55"/>
      <c r="AD27" s="54"/>
      <c r="AE27" s="54"/>
      <c r="AF27" s="55"/>
      <c r="AG27" s="55"/>
      <c r="AH27" s="54"/>
      <c r="AI27" s="54"/>
      <c r="AJ27" s="55"/>
      <c r="AK27" s="55"/>
      <c r="AL27" s="54"/>
      <c r="AM27" s="54"/>
      <c r="AN27" s="55"/>
      <c r="AO27" s="55"/>
      <c r="AP27" s="54"/>
      <c r="AQ27" s="54"/>
      <c r="AR27" s="55"/>
      <c r="AS27" s="55"/>
      <c r="AT27" s="54"/>
      <c r="AU27" s="54"/>
      <c r="AV27" s="55"/>
      <c r="AW27" s="55"/>
      <c r="AX27" s="54"/>
      <c r="AY27" s="54"/>
      <c r="AZ27" s="55"/>
      <c r="BA27" s="55"/>
      <c r="BB27" s="54"/>
      <c r="BC27" s="54"/>
      <c r="BD27" s="55"/>
      <c r="BE27" s="55"/>
      <c r="BF27" s="54"/>
      <c r="BG27" s="54"/>
      <c r="BH27" s="54"/>
      <c r="BI27" s="54"/>
      <c r="BJ27" s="54"/>
      <c r="BK27" s="54"/>
      <c r="BL27" s="54"/>
      <c r="BM27" s="54"/>
      <c r="BN27" s="54"/>
      <c r="BO27" s="54"/>
      <c r="BP27" s="54"/>
      <c r="BQ27" s="54"/>
      <c r="BR27" s="54"/>
      <c r="BS27" s="54"/>
      <c r="BT27" s="54"/>
      <c r="BU27" s="54"/>
      <c r="BV27" s="54"/>
      <c r="BW27" s="54"/>
      <c r="BX27" s="54"/>
      <c r="BY27" s="54"/>
      <c r="BZ27" s="54"/>
      <c r="CA27" s="54"/>
      <c r="CB27" s="54"/>
      <c r="CC27" s="54"/>
      <c r="CD27" s="54"/>
      <c r="CE27" s="54"/>
      <c r="CF27" s="54"/>
      <c r="CG27" s="54"/>
      <c r="CH27" s="54"/>
      <c r="CI27" s="54"/>
      <c r="CJ27" s="54"/>
      <c r="CK27" s="54"/>
      <c r="CL27" s="54"/>
      <c r="CM27" s="54"/>
      <c r="CN27" s="54"/>
      <c r="CO27" s="54"/>
      <c r="CP27" s="54"/>
      <c r="CQ27" s="54"/>
      <c r="CR27" s="54"/>
      <c r="CS27" s="54"/>
      <c r="CT27" s="54"/>
      <c r="CU27" s="54"/>
      <c r="CV27" s="54"/>
      <c r="CW27" s="54"/>
      <c r="CX27" s="54"/>
      <c r="CY27" s="54"/>
      <c r="CZ27" s="54"/>
      <c r="DA27" s="54"/>
      <c r="DB27" s="54"/>
      <c r="DC27" s="54"/>
      <c r="DD27" s="54"/>
      <c r="DE27" s="54"/>
      <c r="DF27" s="54"/>
      <c r="DG27" s="54"/>
      <c r="DH27" s="54"/>
      <c r="DI27" s="54"/>
      <c r="DJ27" s="54"/>
      <c r="DK27" s="54"/>
      <c r="DL27" s="54"/>
      <c r="DM27" s="54"/>
      <c r="DN27" s="54"/>
      <c r="DO27" s="54"/>
      <c r="DP27" s="54"/>
      <c r="DQ27" s="54"/>
      <c r="DR27" s="54"/>
      <c r="DS27" s="54"/>
      <c r="DT27" s="54"/>
      <c r="DU27" s="54"/>
      <c r="DV27" s="54"/>
      <c r="DW27" s="54"/>
      <c r="DX27" s="54"/>
      <c r="DY27" s="54"/>
      <c r="DZ27" s="54"/>
      <c r="EA27" s="54"/>
      <c r="EB27" s="54"/>
      <c r="EC27" s="54"/>
      <c r="ED27" s="54"/>
      <c r="EE27" s="54"/>
      <c r="EF27" s="54"/>
      <c r="EG27" s="54"/>
      <c r="EH27" s="54"/>
      <c r="EI27" s="54"/>
      <c r="EJ27" s="54"/>
      <c r="EK27" s="54"/>
      <c r="EL27" s="54"/>
      <c r="EM27" s="54"/>
      <c r="EN27" s="54"/>
      <c r="EO27" s="54"/>
      <c r="EP27" s="54"/>
      <c r="EQ27" s="54"/>
      <c r="ER27" s="54"/>
      <c r="ES27" s="54"/>
      <c r="ET27" s="54"/>
      <c r="EU27" s="54"/>
      <c r="EV27" s="54"/>
      <c r="EW27" s="54"/>
      <c r="EX27" s="54"/>
      <c r="EY27" s="54"/>
      <c r="EZ27" s="54"/>
      <c r="FA27" s="54"/>
      <c r="FB27" s="54"/>
      <c r="FC27" s="54"/>
      <c r="FD27" s="54"/>
      <c r="FE27" s="54"/>
      <c r="FF27" s="54"/>
      <c r="FG27" s="54"/>
      <c r="FH27" s="54"/>
      <c r="FI27" s="54"/>
      <c r="FJ27" s="54"/>
      <c r="FK27" s="54"/>
      <c r="FL27" s="54"/>
      <c r="FM27" s="54"/>
      <c r="FN27" s="54"/>
      <c r="FO27" s="54"/>
      <c r="FP27" s="54"/>
      <c r="FQ27" s="54"/>
      <c r="FR27" s="54"/>
      <c r="FS27" s="54"/>
      <c r="FT27" s="54"/>
      <c r="FU27" s="54"/>
      <c r="FV27" s="54"/>
      <c r="FW27" s="54"/>
      <c r="FX27" s="54"/>
      <c r="FY27" s="54"/>
      <c r="FZ27" s="54"/>
      <c r="GA27" s="54"/>
      <c r="GB27" s="54"/>
      <c r="GC27" s="54"/>
      <c r="GD27" s="54"/>
      <c r="GE27" s="54"/>
      <c r="GF27" s="54"/>
      <c r="GG27" s="54"/>
      <c r="GH27" s="54"/>
      <c r="GI27" s="54"/>
      <c r="GJ27" s="54"/>
      <c r="GK27" s="54"/>
      <c r="GL27" s="54"/>
      <c r="GM27" s="54"/>
      <c r="GN27" s="54"/>
      <c r="GO27" s="54"/>
      <c r="GP27" s="54"/>
      <c r="GQ27" s="54"/>
      <c r="GR27" s="54"/>
      <c r="GS27" s="54"/>
      <c r="GT27" s="54"/>
      <c r="GU27" s="54"/>
      <c r="GV27" s="54"/>
      <c r="GW27" s="54"/>
      <c r="GX27" s="54"/>
      <c r="GY27" s="54"/>
      <c r="GZ27" s="54"/>
      <c r="HA27" s="54"/>
      <c r="HB27" s="54"/>
      <c r="HC27" s="54"/>
      <c r="HD27" s="54"/>
      <c r="HE27" s="54"/>
      <c r="HF27" s="54"/>
      <c r="HG27" s="54"/>
      <c r="HH27" s="54"/>
      <c r="HI27" s="54"/>
      <c r="HJ27" s="54"/>
      <c r="HK27" s="54"/>
      <c r="HL27" s="54"/>
      <c r="HM27" s="54"/>
      <c r="HN27" s="54"/>
      <c r="HO27" s="54"/>
      <c r="HP27" s="54"/>
      <c r="HQ27" s="54"/>
      <c r="HR27" s="54"/>
      <c r="HS27" s="54"/>
      <c r="HT27" s="54"/>
      <c r="HU27" s="54"/>
      <c r="HV27" s="54"/>
      <c r="HW27" s="54"/>
      <c r="HX27" s="54"/>
      <c r="HY27" s="54"/>
      <c r="HZ27" s="54"/>
      <c r="IA27" s="54"/>
      <c r="IB27" s="54"/>
      <c r="IC27" s="54"/>
      <c r="ID27" s="54"/>
      <c r="IE27" s="54"/>
      <c r="IF27" s="54"/>
      <c r="IG27" s="54"/>
      <c r="IH27" s="54"/>
      <c r="II27" s="54"/>
      <c r="IJ27" s="54"/>
      <c r="IK27" s="54"/>
      <c r="IL27" s="54"/>
      <c r="IM27" s="54"/>
      <c r="IN27" s="54"/>
      <c r="IO27" s="54"/>
      <c r="IP27" s="54"/>
      <c r="IQ27" s="54"/>
      <c r="IR27" s="54"/>
      <c r="IS27" s="54"/>
      <c r="IT27" s="54"/>
      <c r="IU27" s="54"/>
      <c r="IV27" s="54"/>
      <c r="IW27" s="54"/>
      <c r="IX27" s="54"/>
      <c r="IY27" s="54"/>
      <c r="IZ27" s="54"/>
      <c r="JA27" s="54"/>
      <c r="JB27" s="54"/>
      <c r="JC27" s="54"/>
      <c r="JD27" s="54"/>
      <c r="JE27" s="54"/>
      <c r="JF27" s="54"/>
      <c r="JG27" s="54"/>
      <c r="JH27" s="54"/>
      <c r="JI27" s="54"/>
      <c r="JJ27" s="54"/>
      <c r="JK27" s="54"/>
      <c r="JL27" s="54"/>
      <c r="JM27" s="54"/>
      <c r="JN27" s="54"/>
      <c r="JO27" s="54"/>
      <c r="JP27" s="54"/>
      <c r="JQ27" s="54"/>
      <c r="JR27" s="54"/>
      <c r="JS27" s="54"/>
      <c r="JT27" s="54"/>
      <c r="JU27" s="54"/>
      <c r="JV27" s="54"/>
      <c r="JW27" s="54"/>
      <c r="JX27" s="54"/>
      <c r="JY27" s="54"/>
      <c r="JZ27" s="54"/>
      <c r="KA27" s="54"/>
      <c r="KB27" s="54"/>
      <c r="KC27" s="54"/>
      <c r="KD27" s="54"/>
      <c r="KE27" s="54"/>
      <c r="KF27" s="54"/>
      <c r="KG27" s="54"/>
      <c r="KH27" s="54"/>
      <c r="KI27" s="54"/>
      <c r="KJ27" s="54"/>
      <c r="KK27" s="54"/>
      <c r="KL27" s="54"/>
      <c r="KM27" s="54"/>
      <c r="KN27" s="54"/>
      <c r="KO27" s="54"/>
      <c r="KP27" s="54"/>
      <c r="KQ27" s="54"/>
      <c r="KR27" s="54"/>
      <c r="KS27" s="54"/>
      <c r="KT27" s="54"/>
      <c r="KU27" s="54"/>
      <c r="KV27" s="54"/>
      <c r="KW27" s="54"/>
      <c r="KX27" s="54"/>
      <c r="KY27" s="54"/>
      <c r="KZ27" s="54"/>
      <c r="LA27" s="54"/>
      <c r="LB27" s="54"/>
      <c r="LC27" s="54"/>
      <c r="LD27" s="54"/>
      <c r="LE27" s="54"/>
      <c r="LF27" s="54"/>
      <c r="LG27" s="54"/>
      <c r="LH27" s="54"/>
      <c r="LI27" s="54"/>
      <c r="LJ27" s="54"/>
      <c r="LK27" s="54"/>
      <c r="LL27" s="54"/>
      <c r="LM27" s="54"/>
      <c r="LN27" s="54"/>
      <c r="LO27" s="54"/>
      <c r="LP27" s="54"/>
      <c r="LQ27" s="54"/>
      <c r="LR27" s="54"/>
      <c r="LS27" s="54"/>
      <c r="LT27" s="54"/>
      <c r="LU27" s="54"/>
      <c r="LV27" s="54"/>
      <c r="LW27" s="54"/>
      <c r="LX27" s="54"/>
      <c r="LY27" s="54"/>
      <c r="LZ27" s="54"/>
      <c r="MA27" s="54"/>
      <c r="MB27" s="54"/>
      <c r="MC27" s="54"/>
      <c r="MD27" s="54"/>
      <c r="ME27" s="54"/>
      <c r="MF27" s="54"/>
      <c r="MG27" s="54"/>
      <c r="MH27" s="54"/>
      <c r="MI27" s="54"/>
      <c r="MJ27" s="54"/>
      <c r="MK27" s="54"/>
      <c r="ML27" s="54"/>
      <c r="MM27" s="54"/>
      <c r="MN27" s="54"/>
      <c r="MO27" s="54"/>
      <c r="MP27" s="54"/>
      <c r="MQ27" s="54"/>
      <c r="MR27" s="54"/>
      <c r="MS27" s="54"/>
      <c r="MT27" s="54"/>
      <c r="MU27" s="54"/>
      <c r="MV27" s="54"/>
      <c r="MW27" s="54"/>
      <c r="MX27" s="54"/>
      <c r="MY27" s="54"/>
      <c r="MZ27" s="54"/>
      <c r="NA27" s="54"/>
      <c r="NB27" s="54"/>
      <c r="NC27" s="54"/>
      <c r="ND27" s="54"/>
      <c r="NE27" s="54"/>
      <c r="NF27" s="54"/>
      <c r="NG27" s="54"/>
      <c r="NH27" s="54"/>
      <c r="NI27" s="54"/>
      <c r="NJ27" s="54"/>
      <c r="NK27" s="54"/>
      <c r="NL27" s="54"/>
      <c r="NM27" s="54"/>
      <c r="NN27" s="54"/>
      <c r="NO27" s="54"/>
      <c r="NP27" s="54"/>
      <c r="NQ27" s="54"/>
      <c r="NR27" s="54"/>
      <c r="NS27" s="54"/>
      <c r="NT27" s="54"/>
      <c r="NU27" s="54"/>
      <c r="NV27" s="54"/>
      <c r="NW27" s="54"/>
      <c r="NX27" s="54"/>
      <c r="NY27" s="54"/>
      <c r="NZ27" s="54"/>
      <c r="OA27" s="54"/>
      <c r="OB27" s="54"/>
      <c r="OC27" s="54"/>
      <c r="OD27" s="54"/>
      <c r="OE27" s="54"/>
      <c r="OF27" s="54"/>
      <c r="OG27" s="54"/>
      <c r="OH27" s="54"/>
      <c r="OI27" s="54"/>
      <c r="OJ27" s="54"/>
      <c r="OK27" s="54"/>
      <c r="OL27" s="54"/>
      <c r="OM27" s="54"/>
      <c r="ON27" s="54"/>
      <c r="OO27" s="54"/>
      <c r="OP27" s="54"/>
      <c r="OQ27" s="54"/>
      <c r="OR27" s="54"/>
      <c r="OS27" s="54"/>
      <c r="OT27" s="54"/>
      <c r="OU27" s="54"/>
      <c r="OV27" s="54"/>
      <c r="OW27" s="54"/>
      <c r="OX27" s="54"/>
      <c r="OY27" s="54"/>
      <c r="OZ27" s="54"/>
      <c r="PA27" s="54"/>
      <c r="PB27" s="54"/>
      <c r="PC27" s="54"/>
      <c r="PD27" s="54"/>
      <c r="PE27" s="54"/>
      <c r="PF27" s="54"/>
      <c r="PG27" s="54"/>
      <c r="PH27" s="54"/>
      <c r="PI27" s="54"/>
      <c r="PJ27" s="54"/>
      <c r="PK27" s="54"/>
      <c r="PL27" s="54"/>
      <c r="PM27" s="54"/>
      <c r="PN27" s="54"/>
      <c r="PO27" s="54"/>
      <c r="PP27" s="54"/>
      <c r="PQ27" s="54"/>
      <c r="PR27" s="54"/>
      <c r="PS27" s="54"/>
      <c r="PT27" s="54"/>
      <c r="PU27" s="54"/>
      <c r="PV27" s="54"/>
      <c r="PW27" s="54"/>
      <c r="PX27" s="54"/>
      <c r="PY27" s="54"/>
      <c r="PZ27" s="54"/>
      <c r="QA27" s="54"/>
      <c r="QB27" s="54"/>
      <c r="QC27" s="54"/>
      <c r="QD27" s="54"/>
      <c r="QE27" s="54"/>
      <c r="QF27" s="54"/>
      <c r="QG27" s="54"/>
      <c r="QH27" s="54"/>
      <c r="QI27" s="54"/>
      <c r="QJ27" s="54"/>
      <c r="QK27" s="54"/>
      <c r="QL27" s="54"/>
      <c r="QM27" s="54"/>
      <c r="QN27" s="54"/>
      <c r="QO27" s="54"/>
      <c r="QP27" s="54"/>
      <c r="QQ27" s="54"/>
      <c r="QR27" s="54"/>
      <c r="QS27" s="54"/>
      <c r="QT27" s="54"/>
      <c r="QU27" s="54"/>
      <c r="QV27" s="54"/>
      <c r="QW27" s="54"/>
      <c r="QX27" s="54"/>
      <c r="QY27" s="54"/>
      <c r="QZ27" s="54"/>
      <c r="RA27" s="54"/>
      <c r="RB27" s="54"/>
      <c r="RC27" s="54"/>
      <c r="RD27" s="54"/>
      <c r="RE27" s="54"/>
      <c r="RF27" s="54"/>
      <c r="RG27" s="54"/>
      <c r="RH27" s="54"/>
      <c r="RI27" s="54"/>
      <c r="RJ27" s="54"/>
      <c r="RK27" s="54"/>
      <c r="RL27" s="54"/>
      <c r="RM27" s="54"/>
      <c r="RN27" s="54"/>
      <c r="RO27" s="54"/>
      <c r="RP27" s="54"/>
      <c r="RQ27" s="54"/>
      <c r="RR27" s="54"/>
      <c r="RS27" s="54"/>
      <c r="RT27" s="54"/>
      <c r="RU27" s="54"/>
      <c r="RV27" s="54"/>
      <c r="RW27" s="54"/>
      <c r="RX27" s="54"/>
      <c r="RY27" s="54"/>
      <c r="RZ27" s="54"/>
      <c r="SA27" s="54"/>
      <c r="SB27" s="54"/>
      <c r="SC27" s="54"/>
      <c r="SD27" s="54"/>
      <c r="SE27" s="54"/>
      <c r="SF27" s="54"/>
      <c r="SG27" s="54"/>
      <c r="SH27" s="54"/>
      <c r="SI27" s="54"/>
      <c r="SJ27" s="54"/>
      <c r="SK27" s="54"/>
      <c r="SL27" s="54"/>
      <c r="SM27" s="54"/>
      <c r="SN27" s="54"/>
      <c r="SO27" s="54"/>
      <c r="SP27" s="54"/>
      <c r="SQ27" s="54"/>
      <c r="SR27" s="54"/>
      <c r="SS27" s="54"/>
      <c r="ST27" s="54"/>
      <c r="SU27" s="54"/>
      <c r="SV27" s="54"/>
      <c r="SW27" s="54"/>
      <c r="SX27" s="54"/>
      <c r="SY27" s="54"/>
      <c r="SZ27" s="54"/>
      <c r="TA27" s="54"/>
      <c r="TB27" s="54"/>
      <c r="TC27" s="54"/>
      <c r="TD27" s="54"/>
      <c r="TE27" s="54"/>
      <c r="TF27" s="54"/>
      <c r="TG27" s="54"/>
      <c r="TH27" s="54"/>
      <c r="TI27" s="54"/>
      <c r="TJ27" s="54"/>
      <c r="TK27" s="54"/>
      <c r="TL27" s="54"/>
      <c r="TM27" s="54"/>
      <c r="TN27" s="54"/>
      <c r="TO27" s="54"/>
      <c r="TP27" s="54"/>
      <c r="TQ27" s="54"/>
      <c r="TR27" s="54"/>
      <c r="TS27" s="54"/>
      <c r="TT27" s="54"/>
      <c r="TU27" s="54"/>
      <c r="TV27" s="54"/>
      <c r="TW27" s="54"/>
      <c r="TX27" s="54"/>
      <c r="TY27" s="54"/>
      <c r="TZ27" s="54"/>
      <c r="UA27" s="54"/>
      <c r="UB27" s="54"/>
      <c r="UC27" s="54"/>
      <c r="UD27" s="54"/>
      <c r="UE27" s="54"/>
      <c r="UF27" s="54"/>
      <c r="UG27" s="54"/>
      <c r="UH27" s="54"/>
      <c r="UI27" s="54"/>
      <c r="UJ27" s="54"/>
      <c r="UK27" s="54"/>
      <c r="UL27" s="54"/>
      <c r="UM27" s="54"/>
      <c r="UN27" s="54"/>
      <c r="UO27" s="54"/>
      <c r="UP27" s="54"/>
      <c r="UQ27" s="54"/>
      <c r="UR27" s="54"/>
      <c r="US27" s="54"/>
      <c r="UT27" s="54"/>
      <c r="UU27" s="54"/>
      <c r="UV27" s="54"/>
      <c r="UW27" s="54"/>
      <c r="UX27" s="54"/>
      <c r="UY27" s="54"/>
      <c r="UZ27" s="54"/>
      <c r="VA27" s="54"/>
      <c r="VB27" s="54"/>
      <c r="VC27" s="54"/>
      <c r="VD27" s="54"/>
      <c r="VE27" s="54"/>
      <c r="VF27" s="54"/>
      <c r="VG27" s="54"/>
      <c r="VH27" s="54"/>
      <c r="VI27" s="54"/>
      <c r="VJ27" s="54"/>
      <c r="VK27" s="54"/>
      <c r="VL27" s="54"/>
      <c r="VM27" s="54"/>
      <c r="VN27" s="54"/>
      <c r="VO27" s="54"/>
      <c r="VP27" s="54"/>
      <c r="VQ27" s="54"/>
      <c r="VR27" s="54"/>
      <c r="VS27" s="54"/>
      <c r="VT27" s="54"/>
      <c r="VU27" s="54"/>
      <c r="VV27" s="54"/>
      <c r="VW27" s="54"/>
      <c r="VX27" s="54"/>
      <c r="VY27" s="54"/>
      <c r="VZ27" s="54"/>
      <c r="WA27" s="54"/>
      <c r="WB27" s="54"/>
      <c r="WC27" s="54"/>
      <c r="WD27" s="54"/>
      <c r="WE27" s="5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79ED2B215C6A64A8EEA6A4A280DADE5" ma:contentTypeVersion="11" ma:contentTypeDescription="Create a new document." ma:contentTypeScope="" ma:versionID="3888bf875947002d9437d5c56d07b5d3">
  <xsd:schema xmlns:xsd="http://www.w3.org/2001/XMLSchema" xmlns:xs="http://www.w3.org/2001/XMLSchema" xmlns:p="http://schemas.microsoft.com/office/2006/metadata/properties" xmlns:ns2="81251141-7599-4081-9962-8622873f55aa" xmlns:ns3="afd5fb63-b61f-423b-93e7-958e038eacd2" targetNamespace="http://schemas.microsoft.com/office/2006/metadata/properties" ma:root="true" ma:fieldsID="047a8574d06dd2c3496ab08796c0e7b5" ns2:_="" ns3:_="">
    <xsd:import namespace="81251141-7599-4081-9962-8622873f55aa"/>
    <xsd:import namespace="afd5fb63-b61f-423b-93e7-958e038eacd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251141-7599-4081-9962-8622873f55a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fd5fb63-b61f-423b-93e7-958e038eacd2"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2814875-A1EC-46C5-A2DA-1FD958EE2B8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1251141-7599-4081-9962-8622873f55aa"/>
    <ds:schemaRef ds:uri="afd5fb63-b61f-423b-93e7-958e038eac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A52DDF1-DB9E-4C0C-9E16-F265EDFF44E6}">
  <ds:schemaRefs>
    <ds:schemaRef ds:uri="http://purl.org/dc/elements/1.1/"/>
    <ds:schemaRef ds:uri="http://www.w3.org/XML/1998/namespace"/>
    <ds:schemaRef ds:uri="http://schemas.microsoft.com/office/2006/metadata/properties"/>
    <ds:schemaRef ds:uri="http://schemas.microsoft.com/office/2006/documentManagement/types"/>
    <ds:schemaRef ds:uri="81251141-7599-4081-9962-8622873f55aa"/>
    <ds:schemaRef ds:uri="http://schemas.openxmlformats.org/package/2006/metadata/core-properties"/>
    <ds:schemaRef ds:uri="http://purl.org/dc/terms/"/>
    <ds:schemaRef ds:uri="http://schemas.microsoft.com/office/infopath/2007/PartnerControls"/>
    <ds:schemaRef ds:uri="afd5fb63-b61f-423b-93e7-958e038eacd2"/>
    <ds:schemaRef ds:uri="http://purl.org/dc/dcmitype/"/>
  </ds:schemaRefs>
</ds:datastoreItem>
</file>

<file path=customXml/itemProps3.xml><?xml version="1.0" encoding="utf-8"?>
<ds:datastoreItem xmlns:ds="http://schemas.openxmlformats.org/officeDocument/2006/customXml" ds:itemID="{DB702087-7E88-4AF3-B693-D27B95F8995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10</vt:i4>
      </vt:variant>
      <vt:variant>
        <vt:lpstr>Plages nommées</vt:lpstr>
      </vt:variant>
      <vt:variant>
        <vt:i4>29</vt:i4>
      </vt:variant>
    </vt:vector>
  </HeadingPairs>
  <TitlesOfParts>
    <vt:vector size="39" baseType="lpstr">
      <vt:lpstr>Descriptif</vt:lpstr>
      <vt:lpstr>SYNTHESE</vt:lpstr>
      <vt:lpstr>Qualité</vt:lpstr>
      <vt:lpstr>Analytique</vt:lpstr>
      <vt:lpstr>PARAM</vt:lpstr>
      <vt:lpstr>SeuilsComparaison-EMT</vt:lpstr>
      <vt:lpstr>Recap_equipements</vt:lpstr>
      <vt:lpstr>Equipements</vt:lpstr>
      <vt:lpstr>LimitequantificationSDE</vt:lpstr>
      <vt:lpstr>Critères</vt:lpstr>
      <vt:lpstr>Asservissement</vt:lpstr>
      <vt:lpstr>CODE_SANDRE_3</vt:lpstr>
      <vt:lpstr>CODE_SANDRE_SCL</vt:lpstr>
      <vt:lpstr>CODE_SANDRE_STEU</vt:lpstr>
      <vt:lpstr>conditions_meteo</vt:lpstr>
      <vt:lpstr>Conformité</vt:lpstr>
      <vt:lpstr>Eq_h_controle</vt:lpstr>
      <vt:lpstr>EQUIPEMENT_PREL</vt:lpstr>
      <vt:lpstr>EQUIPEMENT_Q</vt:lpstr>
      <vt:lpstr>Frequence</vt:lpstr>
      <vt:lpstr>LISTE_1</vt:lpstr>
      <vt:lpstr>LISTE_2</vt:lpstr>
      <vt:lpstr>LISTE_3</vt:lpstr>
      <vt:lpstr>LISTE_4</vt:lpstr>
      <vt:lpstr>LISTE_5</vt:lpstr>
      <vt:lpstr>LISTE_6</vt:lpstr>
      <vt:lpstr>LISTE_7</vt:lpstr>
      <vt:lpstr>Méthode</vt:lpstr>
      <vt:lpstr>Montage_sonde</vt:lpstr>
      <vt:lpstr>PLUVIO_SCL</vt:lpstr>
      <vt:lpstr>LimitequantificationSDE!Print_Area</vt:lpstr>
      <vt:lpstr>'SeuilsComparaison-EMT'!Print_Area</vt:lpstr>
      <vt:lpstr>Q_en_charge</vt:lpstr>
      <vt:lpstr>Q_Gravitaire</vt:lpstr>
      <vt:lpstr>Satisfaction</vt:lpstr>
      <vt:lpstr>Type_capteur</vt:lpstr>
      <vt:lpstr>Type_equipement</vt:lpstr>
      <vt:lpstr>Type_reseau</vt:lpstr>
      <vt:lpstr>TypeDeMesure</vt:lpstr>
    </vt:vector>
  </TitlesOfParts>
  <Manager/>
  <Company>Agence de l'eau Loire-Bretagne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Nicolas Dhuygelaere</dc:creator>
  <cp:keywords/>
  <dc:description/>
  <cp:lastModifiedBy>Nicolas Dhuygelaere</cp:lastModifiedBy>
  <cp:revision/>
  <dcterms:created xsi:type="dcterms:W3CDTF">2022-12-06T13:32:43Z</dcterms:created>
  <dcterms:modified xsi:type="dcterms:W3CDTF">2026-02-02T19:54:54Z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0x010100B79ED2B215C6A64A8EEA6A4A280DADE5</vt:lpwstr>
  </property>
</Properties>
</file>